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3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<sst xmlns="http://schemas.openxmlformats.org/spreadsheetml/2006/main" count="2356" uniqueCount="1727">
  <si>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</si>
  <si>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</si>
  <si>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</si>
  <si>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</si>
  <si>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</si>
  <si>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</si>
  <si>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</si>
  <si>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</si>
  <si>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</si>
  <si>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</si>
  <si>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</si>
  <si>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</si>
  <si>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</si>
  <si>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</si>
  <si>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</si>
  <si>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</si>
  <si>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</si>
  <si>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</si>
  <si>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</si>
  <si>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</si>
  <si>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</si>
  <si>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</si>
  <si>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</si>
  <si>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</si>
  <si>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</si>
  <si>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</si>
  <si>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</si>
  <si>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</si>
  <si>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</si>
  <si>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</si>
  <si>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</si>
  <si>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</si>
  <si>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</si>
  <si>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</si>
  <si>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</si>
  <si>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</si>
  <si>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</si>
  <si>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</si>
  <si>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</si>
  <si>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</si>
  <si>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</si>
  <si>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</si>
  <si>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</si>
  <si>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</si>
  <si>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</si>
  <si>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</si>
  <si>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</si>
  <si>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</si>
  <si>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</si>
  <si>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</si>
  <si>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</si>
  <si>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</si>
  <si>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</si>
  <si>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</si>
  <si>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</si>
  <si>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</si>
  <si>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</si>
  <si>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</si>
  <si>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</si>
  <si>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</si>
  <si>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</si>
  <si>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</si>
  <si>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</si>
  <si>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</si>
  <si>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</si>
  <si>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</si>
  <si>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</si>
  <si>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</si>
  <si>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</si>
  <si>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</si>
  <si>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</si>
  <si>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</si>
  <si>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</si>
  <si>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</si>
  <si>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</si>
  <si>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</si>
  <si>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</si>
  <si>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</si>
  <si>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</si>
  <si>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</si>
  <si>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</si>
  <si>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</si>
  <si>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</si>
  <si>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</si>
  <si>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</si>
  <si>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</si>
  <si>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</si>
  <si>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</si>
  <si>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</si>
  <si>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</si>
  <si>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</si>
  <si>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</si>
  <si>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</si>
  <si>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</si>
  <si>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</si>
  <si>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</si>
  <si>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</si>
  <si>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</si>
  <si>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</si>
  <si>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</si>
  <si>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</si>
  <si>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</si>
  <si>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</si>
  <si>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</si>
  <si>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</si>
  <si>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</si>
  <si>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</si>
  <si>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</si>
  <si>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</si>
  <si>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</si>
  <si>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</si>
  <si>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</si>
  <si>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</si>
  <si>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</si>
  <si>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</si>
  <si>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</si>
  <si>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</si>
  <si>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</si>
  <si>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</si>
  <si>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</si>
  <si>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</si>
  <si>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</si>
  <si>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</si>
  <si>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</si>
  <si>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</si>
  <si>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</si>
  <si>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</si>
  <si>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</si>
  <si>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</si>
  <si>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</si>
  <si>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</si>
  <si>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</si>
  <si>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</si>
  <si>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</si>
  <si>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</si>
  <si>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</si>
  <si>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</si>
  <si>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</si>
  <si>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</si>
  <si>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</si>
  <si>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</si>
  <si>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</si>
  <si>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</si>
  <si>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</si>
  <si>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</si>
  <si>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</si>
  <si>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</si>
  <si>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</si>
  <si>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</si>
  <si>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</si>
  <si>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</si>
  <si>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</si>
  <si>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</si>
  <si>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</si>
  <si>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</si>
  <si>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</si>
  <si>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</si>
  <si>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</si>
  <si>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</si>
  <si>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</si>
  <si>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</si>
  <si>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</si>
  <si>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</si>
  <si>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</si>
  <si>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</si>
  <si>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</si>
  <si>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</si>
  <si>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</si>
  <si>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</si>
  <si>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</si>
  <si>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</si>
  <si>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</si>
  <si>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</si>
  <si>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</si>
  <si>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</si>
  <si>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</si>
  <si>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</si>
  <si>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</si>
  <si>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</si>
  <si>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</si>
  <si>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</si>
  <si>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</si>
  <si>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</si>
  <si>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</si>
  <si>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</si>
  <si>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</si>
  <si>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</si>
  <si>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</si>
  <si>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</si>
  <si>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</si>
  <si>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</si>
  <si>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</si>
  <si>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</si>
  <si>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</si>
  <si>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</si>
  <si>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</si>
  <si>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</si>
  <si>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</si>
  <si>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</si>
  <si>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</si>
  <si>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</si>
  <si>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</si>
  <si>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</si>
  <si>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</si>
  <si>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</si>
  <si>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</si>
  <si>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</si>
  <si>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</si>
  <si>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</si>
  <si>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</si>
  <si>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</si>
  <si>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</si>
  <si>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</si>
  <si>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</si>
  <si>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</si>
  <si>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</si>
  <si>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</si>
  <si>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</si>
  <si>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</si>
  <si>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</si>
  <si>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</si>
  <si>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</si>
  <si>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</si>
  <si>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</si>
  <si>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</si>
  <si>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</si>
  <si>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</si>
  <si>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</si>
  <si>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</si>
  <si>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</si>
  <si>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</si>
  <si>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</si>
  <si>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</si>
  <si>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</si>
  <si>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</si>
  <si>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</si>
  <si>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</si>
  <si>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</si>
  <si>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</si>
  <si>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</si>
  <si>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</si>
  <si>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</si>
  <si>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</si>
  <si>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</si>
  <si>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</si>
  <si>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</si>
  <si>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</si>
  <si>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</si>
  <si>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</si>
  <si>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</si>
  <si>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</si>
  <si>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</si>
  <si>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</si>
  <si>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</si>
  <si>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</si>
  <si>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</si>
  <si>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</si>
  <si>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</si>
  <si>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</si>
  <si>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</si>
  <si>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</si>
  <si>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</si>
  <si>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</si>
  <si>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</si>
  <si>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</si>
  <si>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</si>
  <si>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</si>
  <si>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</si>
  <si>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</si>
  <si>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</si>
  <si>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</si>
  <si>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</si>
  <si>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</si>
  <si>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</si>
  <si>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</si>
  <si>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</si>
  <si>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</si>
  <si>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</si>
  <si>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</si>
  <si>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</si>
  <si>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</si>
  <si>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</si>
  <si>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</si>
  <si>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</si>
  <si>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</si>
  <si>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</si>
  <si>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</si>
  <si>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</si>
  <si>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</si>
  <si>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</si>
  <si>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</si>
  <si>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</si>
  <si>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</si>
  <si>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</si>
  <si>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</si>
  <si>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</si>
  <si>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</si>
  <si>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</si>
  <si>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</si>
  <si>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</si>
  <si>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</si>
  <si>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</si>
  <si>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</si>
  <si>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</si>
  <si>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</si>
  <si>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</si>
  <si>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</si>
  <si>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</si>
  <si>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</si>
  <si>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</si>
  <si>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</si>
  <si>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</si>
  <si>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</si>
  <si>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</si>
  <si>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</si>
  <si>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</si>
  <si>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</si>
  <si>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</si>
  <si>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</si>
  <si>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</si>
  <si>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</si>
  <si>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</si>
  <si>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</si>
  <si>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</si>
  <si>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</si>
  <si>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</si>
  <si>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</si>
  <si>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</si>
  <si>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</si>
  <si>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</si>
  <si>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</si>
  <si>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</si>
  <si>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</si>
  <si>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</si>
  <si>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</si>
  <si>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</si>
  <si>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</si>
  <si>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</si>
  <si>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</si>
  <si>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</si>
  <si>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</si>
  <si>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</si>
  <si>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</si>
  <si>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</si>
  <si>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</si>
  <si>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</si>
  <si>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</si>
  <si>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</si>
  <si>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</si>
  <si>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</si>
  <si>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</si>
  <si>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</si>
  <si>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</si>
  <si>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</si>
  <si>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</si>
  <si>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</si>
  <si>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</si>
  <si>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</si>
  <si>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</si>
  <si>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</si>
  <si>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</si>
  <si>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</si>
  <si>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</si>
  <si>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</si>
  <si>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</si>
  <si>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</si>
  <si>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</si>
  <si>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</si>
  <si>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</si>
  <si>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</si>
  <si>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</si>
  <si>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</si>
  <si>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</si>
  <si>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</si>
  <si>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</si>
  <si>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</si>
  <si>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</si>
  <si>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</si>
  <si>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</si>
  <si>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</si>
  <si>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</si>
  <si>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</si>
  <si>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</si>
  <si>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</si>
  <si>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</si>
  <si>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</si>
  <si>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</si>
  <si>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</si>
  <si>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</si>
  <si>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</si>
  <si>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</si>
  <si>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</si>
  <si>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</si>
  <si>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</si>
  <si>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</si>
  <si>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</si>
  <si>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</si>
  <si>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</si>
  <si>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</si>
  <si>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</si>
  <si>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</si>
  <si>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</si>
  <si>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</si>
  <si>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</si>
  <si>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</si>
  <si>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</si>
  <si>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</si>
  <si>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</si>
  <si>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</si>
  <si>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</si>
  <si>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</si>
  <si>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</si>
  <si>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</si>
  <si>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</si>
  <si>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</si>
  <si>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</si>
  <si>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</si>
  <si>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</si>
  <si>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</si>
  <si>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</si>
  <si>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</si>
  <si>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</si>
  <si>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</si>
  <si>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</si>
  <si>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</si>
  <si>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</si>
  <si>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</si>
  <si>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</si>
  <si>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</si>
  <si>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</si>
  <si>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</si>
  <si>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</si>
  <si>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</si>
  <si>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</si>
  <si>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</si>
  <si>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</si>
  <si>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</si>
  <si>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</si>
  <si>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</si>
  <si>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</si>
  <si>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</si>
  <si>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</si>
  <si>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</si>
  <si>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</si>
  <si>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</si>
  <si>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</si>
  <si>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</si>
  <si>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</si>
  <si>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</si>
  <si>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</si>
  <si>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</si>
  <si>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</si>
  <si>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</si>
  <si>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</si>
  <si>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</si>
  <si>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</si>
  <si>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</si>
  <si>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</si>
  <si>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</si>
  <si>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</si>
  <si>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</si>
  <si>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</si>
  <si>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</si>
  <si>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</si>
  <si>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</si>
  <si>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</si>
  <si>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</si>
  <si>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</si>
  <si>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</si>
  <si>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</si>
  <si>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</si>
  <si>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</si>
  <si>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</si>
  <si>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</si>
  <si>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</si>
  <si>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</si>
  <si>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</si>
  <si>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</si>
  <si>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</si>
  <si>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</si>
  <si>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</si>
  <si>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</si>
  <si>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</si>
  <si>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</si>
  <si>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</si>
  <si>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</si>
  <si>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</si>
  <si>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</si>
  <si>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</si>
  <si>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</si>
  <si>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</si>
  <si>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</si>
  <si>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</si>
  <si>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</si>
  <si>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</si>
  <si>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</si>
  <si>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</si>
  <si>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</si>
  <si>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</si>
  <si>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</si>
  <si>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</si>
  <si>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</si>
  <si>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</si>
  <si>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</si>
  <si>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</si>
  <si>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</si>
  <si>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</si>
  <si>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</si>
  <si>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</si>
  <si>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</si>
  <si>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</si>
  <si>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</si>
  <si>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</si>
  <si>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</si>
  <si>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</si>
  <si>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</si>
  <si>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</si>
  <si>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</si>
  <si>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</si>
  <si>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</si>
  <si>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</si>
  <si>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</si>
  <si>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</si>
  <si>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</si>
  <si>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</si>
  <si>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</si>
  <si>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</si>
  <si>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</si>
  <si>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</si>
  <si>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</si>
  <si>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</si>
  <si>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</si>
  <si>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</si>
  <si>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</si>
  <si>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</si>
  <si>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</si>
  <si>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</si>
  <si>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</si>
  <si>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</si>
  <si>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</si>
  <si>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</si>
  <si>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</si>
  <si>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</si>
  <si>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</si>
  <si>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</si>
  <si>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</si>
  <si>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</si>
  <si>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</si>
  <si>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</si>
  <si>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</si>
  <si>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</si>
  <si>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</si>
  <si>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</si>
  <si>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</si>
  <si>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</si>
  <si>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</si>
  <si>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</si>
  <si>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</si>
  <si>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</si>
  <si>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</si>
  <si>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</si>
  <si>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</si>
  <si>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</si>
  <si>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</si>
  <si>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</si>
  <si>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</si>
  <si>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</si>
  <si>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</si>
  <si>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</si>
  <si>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</si>
  <si>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</si>
  <si>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</si>
  <si>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</si>
  <si>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</si>
  <si>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</si>
  <si>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</si>
  <si>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</si>
  <si>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</si>
  <si>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</si>
  <si>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</si>
  <si>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</si>
  <si>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</si>
  <si>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</si>
  <si>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</si>
  <si>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</si>
  <si>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</si>
  <si>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</si>
  <si>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</si>
  <si>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</si>
  <si>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</si>
  <si>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</si>
  <si>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</si>
  <si>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</si>
  <si>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</si>
  <si>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</si>
  <si>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</si>
  <si>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</si>
  <si>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</si>
  <si>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</si>
  <si>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</si>
  <si>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</si>
  <si>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</si>
  <si>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</si>
  <si>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</si>
  <si>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</si>
  <si>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</si>
  <si>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</si>
  <si>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</si>
  <si>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</si>
  <si>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</si>
  <si>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</si>
  <si>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</si>
  <si>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</si>
  <si>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</si>
  <si>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</si>
  <si>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</si>
  <si>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</si>
  <si>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</si>
  <si>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</si>
  <si>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</si>
  <si>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</si>
  <si>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</si>
  <si>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</si>
  <si>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</si>
  <si>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</si>
  <si>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</si>
  <si>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</si>
  <si>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</si>
  <si>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</si>
  <si>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</si>
  <si>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</si>
  <si>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</si>
  <si>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</si>
  <si>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</si>
  <si>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</si>
  <si>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</si>
  <si>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</si>
  <si>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</si>
  <si>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</si>
  <si>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</si>
  <si>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</si>
  <si>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</si>
  <si>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</si>
  <si>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</si>
  <si>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</si>
  <si>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</si>
  <si>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</si>
  <si>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</si>
  <si>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</si>
  <si>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</si>
  <si>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</si>
  <si>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</si>
  <si>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</si>
  <si>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</si>
  <si>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</si>
  <si>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</si>
  <si>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</si>
  <si>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</si>
  <si>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</si>
  <si>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</si>
  <si>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</si>
  <si>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</si>
  <si>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</si>
  <si>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</si>
  <si>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</si>
  <si>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</si>
  <si>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</si>
  <si>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</si>
  <si>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</si>
  <si>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</si>
  <si>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</si>
  <si>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</si>
  <si>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</si>
  <si>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</si>
  <si>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</si>
  <si>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</si>
  <si>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</si>
  <si>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</si>
  <si>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</si>
  <si>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</si>
  <si>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</si>
  <si>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</si>
  <si>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</si>
  <si>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</si>
  <si>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</si>
  <si>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</si>
  <si>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</si>
  <si>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</si>
  <si>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</si>
  <si>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</si>
  <si>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</si>
  <si>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</si>
  <si>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</si>
  <si>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</si>
  <si>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</si>
  <si>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</si>
  <si>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</si>
  <si>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</si>
  <si>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</si>
  <si>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</si>
  <si>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</si>
  <si>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</si>
  <si>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</si>
  <si>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</si>
  <si>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</si>
  <si>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</si>
  <si>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</si>
  <si>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</si>
  <si>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</si>
  <si>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</si>
  <si>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</si>
  <si>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</si>
  <si>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</si>
  <si>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</si>
  <si>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</si>
  <si>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</si>
  <si>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</si>
  <si>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</si>
  <si>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</si>
  <si>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</si>
  <si>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</si>
  <si>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</si>
  <si>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</si>
  <si>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</si>
  <si>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</si>
  <si>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</si>
  <si>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</si>
  <si>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</si>
  <si>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</si>
  <si>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</si>
  <si>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</si>
  <si>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</si>
  <si>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</si>
  <si>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</si>
  <si>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</si>
  <si>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</si>
  <si>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</si>
  <si>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</si>
  <si>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</si>
  <si>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</si>
  <si>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</si>
  <si>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</si>
  <si>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</si>
  <si>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</si>
  <si>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</si>
  <si>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</si>
  <si>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</si>
  <si>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</si>
  <si>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</si>
  <si>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</si>
  <si>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</si>
  <si>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</si>
  <si>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</si>
  <si>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</si>
  <si>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</si>
  <si>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</si>
  <si>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</si>
  <si>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</si>
  <si>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</si>
  <si>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</si>
  <si>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</si>
  <si>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</si>
  <si>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</si>
  <si>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</si>
  <si>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</si>
  <si>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</si>
  <si>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</si>
  <si>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</si>
  <si>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</si>
  <si>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</si>
  <si>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</si>
  <si>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</si>
  <si>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</si>
  <si>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</si>
  <si>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</si>
  <si>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</si>
  <si>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</si>
  <si>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</si>
  <si>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</si>
  <si>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</si>
  <si>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</si>
  <si>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</si>
  <si>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</si>
  <si>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</si>
  <si>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</si>
  <si>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</si>
  <si>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</si>
  <si>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</si>
  <si>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</si>
  <si>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</si>
  <si>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</si>
  <si>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</si>
  <si>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</si>
  <si>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</si>
  <si>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</si>
  <si>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</si>
  <si>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</si>
  <si>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</si>
  <si>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</si>
  <si>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</si>
  <si>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</si>
  <si>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</si>
  <si>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</si>
  <si>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</si>
  <si>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</si>
  <si>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</si>
  <si>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</si>
  <si>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</si>
  <si>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</si>
  <si>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</si>
  <si>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</si>
  <si>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</si>
  <si>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</si>
  <si>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</si>
  <si>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</si>
  <si>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</si>
  <si>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</si>
  <si>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</si>
  <si>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</si>
  <si>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</si>
  <si>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</si>
  <si>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</si>
  <si>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</si>
  <si>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</si>
  <si>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</si>
  <si>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</si>
  <si>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</si>
  <si>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</si>
  <si>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</si>
  <si>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</si>
  <si>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</si>
  <si>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</si>
  <si>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</si>
  <si>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</si>
  <si>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</si>
  <si>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</si>
  <si>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</si>
  <si>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</si>
  <si>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</si>
  <si>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</si>
  <si>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</si>
  <si>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</si>
  <si>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</si>
  <si>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</si>
  <si>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</si>
  <si>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</si>
  <si>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</si>
  <si>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</si>
  <si>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</si>
  <si>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</si>
  <si>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</si>
  <si>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</si>
  <si>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</si>
  <si>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</si>
  <si>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</si>
  <si>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</si>
  <si>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</si>
  <si>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</si>
  <si>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</si>
  <si>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</si>
  <si>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</si>
  <si>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</si>
  <si>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</si>
  <si>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</si>
  <si>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</si>
  <si>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</si>
  <si>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</si>
  <si>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</si>
  <si>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</si>
  <si>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</si>
  <si>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</si>
  <si>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</si>
  <si>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</si>
  <si>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</si>
  <si>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</si>
  <si>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</si>
  <si>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</si>
  <si>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</si>
  <si>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</si>
  <si>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</si>
  <si>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</si>
  <si>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</si>
  <si>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</si>
  <si>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</si>
  <si>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</si>
  <si>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</si>
  <si>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</si>
  <si>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</si>
  <si>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</si>
  <si>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</si>
  <si>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</si>
  <si>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</si>
  <si>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</si>
  <si>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</si>
  <si>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</si>
  <si>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</si>
  <si>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</si>
  <si>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</si>
  <si>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</si>
  <si>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</si>
  <si>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</si>
  <si>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</si>
  <si>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</si>
  <si>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</si>
  <si>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</si>
  <si>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</si>
  <si>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</si>
  <si>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</si>
  <si>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</si>
  <si>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</si>
  <si>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</si>
  <si>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</si>
  <si>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</si>
  <si>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</si>
  <si>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</si>
  <si>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</si>
  <si>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</si>
  <si>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</si>
  <si>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</si>
  <si>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</si>
  <si>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</si>
  <si>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</si>
  <si>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</si>
  <si>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</si>
  <si>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</si>
  <si>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</si>
  <si>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</si>
  <si>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</si>
  <si>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</si>
  <si>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</si>
  <si>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</si>
  <si>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</si>
  <si>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</si>
  <si>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</si>
  <si>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</si>
  <si>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</si>
  <si>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</si>
  <si>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</si>
  <si>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</si>
  <si>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</si>
  <si>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</si>
  <si>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</si>
  <si>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</si>
  <si>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</si>
  <si>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</si>
  <si>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</si>
  <si>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</si>
  <si>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</si>
  <si>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</si>
  <si>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</si>
  <si>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</si>
  <si>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</si>
  <si>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</si>
  <si>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</si>
  <si>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</si>
  <si>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</si>
  <si>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</si>
  <si>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</si>
  <si>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</si>
  <si>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</si>
  <si>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</si>
  <si>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</si>
  <si>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</si>
  <si>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</si>
  <si>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</si>
  <si>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</si>
  <si>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</si>
  <si>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</si>
  <si>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</si>
  <si>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</si>
  <si>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</si>
  <si>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</si>
  <si>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</si>
  <si>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</si>
  <si>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</si>
  <si>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</si>
  <si>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</si>
  <si>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</si>
  <si>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</si>
  <si>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</si>
  <si>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</si>
  <si>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</si>
  <si>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</si>
  <si>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</si>
  <si>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</si>
  <si>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</si>
  <si>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</si>
  <si>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</si>
  <si>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</si>
  <si>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</si>
  <si>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</si>
  <si>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</si>
  <si>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</si>
  <si>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</si>
  <si>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</si>
  <si>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</si>
  <si>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</si>
  <si>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</si>
  <si>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</si>
  <si>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</si>
  <si>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</si>
  <si>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</si>
  <si>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</si>
  <si>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</si>
  <si>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</si>
  <si>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</si>
  <si>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</si>
  <si>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</si>
  <si>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</si>
  <si>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</si>
  <si>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</si>
  <si>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</si>
  <si>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</si>
  <si>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</si>
  <si>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</si>
  <si>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</si>
  <si>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</si>
  <si>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</si>
  <si>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</si>
  <si>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</si>
  <si>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</si>
  <si>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</si>
  <si>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</si>
  <si>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</si>
  <si>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</si>
  <si>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</si>
  <si>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</si>
  <si>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</si>
  <si>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</si>
  <si>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</si>
  <si>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</si>
  <si>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</si>
  <si>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</si>
  <si>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</si>
  <si>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</si>
  <si>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</si>
  <si>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</si>
  <si>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</si>
  <si>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</si>
  <si>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</si>
  <si>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</si>
  <si>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</si>
  <si>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</si>
  <si>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</si>
  <si>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</si>
  <si>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</si>
  <si>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</si>
  <si>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</si>
  <si>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</si>
  <si>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</si>
  <si>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</si>
  <si>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</si>
  <si>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</si>
  <si>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</si>
  <si>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</si>
  <si>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</si>
  <si>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</si>
  <si>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</si>
  <si>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</si>
  <si>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</si>
  <si>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</si>
  <si>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</si>
  <si>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</si>
  <si>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</si>
  <si>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</si>
  <si>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</si>
  <si>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</si>
  <si>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</si>
  <si>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</si>
  <si>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</si>
  <si>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</si>
  <si>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</si>
  <si>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</si>
  <si>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</si>
  <si>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</si>
  <si>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</si>
  <si>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</si>
  <si>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</si>
  <si>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</si>
  <si>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</si>
  <si>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</si>
  <si>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</si>
  <si>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</si>
  <si>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</si>
  <si>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</si>
  <si>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</si>
  <si>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</si>
  <si>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</si>
  <si>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</si>
  <si>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</si>
  <si>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</si>
  <si>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</si>
  <si>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</si>
  <si>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</si>
  <si>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</si>
  <si>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</si>
  <si>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</si>
  <si>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</si>
  <si>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</si>
  <si>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</si>
  <si>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</si>
  <si>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</si>
  <si>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</si>
  <si>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</si>
  <si>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</si>
  <si>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</si>
  <si>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</si>
  <si>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</si>
  <si>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</si>
  <si>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</si>
  <si>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</si>
  <si>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</si>
  <si>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</si>
  <si>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</si>
  <si>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</si>
  <si>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</si>
  <si>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</si>
  <si>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</si>
  <si>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</si>
  <si>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</si>
  <si>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</si>
  <si>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</si>
  <si>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</si>
  <si>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</si>
  <si>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</si>
  <si>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</si>
  <si>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</si>
  <si>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</si>
  <si>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</si>
  <si>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</si>
  <si>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</si>
  <si>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</si>
  <si>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</si>
  <si>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</si>
  <si>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</si>
  <si>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</si>
  <si>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</si>
  <si>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</si>
  <si>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</si>
  <si>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</si>
  <si>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</si>
  <si>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</si>
  <si>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</si>
  <si>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</si>
  <si>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</si>
  <si>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</si>
  <si>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</si>
  <si>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</si>
  <si>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</si>
  <si>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</si>
  <si>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</si>
  <si>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</si>
  <si>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</si>
  <si>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</si>
  <si>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</si>
  <si>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</si>
  <si>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</si>
  <si>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</si>
  <si>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</si>
  <si>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</si>
  <si>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</si>
  <si>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</si>
  <si>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</si>
  <si>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</si>
  <si>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</si>
  <si>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</si>
  <si>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</si>
  <si>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</si>
  <si>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</si>
  <si>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</si>
  <si>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</si>
  <si>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</si>
  <si>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</si>
  <si>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</si>
  <si>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</si>
  <si>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</si>
  <si>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</si>
  <si>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</si>
  <si>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</si>
  <si>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</si>
  <si>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</si>
  <si>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</si>
  <si>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</si>
  <si>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</si>
  <si>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</si>
  <si>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</si>
  <si>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</si>
  <si>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</si>
  <si>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</si>
  <si>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</si>
  <si>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</si>
  <si>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</si>
  <si>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</si>
  <si>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</si>
  <si>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</si>
  <si>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</si>
  <si>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</si>
  <si>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</si>
  <si>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</si>
  <si>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</si>
  <si>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</si>
  <si>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</si>
  <si>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</si>
  <si>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</si>
  <si>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</si>
  <si>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</si>
  <si>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</si>
  <si>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</si>
  <si>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</si>
  <si>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</si>
  <si>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</si>
  <si>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</si>
  <si>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</si>
  <si>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</si>
  <si>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</si>
  <si>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</si>
  <si>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</si>
  <si>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</si>
  <si>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</si>
  <si>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</si>
  <si>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</si>
  <si>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</si>
  <si>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</si>
  <si>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</si>
  <si>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</si>
  <si>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</si>
  <si>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</si>
  <si>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</si>
  <si>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</si>
  <si>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</si>
  <si>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</si>
  <si>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</si>
  <si>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</si>
  <si>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</si>
  <si>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</si>
  <si>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</si>
  <si>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</si>
  <si>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</si>
  <si>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</si>
  <si>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</si>
  <si>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</si>
  <si>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</si>
  <si>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</si>
  <si>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</si>
  <si>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</si>
  <si>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</si>
  <si>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</si>
  <si>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</si>
  <si>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</si>
  <si>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</si>
  <si>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</si>
  <si>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</si>
  <si>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</si>
  <si>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</si>
  <si>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</si>
  <si>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</si>
  <si>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</si>
  <si>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</si>
  <si>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</si>
  <si>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</si>
  <si>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</si>
  <si>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</si>
  <si>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</si>
  <si>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</si>
  <si>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</si>
  <si>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</si>
  <si>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</si>
  <si>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</si>
  <si>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</si>
  <si>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</si>
  <si>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</si>
  <si>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</si>
  <si>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</si>
  <si>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</si>
  <si>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</si>
  <si>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</si>
  <si>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</si>
  <si>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</si>
  <si>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</si>
  <si>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</si>
  <si>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</si>
  <si>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</si>
  <si>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</si>
  <si>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</si>
  <si>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</si>
  <si>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</si>
  <si>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</si>
  <si>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</si>
  <si>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</si>
  <si>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</si>
  <si>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</si>
  <si>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</si>
  <si>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</si>
  <si>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</si>
  <si>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</si>
  <si>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</si>
  <si>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</si>
  <si>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</si>
  <si>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</si>
  <si>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</si>
  <si>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</si>
  <si>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</si>
  <si>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</si>
  <si>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</si>
  <si>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</si>
  <si>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</si>
  <si>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</si>
  <si>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</si>
  <si>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</si>
  <si>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</si>
  <si>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</si>
  <si>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</si>
  <si>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</si>
  <si>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</si>
  <si>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</si>
  <si>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</si>
  <si>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</si>
  <si>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</si>
  <si>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</si>
  <si>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</si>
  <si>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</si>
  <si>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</si>
  <si>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</si>
  <si>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</si>
  <si>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</si>
  <si>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</si>
  <si>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</si>
  <si>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</si>
  <si>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</si>
  <si>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</si>
  <si>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</si>
  <si>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</si>
  <si>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</si>
  <si>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</si>
  <si>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</si>
  <si>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</si>
  <si>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</si>
  <si>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</si>
  <si>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</si>
  <si>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</si>
  <si>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</si>
  <si>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</si>
  <si>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</si>
  <si>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</si>
  <si>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</si>
  <si>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</si>
  <si>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</si>
  <si>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</si>
  <si>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</si>
  <si>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</si>
  <si>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</si>
  <si>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</si>
  <si>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</si>
  <si>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</si>
  <si>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</si>
  <si>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</si>
  <si>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</si>
  <si>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</si>
  <si>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</si>
  <si>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</si>
  <si>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</si>
  <si>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</si>
  <si>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</si>
  <si>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</si>
  <si>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</si>
  <si>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</si>
  <si>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</si>
  <si>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</si>
  <si>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</si>
  <si>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</si>
  <si>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</si>
  <si>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</si>
  <si>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</si>
  <si>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</si>
  <si>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</si>
  <si>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</si>
  <si>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</si>
  <si>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</si>
  <si>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</si>
  <si>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</si>
  <si>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</si>
  <si>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</si>
  <si>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</si>
  <si>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</si>
  <si>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</si>
  <si>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</si>
  <si>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</si>
  <si>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</si>
  <si>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</si>
  <si>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</si>
  <si>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</si>
  <si>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</si>
  <si>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</si>
  <si>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</si>
  <si>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</si>
  <si>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</si>
  <si>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</si>
  <si>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</si>
  <si>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</si>
  <si>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</si>
  <si>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</si>
  <si>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</si>
  <si>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</si>
  <si>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</si>
  <si>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</si>
  <si>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</si>
  <si>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</si>
  <si>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</si>
  <si>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</si>
  <si>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</si>
  <si>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</si>
  <si>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</si>
  <si>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</si>
  <si>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</si>
  <si>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</si>
  <si>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</si>
  <si>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</si>
  <si>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</si>
  <si>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</si>
  <si>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</si>
  <si>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</si>
  <si>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</si>
  <si>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</si>
  <si>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</si>
  <si>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</si>
  <si>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</si>
  <si>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</si>
  <si>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</si>
  <si>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</si>
  <si>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</si>
  <si>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</si>
  <si>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</si>
  <si>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</si>
  <si>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</si>
  <si>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</si>
  <si>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</si>
  <si>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</si>
  <si>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</si>
  <si>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</si>
  <si>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</si>
  <si>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</si>
  <si>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</si>
  <si>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</si>
  <si>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</si>
  <si>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</si>
  <si>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</si>
  <si>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</si>
  <si>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</si>
  <si>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</si>
  <si>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</si>
  <si>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</si>
  <si>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</si>
  <si>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</si>
  <si>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</si>
  <si>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</si>
  <si>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</si>
  <si>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</si>
  <si>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</si>
  <si>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</si>
  <si>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</si>
  <si>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</si>
  <si>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</si>
  <si>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</si>
  <si>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</si>
  <si>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</si>
  <si>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</si>
  <si>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</si>
  <si>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</si>
  <si>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</si>
  <si>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</si>
  <si>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</si>
  <si>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</si>
  <si>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</si>
  <si>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</si>
  <si>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</si>
  <si>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</si>
  <si>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</si>
  <si>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</si>
  <si>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</si>
  <si>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</si>
  <si>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</si>
  <si>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</si>
  <si>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</si>
  <si>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</si>
  <si>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</si>
  <si>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</si>
  <si>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</si>
  <si>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</si>
  <si>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</si>
  <si>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</si>
  <si>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</si>
  <si>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</si>
  <si>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</si>
  <si>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</si>
  <si>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</si>
  <si>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</si>
  <si>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</si>
  <si>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</si>
  <si>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</si>
  <si>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</si>
  <si>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</si>
  <si>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</si>
  <si>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</si>
  <si>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</si>
  <si>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</si>
  <si>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</si>
  <si>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</si>
  <si>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</si>
  <si>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</si>
  <si>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</si>
  <si>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</si>
  <si>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</si>
  <si>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</si>
  <si>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</si>
  <si>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</si>
  <si>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</si>
  <si>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橙武</t>
  </si>
  <si>
    <t>["SKILL#10821"]=true,</t>
  </si>
  <si>
    <t>无相楼橙武效果</t>
  </si>
  <si>
    <t>["SKILL#10786"]=true,</t>
  </si>
  <si>
    <t>段氏橙武效果</t>
  </si>
  <si>
    <t>["SKILL#10756"]=true,</t>
  </si>
  <si>
    <t>130级万灵山庄橙武效果</t>
  </si>
  <si>
    <t>["SKILL#10698"]=true,</t>
  </si>
  <si>
    <t>刀宗橙武效果</t>
  </si>
  <si>
    <t>["SKILL#10626"]=true,</t>
  </si>
  <si>
    <t>北天药宗灵素橙武特效实际BUFF</t>
  </si>
  <si>
    <t>["SKILL#10627"]=true,</t>
  </si>
  <si>
    <t>北天药宗橙武特效实际BUFF</t>
  </si>
  <si>
    <t>["SKILL#10615"]=true,</t>
  </si>
  <si>
    <t>衍天宗橙武特效实际Buff</t>
  </si>
  <si>
    <t>["SKILL#10081"]=true,</t>
  </si>
  <si>
    <t>冰心诀_无限剑气长江带dot</t>
  </si>
  <si>
    <t>["SKILL#10585"]=true,</t>
  </si>
  <si>
    <t>130级凌雪阁大橙武特效</t>
  </si>
  <si>
    <t>["SKILL#10533"]=true,</t>
  </si>
  <si>
    <t>蓬莱大CW特效</t>
  </si>
  <si>
    <t>["SKILL#10028"]=true,</t>
  </si>
  <si>
    <t>橙武_离经_彼针长针</t>
  </si>
  <si>
    <t>["SKILL#10176"]=true,</t>
  </si>
  <si>
    <t>橙武_补天_重置圣手</t>
  </si>
  <si>
    <t>["SKILL#10080"]=true,</t>
  </si>
  <si>
    <t>橙武_云裳_重置风袖</t>
  </si>
  <si>
    <t>["SKILL#10464"]=true,</t>
  </si>
  <si>
    <t>霸刀130橙武buff</t>
  </si>
  <si>
    <t>["SKILL#10448"]=true,</t>
  </si>
  <si>
    <t>130级相知橙武buff</t>
  </si>
  <si>
    <t>["SKILL#10447"]=true,</t>
  </si>
  <si>
    <t>130级莫问橙武buff</t>
  </si>
  <si>
    <t>["SKILL#10389"]=true,</t>
  </si>
  <si>
    <t>苍云橙武触发buff效果（T特效备份）</t>
  </si>
  <si>
    <t>["SKILL#10144"]=true,</t>
  </si>
  <si>
    <t>藏剑_130橙武无限听雷(问水)</t>
  </si>
  <si>
    <t>["SKILL#10268"]=true,</t>
  </si>
  <si>
    <t>丐帮_橙武buff</t>
  </si>
  <si>
    <t>["SKILL#10243"]=true,</t>
  </si>
  <si>
    <t>明教橙武_T触发BUFF</t>
  </si>
  <si>
    <t>["SKILL#10242"]=true,</t>
  </si>
  <si>
    <t>明教橙武_dps触发BUFF</t>
  </si>
  <si>
    <t>["SKILL#10225"]=true,</t>
  </si>
  <si>
    <t>80橙武_天罗_超级暴雨</t>
  </si>
  <si>
    <t>["SKILL#10224"]=true,</t>
  </si>
  <si>
    <t>80橙武_惊羽_无限追命</t>
  </si>
  <si>
    <t>["SKILL#10175"]=true,</t>
  </si>
  <si>
    <t>130橙武_毒经_蝎心重置dot</t>
  </si>
  <si>
    <t>["SKILL#10145"]=true,</t>
  </si>
  <si>
    <t>130橙武_山居剑意_重置云飞玉皇</t>
  </si>
  <si>
    <t>["SKILL#10002"]=true,</t>
  </si>
  <si>
    <t>130橙武_洗髓经_威胁提高</t>
  </si>
  <si>
    <t>["SKILL#10003"]=true,</t>
  </si>
  <si>
    <t>130橙武_易筋经_攻击回豆</t>
  </si>
  <si>
    <t>["SKILL#10014"]=true,</t>
  </si>
  <si>
    <t>80橙武_紫霞功_两仪化形回气</t>
  </si>
  <si>
    <t>["SKILL#10015"]=true,</t>
  </si>
  <si>
    <t>80橙武_太虚剑意_无我无剑回气</t>
  </si>
  <si>
    <t>["SKILL#10021"]=true,</t>
  </si>
  <si>
    <t>130橙武_花间游_玉石附钟林毓秀</t>
  </si>
  <si>
    <t>["SKILL#10062"]=true,</t>
  </si>
  <si>
    <t>130橙武_铁牢律_威胁提高</t>
  </si>
  <si>
    <t>["SKILL#10026"]=true,</t>
  </si>
  <si>
    <t>130级橙武_傲血战意_龙牙附致残</t>
  </si>
  <si>
    <t>缘会·今夕何夕</t>
  </si>
  <si>
    <t>{nClass=1,nIcon=21596,nFrame=5,nTime=0,szName="缘会·今夕何夕",key="缘会·今夕何夕",},</t>
  </si>
  <si>
    <t>{nClass=2,nIcon=21596,nFrame=2,nTime=60,szName="香膏·绝世奇遇·已消失",key="缘会·今夕何夕",},</t>
  </si>
  <si>
    <t>缘会·月出皎兮</t>
  </si>
  <si>
    <t>{nClass=1,nIcon=21600,nFrame=5,nTime=0,szName="缘会·月出皎兮",key="缘会·月出皎兮",},</t>
  </si>
  <si>
    <t>{nClass=2,nIcon=21600,nFrame=2,nTime=60,szName="香膏·普通奇遇·已消失",key="缘会·月出皎兮",},</t>
  </si>
  <si>
    <t>缘会·山有扶苏</t>
  </si>
  <si>
    <t>{nClass=1,nIcon=21600,nFrame=5,nTime=0,szName="缘会·山有扶苏",key="缘会·山有扶苏",},</t>
  </si>
  <si>
    <t>{nClass=2,nIcon=21600,nFrame=2,nTime=60,szName="香膏·宠物奇遇·已消失",key="缘会·山有扶苏",},</t>
  </si>
  <si>
    <t>破招降低·无双提高</t>
  </si>
  <si>
    <t>{nClass=1,nIcon=549,nFrame=6,nTime=8,szName="破招降低·无双提高",key="创意食品",},</t>
  </si>
  <si>
    <t>破招降低·内攻提高</t>
  </si>
  <si>
    <t>{nClass=1,nIcon=549,nFrame=6,nTime=8,szName="破招降低·内攻提高",key="创意食品",},</t>
  </si>
  <si>
    <t>破招降低·外攻提高</t>
  </si>
  <si>
    <t>{nClass=1,nIcon=549,nFrame=6,nTime=8,szName="破招降低·外攻提高",key="创意食品",},</t>
  </si>
  <si>
    <t>破招降低·破防提高</t>
  </si>
  <si>
    <t>{nClass=1,nIcon=549,nFrame=6,nTime=8,szName="破招降低·破防提高",key="创意食品",},</t>
  </si>
  <si>
    <t>破招降低·会心提高</t>
  </si>
  <si>
    <t>{nClass=1,nIcon=549,nFrame=6,nTime=8,szName="破招降低·会心提高",key="创意食品",},</t>
  </si>
  <si>
    <t>无双降低·破招提高</t>
  </si>
  <si>
    <t>{nClass=1,nIcon=549,nFrame=6,nTime=8,szName="无双降低·破招提高",key="创意食品",},</t>
  </si>
  <si>
    <t>无双降低·内攻提高</t>
  </si>
  <si>
    <t>{nClass=1,nIcon=549,nFrame=6,nTime=8,szName="无双降低·内攻提高",key="创意食品",},</t>
  </si>
  <si>
    <t>无双降低·外攻提高</t>
  </si>
  <si>
    <t>{nClass=1,nIcon=549,nFrame=6,nTime=8,szName="无双降低·外攻提高",key="创意食品",},</t>
  </si>
  <si>
    <t>无双降低·破防提高</t>
  </si>
  <si>
    <t>{nClass=1,nIcon=549,nFrame=6,nTime=8,szName="无双降低·破防提高",key="创意食品",},</t>
  </si>
  <si>
    <t>无双降低·会心提高</t>
  </si>
  <si>
    <t>{nClass=1,nIcon=549,nFrame=6,nTime=8,szName="无双降低·会心提高",key="创意食品",},</t>
  </si>
  <si>
    <t>气血降低·无双提高</t>
  </si>
  <si>
    <t>{nClass=1,nIcon=549,nFrame=6,nTime=8,szName="气血降低·无双提高",key="创意食品",},</t>
  </si>
  <si>
    <t>气血降低·内攻提高</t>
  </si>
  <si>
    <t>{nClass=1,nIcon=549,nFrame=6,nTime=8,szName="气血降低·内攻提高",key="创意食品",},</t>
  </si>
  <si>
    <t>气血降低·外攻提高</t>
  </si>
  <si>
    <t>{nClass=1,nIcon=549,nFrame=6,nTime=8,szName="气血降低·外攻提高",key="创意食品",},</t>
  </si>
  <si>
    <t>气血降低·破防提高</t>
  </si>
  <si>
    <t>{nClass=1,nIcon=549,nFrame=6,nTime=8,szName="气血降低·破防提高",key="创意食品",},</t>
  </si>
  <si>
    <t>气血降低·会心提高</t>
  </si>
  <si>
    <t>{nClass=1,nIcon=549,nFrame=6,nTime=8,szName="气血降低·会心提高",key="创意食品",},</t>
  </si>
  <si>
    <t>鞋会心</t>
  </si>
  <si>
    <t>PVP附魔2鞋子战阶_雷特效_太极秘录</t>
  </si>
  <si>
    <t>鞋移速</t>
  </si>
  <si>
    <t>PVP附魔1鞋子_移速</t>
  </si>
  <si>
    <t>29,238,255,</t>
  </si>
  <si>
    <t>鞋伤疗</t>
  </si>
  <si>
    <t>PVP附魔1鞋子战阶_水特效_太极秘录</t>
  </si>
  <si>
    <t>衣护盾</t>
  </si>
  <si>
    <t>PVP附魔2上衣_护盾_太极秘录</t>
  </si>
  <si>
    <t>衣恢复</t>
  </si>
  <si>
    <t>PVP附魔1上衣战阶_持续回复效果_太极秘录</t>
  </si>
  <si>
    <t>头特效</t>
  </si>
  <si>
    <t>PVP附魔1帽子_密玉BUFF</t>
  </si>
  <si>
    <t>化转御</t>
  </si>
  <si>
    <t>PVP附魔2腰带战阶_化劲转御劲_太极秘录</t>
  </si>
  <si>
    <t>腰御劲</t>
  </si>
  <si>
    <t>PVP附魔1腰带战阶_被击加御劲_太极秘录</t>
  </si>
  <si>
    <t>手会心</t>
  </si>
  <si>
    <t>PVP附魔2护手战阶_全会心添加_太极秘录</t>
  </si>
  <si>
    <t>手特效</t>
  </si>
  <si>
    <t>PVP附魔1护手拍卖_效果添加</t>
  </si>
  <si>
    <t>腰护盾</t>
  </si>
  <si>
    <t>PVP腰带护盾</t>
  </si>
  <si>
    <t>PVP鞋子受击加移速20%</t>
  </si>
  <si>
    <t>裤治疗</t>
  </si>
  <si>
    <t>治疗PVP裤子加治疗</t>
  </si>
  <si>
    <t>裤攻击</t>
  </si>
  <si>
    <t>输出PVP裤子加攻击</t>
  </si>
  <si>
    <t>风腰坠</t>
  </si>
  <si>
    <t>PVP风·斩流</t>
  </si>
  <si>
    <t>["SKILL#10028"]=true,["SKILL#10080"]=true,["SKILL#10176"]=true,["SKILL#10448"]=true,["SKILL#10626"]=true,</t>
  </si>
  <si>
    <t>沐风-基础治疗量提高</t>
  </si>
  <si>
    <t>水武器</t>
  </si>
  <si>
    <t>水·鋭刃-水特效武器</t>
  </si>
  <si>
    <t>雷武器</t>
  </si>
  <si>
    <t>雷·鋭刃-雷特效武器</t>
  </si>
  <si>
    <t>风·鋭刃-风特效腰坠</t>
  </si>
  <si>
    <t>秘境的数据</t>
  </si>
  <si>
    <t>肘子菜盘</t>
  </si>
  <si>
    <t>{nClass=2,nIcon=546,nFrame=5,nTime=2,szName="肘子菜盘·消失",nRefresh=60,key="帮会外食",},</t>
  </si>
  <si>
    <t>南瓜盅菜盘</t>
  </si>
  <si>
    <t>{nClass=2,nIcon=1546,nFrame=5,nTime=3,szName="南瓜盅菜盘·消失",nRefresh=60,key="帮会外食",},</t>
  </si>
  <si>
    <t>烧鸡外食</t>
  </si>
  <si>
    <t>{nClass=2,nIcon=171,nFrame=5,nTime=2,szName="烧鸡外食·消失",nRefresh=60,key="帮会外食",},</t>
  </si>
  <si>
    <t>蒸鱼菜盘</t>
  </si>
  <si>
    <t>{nClass=2,nIcon=552,nFrame=5,nTime=3,szName="蒸鱼菜盘·消失",nRefresh=60,key="帮会外食",},</t>
  </si>
  <si>
    <t>鸡肉菜盘</t>
  </si>
  <si>
    <t>{nClass=1,nIcon=264,nFrame=5,nTime=2,szName="已食用·鸡肉菜盘5%",nRefresh=5,key="绣球花",},</t>
  </si>
  <si>
    <t>{nClass=2,nIcon=264,nFrame=5,nTime=2,szName="鸡肉菜盘·已消失",key="绣球花",},</t>
  </si>
  <si>
    <t>龙葵</t>
  </si>
  <si>
    <t>葵</t>
  </si>
  <si>
    <t>#00FF00FF</t>
  </si>
  <si>
    <t>#00FF00</t>
  </si>
  <si>
    <t>{nClass=1,nIcon=15413,nFrame=6,nTime=7,szName="龙葵自苦·[{$sender}]",key="减伤监控",},</t>
  </si>
  <si>
    <t>述怀</t>
  </si>
  <si>
    <t>述</t>
  </si>
  <si>
    <t>#00EE00FF</t>
  </si>
  <si>
    <t>翔舞</t>
  </si>
  <si>
    <t>翔</t>
  </si>
  <si>
    <t>上元点鬟</t>
  </si>
  <si>
    <t>元</t>
  </si>
  <si>
    <t>赤芍寒香</t>
  </si>
  <si>
    <t>芍</t>
  </si>
  <si>
    <t>梅花三弄</t>
  </si>
  <si>
    <t>31,255,238,</t>
  </si>
  <si>
    <t>梅</t>
  </si>
  <si>
    <t>#1FFFEEFF</t>
  </si>
  <si>
    <t>宫</t>
  </si>
  <si>
    <t>商</t>
  </si>
  <si>
    <t>角</t>
  </si>
  <si>
    <t>握针</t>
  </si>
  <si>
    <t>握</t>
  </si>
  <si>
    <t>野外地图的数据</t>
  </si>
  <si>
    <t>return {DEBUFF={</t>
  </si>
  <si>
    <t>头计数</t>
  </si>
  <si>
    <t>3次后额外伤害或治疗</t>
  </si>
  <si>
    <t>1%腰</t>
  </si>
  <si>
    <t>输出伤害波动-伤腰大附魔增伤1%</t>
  </si>
  <si>
    <t>5%腰</t>
  </si>
  <si>
    <t>输出伤害波动-伤腰大附魔增伤5%</t>
  </si>
  <si>
    <t>枯木</t>
  </si>
  <si>
    <t>枯</t>
  </si>
  <si>
    <t>#FA9B00FF</t>
  </si>
  <si>
    <t>{nClass=1,nIcon=15422,nFrame=6,nTime="1,奶【{$receiver}】;2,奶【{$receiver}】;3,奶【{$receiver}】;30,奶【{$receiver}】",szName="1,奶【{$receiver}】;2,奶【{$receiver}】;3,奶【{$receiver}】;30,奶【{$receiver}】;",key="枯木{$receiver}",},</t>
  </si>
  <si>
    <t>{nClass=2,nIcon=15422,nFrame=6,nTime=0,szName="",key="枯木{$receiver}",},</t>
  </si>
  <si>
    <t>#FF9600FF</t>
  </si>
  <si>
    <t>{nClass=1,nIcon=15422,nFrame=6,nTime="1,奶【{$receiver}】;2,奶【{$receiver}】;3,奶【{$receiver}】;30,奶【{$receiver}】",szName="1,奶[{$receiver}];2,奶[{$receiver}];3,奶[{$receiver}];30,奶[{$receiver}];",key="枯木{$receiver}",},</t>
  </si>
  <si>
    <t>{nClass=2,nIcon=15422,nFrame=5,nTime=0,szName="",key="枯木{$receiver}",},</t>
  </si>
  <si>
    <t>蛊</t>
  </si>
  <si>
    <t>音</t>
  </si>
  <si>
    <t>无法获得梅花三弄</t>
  </si>
  <si>
    <t>255,238,255,</t>
  </si>
  <si>
    <t>落</t>
  </si>
  <si>
    <t>#FFEEEEFF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</si>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</sst>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3" applyBorder="1" applyAlignment="1">
      <alignment horizontal="center" vertical="center"/>
    </xf>
    <xf numFmtId="0" fontId="2" fillId="2" borderId="2" xfId="23" applyBorder="1" applyAlignment="1">
      <alignment horizontal="center" vertical="center"/>
    </xf>
    <xf numFmtId="0" fontId="2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3" fillId="3" borderId="1" xfId="22" applyBorder="1">
      <alignment vertical="center"/>
    </xf>
    <xf numFmtId="0" fontId="0" fillId="4" borderId="1" xfId="0" applyFill="1" applyBorder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2" borderId="1" xfId="23" applyBorder="1" applyAlignment="1">
      <alignment horizontal="left" vertical="center"/>
    </xf>
    <xf numFmtId="0" fontId="2" fillId="2" borderId="1" xfId="23" applyBorder="1">
      <alignment vertical="center"/>
    </xf>
    <xf numFmtId="0" fontId="2" fillId="2" borderId="7" xfId="23" applyBorder="1">
      <alignment vertical="center"/>
    </xf>
    <xf numFmtId="0" fontId="2" fillId="2" borderId="9" xfId="23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0" fillId="4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61" workbookViewId="0">
      <selection activeCell="E62" sqref="E62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1785581301000,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242" workbookViewId="0">
      <selection activeCell="B194" sqref="B194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9"/>
  <sheetViews>
    <sheetView topLeftCell="V1" workbookViewId="0">
      <pane ySplit="1" topLeftCell="A2" activePane="bottomLeft" state="frozen"/>
      <selection/>
      <selection pane="bottomLeft" activeCell="AQ6" sqref="AQ6"/>
    </sheetView>
  </sheetViews>
  <sheetFormatPr defaultColWidth="9" defaultRowHeight="13.5"/>
  <cols>
    <col min="8" max="8" width="9.75" customWidth="1"/>
    <col min="10" max="10" width="15.875" customWidth="1"/>
    <col min="11" max="11" width="25.5" customWidth="1"/>
  </cols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2" t="s">
        <v>651</v>
      </c>
      <c r="B2">
        <v>-1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[-1]={</v>
      </c>
    </row>
    <row r="3" spans="1:44">
      <c r="C3">
        <v>32144</v>
      </c>
      <c r="D3">
        <v>1</v>
      </c>
      <c r="F3">
        <v>25576</v>
      </c>
      <c r="G3" t="s">
        <v>1516</v>
      </c>
      <c r="I3">
        <v>1</v>
      </c>
      <c r="J3" t="s">
        <v>1517</v>
      </c>
      <c r="K3" t="s">
        <v>1518</v>
      </c>
      <c r="L3" t="s">
        <v>596</v>
      </c>
      <c r="U3">
        <v>1</v>
      </c>
      <c r="AQ3" t="str">
        <f t="shared" ref="AQ3:AQ34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{dwID=32144,nLevel=1,nIcon=25576,szName="橙武",nScrutinyType=1,tKungFu={["SKILL#10821"]=true,},szNote="无相楼橙武效果",col={255,150,0,},[1]={bBuffList=true,},[2]={},},</v>
      </c>
    </row>
    <row r="4" spans="1:44">
      <c r="C4">
        <v>29604</v>
      </c>
      <c r="D4">
        <v>1</v>
      </c>
      <c r="F4">
        <v>23391</v>
      </c>
      <c r="G4" t="s">
        <v>1516</v>
      </c>
      <c r="I4">
        <v>1</v>
      </c>
      <c r="J4" t="s">
        <v>1519</v>
      </c>
      <c r="K4" t="s">
        <v>1520</v>
      </c>
      <c r="L4" t="s">
        <v>596</v>
      </c>
      <c r="U4">
        <v>1</v>
      </c>
      <c r="AQ4" t="str">
        <f t="shared" si="0"/>
        <v>{dwID=29604,nLevel=1,nIcon=23391,szName="橙武",nScrutinyType=1,tKungFu={["SKILL#10786"]=true,},szNote="段氏橙武效果",col={255,150,0,},[1]={bBuffList=true,},[2]={},},</v>
      </c>
    </row>
    <row r="5" spans="1:44">
      <c r="C5">
        <v>27543</v>
      </c>
      <c r="D5">
        <v>1</v>
      </c>
      <c r="F5">
        <v>23410</v>
      </c>
      <c r="G5" t="s">
        <v>1516</v>
      </c>
      <c r="I5">
        <v>1</v>
      </c>
      <c r="J5" t="s">
        <v>1521</v>
      </c>
      <c r="K5" t="s">
        <v>1522</v>
      </c>
      <c r="L5" t="s">
        <v>596</v>
      </c>
      <c r="U5">
        <v>1</v>
      </c>
      <c r="AQ5" t="str">
        <f t="shared" si="0"/>
        <v>{dwID=27543,nLevel=1,nIcon=23410,szName="橙武",nScrutinyType=1,tKungFu={["SKILL#10756"]=true,},szNote="130级万灵山庄橙武效果",col={255,150,0,},[1]={bBuffList=true,},[2]={},},</v>
      </c>
    </row>
    <row r="6" spans="1:44">
      <c r="C6">
        <v>24752</v>
      </c>
      <c r="D6">
        <v>1</v>
      </c>
      <c r="F6">
        <v>23389</v>
      </c>
      <c r="G6" t="s">
        <v>1516</v>
      </c>
      <c r="I6">
        <v>1</v>
      </c>
      <c r="J6" t="s">
        <v>1523</v>
      </c>
      <c r="K6" t="s">
        <v>1524</v>
      </c>
      <c r="L6" t="s">
        <v>596</v>
      </c>
      <c r="U6">
        <v>1</v>
      </c>
      <c r="AQ6" t="str">
        <f t="shared" si="0"/>
        <v>{dwID=24752,nLevel=1,nIcon=23389,szName="橙武",nScrutinyType=1,tKungFu={["SKILL#10698"]=true,},szNote="刀宗橙武效果",col={255,150,0,},[1]={bBuffList=true,},[2]={},},</v>
      </c>
    </row>
    <row r="7" spans="1:44">
      <c r="C7">
        <v>21803</v>
      </c>
      <c r="D7">
        <v>1</v>
      </c>
      <c r="F7">
        <v>23415</v>
      </c>
      <c r="G7" t="s">
        <v>1516</v>
      </c>
      <c r="I7">
        <v>1</v>
      </c>
      <c r="J7" t="s">
        <v>1525</v>
      </c>
      <c r="K7" t="s">
        <v>1526</v>
      </c>
      <c r="L7" t="s">
        <v>596</v>
      </c>
      <c r="U7">
        <v>1</v>
      </c>
      <c r="AQ7" t="str">
        <f t="shared" si="0"/>
        <v>{dwID=21803,nLevel=1,nIcon=23415,szName="橙武",nScrutinyType=1,tKungFu={["SKILL#10626"]=true,},szNote="北天药宗灵素橙武特效实际BUFF",col={255,150,0,},[1]={bBuffList=true,},[2]={},},</v>
      </c>
    </row>
    <row r="8" spans="1:44">
      <c r="C8">
        <v>21796</v>
      </c>
      <c r="D8">
        <v>1</v>
      </c>
      <c r="F8">
        <v>23414</v>
      </c>
      <c r="G8" t="s">
        <v>1516</v>
      </c>
      <c r="I8">
        <v>1</v>
      </c>
      <c r="J8" t="s">
        <v>1527</v>
      </c>
      <c r="K8" t="s">
        <v>1528</v>
      </c>
      <c r="L8" t="s">
        <v>596</v>
      </c>
      <c r="U8">
        <v>1</v>
      </c>
      <c r="AQ8" t="str">
        <f t="shared" si="0"/>
        <v>{dwID=21796,nLevel=1,nIcon=23414,szName="橙武",nScrutinyType=1,tKungFu={["SKILL#10627"]=true,},szNote="北天药宗橙武特效实际BUFF",col={255,150,0,},[1]={bBuffList=true,},[2]={},},</v>
      </c>
    </row>
    <row r="9" spans="1:44">
      <c r="C9">
        <v>18601</v>
      </c>
      <c r="D9">
        <v>1</v>
      </c>
      <c r="F9">
        <v>23413</v>
      </c>
      <c r="G9" t="s">
        <v>1516</v>
      </c>
      <c r="I9">
        <v>1</v>
      </c>
      <c r="J9" t="s">
        <v>1529</v>
      </c>
      <c r="K9" t="s">
        <v>1530</v>
      </c>
      <c r="L9" t="s">
        <v>596</v>
      </c>
      <c r="U9">
        <v>1</v>
      </c>
      <c r="AQ9" t="str">
        <f t="shared" si="0"/>
        <v>{dwID=18601,nLevel=1,nIcon=23413,szName="橙武",nScrutinyType=1,tKungFu={["SKILL#10615"]=true,},szNote="衍天宗橙武特效实际Buff",col={255,150,0,},[1]={bBuffList=true,},[2]={},},</v>
      </c>
    </row>
    <row r="10" spans="1:44">
      <c r="C10">
        <v>18511</v>
      </c>
      <c r="D10">
        <v>1</v>
      </c>
      <c r="F10">
        <v>23400</v>
      </c>
      <c r="G10" t="s">
        <v>1516</v>
      </c>
      <c r="I10">
        <v>1</v>
      </c>
      <c r="J10" t="s">
        <v>1531</v>
      </c>
      <c r="K10" t="s">
        <v>1532</v>
      </c>
      <c r="L10" t="s">
        <v>596</v>
      </c>
      <c r="U10">
        <v>1</v>
      </c>
      <c r="AQ10" t="str">
        <f t="shared" si="0"/>
        <v>{dwID=18511,nLevel=1,nIcon=23400,szName="橙武",nScrutinyType=1,tKungFu={["SKILL#10081"]=true,},szNote="冰心诀_无限剑气长江带dot",col={255,150,0,},[1]={bBuffList=true,},[2]={},},</v>
      </c>
    </row>
    <row r="11" spans="1:44">
      <c r="C11">
        <v>16482</v>
      </c>
      <c r="D11">
        <v>1</v>
      </c>
      <c r="F11">
        <v>23396</v>
      </c>
      <c r="G11" t="s">
        <v>1516</v>
      </c>
      <c r="I11">
        <v>1</v>
      </c>
      <c r="J11" t="s">
        <v>1533</v>
      </c>
      <c r="K11" t="s">
        <v>1534</v>
      </c>
      <c r="L11" t="s">
        <v>596</v>
      </c>
      <c r="U11">
        <v>1</v>
      </c>
      <c r="AQ11" t="str">
        <f t="shared" si="0"/>
        <v>{dwID=16482,nLevel=1,nIcon=23396,szName="橙武",nScrutinyType=1,tKungFu={["SKILL#10585"]=true,},szNote="130级凌雪阁大橙武特效",col={255,150,0,},[1]={bBuffList=true,},[2]={},},</v>
      </c>
    </row>
    <row r="12" spans="1:44">
      <c r="C12">
        <v>14352</v>
      </c>
      <c r="D12">
        <v>1</v>
      </c>
      <c r="F12">
        <v>23399</v>
      </c>
      <c r="G12" t="s">
        <v>1516</v>
      </c>
      <c r="I12">
        <v>1</v>
      </c>
      <c r="J12" t="s">
        <v>1535</v>
      </c>
      <c r="K12" t="s">
        <v>1536</v>
      </c>
      <c r="L12" t="s">
        <v>596</v>
      </c>
      <c r="U12">
        <v>1</v>
      </c>
      <c r="AQ12" t="str">
        <f t="shared" si="0"/>
        <v>{dwID=14352,nLevel=1,nIcon=23399,szName="橙武",nScrutinyType=1,tKungFu={["SKILL#10533"]=true,},szNote="蓬莱大CW特效",col={255,150,0,},[1]={bBuffList=true,},[2]={},},</v>
      </c>
    </row>
    <row r="13" spans="1:44">
      <c r="C13">
        <v>12770</v>
      </c>
      <c r="D13">
        <v>1</v>
      </c>
      <c r="F13">
        <v>23409</v>
      </c>
      <c r="G13" t="s">
        <v>1516</v>
      </c>
      <c r="I13">
        <v>1</v>
      </c>
      <c r="J13" t="s">
        <v>1537</v>
      </c>
      <c r="K13" t="s">
        <v>1538</v>
      </c>
      <c r="L13" t="s">
        <v>596</v>
      </c>
      <c r="U13">
        <v>1</v>
      </c>
      <c r="AQ13" t="str">
        <f t="shared" si="0"/>
        <v>{dwID=12770,nLevel=1,nIcon=23409,szName="橙武",nScrutinyType=1,tKungFu={["SKILL#10028"]=true,},szNote="橙武_离经_彼针长针",col={255,150,0,},[1]={bBuffList=true,},[2]={},},</v>
      </c>
    </row>
    <row r="14" spans="1:44">
      <c r="C14">
        <v>12769</v>
      </c>
      <c r="D14">
        <v>1</v>
      </c>
      <c r="F14">
        <v>23412</v>
      </c>
      <c r="G14" t="s">
        <v>1516</v>
      </c>
      <c r="I14">
        <v>1</v>
      </c>
      <c r="J14" t="s">
        <v>1539</v>
      </c>
      <c r="K14" t="s">
        <v>1540</v>
      </c>
      <c r="L14" t="s">
        <v>596</v>
      </c>
      <c r="U14">
        <v>1</v>
      </c>
      <c r="AQ14" t="str">
        <f t="shared" si="0"/>
        <v>{dwID=12769,nLevel=1,nIcon=23412,szName="橙武",nScrutinyType=1,tKungFu={["SKILL#10176"]=true,},szNote="橙武_补天_重置圣手",col={255,150,0,},[1]={bBuffList=true,},[2]={},},</v>
      </c>
    </row>
    <row r="15" spans="1:44">
      <c r="C15">
        <v>12768</v>
      </c>
      <c r="D15">
        <v>1</v>
      </c>
      <c r="F15">
        <v>23401</v>
      </c>
      <c r="G15" t="s">
        <v>1516</v>
      </c>
      <c r="I15">
        <v>1</v>
      </c>
      <c r="J15" t="s">
        <v>1541</v>
      </c>
      <c r="K15" t="s">
        <v>1542</v>
      </c>
      <c r="L15" t="s">
        <v>596</v>
      </c>
      <c r="U15">
        <v>1</v>
      </c>
      <c r="AQ15" t="str">
        <f t="shared" si="0"/>
        <v>{dwID=12768,nLevel=1,nIcon=23401,szName="橙武",nScrutinyType=1,tKungFu={["SKILL#10080"]=true,},szNote="橙武_云裳_重置风袖",col={255,150,0,},[1]={bBuffList=true,},[2]={},},</v>
      </c>
    </row>
    <row r="16" spans="1:44">
      <c r="C16">
        <v>11376</v>
      </c>
      <c r="D16">
        <v>1</v>
      </c>
      <c r="F16">
        <v>23382</v>
      </c>
      <c r="G16" t="s">
        <v>1516</v>
      </c>
      <c r="I16">
        <v>1</v>
      </c>
      <c r="J16" t="s">
        <v>1543</v>
      </c>
      <c r="K16" t="s">
        <v>1544</v>
      </c>
      <c r="L16" t="s">
        <v>596</v>
      </c>
      <c r="U16">
        <v>1</v>
      </c>
      <c r="AQ16" t="str">
        <f t="shared" si="0"/>
        <v>{dwID=11376,nLevel=1,nIcon=23382,szName="橙武",nScrutinyType=1,tKungFu={["SKILL#10464"]=true,},szNote="霸刀130橙武buff",col={255,150,0,},[1]={bBuffList=true,},[2]={},},</v>
      </c>
    </row>
    <row r="17" spans="3:43">
      <c r="C17">
        <v>10193</v>
      </c>
      <c r="D17">
        <v>1</v>
      </c>
      <c r="F17">
        <v>23417</v>
      </c>
      <c r="G17" t="s">
        <v>1516</v>
      </c>
      <c r="I17">
        <v>1</v>
      </c>
      <c r="J17" t="s">
        <v>1545</v>
      </c>
      <c r="K17" t="s">
        <v>1546</v>
      </c>
      <c r="L17" t="s">
        <v>596</v>
      </c>
      <c r="U17">
        <v>1</v>
      </c>
      <c r="AQ17" t="str">
        <f t="shared" si="0"/>
        <v>{dwID=10193,nLevel=1,nIcon=23417,szName="橙武",nScrutinyType=1,tKungFu={["SKILL#10448"]=true,},szNote="130级相知橙武buff",col={255,150,0,},[1]={bBuffList=true,},[2]={},},</v>
      </c>
    </row>
    <row r="18" spans="3:43">
      <c r="C18">
        <v>10192</v>
      </c>
      <c r="D18">
        <v>1</v>
      </c>
      <c r="F18">
        <v>23416</v>
      </c>
      <c r="G18" t="s">
        <v>1516</v>
      </c>
      <c r="I18">
        <v>1</v>
      </c>
      <c r="J18" t="s">
        <v>1547</v>
      </c>
      <c r="K18" t="s">
        <v>1548</v>
      </c>
      <c r="L18" t="s">
        <v>596</v>
      </c>
      <c r="U18">
        <v>1</v>
      </c>
      <c r="AQ18" t="str">
        <f t="shared" si="0"/>
        <v>{dwID=10192,nLevel=1,nIcon=23416,szName="橙武",nScrutinyType=1,tKungFu={["SKILL#10447"]=true,},szNote="130级莫问橙武buff",col={255,150,0,},[1]={bBuffList=true,},[2]={},},</v>
      </c>
    </row>
    <row r="19" spans="3:43">
      <c r="C19">
        <v>8474</v>
      </c>
      <c r="D19">
        <v>1</v>
      </c>
      <c r="F19">
        <v>23384</v>
      </c>
      <c r="G19" t="s">
        <v>1516</v>
      </c>
      <c r="I19">
        <v>1</v>
      </c>
      <c r="J19" t="s">
        <v>1549</v>
      </c>
      <c r="K19" t="s">
        <v>1550</v>
      </c>
      <c r="L19" t="s">
        <v>596</v>
      </c>
      <c r="U19">
        <v>1</v>
      </c>
      <c r="AQ19" t="str">
        <f t="shared" si="0"/>
        <v>{dwID=8474,nLevel=1,nIcon=23384,szName="橙武",nScrutinyType=1,tKungFu={["SKILL#10389"]=true,},szNote="苍云橙武触发buff效果（T特效备份）",col={255,150,0,},[1]={bBuffList=true,},[2]={},},</v>
      </c>
    </row>
    <row r="20" spans="3:43">
      <c r="C20">
        <v>6471</v>
      </c>
      <c r="D20">
        <v>1</v>
      </c>
      <c r="F20">
        <v>23385</v>
      </c>
      <c r="G20" t="s">
        <v>1516</v>
      </c>
      <c r="I20">
        <v>1</v>
      </c>
      <c r="J20" t="s">
        <v>1551</v>
      </c>
      <c r="K20" t="s">
        <v>1552</v>
      </c>
      <c r="L20" t="s">
        <v>596</v>
      </c>
      <c r="U20">
        <v>1</v>
      </c>
      <c r="AQ20" t="str">
        <f t="shared" si="0"/>
        <v>{dwID=6471,nLevel=1,nIcon=23385,szName="橙武",nScrutinyType=1,tKungFu={["SKILL#10144"]=true,},szNote="藏剑_130橙武无限听雷(问水)",col={255,150,0,},[1]={bBuffList=true,},[2]={},},</v>
      </c>
    </row>
    <row r="21" spans="3:43">
      <c r="C21">
        <v>6466</v>
      </c>
      <c r="D21">
        <v>1</v>
      </c>
      <c r="F21">
        <v>23395</v>
      </c>
      <c r="G21" t="s">
        <v>1516</v>
      </c>
      <c r="I21">
        <v>1</v>
      </c>
      <c r="J21" t="s">
        <v>1553</v>
      </c>
      <c r="K21" t="s">
        <v>1554</v>
      </c>
      <c r="L21" t="s">
        <v>596</v>
      </c>
      <c r="U21">
        <v>1</v>
      </c>
      <c r="AQ21" t="str">
        <f t="shared" si="0"/>
        <v>{dwID=6466,nLevel=1,nIcon=23395,szName="橙武",nScrutinyType=1,tKungFu={["SKILL#10268"]=true,},szNote="丐帮_橙武buff",col={255,150,0,},[1]={bBuffList=true,},[2]={},},</v>
      </c>
    </row>
    <row r="22" spans="3:43">
      <c r="C22">
        <v>4931</v>
      </c>
      <c r="D22">
        <v>1</v>
      </c>
      <c r="F22">
        <v>23397</v>
      </c>
      <c r="G22" t="s">
        <v>1516</v>
      </c>
      <c r="I22">
        <v>1</v>
      </c>
      <c r="J22" t="s">
        <v>1555</v>
      </c>
      <c r="K22" t="s">
        <v>1556</v>
      </c>
      <c r="L22" t="s">
        <v>596</v>
      </c>
      <c r="U22">
        <v>1</v>
      </c>
      <c r="AQ22" t="str">
        <f t="shared" si="0"/>
        <v>{dwID=4931,nLevel=1,nIcon=23397,szName="橙武",nScrutinyType=1,tKungFu={["SKILL#10243"]=true,},szNote="明教橙武_T触发BUFF",col={255,150,0,},[1]={bBuffList=true,},[2]={},},</v>
      </c>
    </row>
    <row r="23" spans="3:43">
      <c r="C23">
        <v>4930</v>
      </c>
      <c r="D23">
        <v>1</v>
      </c>
      <c r="F23">
        <v>23398</v>
      </c>
      <c r="G23" t="s">
        <v>1516</v>
      </c>
      <c r="I23">
        <v>1</v>
      </c>
      <c r="J23" t="s">
        <v>1557</v>
      </c>
      <c r="K23" t="s">
        <v>1558</v>
      </c>
      <c r="L23" t="s">
        <v>596</v>
      </c>
      <c r="U23">
        <v>1</v>
      </c>
      <c r="AQ23" t="str">
        <f t="shared" si="0"/>
        <v>{dwID=4930,nLevel=1,nIcon=23398,szName="橙武",nScrutinyType=1,tKungFu={["SKILL#10242"]=true,},szNote="明教橙武_dps触发BUFF",col={255,150,0,},[1]={bBuffList=true,},[2]={},},</v>
      </c>
    </row>
    <row r="24" spans="3:43">
      <c r="C24">
        <v>3488</v>
      </c>
      <c r="D24">
        <v>1</v>
      </c>
      <c r="F24">
        <v>23405</v>
      </c>
      <c r="G24" t="s">
        <v>1516</v>
      </c>
      <c r="I24">
        <v>1</v>
      </c>
      <c r="J24" t="s">
        <v>1559</v>
      </c>
      <c r="K24" t="s">
        <v>1560</v>
      </c>
      <c r="L24" t="s">
        <v>596</v>
      </c>
      <c r="U24">
        <v>1</v>
      </c>
      <c r="AQ24" t="str">
        <f t="shared" si="0"/>
        <v>{dwID=3488,nLevel=1,nIcon=23405,szName="橙武",nScrutinyType=1,tKungFu={["SKILL#10225"]=true,},szNote="80橙武_天罗_超级暴雨",col={255,150,0,},[1]={bBuffList=true,},[2]={},},</v>
      </c>
    </row>
    <row r="25" spans="3:43">
      <c r="C25">
        <v>3487</v>
      </c>
      <c r="D25">
        <v>1</v>
      </c>
      <c r="F25">
        <v>23404</v>
      </c>
      <c r="G25" t="s">
        <v>1516</v>
      </c>
      <c r="I25">
        <v>1</v>
      </c>
      <c r="J25" t="s">
        <v>1561</v>
      </c>
      <c r="K25" t="s">
        <v>1562</v>
      </c>
      <c r="L25" t="s">
        <v>596</v>
      </c>
      <c r="U25">
        <v>1</v>
      </c>
      <c r="AQ25" t="str">
        <f t="shared" si="0"/>
        <v>{dwID=3487,nLevel=1,nIcon=23404,szName="橙武",nScrutinyType=1,tKungFu={["SKILL#10224"]=true,},szNote="80橙武_惊羽_无限追命",col={255,150,0,},[1]={bBuffList=true,},[2]={},},</v>
      </c>
    </row>
    <row r="26" spans="3:43">
      <c r="C26">
        <v>3028</v>
      </c>
      <c r="D26">
        <v>1</v>
      </c>
      <c r="F26">
        <v>23411</v>
      </c>
      <c r="G26" t="s">
        <v>1516</v>
      </c>
      <c r="I26">
        <v>1</v>
      </c>
      <c r="J26" t="s">
        <v>1563</v>
      </c>
      <c r="K26" t="s">
        <v>1564</v>
      </c>
      <c r="L26" t="s">
        <v>596</v>
      </c>
      <c r="U26">
        <v>1</v>
      </c>
      <c r="AQ26" t="str">
        <f t="shared" si="0"/>
        <v>{dwID=3028,nLevel=1,nIcon=23411,szName="橙武",nScrutinyType=1,tKungFu={["SKILL#10175"]=true,},szNote="130橙武_毒经_蝎心重置dot",col={255,150,0,},[1]={bBuffList=true,},[2]={},},</v>
      </c>
    </row>
    <row r="27" spans="3:43">
      <c r="C27">
        <v>1922</v>
      </c>
      <c r="D27">
        <v>1</v>
      </c>
      <c r="F27">
        <v>23386</v>
      </c>
      <c r="G27" t="s">
        <v>1516</v>
      </c>
      <c r="I27">
        <v>1</v>
      </c>
      <c r="J27" t="s">
        <v>1565</v>
      </c>
      <c r="K27" t="s">
        <v>1566</v>
      </c>
      <c r="L27" t="s">
        <v>596</v>
      </c>
      <c r="U27">
        <v>1</v>
      </c>
      <c r="AQ27" t="str">
        <f t="shared" si="0"/>
        <v>{dwID=1922,nLevel=1,nIcon=23386,szName="橙武",nScrutinyType=1,tKungFu={["SKILL#10145"]=true,},szNote="130橙武_山居剑意_重置云飞玉皇",col={255,150,0,},[1]={bBuffList=true,},[2]={},},</v>
      </c>
    </row>
    <row r="28" spans="3:43">
      <c r="C28">
        <v>1920</v>
      </c>
      <c r="D28">
        <v>1</v>
      </c>
      <c r="F28">
        <v>23402</v>
      </c>
      <c r="G28" t="s">
        <v>1516</v>
      </c>
      <c r="I28">
        <v>1</v>
      </c>
      <c r="J28" t="s">
        <v>1567</v>
      </c>
      <c r="K28" t="s">
        <v>1568</v>
      </c>
      <c r="L28" t="s">
        <v>596</v>
      </c>
      <c r="U28">
        <v>1</v>
      </c>
      <c r="AQ28" t="str">
        <f t="shared" si="0"/>
        <v>{dwID=1920,nLevel=1,nIcon=23402,szName="橙武",nScrutinyType=1,tKungFu={["SKILL#10002"]=true,},szNote="130橙武_洗髓经_威胁提高",col={255,150,0,},[1]={bBuffList=true,},[2]={},},</v>
      </c>
    </row>
    <row r="29" spans="3:43">
      <c r="C29">
        <v>1919</v>
      </c>
      <c r="D29">
        <v>1</v>
      </c>
      <c r="F29">
        <v>23403</v>
      </c>
      <c r="G29" t="s">
        <v>1516</v>
      </c>
      <c r="I29">
        <v>1</v>
      </c>
      <c r="J29" t="s">
        <v>1569</v>
      </c>
      <c r="K29" t="s">
        <v>1570</v>
      </c>
      <c r="L29" t="s">
        <v>596</v>
      </c>
      <c r="U29">
        <v>1</v>
      </c>
      <c r="AQ29" t="str">
        <f t="shared" si="0"/>
        <v>{dwID=1919,nLevel=1,nIcon=23403,szName="橙武",nScrutinyType=1,tKungFu={["SKILL#10003"]=true,},szNote="130橙武_易筋经_攻击回豆",col={255,150,0,},[1]={bBuffList=true,},[2]={},},</v>
      </c>
    </row>
    <row r="30" spans="3:43">
      <c r="C30">
        <v>1916</v>
      </c>
      <c r="D30">
        <v>1</v>
      </c>
      <c r="F30">
        <v>23388</v>
      </c>
      <c r="G30" t="s">
        <v>1516</v>
      </c>
      <c r="I30">
        <v>1</v>
      </c>
      <c r="J30" t="s">
        <v>1571</v>
      </c>
      <c r="K30" t="s">
        <v>1572</v>
      </c>
      <c r="L30" t="s">
        <v>596</v>
      </c>
      <c r="U30">
        <v>1</v>
      </c>
      <c r="AQ30" t="str">
        <f t="shared" si="0"/>
        <v>{dwID=1916,nLevel=1,nIcon=23388,szName="橙武",nScrutinyType=1,tKungFu={["SKILL#10014"]=true,},szNote="80橙武_紫霞功_两仪化形回气",col={255,150,0,},[1]={bBuffList=true,},[2]={},},</v>
      </c>
    </row>
    <row r="31" spans="3:43">
      <c r="C31">
        <v>1915</v>
      </c>
      <c r="D31">
        <v>1</v>
      </c>
      <c r="F31">
        <v>23387</v>
      </c>
      <c r="G31" t="s">
        <v>1516</v>
      </c>
      <c r="I31">
        <v>1</v>
      </c>
      <c r="J31" t="s">
        <v>1573</v>
      </c>
      <c r="K31" t="s">
        <v>1574</v>
      </c>
      <c r="L31" t="s">
        <v>596</v>
      </c>
      <c r="U31">
        <v>1</v>
      </c>
      <c r="AQ31" t="str">
        <f t="shared" si="0"/>
        <v>{dwID=1915,nLevel=1,nIcon=23387,szName="橙武",nScrutinyType=1,tKungFu={["SKILL#10015"]=true,},szNote="80橙武_太虚剑意_无我无剑回气",col={255,150,0,},[1]={bBuffList=true,},[2]={},},</v>
      </c>
    </row>
    <row r="32" spans="3:43">
      <c r="C32">
        <v>1913</v>
      </c>
      <c r="D32">
        <v>1</v>
      </c>
      <c r="F32">
        <v>23408</v>
      </c>
      <c r="G32" t="s">
        <v>1516</v>
      </c>
      <c r="I32">
        <v>1</v>
      </c>
      <c r="J32" t="s">
        <v>1575</v>
      </c>
      <c r="K32" t="s">
        <v>1576</v>
      </c>
      <c r="L32" t="s">
        <v>596</v>
      </c>
      <c r="U32">
        <v>1</v>
      </c>
      <c r="AQ32" t="str">
        <f t="shared" si="0"/>
        <v>{dwID=1913,nLevel=1,nIcon=23408,szName="橙武",nScrutinyType=1,tKungFu={["SKILL#10021"]=true,},szNote="130橙武_花间游_玉石附钟林毓秀",col={255,150,0,},[1]={bBuffList=true,},[2]={},},</v>
      </c>
    </row>
    <row r="33" spans="3:45">
      <c r="C33">
        <v>1912</v>
      </c>
      <c r="D33">
        <v>1</v>
      </c>
      <c r="F33">
        <v>23406</v>
      </c>
      <c r="G33" t="s">
        <v>1516</v>
      </c>
      <c r="I33">
        <v>1</v>
      </c>
      <c r="J33" t="s">
        <v>1577</v>
      </c>
      <c r="K33" t="s">
        <v>1578</v>
      </c>
      <c r="L33" t="s">
        <v>596</v>
      </c>
      <c r="U33">
        <v>1</v>
      </c>
      <c r="AQ33" t="str">
        <f t="shared" si="0"/>
        <v>{dwID=1912,nLevel=1,nIcon=23406,szName="橙武",nScrutinyType=1,tKungFu={["SKILL#10062"]=true,},szNote="130橙武_铁牢律_威胁提高",col={255,150,0,},[1]={bBuffList=true,},[2]={},},</v>
      </c>
    </row>
    <row r="34" spans="3:45">
      <c r="C34">
        <v>1911</v>
      </c>
      <c r="D34">
        <v>1</v>
      </c>
      <c r="F34">
        <v>23407</v>
      </c>
      <c r="G34" t="s">
        <v>1516</v>
      </c>
      <c r="I34">
        <v>1</v>
      </c>
      <c r="J34" t="s">
        <v>1579</v>
      </c>
      <c r="K34" t="s">
        <v>1580</v>
      </c>
      <c r="L34" t="s">
        <v>596</v>
      </c>
      <c r="U34">
        <v>1</v>
      </c>
      <c r="AQ34" t="str">
        <f t="shared" si="0"/>
        <v>{dwID=1911,nLevel=1,nIcon=23407,szName="橙武",nScrutinyType=1,tKungFu={["SKILL#10026"]=true,},szNote="130级橙武_傲血战意_龙牙附致残",col={255,150,0,},[1]={bBuffList=true,},[2]={},},</v>
      </c>
    </row>
    <row r="35" s="1" customFormat="1" spans="3:45">
      <c r="C35" s="1">
        <v>27689</v>
      </c>
      <c r="D35" s="1">
        <v>1</v>
      </c>
      <c r="I35" s="1">
        <v>1</v>
      </c>
      <c r="K35" s="1" t="s">
        <v>1581</v>
      </c>
      <c r="L35" s="1" t="s">
        <v>613</v>
      </c>
      <c r="AQ35" t="str">
        <f t="shared" ref="AQ35:AQ66" si="1">IF(B35&lt;&gt;"",IF(IFERROR(VALUE(C34),0)&lt;=0,"["&amp;B35&amp;"]={","},["&amp;B35&amp;"]={"),IF(C35&gt;0,"{dwID="&amp;C35&amp;","&amp;"nLevel="&amp;D35&amp;","&amp;IF(E35&gt;0,"nCount="&amp;E35&amp;",","")&amp;IF(F35&gt;0,"nIcon="&amp;F35&amp;",","")&amp;IF(G35&lt;&gt;"","szName="""&amp;G35&amp;""",","")&amp;IF(H35&gt;0,"bCheckLevel=true,","")&amp;IF(I35&gt;0,"nScrutinyType="&amp;I35&amp;",","")&amp;IF(J35&lt;&gt;"","tKungFu={"&amp;J35&amp;"},","")&amp;IF(K35&lt;&gt;"","szNote="""&amp;K35&amp;""",","")&amp;IF(L35&lt;&gt;"","col={"&amp;L35&amp;"},","")&amp;"[1]={"&amp;IF(M35&lt;&gt;"","tMark={"&amp;M35&amp;"},","")&amp;IF(N35&lt;&gt;"","szVoice="""&amp;N35&amp;""",","")&amp;IF(O35&gt;0,"bVoiceSelfOnly=true,","")&amp;IF(P35&gt;0,"bTeamChannel=true,","")&amp;IF(Q35&gt;0,"bWhisperChannel=true,","")&amp;IF(R35&gt;0,"bCenterAlarm=true,","")&amp;IF(S35&gt;0,"bScreenHead=true,","")&amp;IF(T35&gt;0,"bPartyBuffList=true,","")&amp;IF(U35&gt;0,"bBuffList=true,","")&amp;IF(V35&gt;0,"bFullScreen=true,","")&amp;IF(W35&gt;0,"bTeamPanel=true,","")&amp;IF(X35&gt;0,"bOnlySelfSrc=true,","")&amp;"},"&amp;"[2]={"&amp;IF(Y35&lt;&gt;"","szVoice="""&amp;Y35&amp;""",","")&amp;IF(Z35&gt;0,"bVoiceSelfOnly=true,","")&amp;IF(AA35&gt;0,"bTeamChannel=true,","")&amp;IF(AB35&gt;0,"bWhisperChannel=true,","")&amp;IF(AC35&gt;0,"bCenterAlarm=true,","")&amp;"},"&amp;IF(OR(AD35&gt;0,AH35&lt;&gt;"",AI35&gt;0,AJ35&lt;&gt;"",AK35&lt;&gt;"",AL35&gt;0,AM35&gt;0,AN35&gt;0,AO35&gt;0),"aCataclysmBuff={{"&amp;IF(AD35&gt;0,"nStackNum="&amp;AD35&amp;",","")&amp;IF(AE35&lt;&gt;"","szStackOp="""&amp;AE35&amp;""",","")&amp;IF(AF35&gt;0,"bOnlyMine=true,","")&amp;IF(AG35&gt;0,"bOnlyMe=true,","")&amp;IF(AH35&lt;&gt;"","szReminder="""&amp;AH35&amp;""",","")&amp;IF(AI35&gt;0,"nPriority="&amp;AI35&amp;",","")&amp;IF(AJ35&lt;&gt;"","col="""&amp;AJ35&amp;""",","")&amp;IF(AK35&lt;&gt;"","colScreenHead="""&amp;AK35&amp;""",","")&amp;IF(AL35&gt;0,"nColAlpha="&amp;AL35&amp;",","")&amp;IF(AM35&gt;0,"bAttention=true,","")&amp;IF(AN35&gt;0,"bCaution=true,","")&amp;IF(AO35&gt;0,"bScreenHead=true,","")&amp;"},"&amp;AP35&amp;"},","")&amp;IF(AR35&lt;&gt;"","tCountdown={"&amp;_xlfn.TEXTJOIN("",TRUE,AR35:AAC35)&amp;"},","")&amp;"},",IF(C34&gt;0,"},","")&amp;IF(AND(B35="",C35="",OR(B34&lt;&gt;"",C34&lt;&gt;"")),"},}","")))</f>
        <v>{dwID=27689,nLevel=1,nScrutinyType=1,szNote="缘会·今夕何夕",col={0,255,0,},[1]={},[2]={},tCountdown={{nClass=1,nIcon=21596,nFrame=5,nTime=0,szName="缘会·今夕何夕",key="缘会·今夕何夕",},{nClass=2,nIcon=21596,nFrame=2,nTime=60,szName="香膏·绝世奇遇·已消失",key="缘会·今夕何夕",},},},</v>
      </c>
      <c r="AR35" s="1" t="s">
        <v>1582</v>
      </c>
      <c r="AS35" s="1" t="s">
        <v>1583</v>
      </c>
    </row>
    <row r="36" s="1" customFormat="1" spans="3:45">
      <c r="C36" s="1">
        <v>27663</v>
      </c>
      <c r="D36" s="1">
        <v>1</v>
      </c>
      <c r="I36" s="1">
        <v>1</v>
      </c>
      <c r="K36" s="1" t="s">
        <v>1584</v>
      </c>
      <c r="L36" s="1" t="s">
        <v>613</v>
      </c>
      <c r="AQ36" t="str">
        <f t="shared" si="1"/>
        <v>{dwID=27663,nLevel=1,nScrutinyType=1,szNote="缘会·月出皎兮",col={0,255,0,},[1]={},[2]={},tCountdown={{nClass=1,nIcon=21600,nFrame=5,nTime=0,szName="缘会·月出皎兮",key="缘会·月出皎兮",},{nClass=2,nIcon=21600,nFrame=2,nTime=60,szName="香膏·普通奇遇·已消失",key="缘会·月出皎兮",},},},</v>
      </c>
      <c r="AR36" s="1" t="s">
        <v>1585</v>
      </c>
      <c r="AS36" s="1" t="s">
        <v>1586</v>
      </c>
    </row>
    <row r="37" s="1" customFormat="1" spans="3:45">
      <c r="C37" s="1">
        <v>27662</v>
      </c>
      <c r="D37" s="1">
        <v>1</v>
      </c>
      <c r="I37" s="1">
        <v>1</v>
      </c>
      <c r="K37" s="1" t="s">
        <v>1587</v>
      </c>
      <c r="L37" s="1" t="s">
        <v>613</v>
      </c>
      <c r="AQ37" t="str">
        <f t="shared" si="1"/>
        <v>{dwID=27662,nLevel=1,nScrutinyType=1,szNote="缘会·山有扶苏",col={0,255,0,},[1]={},[2]={},tCountdown={{nClass=1,nIcon=21600,nFrame=5,nTime=0,szName="缘会·山有扶苏",key="缘会·山有扶苏",},{nClass=2,nIcon=21600,nFrame=2,nTime=60,szName="香膏·宠物奇遇·已消失",key="缘会·山有扶苏",},},},</v>
      </c>
      <c r="AR37" s="1" t="s">
        <v>1588</v>
      </c>
      <c r="AS37" s="1" t="s">
        <v>1589</v>
      </c>
    </row>
    <row r="38" spans="3:45">
      <c r="C38">
        <v>17365</v>
      </c>
      <c r="D38">
        <v>46</v>
      </c>
      <c r="H38">
        <v>1</v>
      </c>
      <c r="I38">
        <v>1</v>
      </c>
      <c r="K38" t="s">
        <v>1590</v>
      </c>
      <c r="L38" t="s">
        <v>622</v>
      </c>
      <c r="AQ38" t="str">
        <f t="shared" si="1"/>
        <v>{dwID=17365,nLevel=46,bCheckLevel=true,nScrutinyType=1,szNote="破招降低·无双提高",col={0,255,255,},[1]={},[2]={},tCountdown={{nClass=1,nIcon=549,nFrame=6,nTime=8,szName="破招降低·无双提高",key="创意食品",},},},</v>
      </c>
      <c r="AR38" t="s">
        <v>1591</v>
      </c>
    </row>
    <row r="39" spans="3:45">
      <c r="C39">
        <v>17365</v>
      </c>
      <c r="D39">
        <v>47</v>
      </c>
      <c r="H39">
        <v>1</v>
      </c>
      <c r="I39">
        <v>1</v>
      </c>
      <c r="K39" t="s">
        <v>1592</v>
      </c>
      <c r="L39" t="s">
        <v>622</v>
      </c>
      <c r="AQ39" t="str">
        <f t="shared" si="1"/>
        <v>{dwID=17365,nLevel=47,bCheckLevel=true,nScrutinyType=1,szNote="破招降低·内攻提高",col={0,255,255,},[1]={},[2]={},tCountdown={{nClass=1,nIcon=549,nFrame=6,nTime=8,szName="破招降低·内攻提高",key="创意食品",},},},</v>
      </c>
      <c r="AR39" t="s">
        <v>1593</v>
      </c>
    </row>
    <row r="40" spans="3:45">
      <c r="C40">
        <v>17365</v>
      </c>
      <c r="D40">
        <v>48</v>
      </c>
      <c r="H40">
        <v>1</v>
      </c>
      <c r="I40">
        <v>1</v>
      </c>
      <c r="K40" t="s">
        <v>1594</v>
      </c>
      <c r="L40" t="s">
        <v>622</v>
      </c>
      <c r="AQ40" t="str">
        <f t="shared" si="1"/>
        <v>{dwID=17365,nLevel=48,bCheckLevel=true,nScrutinyType=1,szNote="破招降低·外攻提高",col={0,255,255,},[1]={},[2]={},tCountdown={{nClass=1,nIcon=549,nFrame=6,nTime=8,szName="破招降低·外攻提高",key="创意食品",},},},</v>
      </c>
      <c r="AR40" t="s">
        <v>1595</v>
      </c>
    </row>
    <row r="41" spans="3:45">
      <c r="C41">
        <v>17365</v>
      </c>
      <c r="D41">
        <v>49</v>
      </c>
      <c r="H41">
        <v>1</v>
      </c>
      <c r="I41">
        <v>1</v>
      </c>
      <c r="K41" t="s">
        <v>1596</v>
      </c>
      <c r="L41" t="s">
        <v>622</v>
      </c>
      <c r="AQ41" t="str">
        <f t="shared" si="1"/>
        <v>{dwID=17365,nLevel=49,bCheckLevel=true,nScrutinyType=1,szNote="破招降低·破防提高",col={0,255,255,},[1]={},[2]={},tCountdown={{nClass=1,nIcon=549,nFrame=6,nTime=8,szName="破招降低·破防提高",key="创意食品",},},},</v>
      </c>
      <c r="AR41" t="s">
        <v>1597</v>
      </c>
    </row>
    <row r="42" spans="3:45">
      <c r="C42">
        <v>17365</v>
      </c>
      <c r="D42">
        <v>50</v>
      </c>
      <c r="H42">
        <v>1</v>
      </c>
      <c r="I42">
        <v>1</v>
      </c>
      <c r="K42" t="s">
        <v>1598</v>
      </c>
      <c r="L42" t="s">
        <v>622</v>
      </c>
      <c r="AQ42" t="str">
        <f t="shared" si="1"/>
        <v>{dwID=17365,nLevel=50,bCheckLevel=true,nScrutinyType=1,szNote="破招降低·会心提高",col={0,255,255,},[1]={},[2]={},tCountdown={{nClass=1,nIcon=549,nFrame=6,nTime=8,szName="破招降低·会心提高",key="创意食品",},},},</v>
      </c>
      <c r="AR42" t="s">
        <v>1599</v>
      </c>
    </row>
    <row r="43" spans="3:45">
      <c r="C43">
        <v>17365</v>
      </c>
      <c r="D43">
        <v>51</v>
      </c>
      <c r="H43">
        <v>1</v>
      </c>
      <c r="I43">
        <v>1</v>
      </c>
      <c r="K43" t="s">
        <v>1600</v>
      </c>
      <c r="L43" t="s">
        <v>622</v>
      </c>
      <c r="AQ43" t="str">
        <f t="shared" si="1"/>
        <v>{dwID=17365,nLevel=51,bCheckLevel=true,nScrutinyType=1,szNote="无双降低·破招提高",col={0,255,255,},[1]={},[2]={},tCountdown={{nClass=1,nIcon=549,nFrame=6,nTime=8,szName="无双降低·破招提高",key="创意食品",},},},</v>
      </c>
      <c r="AR43" t="s">
        <v>1601</v>
      </c>
    </row>
    <row r="44" spans="3:45">
      <c r="C44">
        <v>17365</v>
      </c>
      <c r="D44">
        <v>52</v>
      </c>
      <c r="H44">
        <v>1</v>
      </c>
      <c r="I44">
        <v>1</v>
      </c>
      <c r="K44" t="s">
        <v>1602</v>
      </c>
      <c r="L44" t="s">
        <v>622</v>
      </c>
      <c r="AQ44" t="str">
        <f t="shared" si="1"/>
        <v>{dwID=17365,nLevel=52,bCheckLevel=true,nScrutinyType=1,szNote="无双降低·内攻提高",col={0,255,255,},[1]={},[2]={},tCountdown={{nClass=1,nIcon=549,nFrame=6,nTime=8,szName="无双降低·内攻提高",key="创意食品",},},},</v>
      </c>
      <c r="AR44" t="s">
        <v>1603</v>
      </c>
    </row>
    <row r="45" spans="3:45">
      <c r="C45">
        <v>17365</v>
      </c>
      <c r="D45">
        <v>53</v>
      </c>
      <c r="H45">
        <v>1</v>
      </c>
      <c r="I45">
        <v>1</v>
      </c>
      <c r="K45" t="s">
        <v>1604</v>
      </c>
      <c r="L45" t="s">
        <v>622</v>
      </c>
      <c r="AQ45" t="str">
        <f t="shared" si="1"/>
        <v>{dwID=17365,nLevel=53,bCheckLevel=true,nScrutinyType=1,szNote="无双降低·外攻提高",col={0,255,255,},[1]={},[2]={},tCountdown={{nClass=1,nIcon=549,nFrame=6,nTime=8,szName="无双降低·外攻提高",key="创意食品",},},},</v>
      </c>
      <c r="AR45" t="s">
        <v>1605</v>
      </c>
    </row>
    <row r="46" spans="3:45">
      <c r="C46">
        <v>17365</v>
      </c>
      <c r="D46">
        <v>54</v>
      </c>
      <c r="H46">
        <v>1</v>
      </c>
      <c r="I46">
        <v>1</v>
      </c>
      <c r="K46" t="s">
        <v>1606</v>
      </c>
      <c r="L46" t="s">
        <v>622</v>
      </c>
      <c r="AQ46" t="str">
        <f t="shared" si="1"/>
        <v>{dwID=17365,nLevel=54,bCheckLevel=true,nScrutinyType=1,szNote="无双降低·破防提高",col={0,255,255,},[1]={},[2]={},tCountdown={{nClass=1,nIcon=549,nFrame=6,nTime=8,szName="无双降低·破防提高",key="创意食品",},},},</v>
      </c>
      <c r="AR46" t="s">
        <v>1607</v>
      </c>
    </row>
    <row r="47" spans="3:45">
      <c r="C47">
        <v>17365</v>
      </c>
      <c r="D47">
        <v>55</v>
      </c>
      <c r="H47">
        <v>1</v>
      </c>
      <c r="I47">
        <v>1</v>
      </c>
      <c r="K47" t="s">
        <v>1608</v>
      </c>
      <c r="L47" t="s">
        <v>622</v>
      </c>
      <c r="AQ47" t="str">
        <f t="shared" si="1"/>
        <v>{dwID=17365,nLevel=55,bCheckLevel=true,nScrutinyType=1,szNote="无双降低·会心提高",col={0,255,255,},[1]={},[2]={},tCountdown={{nClass=1,nIcon=549,nFrame=6,nTime=8,szName="无双降低·会心提高",key="创意食品",},},},</v>
      </c>
      <c r="AR47" t="s">
        <v>1609</v>
      </c>
    </row>
    <row r="48" spans="3:45">
      <c r="C48">
        <v>17365</v>
      </c>
      <c r="D48">
        <v>56</v>
      </c>
      <c r="H48">
        <v>1</v>
      </c>
      <c r="I48">
        <v>1</v>
      </c>
      <c r="K48" t="s">
        <v>1610</v>
      </c>
      <c r="L48" t="s">
        <v>622</v>
      </c>
      <c r="AQ48" t="str">
        <f t="shared" si="1"/>
        <v>{dwID=17365,nLevel=56,bCheckLevel=true,nScrutinyType=1,szNote="气血降低·无双提高",col={0,255,255,},[1]={},[2]={},tCountdown={{nClass=1,nIcon=549,nFrame=6,nTime=8,szName="气血降低·无双提高",key="创意食品",},},},</v>
      </c>
      <c r="AR48" t="s">
        <v>1611</v>
      </c>
    </row>
    <row r="49" spans="3:44">
      <c r="C49">
        <v>17365</v>
      </c>
      <c r="D49">
        <v>57</v>
      </c>
      <c r="H49">
        <v>1</v>
      </c>
      <c r="I49">
        <v>1</v>
      </c>
      <c r="K49" t="s">
        <v>1612</v>
      </c>
      <c r="L49" t="s">
        <v>622</v>
      </c>
      <c r="AQ49" t="str">
        <f t="shared" si="1"/>
        <v>{dwID=17365,nLevel=57,bCheckLevel=true,nScrutinyType=1,szNote="气血降低·内攻提高",col={0,255,255,},[1]={},[2]={},tCountdown={{nClass=1,nIcon=549,nFrame=6,nTime=8,szName="气血降低·内攻提高",key="创意食品",},},},</v>
      </c>
      <c r="AR49" t="s">
        <v>1613</v>
      </c>
    </row>
    <row r="50" spans="3:44">
      <c r="C50">
        <v>17365</v>
      </c>
      <c r="D50">
        <v>58</v>
      </c>
      <c r="H50">
        <v>1</v>
      </c>
      <c r="I50">
        <v>1</v>
      </c>
      <c r="K50" t="s">
        <v>1614</v>
      </c>
      <c r="L50" t="s">
        <v>622</v>
      </c>
      <c r="AQ50" t="str">
        <f t="shared" si="1"/>
        <v>{dwID=17365,nLevel=58,bCheckLevel=true,nScrutinyType=1,szNote="气血降低·外攻提高",col={0,255,255,},[1]={},[2]={},tCountdown={{nClass=1,nIcon=549,nFrame=6,nTime=8,szName="气血降低·外攻提高",key="创意食品",},},},</v>
      </c>
      <c r="AR50" t="s">
        <v>1615</v>
      </c>
    </row>
    <row r="51" spans="3:44">
      <c r="C51">
        <v>17365</v>
      </c>
      <c r="D51">
        <v>59</v>
      </c>
      <c r="H51">
        <v>1</v>
      </c>
      <c r="I51">
        <v>1</v>
      </c>
      <c r="K51" t="s">
        <v>1616</v>
      </c>
      <c r="L51" t="s">
        <v>622</v>
      </c>
      <c r="AQ51" t="str">
        <f t="shared" si="1"/>
        <v>{dwID=17365,nLevel=59,bCheckLevel=true,nScrutinyType=1,szNote="气血降低·破防提高",col={0,255,255,},[1]={},[2]={},tCountdown={{nClass=1,nIcon=549,nFrame=6,nTime=8,szName="气血降低·破防提高",key="创意食品",},},},</v>
      </c>
      <c r="AR51" t="s">
        <v>1617</v>
      </c>
    </row>
    <row r="52" spans="3:44">
      <c r="C52">
        <v>17365</v>
      </c>
      <c r="D52">
        <v>60</v>
      </c>
      <c r="H52">
        <v>1</v>
      </c>
      <c r="I52">
        <v>1</v>
      </c>
      <c r="K52" t="s">
        <v>1618</v>
      </c>
      <c r="L52" t="s">
        <v>622</v>
      </c>
      <c r="AQ52" t="str">
        <f t="shared" si="1"/>
        <v>{dwID=17365,nLevel=60,bCheckLevel=true,nScrutinyType=1,szNote="气血降低·会心提高",col={0,255,255,},[1]={},[2]={},tCountdown={{nClass=1,nIcon=549,nFrame=6,nTime=8,szName="气血降低·会心提高",key="创意食品",},},},</v>
      </c>
      <c r="AR52" t="s">
        <v>1619</v>
      </c>
    </row>
    <row r="53" spans="3:44">
      <c r="C53">
        <v>30720</v>
      </c>
      <c r="D53">
        <v>1</v>
      </c>
      <c r="G53" t="s">
        <v>1620</v>
      </c>
      <c r="I53">
        <v>1</v>
      </c>
      <c r="K53" t="s">
        <v>1621</v>
      </c>
      <c r="L53" t="s">
        <v>622</v>
      </c>
      <c r="U53">
        <v>1</v>
      </c>
      <c r="AQ53" t="str">
        <f t="shared" si="1"/>
        <v>{dwID=30720,nLevel=1,szName="鞋会心",nScrutinyType=1,szNote="PVP附魔2鞋子战阶_雷特效_太极秘录",col={0,255,255,},[1]={bBuffList=true,},[2]={},},</v>
      </c>
    </row>
    <row r="54" spans="3:44">
      <c r="C54">
        <v>30719</v>
      </c>
      <c r="D54">
        <v>1</v>
      </c>
      <c r="G54" t="s">
        <v>1622</v>
      </c>
      <c r="I54">
        <v>1</v>
      </c>
      <c r="K54" t="s">
        <v>1623</v>
      </c>
      <c r="L54" t="s">
        <v>1624</v>
      </c>
      <c r="AQ54" t="str">
        <f t="shared" si="1"/>
        <v>{dwID=30719,nLevel=1,szName="鞋移速",nScrutinyType=1,szNote="PVP附魔1鞋子_移速",col={29,238,255,},[1]={},[2]={},},</v>
      </c>
    </row>
    <row r="55" spans="3:44">
      <c r="C55">
        <v>30718</v>
      </c>
      <c r="D55">
        <v>1</v>
      </c>
      <c r="G55" t="s">
        <v>1625</v>
      </c>
      <c r="I55">
        <v>1</v>
      </c>
      <c r="K55" t="s">
        <v>1626</v>
      </c>
      <c r="L55" t="s">
        <v>622</v>
      </c>
      <c r="U55">
        <v>1</v>
      </c>
      <c r="AQ55" t="str">
        <f t="shared" si="1"/>
        <v>{dwID=30718,nLevel=1,szName="鞋伤疗",nScrutinyType=1,szNote="PVP附魔1鞋子战阶_水特效_太极秘录",col={0,255,255,},[1]={bBuffList=true,},[2]={},},</v>
      </c>
    </row>
    <row r="56" spans="3:44">
      <c r="C56">
        <v>30717</v>
      </c>
      <c r="D56">
        <v>1</v>
      </c>
      <c r="G56" t="s">
        <v>1627</v>
      </c>
      <c r="I56">
        <v>1</v>
      </c>
      <c r="K56" t="s">
        <v>1628</v>
      </c>
      <c r="L56" t="s">
        <v>613</v>
      </c>
      <c r="U56">
        <v>1</v>
      </c>
      <c r="AQ56" t="str">
        <f t="shared" si="1"/>
        <v>{dwID=30717,nLevel=1,szName="衣护盾",nScrutinyType=1,szNote="PVP附魔2上衣_护盾_太极秘录",col={0,255,0,},[1]={bBuffList=true,},[2]={},},</v>
      </c>
    </row>
    <row r="57" spans="3:44">
      <c r="C57">
        <v>30716</v>
      </c>
      <c r="D57">
        <v>1</v>
      </c>
      <c r="F57">
        <v>19548</v>
      </c>
      <c r="G57" t="s">
        <v>1629</v>
      </c>
      <c r="I57">
        <v>1</v>
      </c>
      <c r="K57" t="s">
        <v>1630</v>
      </c>
      <c r="L57" t="s">
        <v>1624</v>
      </c>
      <c r="U57">
        <v>1</v>
      </c>
      <c r="AQ57" t="str">
        <f t="shared" si="1"/>
        <v>{dwID=30716,nLevel=1,nIcon=19548,szName="衣恢复",nScrutinyType=1,szNote="PVP附魔1上衣战阶_持续回复效果_太极秘录",col={29,238,255,},[1]={bBuffList=true,},[2]={},},</v>
      </c>
    </row>
    <row r="58" spans="3:44">
      <c r="C58">
        <v>30709</v>
      </c>
      <c r="D58">
        <v>1</v>
      </c>
      <c r="G58" t="s">
        <v>1631</v>
      </c>
      <c r="I58">
        <v>1</v>
      </c>
      <c r="K58" t="s">
        <v>1632</v>
      </c>
      <c r="L58" t="s">
        <v>622</v>
      </c>
      <c r="U58">
        <v>1</v>
      </c>
      <c r="AQ58" t="str">
        <f t="shared" si="1"/>
        <v>{dwID=30709,nLevel=1,szName="头特效",nScrutinyType=1,szNote="PVP附魔1帽子_密玉BUFF",col={0,255,255,},[1]={bBuffList=true,},[2]={},},</v>
      </c>
    </row>
    <row r="59" spans="3:44">
      <c r="C59">
        <v>30708</v>
      </c>
      <c r="D59">
        <v>1</v>
      </c>
      <c r="G59" t="s">
        <v>1633</v>
      </c>
      <c r="I59">
        <v>1</v>
      </c>
      <c r="K59" t="s">
        <v>1634</v>
      </c>
      <c r="L59" t="s">
        <v>622</v>
      </c>
      <c r="AQ59" t="str">
        <f t="shared" si="1"/>
        <v>{dwID=30708,nLevel=1,szName="化转御",nScrutinyType=1,szNote="PVP附魔2腰带战阶_化劲转御劲_太极秘录",col={0,255,255,},[1]={},[2]={},},</v>
      </c>
    </row>
    <row r="60" spans="3:44">
      <c r="C60">
        <v>30707</v>
      </c>
      <c r="D60">
        <v>1</v>
      </c>
      <c r="G60" t="s">
        <v>1635</v>
      </c>
      <c r="I60">
        <v>1</v>
      </c>
      <c r="K60" t="s">
        <v>1636</v>
      </c>
      <c r="L60" t="s">
        <v>613</v>
      </c>
      <c r="U60">
        <v>1</v>
      </c>
      <c r="AQ60" t="str">
        <f t="shared" si="1"/>
        <v>{dwID=30707,nLevel=1,szName="腰御劲",nScrutinyType=1,szNote="PVP附魔1腰带战阶_被击加御劲_太极秘录",col={0,255,0,},[1]={bBuffList=true,},[2]={},},</v>
      </c>
    </row>
    <row r="61" spans="3:44">
      <c r="C61">
        <v>30705</v>
      </c>
      <c r="D61">
        <v>1</v>
      </c>
      <c r="G61" t="s">
        <v>1637</v>
      </c>
      <c r="I61">
        <v>1</v>
      </c>
      <c r="K61" t="s">
        <v>1638</v>
      </c>
      <c r="L61" t="s">
        <v>622</v>
      </c>
      <c r="U61">
        <v>1</v>
      </c>
      <c r="AQ61" t="str">
        <f t="shared" si="1"/>
        <v>{dwID=30705,nLevel=1,szName="手会心",nScrutinyType=1,szNote="PVP附魔2护手战阶_全会心添加_太极秘录",col={0,255,255,},[1]={bBuffList=true,},[2]={},},</v>
      </c>
    </row>
    <row r="62" spans="3:44">
      <c r="C62">
        <v>30703</v>
      </c>
      <c r="D62">
        <v>1</v>
      </c>
      <c r="F62">
        <v>23942</v>
      </c>
      <c r="G62" t="s">
        <v>1639</v>
      </c>
      <c r="I62">
        <v>1</v>
      </c>
      <c r="K62" t="s">
        <v>1640</v>
      </c>
      <c r="L62" t="s">
        <v>622</v>
      </c>
      <c r="U62">
        <v>1</v>
      </c>
      <c r="AQ62" t="str">
        <f t="shared" si="1"/>
        <v>{dwID=30703,nLevel=1,nIcon=23942,szName="手特效",nScrutinyType=1,szNote="PVP附魔1护手拍卖_效果添加",col={0,255,255,},[1]={bBuffList=true,},[2]={},},</v>
      </c>
    </row>
    <row r="63" spans="3:44">
      <c r="C63">
        <v>30083</v>
      </c>
      <c r="D63">
        <v>1</v>
      </c>
      <c r="G63" t="s">
        <v>1641</v>
      </c>
      <c r="I63">
        <v>1</v>
      </c>
      <c r="K63" t="s">
        <v>1642</v>
      </c>
      <c r="L63" t="s">
        <v>613</v>
      </c>
      <c r="U63">
        <v>1</v>
      </c>
      <c r="AQ63" t="str">
        <f t="shared" si="1"/>
        <v>{dwID=30083,nLevel=1,szName="腰护盾",nScrutinyType=1,szNote="PVP腰带护盾",col={0,255,0,},[1]={bBuffList=true,},[2]={},},</v>
      </c>
    </row>
    <row r="64" spans="3:44">
      <c r="C64">
        <v>30073</v>
      </c>
      <c r="D64">
        <v>1</v>
      </c>
      <c r="G64" t="s">
        <v>1622</v>
      </c>
      <c r="I64">
        <v>1</v>
      </c>
      <c r="K64" t="s">
        <v>1643</v>
      </c>
      <c r="L64" t="s">
        <v>1624</v>
      </c>
      <c r="U64">
        <v>1</v>
      </c>
      <c r="AQ64" t="str">
        <f t="shared" si="1"/>
        <v>{dwID=30073,nLevel=1,szName="鞋移速",nScrutinyType=1,szNote="PVP鞋子受击加移速20%",col={29,238,255,},[1]={bBuffList=true,},[2]={},},</v>
      </c>
    </row>
    <row r="65" spans="1:45">
      <c r="C65">
        <v>30072</v>
      </c>
      <c r="D65">
        <v>1</v>
      </c>
      <c r="F65">
        <v>16720</v>
      </c>
      <c r="G65" t="s">
        <v>1644</v>
      </c>
      <c r="I65">
        <v>1</v>
      </c>
      <c r="K65" t="s">
        <v>1645</v>
      </c>
      <c r="L65" t="s">
        <v>1624</v>
      </c>
      <c r="U65">
        <v>1</v>
      </c>
      <c r="AQ65" t="str">
        <f t="shared" si="1"/>
        <v>{dwID=30072,nLevel=1,nIcon=16720,szName="裤治疗",nScrutinyType=1,szNote="治疗PVP裤子加治疗",col={29,238,255,},[1]={bBuffList=true,},[2]={},},</v>
      </c>
    </row>
    <row r="66" spans="1:45">
      <c r="C66">
        <v>30071</v>
      </c>
      <c r="D66">
        <v>1</v>
      </c>
      <c r="F66">
        <v>16717</v>
      </c>
      <c r="G66" t="s">
        <v>1646</v>
      </c>
      <c r="I66">
        <v>1</v>
      </c>
      <c r="K66" t="s">
        <v>1647</v>
      </c>
      <c r="L66" t="s">
        <v>622</v>
      </c>
      <c r="U66">
        <v>1</v>
      </c>
      <c r="AQ66" t="str">
        <f t="shared" si="1"/>
        <v>{dwID=30071,nLevel=1,nIcon=16717,szName="裤攻击",nScrutinyType=1,szNote="输出PVP裤子加攻击",col={0,255,255,},[1]={bBuffList=true,},[2]={},},</v>
      </c>
    </row>
    <row r="67" spans="1:45">
      <c r="C67">
        <v>29268</v>
      </c>
      <c r="D67">
        <v>1</v>
      </c>
      <c r="F67">
        <v>4519</v>
      </c>
      <c r="G67" t="s">
        <v>1648</v>
      </c>
      <c r="I67">
        <v>1</v>
      </c>
      <c r="K67" t="s">
        <v>1649</v>
      </c>
      <c r="L67" t="s">
        <v>622</v>
      </c>
      <c r="U67">
        <v>1</v>
      </c>
      <c r="AQ67" t="str">
        <f t="shared" ref="AQ67:AQ98" si="2">IF(B67&lt;&gt;"",IF(IFERROR(VALUE(C66),0)&lt;=0,"["&amp;B67&amp;"]={","},["&amp;B67&amp;"]={"),IF(C67&gt;0,"{dwID="&amp;C67&amp;","&amp;"nLevel="&amp;D67&amp;","&amp;IF(E67&gt;0,"nCount="&amp;E67&amp;",","")&amp;IF(F67&gt;0,"nIcon="&amp;F67&amp;",","")&amp;IF(G67&lt;&gt;"","szName="""&amp;G67&amp;""",","")&amp;IF(H67&gt;0,"bCheckLevel=true,","")&amp;IF(I67&gt;0,"nScrutinyType="&amp;I67&amp;",","")&amp;IF(J67&lt;&gt;"","tKungFu={"&amp;J67&amp;"},","")&amp;IF(K67&lt;&gt;"","szNote="""&amp;K67&amp;""",","")&amp;IF(L67&lt;&gt;"","col={"&amp;L67&amp;"},","")&amp;"[1]={"&amp;IF(M67&lt;&gt;"","tMark={"&amp;M67&amp;"},","")&amp;IF(N67&lt;&gt;"","szVoice="""&amp;N67&amp;""",","")&amp;IF(O67&gt;0,"bVoiceSelfOnly=true,","")&amp;IF(P67&gt;0,"bTeamChannel=true,","")&amp;IF(Q67&gt;0,"bWhisperChannel=true,","")&amp;IF(R67&gt;0,"bCenterAlarm=true,","")&amp;IF(S67&gt;0,"bScreenHead=true,","")&amp;IF(T67&gt;0,"bPartyBuffList=true,","")&amp;IF(U67&gt;0,"bBuffList=true,","")&amp;IF(V67&gt;0,"bFullScreen=true,","")&amp;IF(W67&gt;0,"bTeamPanel=true,","")&amp;IF(X67&gt;0,"bOnlySelfSrc=true,","")&amp;"},"&amp;"[2]={"&amp;IF(Y67&lt;&gt;"","szVoice="""&amp;Y67&amp;""",","")&amp;IF(Z67&gt;0,"bVoiceSelfOnly=true,","")&amp;IF(AA67&gt;0,"bTeamChannel=true,","")&amp;IF(AB67&gt;0,"bWhisperChannel=true,","")&amp;IF(AC67&gt;0,"bCenterAlarm=true,","")&amp;"},"&amp;IF(OR(AD67&gt;0,AH67&lt;&gt;"",AI67&gt;0,AJ67&lt;&gt;"",AK67&lt;&gt;"",AL67&gt;0,AM67&gt;0,AN67&gt;0,AO67&gt;0),"aCataclysmBuff={{"&amp;IF(AD67&gt;0,"nStackNum="&amp;AD67&amp;",","")&amp;IF(AE67&lt;&gt;"","szStackOp="""&amp;AE67&amp;""",","")&amp;IF(AF67&gt;0,"bOnlyMine=true,","")&amp;IF(AG67&gt;0,"bOnlyMe=true,","")&amp;IF(AH67&lt;&gt;"","szReminder="""&amp;AH67&amp;""",","")&amp;IF(AI67&gt;0,"nPriority="&amp;AI67&amp;",","")&amp;IF(AJ67&lt;&gt;"","col="""&amp;AJ67&amp;""",","")&amp;IF(AK67&lt;&gt;"","colScreenHead="""&amp;AK67&amp;""",","")&amp;IF(AL67&gt;0,"nColAlpha="&amp;AL67&amp;",","")&amp;IF(AM67&gt;0,"bAttention=true,","")&amp;IF(AN67&gt;0,"bCaution=true,","")&amp;IF(AO67&gt;0,"bScreenHead=true,","")&amp;"},"&amp;AP67&amp;"},","")&amp;IF(AR67&lt;&gt;"","tCountdown={"&amp;_xlfn.TEXTJOIN("",TRUE,AR67:AAC67)&amp;"},","")&amp;"},",IF(C66&gt;0,"},","")&amp;IF(AND(B67="",C67="",OR(B66&lt;&gt;"",C66&lt;&gt;"")),"},}","")))</f>
        <v>{dwID=29268,nLevel=1,nIcon=4519,szName="风腰坠",nScrutinyType=1,szNote="PVP风·斩流",col={0,255,255,},[1]={bBuffList=true,},[2]={},},</v>
      </c>
    </row>
    <row r="68" spans="1:45">
      <c r="C68">
        <v>3067</v>
      </c>
      <c r="D68">
        <v>1</v>
      </c>
      <c r="I68">
        <v>1</v>
      </c>
      <c r="J68" t="s">
        <v>1650</v>
      </c>
      <c r="K68" t="s">
        <v>1651</v>
      </c>
      <c r="L68" t="s">
        <v>1624</v>
      </c>
      <c r="U68">
        <v>1</v>
      </c>
      <c r="AQ68" t="str">
        <f t="shared" si="2"/>
        <v>{dwID=3067,nLevel=1,nScrutinyType=1,tKungFu={["SKILL#10028"]=true,["SKILL#10080"]=true,["SKILL#10176"]=true,["SKILL#10448"]=true,["SKILL#10626"]=true,},szNote="沐风-基础治疗量提高",col={29,238,255,},[1]={bBuffList=true,},[2]={},},</v>
      </c>
    </row>
    <row r="69" spans="1:45">
      <c r="C69">
        <v>4761</v>
      </c>
      <c r="D69">
        <v>1</v>
      </c>
      <c r="G69" t="s">
        <v>1652</v>
      </c>
      <c r="I69">
        <v>1</v>
      </c>
      <c r="K69" t="s">
        <v>1653</v>
      </c>
      <c r="L69" t="s">
        <v>622</v>
      </c>
      <c r="U69">
        <v>1</v>
      </c>
      <c r="AQ69" t="str">
        <f t="shared" si="2"/>
        <v>{dwID=4761,nLevel=1,szName="水武器",nScrutinyType=1,szNote="水·鋭刃-水特效武器",col={0,255,255,},[1]={bBuffList=true,},[2]={},},</v>
      </c>
    </row>
    <row r="70" spans="1:45">
      <c r="C70">
        <v>4759</v>
      </c>
      <c r="D70">
        <v>1</v>
      </c>
      <c r="G70" t="s">
        <v>1654</v>
      </c>
      <c r="I70">
        <v>1</v>
      </c>
      <c r="K70" t="s">
        <v>1655</v>
      </c>
      <c r="L70" t="s">
        <v>622</v>
      </c>
      <c r="U70">
        <v>1</v>
      </c>
      <c r="AQ70" t="str">
        <f t="shared" si="2"/>
        <v>{dwID=4759,nLevel=1,szName="雷武器",nScrutinyType=1,szNote="雷·鋭刃-雷特效武器",col={0,255,255,},[1]={bBuffList=true,},[2]={},},</v>
      </c>
    </row>
    <row r="71" spans="1:45">
      <c r="C71">
        <v>6360</v>
      </c>
      <c r="D71">
        <v>1</v>
      </c>
      <c r="F71">
        <v>4519</v>
      </c>
      <c r="G71" t="s">
        <v>1648</v>
      </c>
      <c r="I71">
        <v>1</v>
      </c>
      <c r="K71" t="s">
        <v>1656</v>
      </c>
      <c r="L71" t="s">
        <v>622</v>
      </c>
      <c r="U71">
        <v>1</v>
      </c>
      <c r="AQ71" t="str">
        <f t="shared" si="2"/>
        <v>{dwID=6360,nLevel=1,nIcon=4519,szName="风腰坠",nScrutinyType=1,szNote="风·鋭刃-风特效腰坠",col={0,255,255,},[1]={bBuffList=true,},[2]={},},</v>
      </c>
    </row>
    <row r="72" spans="1:45">
      <c r="A72" t="s">
        <v>1657</v>
      </c>
      <c r="B72">
        <v>-3</v>
      </c>
      <c r="AQ72" t="str">
        <f t="shared" si="2"/>
        <v>},[-3]={</v>
      </c>
    </row>
    <row r="73" customFormat="1" spans="1:45">
      <c r="C73">
        <v>2564</v>
      </c>
      <c r="D73">
        <v>1</v>
      </c>
      <c r="I73">
        <v>1</v>
      </c>
      <c r="K73" t="s">
        <v>1658</v>
      </c>
      <c r="AQ73" t="str">
        <f t="shared" si="2"/>
        <v>{dwID=2564,nLevel=1,nScrutinyType=1,szNote="肘子菜盘",[1]={},[2]={},tCountdown={{nClass=2,nIcon=546,nFrame=5,nTime=2,szName="肘子菜盘·消失",nRefresh=60,key="帮会外食",},},},</v>
      </c>
      <c r="AR73" t="s">
        <v>1659</v>
      </c>
    </row>
    <row r="74" customFormat="1" spans="1:45">
      <c r="C74">
        <v>2562</v>
      </c>
      <c r="D74">
        <v>1</v>
      </c>
      <c r="I74">
        <v>1</v>
      </c>
      <c r="K74" t="s">
        <v>1660</v>
      </c>
      <c r="AQ74" t="str">
        <f t="shared" si="2"/>
        <v>{dwID=2562,nLevel=1,nScrutinyType=1,szNote="南瓜盅菜盘",[1]={},[2]={},tCountdown={{nClass=2,nIcon=1546,nFrame=5,nTime=3,szName="南瓜盅菜盘·消失",nRefresh=60,key="帮会外食",},},},</v>
      </c>
      <c r="AR74" t="s">
        <v>1661</v>
      </c>
    </row>
    <row r="75" customFormat="1" spans="1:45">
      <c r="C75">
        <v>17963</v>
      </c>
      <c r="D75">
        <v>1</v>
      </c>
      <c r="I75">
        <v>1</v>
      </c>
      <c r="K75" t="s">
        <v>1662</v>
      </c>
      <c r="AQ75" t="str">
        <f t="shared" si="2"/>
        <v>{dwID=17963,nLevel=1,nScrutinyType=1,szNote="烧鸡外食",[1]={},[2]={},tCountdown={{nClass=2,nIcon=171,nFrame=5,nTime=2,szName="烧鸡外食·消失",nRefresh=60,key="帮会外食",},},},</v>
      </c>
      <c r="AR75" t="s">
        <v>1663</v>
      </c>
    </row>
    <row r="76" customFormat="1" spans="1:45">
      <c r="C76">
        <v>2563</v>
      </c>
      <c r="D76">
        <v>1</v>
      </c>
      <c r="I76">
        <v>1</v>
      </c>
      <c r="K76" t="s">
        <v>1664</v>
      </c>
      <c r="AQ76" t="str">
        <f t="shared" si="2"/>
        <v>{dwID=2563,nLevel=1,nScrutinyType=1,szNote="蒸鱼菜盘",[1]={},[2]={},tCountdown={{nClass=2,nIcon=552,nFrame=5,nTime=3,szName="蒸鱼菜盘·消失",nRefresh=60,key="帮会外食",},},},</v>
      </c>
      <c r="AR76" t="s">
        <v>1665</v>
      </c>
    </row>
    <row r="77" customFormat="1" spans="1:45">
      <c r="C77">
        <v>2560</v>
      </c>
      <c r="D77">
        <v>1</v>
      </c>
      <c r="I77">
        <v>1</v>
      </c>
      <c r="K77" t="s">
        <v>1666</v>
      </c>
      <c r="AQ77" t="str">
        <f t="shared" si="2"/>
        <v>{dwID=2560,nLevel=1,nScrutinyType=1,szNote="鸡肉菜盘",[1]={},[2]={},tCountdown={{nClass=1,nIcon=264,nFrame=5,nTime=2,szName="已食用·鸡肉菜盘5%",nRefresh=5,key="绣球花",},{nClass=2,nIcon=264,nFrame=5,nTime=2,szName="鸡肉菜盘·已消失",key="绣球花",},},},</v>
      </c>
      <c r="AR77" t="s">
        <v>1667</v>
      </c>
      <c r="AS77" t="s">
        <v>1668</v>
      </c>
    </row>
    <row r="78" spans="1:45">
      <c r="C78">
        <v>20398</v>
      </c>
      <c r="D78">
        <v>1</v>
      </c>
      <c r="K78" t="s">
        <v>1669</v>
      </c>
      <c r="L78" t="s">
        <v>613</v>
      </c>
      <c r="U78">
        <v>1</v>
      </c>
      <c r="W78">
        <v>1</v>
      </c>
      <c r="AH78" t="s">
        <v>1670</v>
      </c>
      <c r="AI78">
        <v>11</v>
      </c>
      <c r="AJ78" t="s">
        <v>1671</v>
      </c>
      <c r="AK78" t="s">
        <v>1672</v>
      </c>
      <c r="AL78">
        <v>255</v>
      </c>
      <c r="AQ78" t="str">
        <f t="shared" si="2"/>
        <v>{dwID=20398,nLevel=1,szNote="龙葵",col={0,255,0,},[1]={bBuffList=true,bTeamPanel=true,},[2]={},aCataclysmBuff={{szReminder="葵",nPriority=11,col="#00FF00FF",colScreenHead="#00FF00",nColAlpha=255,},},tCountdown={{nClass=1,nIcon=15413,nFrame=6,nTime=7,szName="龙葵自苦·[{$sender}]",key="减伤监控",},},},</v>
      </c>
      <c r="AR78" t="s">
        <v>1673</v>
      </c>
    </row>
    <row r="79" spans="1:45">
      <c r="C79">
        <v>5693</v>
      </c>
      <c r="D79">
        <v>1</v>
      </c>
      <c r="K79" t="s">
        <v>1674</v>
      </c>
      <c r="W79">
        <v>1</v>
      </c>
      <c r="X79">
        <v>1</v>
      </c>
      <c r="AF79">
        <v>1</v>
      </c>
      <c r="AH79" t="s">
        <v>1675</v>
      </c>
      <c r="AI79">
        <v>6</v>
      </c>
      <c r="AJ79" t="s">
        <v>1676</v>
      </c>
      <c r="AL79">
        <v>255</v>
      </c>
      <c r="AM79">
        <v>1</v>
      </c>
      <c r="AQ79" t="str">
        <f t="shared" si="2"/>
        <v>{dwID=5693,nLevel=1,szNote="述怀",[1]={bTeamPanel=true,bOnlySelfSrc=true,},[2]={},aCataclysmBuff={{bOnlyMine=true,szReminder="述",nPriority=6,col="#00EE00FF",nColAlpha=255,bAttention=true,},},},</v>
      </c>
    </row>
    <row r="80" spans="1:45">
      <c r="C80">
        <v>680</v>
      </c>
      <c r="D80">
        <v>1</v>
      </c>
      <c r="K80" t="s">
        <v>1677</v>
      </c>
      <c r="W80">
        <v>1</v>
      </c>
      <c r="X80">
        <v>1</v>
      </c>
      <c r="AF80">
        <v>1</v>
      </c>
      <c r="AH80" t="s">
        <v>1678</v>
      </c>
      <c r="AI80">
        <v>5</v>
      </c>
      <c r="AJ80" t="s">
        <v>1676</v>
      </c>
      <c r="AL80">
        <v>255</v>
      </c>
      <c r="AM80">
        <v>1</v>
      </c>
      <c r="AQ80" t="str">
        <f t="shared" si="2"/>
        <v>{dwID=680,nLevel=1,szNote="翔舞",[1]={bTeamPanel=true,bOnlySelfSrc=true,},[2]={},aCataclysmBuff={{bOnlyMine=true,szReminder="翔",nPriority=5,col="#00EE00FF",nColAlpha=255,bAttention=true,},},},</v>
      </c>
    </row>
    <row r="81" spans="3:43">
      <c r="C81">
        <v>681</v>
      </c>
      <c r="D81">
        <v>1</v>
      </c>
      <c r="K81" t="s">
        <v>1679</v>
      </c>
      <c r="W81">
        <v>1</v>
      </c>
      <c r="X81">
        <v>1</v>
      </c>
      <c r="AF81">
        <v>1</v>
      </c>
      <c r="AH81" t="s">
        <v>1680</v>
      </c>
      <c r="AI81">
        <v>6</v>
      </c>
      <c r="AJ81" t="s">
        <v>1676</v>
      </c>
      <c r="AL81">
        <v>255</v>
      </c>
      <c r="AM81">
        <v>1</v>
      </c>
      <c r="AQ81" t="str">
        <f t="shared" si="2"/>
        <v>{dwID=681,nLevel=1,szNote="上元点鬟",[1]={bTeamPanel=true,bOnlySelfSrc=true,},[2]={},aCataclysmBuff={{bOnlyMine=true,szReminder="元",nPriority=6,col="#00EE00FF",nColAlpha=255,bAttention=true,},},},</v>
      </c>
    </row>
    <row r="82" spans="3:43">
      <c r="C82">
        <v>20070</v>
      </c>
      <c r="D82">
        <v>1</v>
      </c>
      <c r="K82" t="s">
        <v>1681</v>
      </c>
      <c r="AF82">
        <v>1</v>
      </c>
      <c r="AH82" t="s">
        <v>1682</v>
      </c>
      <c r="AI82">
        <v>5</v>
      </c>
      <c r="AJ82" t="s">
        <v>1676</v>
      </c>
      <c r="AL82">
        <v>255</v>
      </c>
      <c r="AM82">
        <v>1</v>
      </c>
      <c r="AQ82" t="str">
        <f t="shared" si="2"/>
        <v>{dwID=20070,nLevel=1,szNote="赤芍寒香",[1]={},[2]={},aCataclysmBuff={{bOnlyMine=true,szReminder="芍",nPriority=5,col="#00EE00FF",nColAlpha=255,bAttention=true,},},},</v>
      </c>
    </row>
    <row r="83" spans="3:43">
      <c r="C83">
        <v>9334</v>
      </c>
      <c r="D83">
        <v>1</v>
      </c>
      <c r="K83" t="s">
        <v>1683</v>
      </c>
      <c r="L83" t="s">
        <v>1684</v>
      </c>
      <c r="AF83">
        <v>1</v>
      </c>
      <c r="AH83" t="s">
        <v>1685</v>
      </c>
      <c r="AI83">
        <v>4</v>
      </c>
      <c r="AJ83" t="s">
        <v>1686</v>
      </c>
      <c r="AL83">
        <v>255</v>
      </c>
      <c r="AM83">
        <v>1</v>
      </c>
      <c r="AQ83" t="str">
        <f t="shared" si="2"/>
        <v>{dwID=9334,nLevel=1,szNote="梅花三弄",col={31,255,238,},[1]={},[2]={},aCataclysmBuff={{bOnlyMine=true,szReminder="梅",nPriority=4,col="#1FFFEEFF",nColAlpha=255,bAttention=true,},},},</v>
      </c>
    </row>
    <row r="84" spans="3:43">
      <c r="C84">
        <v>9454</v>
      </c>
      <c r="D84">
        <v>1</v>
      </c>
      <c r="K84" t="s">
        <v>1687</v>
      </c>
      <c r="L84" t="s">
        <v>613</v>
      </c>
      <c r="W84">
        <v>1</v>
      </c>
      <c r="X84">
        <v>1</v>
      </c>
      <c r="AF84">
        <v>1</v>
      </c>
      <c r="AH84" t="s">
        <v>1687</v>
      </c>
      <c r="AI84">
        <v>5</v>
      </c>
      <c r="AJ84" t="s">
        <v>1676</v>
      </c>
      <c r="AL84">
        <v>255</v>
      </c>
      <c r="AM84">
        <v>1</v>
      </c>
      <c r="AQ84" t="str">
        <f t="shared" si="2"/>
        <v>{dwID=9454,nLevel=1,szNote="宫",col={0,255,0,},[1]={bTeamPanel=true,bOnlySelfSrc=true,},[2]={},aCataclysmBuff={{bOnlyMine=true,szReminder="宫",nPriority=5,col="#00EE00FF",nColAlpha=255,bAttention=true,},},},</v>
      </c>
    </row>
    <row r="85" spans="3:43">
      <c r="C85">
        <v>9455</v>
      </c>
      <c r="D85">
        <v>1</v>
      </c>
      <c r="K85" t="s">
        <v>1687</v>
      </c>
      <c r="L85" t="s">
        <v>613</v>
      </c>
      <c r="W85">
        <v>1</v>
      </c>
      <c r="X85">
        <v>1</v>
      </c>
      <c r="AF85">
        <v>1</v>
      </c>
      <c r="AH85" t="s">
        <v>1687</v>
      </c>
      <c r="AI85">
        <v>5</v>
      </c>
      <c r="AJ85" t="s">
        <v>1676</v>
      </c>
      <c r="AL85">
        <v>255</v>
      </c>
      <c r="AM85">
        <v>1</v>
      </c>
      <c r="AQ85" t="str">
        <f t="shared" si="2"/>
        <v>{dwID=9455,nLevel=1,szNote="宫",col={0,255,0,},[1]={bTeamPanel=true,bOnlySelfSrc=true,},[2]={},aCataclysmBuff={{bOnlyMine=true,szReminder="宫",nPriority=5,col="#00EE00FF",nColAlpha=255,bAttention=true,},},},</v>
      </c>
    </row>
    <row r="86" spans="3:43">
      <c r="C86">
        <v>9456</v>
      </c>
      <c r="D86">
        <v>1</v>
      </c>
      <c r="K86" t="s">
        <v>1687</v>
      </c>
      <c r="L86" t="s">
        <v>613</v>
      </c>
      <c r="W86">
        <v>1</v>
      </c>
      <c r="X86">
        <v>1</v>
      </c>
      <c r="AF86">
        <v>1</v>
      </c>
      <c r="AH86" t="s">
        <v>1687</v>
      </c>
      <c r="AI86">
        <v>5</v>
      </c>
      <c r="AJ86" t="s">
        <v>1676</v>
      </c>
      <c r="AL86">
        <v>255</v>
      </c>
      <c r="AM86">
        <v>1</v>
      </c>
      <c r="AQ86" t="str">
        <f t="shared" si="2"/>
        <v>{dwID=9456,nLevel=1,szNote="宫",col={0,255,0,},[1]={bTeamPanel=true,bOnlySelfSrc=true,},[2]={},aCataclysmBuff={{bOnlyMine=true,szReminder="宫",nPriority=5,col="#00EE00FF",nColAlpha=255,bAttention=true,},},},</v>
      </c>
    </row>
    <row r="87" spans="3:43">
      <c r="C87">
        <v>9457</v>
      </c>
      <c r="D87">
        <v>1</v>
      </c>
      <c r="K87" t="s">
        <v>1687</v>
      </c>
      <c r="L87" t="s">
        <v>613</v>
      </c>
      <c r="W87">
        <v>1</v>
      </c>
      <c r="X87">
        <v>1</v>
      </c>
      <c r="AF87">
        <v>1</v>
      </c>
      <c r="AH87" t="s">
        <v>1687</v>
      </c>
      <c r="AI87">
        <v>5</v>
      </c>
      <c r="AJ87" t="s">
        <v>1676</v>
      </c>
      <c r="AL87">
        <v>255</v>
      </c>
      <c r="AM87">
        <v>1</v>
      </c>
      <c r="AQ87" t="str">
        <f t="shared" si="2"/>
        <v>{dwID=9457,nLevel=1,szNote="宫",col={0,255,0,},[1]={bTeamPanel=true,bOnlySelfSrc=true,},[2]={},aCataclysmBuff={{bOnlyMine=true,szReminder="宫",nPriority=5,col="#00EE00FF",nColAlpha=255,bAttention=true,},},},</v>
      </c>
    </row>
    <row r="88" spans="3:43">
      <c r="C88">
        <v>9459</v>
      </c>
      <c r="D88">
        <v>1</v>
      </c>
      <c r="K88" t="s">
        <v>1688</v>
      </c>
      <c r="L88" t="s">
        <v>613</v>
      </c>
      <c r="W88">
        <v>1</v>
      </c>
      <c r="X88">
        <v>1</v>
      </c>
      <c r="AF88">
        <v>1</v>
      </c>
      <c r="AH88" t="s">
        <v>1688</v>
      </c>
      <c r="AI88">
        <v>6</v>
      </c>
      <c r="AJ88" t="s">
        <v>1676</v>
      </c>
      <c r="AL88">
        <v>255</v>
      </c>
      <c r="AM88">
        <v>1</v>
      </c>
      <c r="AQ88" t="str">
        <f t="shared" si="2"/>
        <v>{dwID=9459,nLevel=1,szNote="商",col={0,255,0,},[1]={bTeamPanel=true,bOnlySelfSrc=true,},[2]={},aCataclysmBuff={{bOnlyMine=true,szReminder="商",nPriority=6,col="#00EE00FF",nColAlpha=255,bAttention=true,},},},</v>
      </c>
    </row>
    <row r="89" spans="3:43">
      <c r="C89">
        <v>9460</v>
      </c>
      <c r="D89">
        <v>1</v>
      </c>
      <c r="K89" t="s">
        <v>1688</v>
      </c>
      <c r="L89" t="s">
        <v>613</v>
      </c>
      <c r="W89">
        <v>1</v>
      </c>
      <c r="X89">
        <v>1</v>
      </c>
      <c r="AF89">
        <v>1</v>
      </c>
      <c r="AH89" t="s">
        <v>1688</v>
      </c>
      <c r="AI89">
        <v>6</v>
      </c>
      <c r="AJ89" t="s">
        <v>1676</v>
      </c>
      <c r="AL89">
        <v>255</v>
      </c>
      <c r="AM89">
        <v>1</v>
      </c>
      <c r="AQ89" t="str">
        <f t="shared" si="2"/>
        <v>{dwID=9460,nLevel=1,szNote="商",col={0,255,0,},[1]={bTeamPanel=true,bOnlySelfSrc=true,},[2]={},aCataclysmBuff={{bOnlyMine=true,szReminder="商",nPriority=6,col="#00EE00FF",nColAlpha=255,bAttention=true,},},},</v>
      </c>
    </row>
    <row r="90" spans="3:43">
      <c r="C90">
        <v>9461</v>
      </c>
      <c r="D90">
        <v>1</v>
      </c>
      <c r="K90" t="s">
        <v>1688</v>
      </c>
      <c r="L90" t="s">
        <v>613</v>
      </c>
      <c r="W90">
        <v>1</v>
      </c>
      <c r="X90">
        <v>1</v>
      </c>
      <c r="AF90">
        <v>1</v>
      </c>
      <c r="AH90" t="s">
        <v>1688</v>
      </c>
      <c r="AI90">
        <v>6</v>
      </c>
      <c r="AJ90" t="s">
        <v>1676</v>
      </c>
      <c r="AL90">
        <v>255</v>
      </c>
      <c r="AM90">
        <v>1</v>
      </c>
      <c r="AQ90" t="str">
        <f t="shared" si="2"/>
        <v>{dwID=9461,nLevel=1,szNote="商",col={0,255,0,},[1]={bTeamPanel=true,bOnlySelfSrc=true,},[2]={},aCataclysmBuff={{bOnlyMine=true,szReminder="商",nPriority=6,col="#00EE00FF",nColAlpha=255,bAttention=true,},},},</v>
      </c>
    </row>
    <row r="91" spans="3:43">
      <c r="C91">
        <v>9462</v>
      </c>
      <c r="D91">
        <v>1</v>
      </c>
      <c r="K91" t="s">
        <v>1688</v>
      </c>
      <c r="L91" t="s">
        <v>613</v>
      </c>
      <c r="W91">
        <v>1</v>
      </c>
      <c r="X91">
        <v>1</v>
      </c>
      <c r="AF91">
        <v>1</v>
      </c>
      <c r="AH91" t="s">
        <v>1688</v>
      </c>
      <c r="AI91">
        <v>6</v>
      </c>
      <c r="AJ91" t="s">
        <v>1676</v>
      </c>
      <c r="AL91">
        <v>255</v>
      </c>
      <c r="AM91">
        <v>1</v>
      </c>
      <c r="AQ91" t="str">
        <f t="shared" si="2"/>
        <v>{dwID=9462,nLevel=1,szNote="商",col={0,255,0,},[1]={bTeamPanel=true,bOnlySelfSrc=true,},[2]={},aCataclysmBuff={{bOnlyMine=true,szReminder="商",nPriority=6,col="#00EE00FF",nColAlpha=255,bAttention=true,},},},</v>
      </c>
    </row>
    <row r="92" spans="3:43">
      <c r="C92">
        <v>9463</v>
      </c>
      <c r="D92">
        <v>1</v>
      </c>
      <c r="K92" t="s">
        <v>1689</v>
      </c>
      <c r="L92" t="s">
        <v>613</v>
      </c>
      <c r="W92">
        <v>1</v>
      </c>
      <c r="X92">
        <v>1</v>
      </c>
      <c r="AF92">
        <v>1</v>
      </c>
      <c r="AH92" t="s">
        <v>1689</v>
      </c>
      <c r="AI92">
        <v>7</v>
      </c>
      <c r="AJ92" t="s">
        <v>1676</v>
      </c>
      <c r="AL92">
        <v>255</v>
      </c>
      <c r="AM92">
        <v>1</v>
      </c>
      <c r="AQ92" t="str">
        <f t="shared" si="2"/>
        <v>{dwID=9463,nLevel=1,szNote="角",col={0,255,0,},[1]={bTeamPanel=true,bOnlySelfSrc=true,},[2]={},aCataclysmBuff={{bOnlyMine=true,szReminder="角",nPriority=7,col="#00EE00FF",nColAlpha=255,bAttention=true,},},},</v>
      </c>
    </row>
    <row r="93" spans="3:43">
      <c r="C93">
        <v>9464</v>
      </c>
      <c r="D93">
        <v>1</v>
      </c>
      <c r="K93" t="s">
        <v>1689</v>
      </c>
      <c r="L93" t="s">
        <v>613</v>
      </c>
      <c r="W93">
        <v>1</v>
      </c>
      <c r="X93">
        <v>1</v>
      </c>
      <c r="AF93">
        <v>1</v>
      </c>
      <c r="AH93" t="s">
        <v>1689</v>
      </c>
      <c r="AI93">
        <v>7</v>
      </c>
      <c r="AJ93" t="s">
        <v>1676</v>
      </c>
      <c r="AL93">
        <v>255</v>
      </c>
      <c r="AM93">
        <v>1</v>
      </c>
      <c r="AQ93" t="str">
        <f t="shared" si="2"/>
        <v>{dwID=9464,nLevel=1,szNote="角",col={0,255,0,},[1]={bTeamPanel=true,bOnlySelfSrc=true,},[2]={},aCataclysmBuff={{bOnlyMine=true,szReminder="角",nPriority=7,col="#00EE00FF",nColAlpha=255,bAttention=true,},},},</v>
      </c>
    </row>
    <row r="94" spans="3:43">
      <c r="C94">
        <v>9465</v>
      </c>
      <c r="D94">
        <v>1</v>
      </c>
      <c r="K94" t="s">
        <v>1689</v>
      </c>
      <c r="L94" t="s">
        <v>613</v>
      </c>
      <c r="W94">
        <v>1</v>
      </c>
      <c r="X94">
        <v>1</v>
      </c>
      <c r="AF94">
        <v>1</v>
      </c>
      <c r="AH94" t="s">
        <v>1689</v>
      </c>
      <c r="AI94">
        <v>7</v>
      </c>
      <c r="AJ94" t="s">
        <v>1676</v>
      </c>
      <c r="AL94">
        <v>255</v>
      </c>
      <c r="AM94">
        <v>1</v>
      </c>
      <c r="AQ94" t="str">
        <f t="shared" si="2"/>
        <v>{dwID=9465,nLevel=1,szNote="角",col={0,255,0,},[1]={bTeamPanel=true,bOnlySelfSrc=true,},[2]={},aCataclysmBuff={{bOnlyMine=true,szReminder="角",nPriority=7,col="#00EE00FF",nColAlpha=255,bAttention=true,},},},</v>
      </c>
    </row>
    <row r="95" spans="3:43">
      <c r="C95">
        <v>9466</v>
      </c>
      <c r="D95">
        <v>1</v>
      </c>
      <c r="K95" t="s">
        <v>1689</v>
      </c>
      <c r="L95" t="s">
        <v>613</v>
      </c>
      <c r="W95">
        <v>1</v>
      </c>
      <c r="X95">
        <v>1</v>
      </c>
      <c r="AF95">
        <v>1</v>
      </c>
      <c r="AH95" t="s">
        <v>1689</v>
      </c>
      <c r="AI95">
        <v>7</v>
      </c>
      <c r="AJ95" t="s">
        <v>1676</v>
      </c>
      <c r="AL95">
        <v>255</v>
      </c>
      <c r="AM95">
        <v>1</v>
      </c>
      <c r="AQ95" t="str">
        <f t="shared" si="2"/>
        <v>{dwID=9466,nLevel=1,szNote="角",col={0,255,0,},[1]={bTeamPanel=true,bOnlySelfSrc=true,},[2]={},aCataclysmBuff={{bOnlyMine=true,szReminder="角",nPriority=7,col="#00EE00FF",nColAlpha=255,bAttention=true,},},},</v>
      </c>
    </row>
    <row r="96" spans="3:43">
      <c r="C96">
        <v>631</v>
      </c>
      <c r="D96">
        <v>1</v>
      </c>
      <c r="K96" t="s">
        <v>1690</v>
      </c>
      <c r="L96" t="s">
        <v>1684</v>
      </c>
      <c r="W96">
        <v>1</v>
      </c>
      <c r="X96">
        <v>1</v>
      </c>
      <c r="AF96">
        <v>1</v>
      </c>
      <c r="AH96" t="s">
        <v>1691</v>
      </c>
      <c r="AI96">
        <v>5</v>
      </c>
      <c r="AJ96" t="s">
        <v>1686</v>
      </c>
      <c r="AL96">
        <v>255</v>
      </c>
      <c r="AM96">
        <v>1</v>
      </c>
      <c r="AQ96" t="str">
        <f t="shared" si="2"/>
        <v>{dwID=631,nLevel=1,szNote="握针",col={31,255,238,},[1]={bTeamPanel=true,bOnlySelfSrc=true,},[2]={},aCataclysmBuff={{bOnlyMine=true,szReminder="握",nPriority=5,col="#1FFFEEFF",nColAlpha=255,bAttention=true,},},},</v>
      </c>
    </row>
    <row r="97" spans="1:43">
      <c r="A97" t="s">
        <v>1692</v>
      </c>
      <c r="B97">
        <v>-7</v>
      </c>
      <c r="AQ97" t="str">
        <f t="shared" si="2"/>
        <v>},[-7]={</v>
      </c>
    </row>
    <row r="98" spans="1:43">
      <c r="C98">
        <v>631</v>
      </c>
      <c r="D98">
        <v>1</v>
      </c>
      <c r="I98">
        <v>1</v>
      </c>
      <c r="J98" t="s">
        <v>1537</v>
      </c>
      <c r="K98" t="s">
        <v>1690</v>
      </c>
      <c r="L98" t="s">
        <v>1684</v>
      </c>
      <c r="W98">
        <v>1</v>
      </c>
      <c r="X98">
        <v>1</v>
      </c>
      <c r="AF98">
        <v>1</v>
      </c>
      <c r="AH98" t="s">
        <v>1691</v>
      </c>
      <c r="AI98">
        <v>5</v>
      </c>
      <c r="AJ98" t="s">
        <v>1686</v>
      </c>
      <c r="AL98">
        <v>255</v>
      </c>
      <c r="AM98">
        <v>1</v>
      </c>
      <c r="AQ98" t="str">
        <f t="shared" si="2"/>
        <v>{dwID=631,nLevel=1,nScrutinyType=1,tKungFu={["SKILL#10028"]=true,},szNote="握针",col={31,255,238,},[1]={bTeamPanel=true,bOnlySelfSrc=true,},[2]={},aCataclysmBuff={{bOnlyMine=true,szReminder="握",nPriority=5,col="#1FFFEEFF",nColAlpha=255,bAttention=true,},},},</v>
      </c>
    </row>
    <row r="99" spans="1:43">
      <c r="AQ99" t="str">
        <f>IF(B99&lt;&gt;"",IF(IFERROR(VALUE(C98),0)&lt;=0,"["&amp;B99&amp;"]={","},["&amp;B99&amp;"]={"),IF(C99&gt;0,"{dwID="&amp;C99&amp;","&amp;"nLevel="&amp;D99&amp;","&amp;IF(E99&gt;0,"nCount="&amp;E99&amp;",","")&amp;IF(F99&gt;0,"nIcon="&amp;F99&amp;",","")&amp;IF(G99&lt;&gt;"","szName="""&amp;G99&amp;""",","")&amp;IF(H99&gt;0,"bCheckLevel=true,","")&amp;IF(I99&gt;0,"nScrutinyType="&amp;I99&amp;",","")&amp;IF(J99&lt;&gt;"","tKungFu={"&amp;J99&amp;"},","")&amp;IF(K99&lt;&gt;"","szNote="""&amp;K99&amp;""",","")&amp;IF(L99&lt;&gt;"","col={"&amp;L99&amp;"},","")&amp;"[1]={"&amp;IF(M99&lt;&gt;"","tMark={"&amp;M99&amp;"},","")&amp;IF(N99&lt;&gt;"","szVoice="""&amp;N99&amp;""",","")&amp;IF(O99&gt;0,"bVoiceSelfOnly=true,","")&amp;IF(P99&gt;0,"bTeamChannel=true,","")&amp;IF(Q99&gt;0,"bWhisperChannel=true,","")&amp;IF(R99&gt;0,"bCenterAlarm=true,","")&amp;IF(S99&gt;0,"bScreenHead=true,","")&amp;IF(T99&gt;0,"bPartyBuffList=true,","")&amp;IF(U99&gt;0,"bBuffList=true,","")&amp;IF(V99&gt;0,"bFullScreen=true,","")&amp;IF(W99&gt;0,"bTeamPanel=true,","")&amp;IF(X99&gt;0,"bOnlySelfSrc=true,","")&amp;"},"&amp;"[2]={"&amp;IF(Y99&lt;&gt;"","szVoice="""&amp;Y99&amp;""",","")&amp;IF(Z99&gt;0,"bVoiceSelfOnly=true,","")&amp;IF(AA99&gt;0,"bTeamChannel=true,","")&amp;IF(AB99&gt;0,"bWhisperChannel=true,","")&amp;IF(AC99&gt;0,"bCenterAlarm=true,","")&amp;"},"&amp;IF(OR(AD99&gt;0,AH99&lt;&gt;"",AI99&gt;0,AJ99&lt;&gt;"",AK99&lt;&gt;"",AL99&gt;0,AM99&gt;0,AN99&gt;0,AO99&gt;0),"aCataclysmBuff={{"&amp;IF(AD99&gt;0,"nStackNum="&amp;AD99&amp;",","")&amp;IF(AE99&lt;&gt;"","szStackOp="""&amp;AE99&amp;""",","")&amp;IF(AF99&gt;0,"bOnlyMine=true,","")&amp;IF(AG99&gt;0,"bOnlyMe=true,","")&amp;IF(AH99&lt;&gt;"","szReminder="""&amp;AH99&amp;""",","")&amp;IF(AI99&gt;0,"nPriority="&amp;AI99&amp;",","")&amp;IF(AJ99&lt;&gt;"","col="""&amp;AJ99&amp;""",","")&amp;IF(AK99&lt;&gt;"","colScreenHead="""&amp;AK99&amp;""",","")&amp;IF(AL99&gt;0,"nColAlpha="&amp;AL99&amp;",","")&amp;IF(AM99&gt;0,"bAttention=true,","")&amp;IF(AN99&gt;0,"bCaution=true,","")&amp;IF(AO99&gt;0,"bScreenHead=true,","")&amp;"},"&amp;AP99&amp;"},","")&amp;IF(AR99&lt;&gt;"","tCountdown={"&amp;_xlfn.TEXTJOIN("",TRUE,AR99:AAC99)&amp;"},","")&amp;"},",IF(C98&gt;0,"},","")&amp;IF(AND(B99="",C99="",OR(B98&lt;&gt;"",C98&lt;&gt;"")),"},}","")))</f>
        <v>},},}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"/>
  <sheetViews>
    <sheetView tabSelected="1" workbookViewId="0">
      <selection activeCell="K7" sqref="K7"/>
    </sheetView>
  </sheetViews>
  <sheetFormatPr defaultColWidth="9" defaultRowHeight="13.5"/>
  <sheetData>
    <row r="1" spans="1:45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1693</v>
      </c>
      <c r="AR1" t="s">
        <v>316</v>
      </c>
    </row>
    <row r="2" spans="1:45">
      <c r="A2" t="s">
        <v>651</v>
      </c>
      <c r="B2">
        <v>-1</v>
      </c>
      <c r="AQ2" t="str">
        <f t="shared" ref="AQ2:AQ12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[-1]={</v>
      </c>
    </row>
    <row r="3" spans="1:45">
      <c r="C3">
        <v>30710</v>
      </c>
      <c r="D3">
        <v>1</v>
      </c>
      <c r="G3" t="s">
        <v>1694</v>
      </c>
      <c r="I3">
        <v>1</v>
      </c>
      <c r="K3" t="s">
        <v>1695</v>
      </c>
      <c r="L3" t="s">
        <v>622</v>
      </c>
      <c r="U3">
        <v>1</v>
      </c>
      <c r="AQ3" t="str">
        <f t="shared" si="0"/>
        <v>{dwID=30710,nLevel=1,szName="头计数",nScrutinyType=1,szNote="3次后额外伤害或治疗",col={0,255,255,},[1]={bBuffList=true,},[2]={},},</v>
      </c>
    </row>
    <row r="4" spans="1:45">
      <c r="C4">
        <v>15455</v>
      </c>
      <c r="D4">
        <v>1</v>
      </c>
      <c r="F4">
        <v>7293</v>
      </c>
      <c r="G4" t="s">
        <v>1696</v>
      </c>
      <c r="H4">
        <v>1</v>
      </c>
      <c r="I4">
        <v>1</v>
      </c>
      <c r="K4" t="s">
        <v>1697</v>
      </c>
      <c r="L4" t="s">
        <v>622</v>
      </c>
      <c r="U4">
        <v>1</v>
      </c>
      <c r="AQ4" t="str">
        <f t="shared" si="0"/>
        <v>{dwID=15455,nLevel=1,nIcon=7293,szName="1%腰",bCheckLevel=true,nScrutinyType=1,szNote="输出伤害波动-伤腰大附魔增伤1%",col={0,255,255,},[1]={bBuffList=true,},[2]={},},</v>
      </c>
    </row>
    <row r="5" spans="1:45">
      <c r="C5">
        <v>15455</v>
      </c>
      <c r="D5">
        <v>2</v>
      </c>
      <c r="F5">
        <v>7371</v>
      </c>
      <c r="G5" t="s">
        <v>1698</v>
      </c>
      <c r="H5">
        <v>1</v>
      </c>
      <c r="I5">
        <v>1</v>
      </c>
      <c r="K5" t="s">
        <v>1699</v>
      </c>
      <c r="L5" t="s">
        <v>622</v>
      </c>
      <c r="U5">
        <v>1</v>
      </c>
      <c r="AQ5" t="str">
        <f t="shared" si="0"/>
        <v>{dwID=15455,nLevel=2,nIcon=7371,szName="5%腰",bCheckLevel=true,nScrutinyType=1,szNote="输出伤害波动-伤腰大附魔增伤5%",col={0,255,255,},[1]={bBuffList=true,},[2]={},},</v>
      </c>
    </row>
    <row r="6" spans="1:45">
      <c r="C6">
        <v>21953</v>
      </c>
      <c r="D6">
        <v>1</v>
      </c>
      <c r="J6" t="s">
        <v>1650</v>
      </c>
      <c r="K6" t="s">
        <v>1700</v>
      </c>
      <c r="L6" t="s">
        <v>596</v>
      </c>
      <c r="S6">
        <v>1</v>
      </c>
      <c r="T6">
        <v>1</v>
      </c>
      <c r="U6">
        <v>1</v>
      </c>
      <c r="W6">
        <v>1</v>
      </c>
      <c r="AH6" t="s">
        <v>1701</v>
      </c>
      <c r="AI6">
        <v>6</v>
      </c>
      <c r="AJ6" t="s">
        <v>1702</v>
      </c>
      <c r="AL6">
        <v>255</v>
      </c>
      <c r="AQ6" t="str">
        <f t="shared" si="0"/>
        <v>{dwID=21953,nLevel=1,tKungFu={["SKILL#10028"]=true,["SKILL#10080"]=true,["SKILL#10176"]=true,["SKILL#10448"]=true,["SKILL#10626"]=true,},szNote="枯木",col={255,150,0,},[1]={bScreenHead=true,bPartyBuffList=true,bBuffList=true,bTeamPanel=true,},[2]={},aCataclysmBuff={{szReminder="枯",nPriority=6,col="#FA9B00FF",nColAlpha=255,},},tCountdown={{nClass=1,nIcon=15422,nFrame=6,nTime="1,奶【{$receiver}】;2,奶【{$receiver}】;3,奶【{$receiver}】;30,奶【{$receiver}】",szName="1,奶【{$receiver}】;2,奶【{$receiver}】;3,奶【{$receiver}】;30,奶【{$receiver}】;",key="枯木{$receiver}",},{nClass=2,nIcon=15422,nFrame=6,nTime=0,szName="",key="枯木{$receiver}",},},},</v>
      </c>
      <c r="AR6" t="s">
        <v>1703</v>
      </c>
      <c r="AS6" t="s">
        <v>1704</v>
      </c>
    </row>
    <row r="7" spans="1:45">
      <c r="C7">
        <v>20554</v>
      </c>
      <c r="D7">
        <v>1</v>
      </c>
      <c r="J7" t="s">
        <v>1650</v>
      </c>
      <c r="K7" t="s">
        <v>1700</v>
      </c>
      <c r="L7" t="s">
        <v>596</v>
      </c>
      <c r="S7">
        <v>1</v>
      </c>
      <c r="T7">
        <v>1</v>
      </c>
      <c r="U7">
        <v>1</v>
      </c>
      <c r="W7">
        <v>1</v>
      </c>
      <c r="AH7" t="s">
        <v>1701</v>
      </c>
      <c r="AI7">
        <v>6</v>
      </c>
      <c r="AJ7" t="s">
        <v>1705</v>
      </c>
      <c r="AL7">
        <v>255</v>
      </c>
      <c r="AQ7" t="str">
        <f t="shared" si="0"/>
        <v>{dwID=20554,nLevel=1,tKungFu={["SKILL#10028"]=true,["SKILL#10080"]=true,["SKILL#10176"]=true,["SKILL#10448"]=true,["SKILL#10626"]=true,},szNote="枯木",col={255,150,0,},[1]={bScreenHead=true,bPartyBuffList=true,bBuffList=true,bTeamPanel=true,},[2]={},aCataclysmBuff={{szReminder="枯",nPriority=6,col="#FF9600FF",nColAlpha=255,},},tCountdown={{nClass=1,nIcon=15422,nFrame=6,nTime="1,奶【{$receiver}】;2,奶【{$receiver}】;3,奶【{$receiver}】;30,奶【{$receiver}】",szName="1,奶[{$receiver}];2,奶[{$receiver}];3,奶[{$receiver}];30,奶[{$receiver}];",key="枯木{$receiver}",},{nClass=2,nIcon=15422,nFrame=5,nTime=0,szName="",key="枯木{$receiver}",},},},</v>
      </c>
      <c r="AR7" t="s">
        <v>1706</v>
      </c>
      <c r="AS7" t="s">
        <v>1707</v>
      </c>
    </row>
    <row r="8" spans="1:45">
      <c r="A8" t="s">
        <v>1657</v>
      </c>
      <c r="B8">
        <v>-3</v>
      </c>
      <c r="AQ8" t="str">
        <f t="shared" si="0"/>
        <v>},[-3]={</v>
      </c>
    </row>
    <row r="9" spans="1:45">
      <c r="C9">
        <v>2316</v>
      </c>
      <c r="D9">
        <v>1</v>
      </c>
      <c r="AF9">
        <v>1</v>
      </c>
      <c r="AH9" t="s">
        <v>1708</v>
      </c>
      <c r="AI9">
        <v>5</v>
      </c>
      <c r="AJ9" t="s">
        <v>1676</v>
      </c>
      <c r="AL9">
        <v>255</v>
      </c>
      <c r="AM9">
        <v>1</v>
      </c>
      <c r="AQ9" t="str">
        <f t="shared" si="0"/>
        <v>{dwID=2316,nLevel=1,[1]={},[2]={},aCataclysmBuff={{bOnlyMine=true,szReminder="蛊",nPriority=5,col="#00EE00FF",nColAlpha=255,bAttention=true,},},},</v>
      </c>
    </row>
    <row r="10" spans="1:45">
      <c r="C10">
        <v>26986</v>
      </c>
      <c r="D10">
        <v>1</v>
      </c>
      <c r="AF10">
        <v>1</v>
      </c>
      <c r="AH10" t="s">
        <v>1709</v>
      </c>
      <c r="AI10">
        <v>5</v>
      </c>
      <c r="AJ10" t="s">
        <v>1676</v>
      </c>
      <c r="AL10">
        <v>255</v>
      </c>
      <c r="AM10">
        <v>1</v>
      </c>
      <c r="AQ10" t="str">
        <f t="shared" si="0"/>
        <v>{dwID=26986,nLevel=1,[1]={},[2]={},aCataclysmBuff={{bOnlyMine=true,szReminder="音",nPriority=5,col="#00EE00FF",nColAlpha=255,bAttention=true,},},},</v>
      </c>
    </row>
    <row r="11" spans="1:45">
      <c r="C11">
        <v>9335</v>
      </c>
      <c r="D11">
        <v>1</v>
      </c>
      <c r="F11">
        <v>11863</v>
      </c>
      <c r="K11" t="s">
        <v>1710</v>
      </c>
      <c r="L11" t="s">
        <v>1711</v>
      </c>
      <c r="AF11">
        <v>1</v>
      </c>
      <c r="AH11" t="s">
        <v>1712</v>
      </c>
      <c r="AI11">
        <v>3</v>
      </c>
      <c r="AJ11" t="s">
        <v>1713</v>
      </c>
      <c r="AL11">
        <v>255</v>
      </c>
      <c r="AQ11" t="str">
        <f t="shared" si="0"/>
        <v>{dwID=9335,nLevel=1,nIcon=11863,szNote="无法获得梅花三弄",col={255,238,255,},[1]={},[2]={},aCataclysmBuff={{bOnlyMine=true,szReminder="落",nPriority=3,col="#FFEEEEFF",nColAlpha=255,},},},</v>
      </c>
    </row>
    <row r="12" spans="1:45">
      <c r="AQ12" t="str">
        <f t="shared" si="0"/>
        <v>},},}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1714</v>
      </c>
      <c r="M1" t="s">
        <v>1715</v>
      </c>
      <c r="N1" t="s">
        <v>1716</v>
      </c>
      <c r="O1" t="s">
        <v>1717</v>
      </c>
      <c r="P1" t="s">
        <v>1718</v>
      </c>
      <c r="Q1" t="s">
        <v>1719</v>
      </c>
      <c r="R1" t="s">
        <v>1720</v>
      </c>
      <c r="S1" t="s">
        <v>1721</v>
      </c>
      <c r="T1" t="s">
        <v>1722</v>
      </c>
      <c r="U1" t="s">
        <v>1723</v>
      </c>
      <c r="V1" t="s">
        <v>1724</v>
      </c>
      <c r="W1" t="s">
        <v>1725</v>
      </c>
      <c r="X1" t="s">
        <v>1726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茗伊团队监控数据手册</vt:lpstr>
      <vt:lpstr>字典</vt:lpstr>
      <vt:lpstr>有利气劲</vt:lpstr>
      <vt:lpstr>不利气劲</vt:lpstr>
      <vt:lpstr>武学招式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2026-08-01T10:49:02Z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003032C167564DE29DAB069EAA62ABDA_12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