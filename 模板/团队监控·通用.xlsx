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手册" sheetId="2" r:id="rId1"/>
    <sheet name="字典" sheetId="4" r:id="rId2"/>
    <sheet name="有利气劲" sheetId="5" r:id="rId3"/>
    <sheet name="不利气劲" sheetId="6" r:id="rId4"/>
    <sheet name="武学招式" sheetId="7" r:id="rId5"/>
    <sheet name="系统角色" sheetId="8" r:id="rId6"/>
    <sheet name="交互物件" sheetId="9" r:id="rId7"/>
    <sheet name="角色喊话" sheetId="10" r:id="rId8"/>
    <sheet name="系统频道" sheetId="11" r:id="rId9"/>
  </sheets>
  <definedNames>
    <definedName name="JunSun1">DATE(日历年份,6,1)-WEEKDAY(DATE(日历年份,6,1))</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<sst xmlns="http://schemas.openxmlformats.org/spreadsheetml/2006/main" count="2563" uniqueCount="1875">
  <si>
    <t>__meta = {</t>
  </si>
  <si>
    <t>绿块为导出时记录数据信息</t>
  </si>
  <si>
    <t>使用前请详细看本页黄字</t>
  </si>
  <si>
    <t>szLang = "zhcn",</t>
  </si>
  <si>
    <t>客户端版本，正式服、测试服，根据导出时客户端自动生成，无法自定义修改</t>
  </si>
  <si>
    <t>工具下载地址</t>
  </si>
  <si>
    <t>https://www.jx3box.com/tool/60356</t>
  </si>
  <si>
    <t>szAuthor = "角色名",</t>
  </si>
  <si>
    <t>导出时的玩家名称</t>
  </si>
  <si>
    <t>教程地址</t>
  </si>
  <si>
    <t>https://www.jx3box.com/tool/74098</t>
  </si>
  <si>
    <t>时间戳</t>
  </si>
  <si>
    <t>工作表不可改名，否则无法保障程序识别与分类数据</t>
  </si>
  <si>
    <t>szServer = "服务器名",</t>
  </si>
  <si>
    <t>导出时的服务器名称，例如：唯我独尊</t>
  </si>
  <si>
    <t>表格第一列标识为程序读取保留列，此列作为注释用，不影响数据导出，但不建议删除此列，其他参数若不需要可删除或隐藏列</t>
  </si>
  <si>
    <t>szOfficialVoicePacketUUID="",</t>
  </si>
  <si>
    <t>数据推荐官方语音包uuid</t>
  </si>
  <si>
    <t>团队气劲面板：第一个面板条件分列编写，若还有其他条件，则将剩余条件以{},{},合并为一个，置于第一条件面板尾部的单元格内</t>
  </si>
  <si>
    <t>szCustomVoicePacketUUID="",</t>
  </si>
  <si>
    <t>数据推荐插件语音包uuid</t>
  </si>
  <si>
    <t>焦点列表（数组）：所有焦点列表条件置于return列前一个单元格</t>
  </si>
  <si>
    <t>},</t>
  </si>
  <si>
    <t>倒计时条（数组）：在每行数据末尾，第一条轴须在return列后，默认每条轴以“{},”形式依次置于单元格内，至多拼接256条轴（ZZ列）。亦可将所有倒计时轴置于return列后一个单元格内</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</si>
  <si>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</si>
  <si>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</si>
  <si>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</si>
  <si>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</si>
  <si>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</si>
  <si>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</si>
  <si>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</si>
  <si>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</si>
  <si>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</si>
  <si>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</si>
  <si>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</si>
  <si>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</si>
  <si>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</si>
  <si>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</si>
  <si>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</si>
  <si>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</si>
  <si>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</si>
  <si>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</si>
  <si>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</si>
  <si>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</si>
  <si>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</si>
  <si>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</si>
  <si>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</si>
  <si>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</si>
  <si>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</si>
  <si>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</si>
  <si>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</si>
  <si>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</si>
  <si>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</si>
  <si>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</si>
  <si>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</si>
  <si>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</si>
  <si>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</si>
  <si>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</si>
  <si>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</si>
  <si>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</si>
  <si>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</si>
  <si>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</si>
  <si>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</si>
  <si>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</si>
  <si>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</si>
  <si>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</si>
  <si>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</si>
  <si>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</si>
  <si>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</si>
  <si>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</si>
  <si>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</si>
  <si>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</si>
  <si>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</si>
  <si>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</si>
  <si>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</si>
  <si>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</si>
  <si>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</si>
  <si>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</si>
  <si>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</si>
  <si>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</si>
  <si>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</si>
  <si>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</si>
  <si>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</si>
  <si>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</si>
  <si>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</si>
  <si>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</si>
  <si>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</si>
  <si>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</si>
  <si>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</si>
  <si>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</si>
  <si>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</si>
  <si>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</si>
  <si>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</si>
  <si>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</si>
  <si>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</si>
  <si>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</si>
  <si>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</si>
  <si>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</si>
  <si>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</si>
  <si>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</si>
  <si>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</si>
  <si>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</si>
  <si>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</si>
  <si>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</si>
  <si>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</si>
  <si>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</si>
  <si>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</si>
  <si>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</si>
  <si>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</si>
  <si>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</si>
  <si>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</si>
  <si>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</si>
  <si>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</si>
  <si>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</si>
  <si>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</si>
  <si>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TALK、CHAT。请注意特殊字符转义问题，换行请写\n，若含有英文引号请用\转义，例："侠士"上线了。请写\"侠士\"上线了。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</si>
  <si>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</si>
  <si>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</si>
  <si>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</si>
  <si>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</si>
  <si>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</si>
  <si>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</si>
  <si>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</si>
  <si>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</si>
  <si>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</si>
  <si>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</si>
  <si>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</si>
  <si>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</si>
  <si>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</si>
  <si>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</si>
  <si>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</si>
  <si>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</si>
  <si>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</si>
  <si>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</si>
  <si>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</si>
  <si>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</si>
  <si>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</si>
  <si>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</si>
  <si>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</si>
  <si>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</si>
  <si>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</si>
  <si>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</si>
  <si>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</si>
  <si>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</si>
  <si>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</si>
  <si>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</si>
  <si>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</si>
  <si>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</si>
  <si>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</si>
  <si>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</si>
  <si>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</si>
  <si>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</si>
  <si>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</si>
  <si>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</si>
  <si>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</si>
  <si>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</si>
  <si>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</si>
  <si>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</si>
  <si>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</si>
  <si>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</si>
  <si>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</si>
  <si>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</si>
  <si>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</si>
  <si>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模板字符</t>
  </si>
  <si>
    <t>注:使用ID解析串可防止内容被屏蔽，支持的模式如下（包含花括号）</t>
  </si>
  <si>
    <t>头顶标记</t>
  </si>
  <si>
    <t>标记图标</t>
  </si>
  <si>
    <t>OTHER</t>
  </si>
  <si>
    <t>不生效，该事件屏蔽</t>
  </si>
  <si>
    <t>{$me}</t>
  </si>
  <si>
    <t>当前登录的账号的角色名字，可用于喊话系统</t>
  </si>
  <si>
    <t>tMark={</t>
  </si>
  <si>
    <t>BUFF_GET</t>
  </si>
  <si>
    <t>获得BUFF</t>
  </si>
  <si>
    <t>{$sender}</t>
  </si>
  <si>
    <t>该事件发起者的名字，如点名者</t>
  </si>
  <si>
    <t>[1]=false,</t>
  </si>
  <si>
    <t>白云</t>
  </si>
  <si>
    <t>BUFF_LOSE</t>
  </si>
  <si>
    <t>失去BUFF</t>
  </si>
  <si>
    <t>{$receiver}</t>
  </si>
  <si>
    <t>该事件受影响者的名字，如被点名的队友</t>
  </si>
  <si>
    <t>[2]=false,</t>
  </si>
  <si>
    <t>小剑</t>
  </si>
  <si>
    <t>NPC_ENTER</t>
  </si>
  <si>
    <t>NPC进入场景</t>
  </si>
  <si>
    <t>{$team}</t>
  </si>
  <si>
    <t>团队玩家的名字，包含自己的名字，只有在团队中方可使用，用于喊话系统</t>
  </si>
  <si>
    <t>[3]=false,</t>
  </si>
  <si>
    <t>斧头</t>
  </si>
  <si>
    <t>NPC_LEAVE</t>
  </si>
  <si>
    <t>NPC离开场景</t>
  </si>
  <si>
    <t>{$B188}</t>
  </si>
  <si>
    <t>ID为188的气劲名称</t>
  </si>
  <si>
    <t>[4]=false,</t>
  </si>
  <si>
    <t>钩子</t>
  </si>
  <si>
    <t>NPC_TALK</t>
  </si>
  <si>
    <t>NPC说话信息(未使用)</t>
  </si>
  <si>
    <t>{$B188,2}</t>
  </si>
  <si>
    <t>ID为188，等级为2的气劲名称</t>
  </si>
  <si>
    <t>[5]=false,</t>
  </si>
  <si>
    <t>红鼓</t>
  </si>
  <si>
    <t>NPC_LIFE</t>
  </si>
  <si>
    <t>NPC气血值监控</t>
  </si>
  <si>
    <t>{$S188}</t>
  </si>
  <si>
    <t>ID为188的武学招式名称</t>
  </si>
  <si>
    <t>[6]=false,</t>
  </si>
  <si>
    <t>剪刀</t>
  </si>
  <si>
    <t>NPC_FIGHT</t>
  </si>
  <si>
    <t>NPC进入战斗</t>
  </si>
  <si>
    <t>{$S188,2}</t>
  </si>
  <si>
    <t>ID为188，等级为2的武学招式名称5.</t>
  </si>
  <si>
    <t>[7]=false,</t>
  </si>
  <si>
    <t>棒槌</t>
  </si>
  <si>
    <t>SKILL_BEGIN</t>
  </si>
  <si>
    <t>技能开始释放(运功)</t>
  </si>
  <si>
    <t>{$N188}</t>
  </si>
  <si>
    <t>模板ID为188的系统角色名称</t>
  </si>
  <si>
    <t>[8]=false,</t>
  </si>
  <si>
    <t>如意</t>
  </si>
  <si>
    <t>SKILL_END</t>
  </si>
  <si>
    <t>技能成功释放(结束)</t>
  </si>
  <si>
    <t>{$D188}</t>
  </si>
  <si>
    <t>模板ID为188的交互物件名称</t>
  </si>
  <si>
    <t>[9]=false,</t>
  </si>
  <si>
    <t>飞镖</t>
  </si>
  <si>
    <t>SYS_TALK</t>
  </si>
  <si>
    <t>系统聊天信息(未使用)</t>
  </si>
  <si>
    <t>{$M188}</t>
  </si>
  <si>
    <t>地图ID为188的场景名称</t>
  </si>
  <si>
    <t>[10]=false,</t>
  </si>
  <si>
    <t>扇子</t>
  </si>
  <si>
    <t>NPC_ALLLEAVE</t>
  </si>
  <si>
    <t>所有同一个NPC离开场景</t>
  </si>
  <si>
    <t>NPC_DEATH</t>
  </si>
  <si>
    <t>NPC死亡</t>
  </si>
  <si>
    <t>使用时省略下标</t>
  </si>
  <si>
    <t>NPC_ALLDEATH</t>
  </si>
  <si>
    <t>所有同一个NPC死亡</t>
  </si>
  <si>
    <t>需要标记云、剑、斧则写</t>
  </si>
  <si>
    <t>tMark={true,true,true,false,false,false,false,false,false,false,},</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</si>
  <si>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</si>
  <si>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</si>
  <si>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</si>
  <si>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</si>
  <si>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</si>
  <si>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</si>
  <si>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</si>
  <si>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</si>
  <si>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</si>
  <si>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</si>
  <si>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</si>
  <si>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</si>
  <si>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</si>
  <si>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</si>
  <si>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</si>
  <si>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</si>
  <si>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</si>
  <si>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</si>
  <si>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</si>
  <si>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</si>
  <si>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</si>
  <si>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</si>
  <si>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</si>
  <si>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</si>
  <si>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</si>
  <si>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</si>
  <si>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</si>
  <si>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</si>
  <si>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</si>
  <si>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</si>
  <si>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</si>
  <si>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</si>
  <si>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</si>
  <si>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</si>
  <si>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</si>
  <si>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</si>
  <si>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</si>
  <si>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</si>
  <si>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</si>
  <si>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最后2位控制透明度，00 - 透明，FF - 完全不透明</t>
  </si>
  <si>
    <t>nColAlpha</t>
  </si>
  <si>
    <t>整数（0-255）</t>
  </si>
  <si>
    <t>描边透明度</t>
  </si>
  <si>
    <t>nColAlpha = 169</t>
  </si>
  <si>
    <t>0 - 透明，255 - 完全不透明</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</si>
  <si>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</si>
  <si>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</si>
  <si>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</si>
  <si>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</si>
  <si>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</si>
  <si>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</si>
  <si>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</si>
  <si>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</si>
  <si>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</si>
  <si>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</si>
  <si>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</si>
  <si>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</si>
  <si>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</si>
  <si>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</si>
  <si>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</si>
  <si>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</si>
  <si>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</si>
  <si>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</si>
  <si>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</si>
  <si>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例：第一条件，敌方血量&gt;0，最大距离60尺，第二条件非敌方血量&gt;0，最大距离30尺，第三条件全部，血量&gt;0，最大距离10尺</t>
  </si>
  <si>
    <t>nMaxDistance</t>
  </si>
  <si>
    <t>数字</t>
  </si>
  <si>
    <t>最大距离</t>
  </si>
  <si>
    <t>nMaxDistance = 10</t>
  </si>
  <si>
    <t>szDisplay</t>
  </si>
  <si>
    <t>名称显示</t>
  </si>
  <si>
    <t>szDisplay = "xxxx"</t>
  </si>
  <si>
    <t>dwMapID</t>
  </si>
  <si>
    <t>生效地图ID</t>
  </si>
  <si>
    <t>dwMapID = -1</t>
  </si>
  <si>
    <t>倒计时条</t>
  </si>
  <si>
    <t>倒计时条以{},形式保存，且每条轴占一个单元格，从return列后依次增加列</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</si>
  <si>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</si>
  <si>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</si>
  <si>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</si>
  <si>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</si>
  <si>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</si>
  <si>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</si>
  <si>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</si>
  <si>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</si>
  <si>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</si>
  <si>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</si>
  <si>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</si>
  <si>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</si>
  <si>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</si>
  <si>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</si>
  <si>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</si>
  <si>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</si>
  <si>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倒计时时间</t>
  </si>
  <si>
    <t>nTime = 10</t>
  </si>
  <si>
    <t>-1:删除倒计时条的显示，但不清除CD。-2:与-1相反，清除CD，但不删除倒计时条。0:-1与-2两个功能合并，既删除倒计时条，又清除CD</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</si>
  <si>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</si>
  <si>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</si>
  <si>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</si>
  <si>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</si>
  <si>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</si>
  <si>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</si>
  <si>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</si>
  <si>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</si>
  <si>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</si>
  <si>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</si>
  <si>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</si>
  <si>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</si>
  <si>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</si>
  <si>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</si>
  <si>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</si>
  <si>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</si>
  <si>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</si>
  <si>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</si>
  <si>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</si>
  <si>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</si>
  <si>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</si>
  <si>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DEC2HEX</t>
  </si>
  <si>
    <t>站位走位</t>
  </si>
  <si>
    <t>语音唯一标识符</t>
  </si>
  <si>
    <t>内容示例</t>
  </si>
  <si>
    <t>服务器</t>
  </si>
  <si>
    <t>pet_Type</t>
  </si>
  <si>
    <t>Source</t>
  </si>
  <si>
    <t>出行饲料</t>
  </si>
  <si>
    <t>宠物对应饲料</t>
  </si>
  <si>
    <t>宠物类型</t>
  </si>
  <si>
    <t>优先级</t>
  </si>
  <si>
    <t>对应类型</t>
  </si>
  <si>
    <t>颜色</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</si>
  <si>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</si>
  <si>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</si>
  <si>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</si>
  <si>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</si>
  <si>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</si>
  <si>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</si>
  <si>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</si>
  <si>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</si>
  <si>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</si>
  <si>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</si>
  <si>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</si>
  <si>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</si>
  <si>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</si>
  <si>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</si>
  <si>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</si>
  <si>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</si>
  <si>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副本机制类、点名、绝对无敌、平沙、决斗、平沙、杯水</t>
  </si>
  <si>
    <t>[#FF32FF]、[#FFCC00]</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</si>
  <si>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</si>
  <si>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</si>
  <si>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</si>
  <si>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</si>
  <si>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</si>
  <si>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</si>
  <si>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</si>
  <si>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</si>
  <si>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</si>
  <si>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</si>
  <si>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</si>
  <si>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</si>
  <si>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</si>
  <si>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</si>
  <si>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</si>
  <si>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副本机制类、点名、绝对无敌、隔离、禁锢、敌我不分、失去控制</t>
  </si>
  <si>
    <t>[#FFCC00]</t>
  </si>
  <si>
    <t>万花</t>
  </si>
  <si>
    <t>洗髓经</t>
  </si>
  <si>
    <t>少林</t>
  </si>
  <si>
    <t>255,178,95,</t>
  </si>
  <si>
    <t>准备分散</t>
  </si>
  <si>
    <t>FenSan_P</t>
  </si>
  <si>
    <t>准备分散呀</t>
  </si>
  <si>
    <t>唯我独尊</t>
  </si>
  <si>
    <t>大师赛竞猜</t>
  </si>
  <si>
    <t>肉类</t>
  </si>
  <si>
    <t>封家小块肉排</t>
  </si>
  <si>
    <t>皇竹草</t>
  </si>
  <si>
    <t>马</t>
  </si>
  <si>
    <t>无敌、免死、特殊技能、金身、隐身、免疫、反弹、藏匿、变身</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</si>
  <si>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</si>
  <si>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</si>
  <si>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</si>
  <si>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</si>
  <si>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</si>
  <si>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</si>
  <si>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</si>
  <si>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</si>
  <si>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</si>
  <si>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</si>
  <si>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</si>
  <si>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</si>
  <si>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封内、封外、沉默、缴械、特殊控制、恐惧、爆炸（害队友）</t>
  </si>
  <si>
    <t>[#A560E8]</t>
  </si>
  <si>
    <t>七秀</t>
  </si>
  <si>
    <t>紫霞功</t>
  </si>
  <si>
    <t>255,111,83,</t>
  </si>
  <si>
    <t>准备原地不动</t>
  </si>
  <si>
    <t>YuanDiBuDong_P</t>
  </si>
  <si>
    <t>准备原地停留</t>
  </si>
  <si>
    <t>横刀断浪</t>
  </si>
  <si>
    <t>机关</t>
  </si>
  <si>
    <t>未知</t>
  </si>
  <si>
    <t>啮齿类</t>
  </si>
  <si>
    <t>磨牙棒</t>
  </si>
  <si>
    <t>犬科</t>
  </si>
  <si>
    <t>HOT、特殊治疗</t>
  </si>
  <si>
    <t>[#1FEEFF]</t>
  </si>
  <si>
    <t>花间游</t>
  </si>
  <si>
    <t>10018;10019;10088;10089</t>
  </si>
  <si>
    <t>养心诀;太素九针;点穴截脉;百花拂穴手</t>
  </si>
  <si>
    <t>22,216,216,</t>
  </si>
  <si>
    <t>准备背对</t>
  </si>
  <si>
    <t>BeiDui_P</t>
  </si>
  <si>
    <t>剑胆琴心</t>
  </si>
  <si>
    <t>世界奇遇</t>
  </si>
  <si>
    <t>异宠类</t>
  </si>
  <si>
    <t>草饼</t>
  </si>
  <si>
    <t>啮齿</t>
  </si>
  <si>
    <t>HOT</t>
  </si>
  <si>
    <t>[#00EE00]</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</si>
  <si>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</si>
  <si>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</si>
  <si>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</si>
  <si>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</si>
  <si>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</si>
  <si>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</si>
  <si>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</si>
  <si>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</si>
  <si>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</si>
  <si>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</si>
  <si>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</si>
  <si>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</si>
  <si>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</si>
  <si>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</si>
  <si>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</si>
  <si>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</si>
  <si>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</si>
  <si>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</si>
  <si>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</si>
  <si>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</si>
  <si>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</si>
  <si>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</si>
  <si>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</si>
  <si>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</si>
  <si>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</si>
  <si>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</si>
  <si>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</si>
  <si>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</si>
  <si>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</si>
  <si>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</si>
  <si>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</si>
  <si>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</si>
  <si>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</si>
  <si>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</si>
  <si>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</si>
  <si>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</si>
  <si>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</si>
  <si>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</si>
  <si>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</si>
  <si>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</si>
  <si>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</si>
  <si>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</si>
  <si>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</si>
  <si>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</si>
  <si>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</si>
  <si>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</si>
  <si>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</si>
  <si>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</si>
  <si>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</si>
  <si>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状态、姿态、本体、傀儡、技能、道具</t>
  </si>
  <si>
    <t>[#FFFF00]、[#FF0055]</t>
  </si>
  <si>
    <t>苍云</t>
  </si>
  <si>
    <t>毒经</t>
  </si>
  <si>
    <t>10171;10172;10173;10174</t>
  </si>
  <si>
    <t>千劫万毒手;引魂蛊术;驭虫奇术;补天心经</t>
  </si>
  <si>
    <t>240,70,96,</t>
  </si>
  <si>
    <t>找T抱团</t>
  </si>
  <si>
    <t>BaoTuan_T_sp</t>
  </si>
  <si>
    <t>天鹅坪</t>
  </si>
  <si>
    <t>运营活动</t>
  </si>
  <si>
    <t>倒地、冻结</t>
  </si>
  <si>
    <t>[#FFFF00]</t>
  </si>
  <si>
    <t>阵营地图的数据</t>
  </si>
  <si>
    <t>长歌</t>
  </si>
  <si>
    <t>补天诀</t>
  </si>
  <si>
    <t>180,60,0,</t>
  </si>
  <si>
    <t>人群抱团</t>
  </si>
  <si>
    <t>BaoTuan_T_sp2</t>
  </si>
  <si>
    <t>长安城</t>
  </si>
  <si>
    <t>电信一区</t>
  </si>
  <si>
    <t>眩晕</t>
  </si>
  <si>
    <t>帮会领地的数据</t>
  </si>
  <si>
    <t>霸刀</t>
  </si>
  <si>
    <t>惊羽诀</t>
  </si>
  <si>
    <t>10216;10218;10219;10220</t>
  </si>
  <si>
    <t>乾坤一掷;百步穿杨;九宫飞星;天魔无相</t>
  </si>
  <si>
    <t>100,250,180,</t>
  </si>
  <si>
    <t>点名抱团</t>
  </si>
  <si>
    <t>BaoTuan_T_s</t>
  </si>
  <si>
    <t>点名玩家抱团</t>
  </si>
  <si>
    <t>蝶恋花</t>
  </si>
  <si>
    <t>定身、推、拉、挑飞、懵</t>
  </si>
  <si>
    <t>竞技地图的数据</t>
  </si>
  <si>
    <t>蓬莱</t>
  </si>
  <si>
    <t>天罗诡道</t>
  </si>
  <si>
    <t>106,108,189,</t>
  </si>
  <si>
    <t>boss脚下抱团</t>
  </si>
  <si>
    <t>BaoTuan_T_sp3</t>
  </si>
  <si>
    <t>龙争虎斗</t>
  </si>
  <si>
    <t>锁足、僵直、封轻功、高额减速、调息暂停</t>
  </si>
  <si>
    <t>[#1F3FFF]</t>
  </si>
  <si>
    <t>八荒横鉴的数据</t>
  </si>
  <si>
    <t>凌雪</t>
  </si>
  <si>
    <t>问水诀</t>
  </si>
  <si>
    <t>10146;10148;10149;10150</t>
  </si>
  <si>
    <t>秀水剑法;灵峰剑式;君子风;西子情</t>
  </si>
  <si>
    <t>171,227,250,</t>
  </si>
  <si>
    <t>npc脚下抱团</t>
  </si>
  <si>
    <t>BaoTuan_T_sp4</t>
  </si>
  <si>
    <t>青梅煮酒</t>
  </si>
  <si>
    <t>双线四区</t>
  </si>
  <si>
    <t>霸体</t>
  </si>
  <si>
    <t>[#B3EE3A]</t>
  </si>
  <si>
    <t>家园的数据</t>
  </si>
  <si>
    <t>衍天</t>
  </si>
  <si>
    <t>山居剑意</t>
  </si>
  <si>
    <t>161,9,34,</t>
  </si>
  <si>
    <t>保持分散</t>
  </si>
  <si>
    <t>FenSan_T</t>
  </si>
  <si>
    <t>保持分散 散开</t>
  </si>
  <si>
    <t>奉天证道</t>
  </si>
  <si>
    <t>免控</t>
  </si>
  <si>
    <t>列镜虚境的数据</t>
  </si>
  <si>
    <t>药宗</t>
  </si>
  <si>
    <t>笑尘诀</t>
  </si>
  <si>
    <t>10263;10264;10296;10265</t>
  </si>
  <si>
    <t>打狗棒法;降龙掌·上;降龙掌·下;逍遥行</t>
  </si>
  <si>
    <t>166,83,251,</t>
  </si>
  <si>
    <t>保持移动</t>
  </si>
  <si>
    <t>YiDong_T</t>
  </si>
  <si>
    <t>保持移动 别停</t>
  </si>
  <si>
    <t>解控</t>
  </si>
  <si>
    <t>百战通用的数据</t>
  </si>
  <si>
    <t>刀宗</t>
  </si>
  <si>
    <t>焚影圣诀</t>
  </si>
  <si>
    <t>10235;10236;10237;10238</t>
  </si>
  <si>
    <t>日月净世;幻魔妙相;御暗烬灭令;大圣明尊法</t>
  </si>
  <si>
    <t>0,172,153,</t>
  </si>
  <si>
    <t>别动</t>
  </si>
  <si>
    <t>YuanDiBuDong_T</t>
  </si>
  <si>
    <t>站原地别动</t>
  </si>
  <si>
    <t>免缴、免封、免断、免推、免拉</t>
  </si>
  <si>
    <t>李渡鬼域的数据</t>
  </si>
  <si>
    <t>明尊琉璃体</t>
  </si>
  <si>
    <t>107,183,242,</t>
  </si>
  <si>
    <t>背对boss</t>
  </si>
  <si>
    <t>BeiDui_T</t>
  </si>
  <si>
    <t>面向背对boss</t>
  </si>
  <si>
    <t>浮空</t>
  </si>
  <si>
    <t>绝境战场的数据</t>
  </si>
  <si>
    <t>铁骨衣</t>
  </si>
  <si>
    <t>10385;10386;10384;10383</t>
  </si>
  <si>
    <t>云城盾;苍雪刀;破阵令;寒铁诀</t>
  </si>
  <si>
    <t>万灵</t>
  </si>
  <si>
    <t>235,215,115,</t>
  </si>
  <si>
    <t>注意引导</t>
  </si>
  <si>
    <t>YinDao_T</t>
  </si>
  <si>
    <t>注意准备引导</t>
  </si>
  <si>
    <t>巨额减伤</t>
  </si>
  <si>
    <t>[#00FF00]</t>
  </si>
  <si>
    <t>战场的数据</t>
  </si>
  <si>
    <t>分山劲</t>
  </si>
  <si>
    <t>白色</t>
  </si>
  <si>
    <t>255,255,255,</t>
  </si>
  <si>
    <t>点名引导</t>
  </si>
  <si>
    <t>YinDao_T_s</t>
  </si>
  <si>
    <t>点名玩家引导</t>
  </si>
  <si>
    <t>中量减伤</t>
  </si>
  <si>
    <t>回收站的数据</t>
  </si>
  <si>
    <t>莫问</t>
  </si>
  <si>
    <t>10440;10441;10442;10443</t>
  </si>
  <si>
    <t>音;曲;气;影</t>
  </si>
  <si>
    <t>绿色</t>
  </si>
  <si>
    <t>0,255,0,</t>
  </si>
  <si>
    <t>点名</t>
  </si>
  <si>
    <t>少量减伤</t>
  </si>
  <si>
    <t>名剑大会的数据</t>
  </si>
  <si>
    <t>相知</t>
  </si>
  <si>
    <t>淡绿</t>
  </si>
  <si>
    <t>0,238,0,</t>
  </si>
  <si>
    <t>准备点名</t>
  </si>
  <si>
    <t>DianMing_P</t>
  </si>
  <si>
    <t>护盾、化解、承伤、闪避、偏离</t>
  </si>
  <si>
    <t>野外地图的数据</t>
  </si>
  <si>
    <t>北傲诀</t>
  </si>
  <si>
    <t>10465;10466;10467;10468</t>
  </si>
  <si>
    <t>殷雷腿;秀明尘身;松烟竹雾;雪絮金屏</t>
  </si>
  <si>
    <t>嫩绿</t>
  </si>
  <si>
    <t>179,238,74,</t>
  </si>
  <si>
    <t>远离点名</t>
  </si>
  <si>
    <t>DianMing_T_sp</t>
  </si>
  <si>
    <t>远离点名玩家</t>
  </si>
  <si>
    <t>平摊</t>
  </si>
  <si>
    <t>浪客行的数据</t>
  </si>
  <si>
    <t>凌海诀</t>
  </si>
  <si>
    <t>10535;10539;10540;10541</t>
  </si>
  <si>
    <t>风起云扬诀;长空破云式;九霄踏云步;碧海缥缈掌</t>
  </si>
  <si>
    <t>深青</t>
  </si>
  <si>
    <t>31,238,255,</t>
  </si>
  <si>
    <t>点名出人群</t>
  </si>
  <si>
    <t>DianMing_T_sp2</t>
  </si>
  <si>
    <t>点名玩家出人群</t>
  </si>
  <si>
    <t>致盲、命中降低、视野降低</t>
  </si>
  <si>
    <t>[#FF99CC]</t>
  </si>
  <si>
    <t>团队秘境的数据</t>
  </si>
  <si>
    <t>隐龙诀</t>
  </si>
  <si>
    <t>10586;10588;10589;10590</t>
  </si>
  <si>
    <t>断水刃;隐雷鞭;冲云链;山河令</t>
  </si>
  <si>
    <t>青色</t>
  </si>
  <si>
    <t>0,255,255,</t>
  </si>
  <si>
    <t>点名躲技能</t>
  </si>
  <si>
    <t>DianMing_T_sp3</t>
  </si>
  <si>
    <t>点名玩家多好技能</t>
  </si>
  <si>
    <t>禁疗</t>
  </si>
  <si>
    <t>[#FFFFFF]</t>
  </si>
  <si>
    <t>小队秘境的数据</t>
  </si>
  <si>
    <t>太玄经</t>
  </si>
  <si>
    <t>10614;10617;10618;10619</t>
  </si>
  <si>
    <t>九字诀;占术;奇门;天机</t>
  </si>
  <si>
    <t>橙色</t>
  </si>
  <si>
    <t>255,150,0,</t>
  </si>
  <si>
    <t>点名上点</t>
  </si>
  <si>
    <t>DianMing_T_sp4</t>
  </si>
  <si>
    <t>点名玩家前往指定点</t>
  </si>
  <si>
    <t>阻疗、限疗、吞疗盾、治疗惩罚</t>
  </si>
  <si>
    <t>[#CCCCCC]</t>
  </si>
  <si>
    <t>秘境的数据</t>
  </si>
  <si>
    <t>灵素</t>
  </si>
  <si>
    <t>10622;10623;10624;10625</t>
  </si>
  <si>
    <t>行忌制方;行宜列药;凌波飞叶令;神农百草诀</t>
  </si>
  <si>
    <t>金色</t>
  </si>
  <si>
    <t>255,204,0,</t>
  </si>
  <si>
    <t>点名不动</t>
  </si>
  <si>
    <t>DianMing_T_sp5</t>
  </si>
  <si>
    <t>点名玩家原地别动</t>
  </si>
  <si>
    <t>减疗</t>
  </si>
  <si>
    <t>[#AAAAAA]</t>
  </si>
  <si>
    <t>主城的数据</t>
  </si>
  <si>
    <t>无方</t>
  </si>
  <si>
    <t>淡紫</t>
  </si>
  <si>
    <t>165,96,232,</t>
  </si>
  <si>
    <t>点名遛怪</t>
  </si>
  <si>
    <t>DianMing_T_sp6</t>
  </si>
  <si>
    <t>点名玩家遛怪</t>
  </si>
  <si>
    <t>嘲讽、易伤、破绽、链接、束缚、连线、重力、禁跳</t>
  </si>
  <si>
    <t>通用的数据</t>
  </si>
  <si>
    <t>孤锋诀</t>
  </si>
  <si>
    <t>10697;10706;10707;10708</t>
  </si>
  <si>
    <t>流云势法;游风步;破浪三式;骤雨劲</t>
  </si>
  <si>
    <t>蓝色</t>
  </si>
  <si>
    <t>0,50,255,</t>
  </si>
  <si>
    <t>技能释放</t>
  </si>
  <si>
    <t>内功DOT</t>
  </si>
  <si>
    <t>山海心诀</t>
  </si>
  <si>
    <t>黄色</t>
  </si>
  <si>
    <t>255,255,0,</t>
  </si>
  <si>
    <t>准备驱散</t>
  </si>
  <si>
    <t>QuSan_P</t>
  </si>
  <si>
    <t>稻香村</t>
  </si>
  <si>
    <t>周天功</t>
  </si>
  <si>
    <t>粉色</t>
  </si>
  <si>
    <t>255,153,204,</t>
  </si>
  <si>
    <t>准备减伤</t>
  </si>
  <si>
    <t>JianShang_P</t>
  </si>
  <si>
    <t>准备开减伤</t>
  </si>
  <si>
    <t>幽罗引</t>
  </si>
  <si>
    <t>品红</t>
  </si>
  <si>
    <t>255,50,255,</t>
  </si>
  <si>
    <t>准备控怪</t>
  </si>
  <si>
    <t>KongGuai_P</t>
  </si>
  <si>
    <t>1024_蓝天白云</t>
  </si>
  <si>
    <t>易筋经·悟</t>
  </si>
  <si>
    <t>红色</t>
  </si>
  <si>
    <t>255,0,85,</t>
  </si>
  <si>
    <t>准备打断</t>
  </si>
  <si>
    <t>DaDuan_P</t>
  </si>
  <si>
    <t>流血</t>
  </si>
  <si>
    <t>洗髓经·悟</t>
  </si>
  <si>
    <t>血条</t>
  </si>
  <si>
    <t>255,50,50,</t>
  </si>
  <si>
    <t>准备连续打断</t>
  </si>
  <si>
    <t>LianXuDaDuan_P</t>
  </si>
  <si>
    <t>持续伤害</t>
  </si>
  <si>
    <t>扬州</t>
  </si>
  <si>
    <t>太虚剑意·悟</t>
  </si>
  <si>
    <t>淡黄</t>
  </si>
  <si>
    <t>223,191,31,</t>
  </si>
  <si>
    <t>准备抬血</t>
  </si>
  <si>
    <t>TaiXie_P</t>
  </si>
  <si>
    <t>治疗准备抬血</t>
  </si>
  <si>
    <t>虚弱、易伤、标记、轻度减速</t>
  </si>
  <si>
    <t>紫霞功·悟</t>
  </si>
  <si>
    <t>深灰</t>
  </si>
  <si>
    <t>170,170,170,</t>
  </si>
  <si>
    <t>准备断读条</t>
  </si>
  <si>
    <t>DuanDuTiao_P</t>
  </si>
  <si>
    <t>增益、爆发、破防、会心</t>
  </si>
  <si>
    <t>[#00FFFF]</t>
  </si>
  <si>
    <t>洛阳</t>
  </si>
  <si>
    <t>花间游·悟</t>
  </si>
  <si>
    <t>灰色</t>
  </si>
  <si>
    <t>204,204,204,</t>
  </si>
  <si>
    <t>驱散T</t>
  </si>
  <si>
    <t>QuSan_T_sp</t>
  </si>
  <si>
    <t>快驱散T</t>
  </si>
  <si>
    <t>瞬发、二段技能</t>
  </si>
  <si>
    <t>洛道</t>
  </si>
  <si>
    <t>离经易道·悟</t>
  </si>
  <si>
    <t>自身</t>
  </si>
  <si>
    <t>88,198,243,</t>
  </si>
  <si>
    <t>驱散点名</t>
  </si>
  <si>
    <t>QuSan_T_sp2</t>
  </si>
  <si>
    <t>驱散点名玩家</t>
  </si>
  <si>
    <t>储能</t>
  </si>
  <si>
    <t>寇岛</t>
  </si>
  <si>
    <t>傲血战意·悟</t>
  </si>
  <si>
    <t>关怀</t>
  </si>
  <si>
    <t>81,235,231,</t>
  </si>
  <si>
    <t>驱散boss</t>
  </si>
  <si>
    <t>QuSan_T_sp3</t>
  </si>
  <si>
    <t>计数</t>
  </si>
  <si>
    <t>铁牢律·悟</t>
  </si>
  <si>
    <t>驱散npc</t>
  </si>
  <si>
    <t>QuSan_T_sp4</t>
  </si>
  <si>
    <t>驱散Npc</t>
  </si>
  <si>
    <t>禁用、CD</t>
  </si>
  <si>
    <t>[#FF3232]</t>
  </si>
  <si>
    <t>枫华谷</t>
  </si>
  <si>
    <t>冰心诀·悟</t>
  </si>
  <si>
    <t>快开减伤</t>
  </si>
  <si>
    <t>JianShang_T</t>
  </si>
  <si>
    <t>快开减伤！</t>
  </si>
  <si>
    <t>金水镇</t>
  </si>
  <si>
    <t>云裳心经·悟</t>
  </si>
  <si>
    <t>给点名减伤</t>
  </si>
  <si>
    <t>JianShang_T_s</t>
  </si>
  <si>
    <t>给被点玩家减伤！</t>
  </si>
  <si>
    <t>灵霄峡</t>
  </si>
  <si>
    <t>毒经·悟</t>
  </si>
  <si>
    <t>注意控怪</t>
  </si>
  <si>
    <t>KongGuai_T</t>
  </si>
  <si>
    <t>注意控制目标</t>
  </si>
  <si>
    <t>长安</t>
  </si>
  <si>
    <t>补天诀·悟</t>
  </si>
  <si>
    <t>打断！</t>
  </si>
  <si>
    <t>DaDuan_T</t>
  </si>
  <si>
    <t>快打断！</t>
  </si>
  <si>
    <t>惊羽诀·悟</t>
  </si>
  <si>
    <t>打断注意接断</t>
  </si>
  <si>
    <t>LianXuDaDuan_T</t>
  </si>
  <si>
    <t>准备继续打断</t>
  </si>
  <si>
    <t>天工坊</t>
  </si>
  <si>
    <t>天罗诡道·悟</t>
  </si>
  <si>
    <t>注意团血</t>
  </si>
  <si>
    <t>TaiXie_T</t>
  </si>
  <si>
    <t>无盐岛</t>
  </si>
  <si>
    <t>藏剑·悟</t>
  </si>
  <si>
    <t>点名给大加</t>
  </si>
  <si>
    <t>TaiXie_T_s</t>
  </si>
  <si>
    <t>给点名玩家大加！</t>
  </si>
  <si>
    <t>空雾峰</t>
  </si>
  <si>
    <t>笑尘诀·悟</t>
  </si>
  <si>
    <t>别用读条技能</t>
  </si>
  <si>
    <t>DuanDuTiao_T</t>
  </si>
  <si>
    <t>断读条，别用读条技能</t>
  </si>
  <si>
    <t>天地三才阵</t>
  </si>
  <si>
    <t>焚影圣诀·悟</t>
  </si>
  <si>
    <t>目标</t>
  </si>
  <si>
    <t>巴陵县</t>
  </si>
  <si>
    <t>明尊琉璃体·悟</t>
  </si>
  <si>
    <t>准备转火</t>
  </si>
  <si>
    <t>ZhuanHuo_P</t>
  </si>
  <si>
    <t>南屏山</t>
  </si>
  <si>
    <t>铁骨衣·悟</t>
  </si>
  <si>
    <t>准备停手</t>
  </si>
  <si>
    <t>TingShou_P</t>
  </si>
  <si>
    <t>龙门荒漠</t>
  </si>
  <si>
    <t>分山劲·悟</t>
  </si>
  <si>
    <t>准备停奶</t>
  </si>
  <si>
    <t>TingNai_P</t>
  </si>
  <si>
    <t>治疗准备停奶</t>
  </si>
  <si>
    <t>莫问·悟</t>
  </si>
  <si>
    <t>准备换仇</t>
  </si>
  <si>
    <t>HuanChou_P</t>
  </si>
  <si>
    <t>T准备换仇</t>
  </si>
  <si>
    <t>荻花宫前山</t>
  </si>
  <si>
    <t>相知·悟</t>
  </si>
  <si>
    <t>停手别打了</t>
  </si>
  <si>
    <t>TingShou_T</t>
  </si>
  <si>
    <t>DPS停手!</t>
  </si>
  <si>
    <t>北傲诀·悟</t>
  </si>
  <si>
    <t>治疗停手</t>
  </si>
  <si>
    <t>TingNai_T</t>
  </si>
  <si>
    <t>治疗停手!</t>
  </si>
  <si>
    <t>日轮山城</t>
  </si>
  <si>
    <t>凌海诀·悟</t>
  </si>
  <si>
    <t>注意换仇</t>
  </si>
  <si>
    <t>HuanChou_T</t>
  </si>
  <si>
    <t>T注意换仇</t>
  </si>
  <si>
    <t>五十级云湖天池</t>
  </si>
  <si>
    <t>隐龙诀·悟</t>
  </si>
  <si>
    <t>其它</t>
  </si>
  <si>
    <t>昆仑</t>
  </si>
  <si>
    <t>太玄经·悟</t>
  </si>
  <si>
    <t>准备转阶段</t>
  </si>
  <si>
    <t>ZhuanJieDuan</t>
  </si>
  <si>
    <t>特殊光照地图2</t>
  </si>
  <si>
    <t>灵素·悟</t>
  </si>
  <si>
    <t>准备QTE</t>
  </si>
  <si>
    <t>QTE</t>
  </si>
  <si>
    <t>战宝迦兰</t>
  </si>
  <si>
    <t>无方·悟</t>
  </si>
  <si>
    <t>使用道具</t>
  </si>
  <si>
    <t>ShiYongDaoJu</t>
  </si>
  <si>
    <t>使用特殊道具</t>
  </si>
  <si>
    <t>天子峰</t>
  </si>
  <si>
    <t>孤锋诀·悟</t>
  </si>
  <si>
    <t>使用特殊技能</t>
  </si>
  <si>
    <t>ShiYongTeShuJiNeng</t>
  </si>
  <si>
    <t>风雨稻香村</t>
  </si>
  <si>
    <t>山海心诀·悟</t>
  </si>
  <si>
    <t>转火</t>
  </si>
  <si>
    <t>瞿塘峡</t>
  </si>
  <si>
    <t>周天功·悟</t>
  </si>
  <si>
    <t>转火白云</t>
  </si>
  <si>
    <t>ZhuanHuo_T_BY</t>
  </si>
  <si>
    <t>英雄天地三才阵</t>
  </si>
  <si>
    <t>幽罗引·悟</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</si>
  <si>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</si>
  <si>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</si>
  <si>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</si>
  <si>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</si>
  <si>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</si>
  <si>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</si>
  <si>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</si>
  <si>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</si>
  <si>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</si>
  <si>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</si>
  <si>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</si>
  <si>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</si>
  <si>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</si>
  <si>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</si>
  <si>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</si>
  <si>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</si>
  <si>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</si>
  <si>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</si>
  <si>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</si>
  <si>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</si>
  <si>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</si>
  <si>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</si>
  <si>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</si>
  <si>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</si>
  <si>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</si>
  <si>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</si>
  <si>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</si>
  <si>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</si>
  <si>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</si>
  <si>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</si>
  <si>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</si>
  <si>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</si>
  <si>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</si>
  <si>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</si>
  <si>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</si>
  <si>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</si>
  <si>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</si>
  <si>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</si>
  <si>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</si>
  <si>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</si>
  <si>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</si>
  <si>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</si>
  <si>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</si>
  <si>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</si>
  <si>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</si>
  <si>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</si>
  <si>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</si>
  <si>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</si>
  <si>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</si>
  <si>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</si>
  <si>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</si>
  <si>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</si>
  <si>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</si>
  <si>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</si>
  <si>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</si>
  <si>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</si>
  <si>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</si>
  <si>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</si>
  <si>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</si>
  <si>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</si>
  <si>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</si>
  <si>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</si>
  <si>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</si>
  <si>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</si>
  <si>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</si>
  <si>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</si>
  <si>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</si>
  <si>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</si>
  <si>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</si>
  <si>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</si>
  <si>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</si>
  <si>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</si>
  <si>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</si>
  <si>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</si>
  <si>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</si>
  <si>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</si>
  <si>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</si>
  <si>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</si>
  <si>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</si>
  <si>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</si>
  <si>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</si>
  <si>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</si>
  <si>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</si>
  <si>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</si>
  <si>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</si>
  <si>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</si>
  <si>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</si>
  <si>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</si>
  <si>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</si>
  <si>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</si>
  <si>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</si>
  <si>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</si>
  <si>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</si>
  <si>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</si>
  <si>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</si>
  <si>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</si>
  <si>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</si>
  <si>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</si>
  <si>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</si>
  <si>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</si>
  <si>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</si>
  <si>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</si>
  <si>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</si>
  <si>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</si>
  <si>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</si>
  <si>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</si>
  <si>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</si>
  <si>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</si>
  <si>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</si>
  <si>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</si>
  <si>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</si>
  <si>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</si>
  <si>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</si>
  <si>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</si>
  <si>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</si>
  <si>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</si>
  <si>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</si>
  <si>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</si>
  <si>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</si>
  <si>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</si>
  <si>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</si>
  <si>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</si>
  <si>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</si>
  <si>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</si>
  <si>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</si>
  <si>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</si>
  <si>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</si>
  <si>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</si>
  <si>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</si>
  <si>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</si>
  <si>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</si>
  <si>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</si>
  <si>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</si>
  <si>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</si>
  <si>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</si>
  <si>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</si>
  <si>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</si>
  <si>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</si>
  <si>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</si>
  <si>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</si>
  <si>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</si>
  <si>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</si>
  <si>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</si>
  <si>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</si>
  <si>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</si>
  <si>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</si>
  <si>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</si>
  <si>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</si>
  <si>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</si>
  <si>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</si>
  <si>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</si>
  <si>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</si>
  <si>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</si>
  <si>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</si>
  <si>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</si>
  <si>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</si>
  <si>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</si>
  <si>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</si>
  <si>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</si>
  <si>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</si>
  <si>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</si>
  <si>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</si>
  <si>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</si>
  <si>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</si>
  <si>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</si>
  <si>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</si>
  <si>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</si>
  <si>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</si>
  <si>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</si>
  <si>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</si>
  <si>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</si>
  <si>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</si>
  <si>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</si>
  <si>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</si>
  <si>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</si>
  <si>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</si>
  <si>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</si>
  <si>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</si>
  <si>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</si>
  <si>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</si>
  <si>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</si>
  <si>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</si>
  <si>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</si>
  <si>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</si>
  <si>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</si>
  <si>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</si>
  <si>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</si>
  <si>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</si>
  <si>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</si>
  <si>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</si>
  <si>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</si>
  <si>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</si>
  <si>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</si>
  <si>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</si>
  <si>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</si>
  <si>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</si>
  <si>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</si>
  <si>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</si>
  <si>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</si>
  <si>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</si>
  <si>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</si>
  <si>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</si>
  <si>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</si>
  <si>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</si>
  <si>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</si>
  <si>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</si>
  <si>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</si>
  <si>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</si>
  <si>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</si>
  <si>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</si>
  <si>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</si>
  <si>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</si>
  <si>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</si>
  <si>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</si>
  <si>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</si>
  <si>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</si>
  <si>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</si>
  <si>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</si>
  <si>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</si>
  <si>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</si>
  <si>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</si>
  <si>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</si>
  <si>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</si>
  <si>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</si>
  <si>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</si>
  <si>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</si>
  <si>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</si>
  <si>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</si>
  <si>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</si>
  <si>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</si>
  <si>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</si>
  <si>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</si>
  <si>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</si>
  <si>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</si>
  <si>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</si>
  <si>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</si>
  <si>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</si>
  <si>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</si>
  <si>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</si>
  <si>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</si>
  <si>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</si>
  <si>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</si>
  <si>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</si>
  <si>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</si>
  <si>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</si>
  <si>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</si>
  <si>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</si>
  <si>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</si>
  <si>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</si>
  <si>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</si>
  <si>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</si>
  <si>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</si>
  <si>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</si>
  <si>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</si>
  <si>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</si>
  <si>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</si>
  <si>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</si>
  <si>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</si>
  <si>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</si>
  <si>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</si>
  <si>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</si>
  <si>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</si>
  <si>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</si>
  <si>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</si>
  <si>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</si>
  <si>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</si>
  <si>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</si>
  <si>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</si>
  <si>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</si>
  <si>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</si>
  <si>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</si>
  <si>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</si>
  <si>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</si>
  <si>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</si>
  <si>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</si>
  <si>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</si>
  <si>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</si>
  <si>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</si>
  <si>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</si>
  <si>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</si>
  <si>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</si>
  <si>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</si>
  <si>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</si>
  <si>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</si>
  <si>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</si>
  <si>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</si>
  <si>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</si>
  <si>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</si>
  <si>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</si>
  <si>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</si>
  <si>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</si>
  <si>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</si>
  <si>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</si>
  <si>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</si>
  <si>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</si>
  <si>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</si>
  <si>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</si>
  <si>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</si>
  <si>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</si>
  <si>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</si>
  <si>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</si>
  <si>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</si>
  <si>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</si>
  <si>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</si>
  <si>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</si>
  <si>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</si>
  <si>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</si>
  <si>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</si>
  <si>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</si>
  <si>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</si>
  <si>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</si>
  <si>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</si>
  <si>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</si>
  <si>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</si>
  <si>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</si>
  <si>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</si>
  <si>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</si>
  <si>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</si>
  <si>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</si>
  <si>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</si>
  <si>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</si>
  <si>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</si>
  <si>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</si>
  <si>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</si>
  <si>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苍云血誓</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</si>
  <si>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</si>
  <si>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</si>
  <si>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</si>
  <si>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</si>
  <si>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</si>
  <si>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</si>
  <si>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</si>
  <si>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</si>
  <si>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</si>
  <si>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</si>
  <si>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</si>
  <si>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</si>
  <si>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</si>
  <si>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</si>
  <si>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</si>
  <si>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</si>
  <si>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</si>
  <si>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</si>
  <si>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</si>
  <si>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</si>
  <si>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</si>
  <si>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</si>
  <si>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</si>
  <si>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</si>
  <si>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</si>
  <si>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</si>
  <si>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</si>
  <si>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</si>
  <si>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</si>
  <si>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</si>
  <si>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</si>
  <si>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</si>
  <si>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</si>
  <si>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</si>
  <si>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</si>
  <si>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</si>
  <si>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</si>
  <si>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</si>
  <si>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</si>
  <si>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</si>
  <si>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</si>
  <si>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</si>
  <si>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</si>
  <si>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</si>
  <si>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</si>
  <si>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</si>
  <si>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</si>
  <si>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</si>
  <si>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</si>
  <si>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</si>
  <si>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</si>
  <si>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</si>
  <si>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</si>
  <si>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</si>
  <si>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</si>
  <si>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</si>
  <si>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</si>
  <si>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</si>
  <si>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</si>
  <si>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</si>
  <si>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</si>
  <si>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</si>
  <si>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</si>
  <si>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</si>
  <si>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</si>
  <si>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</si>
  <si>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</si>
  <si>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</si>
  <si>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</si>
  <si>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</si>
  <si>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</si>
  <si>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</si>
  <si>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</si>
  <si>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</si>
  <si>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</si>
  <si>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</si>
  <si>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</si>
  <si>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</si>
  <si>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</si>
  <si>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</si>
  <si>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</si>
  <si>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</si>
  <si>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</si>
  <si>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</si>
  <si>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</si>
  <si>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</si>
  <si>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</si>
  <si>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</si>
  <si>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</si>
  <si>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</si>
  <si>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</si>
  <si>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</si>
  <si>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</si>
  <si>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</si>
  <si>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</si>
  <si>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</si>
  <si>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</si>
  <si>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</si>
  <si>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</si>
  <si>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</si>
  <si>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</si>
  <si>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</si>
  <si>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</si>
  <si>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</si>
  <si>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</si>
  <si>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</si>
  <si>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</si>
  <si>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</si>
  <si>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</si>
  <si>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</si>
  <si>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</si>
  <si>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</si>
  <si>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</si>
  <si>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</si>
  <si>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</si>
  <si>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</si>
  <si>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</si>
  <si>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</si>
  <si>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</si>
  <si>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</si>
  <si>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</si>
  <si>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</si>
  <si>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</si>
  <si>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</si>
  <si>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</si>
  <si>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</si>
  <si>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</si>
  <si>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</si>
  <si>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</si>
  <si>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</si>
  <si>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</si>
  <si>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</si>
  <si>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</si>
  <si>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</si>
  <si>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</si>
  <si>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</si>
  <si>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</si>
  <si>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</si>
  <si>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</si>
  <si>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</si>
  <si>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</si>
  <si>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</si>
  <si>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</si>
  <si>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</si>
  <si>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</si>
  <si>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</si>
  <si>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</si>
  <si>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</si>
  <si>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</si>
  <si>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</si>
  <si>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</si>
  <si>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</si>
  <si>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</si>
  <si>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</si>
  <si>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</si>
  <si>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</si>
  <si>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</si>
  <si>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</si>
  <si>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</si>
  <si>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</si>
  <si>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</si>
  <si>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</si>
  <si>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</si>
  <si>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</si>
  <si>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</si>
  <si>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</si>
  <si>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</si>
  <si>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</si>
  <si>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</si>
  <si>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</si>
  <si>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</si>
  <si>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</si>
  <si>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</si>
  <si>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</si>
  <si>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</si>
  <si>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</si>
  <si>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</si>
  <si>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</si>
  <si>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</si>
  <si>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</si>
  <si>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</si>
  <si>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</si>
  <si>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</si>
  <si>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</si>
  <si>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</si>
  <si>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</si>
  <si>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</si>
  <si>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</si>
  <si>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</si>
  <si>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</si>
  <si>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</si>
  <si>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</si>
  <si>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</si>
  <si>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</si>
  <si>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</si>
  <si>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</si>
  <si>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</si>
  <si>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</si>
  <si>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</si>
  <si>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</si>
  <si>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</si>
  <si>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</si>
  <si>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</si>
  <si>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</si>
  <si>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</si>
  <si>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</si>
  <si>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</si>
  <si>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</si>
  <si>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</si>
  <si>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</si>
  <si>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</si>
  <si>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</si>
  <si>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</si>
  <si>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</si>
  <si>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</si>
  <si>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</si>
  <si>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</si>
  <si>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</si>
  <si>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</si>
  <si>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</si>
  <si>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</si>
  <si>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</si>
  <si>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</si>
  <si>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</si>
  <si>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</si>
  <si>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</si>
  <si>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</si>
  <si>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</si>
  <si>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</si>
  <si>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</si>
  <si>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</si>
  <si>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</si>
  <si>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</si>
  <si>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</si>
  <si>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</si>
  <si>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</si>
  <si>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</si>
  <si>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</si>
  <si>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</si>
  <si>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</si>
  <si>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</si>
  <si>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</si>
  <si>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</si>
  <si>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</si>
  <si>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</si>
  <si>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</si>
  <si>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</si>
  <si>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</si>
  <si>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</si>
  <si>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</si>
  <si>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</si>
  <si>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</si>
  <si>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</si>
  <si>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</si>
  <si>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</si>
  <si>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</si>
  <si>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</si>
  <si>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</si>
  <si>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</si>
  <si>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</si>
  <si>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</si>
  <si>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</si>
  <si>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</si>
  <si>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</si>
  <si>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</si>
  <si>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</si>
  <si>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</si>
  <si>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</si>
  <si>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</si>
  <si>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</si>
  <si>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</si>
  <si>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</si>
  <si>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</si>
  <si>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</si>
  <si>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</si>
  <si>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</si>
  <si>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</si>
  <si>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</si>
  <si>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</si>
  <si>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</si>
  <si>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</si>
  <si>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</si>
  <si>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</si>
  <si>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</si>
  <si>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</si>
  <si>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</si>
  <si>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</si>
  <si>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</si>
  <si>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</si>
  <si>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</si>
  <si>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</si>
  <si>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</si>
  <si>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</si>
  <si>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</si>
  <si>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</si>
  <si>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</si>
  <si>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</si>
  <si>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</si>
  <si>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</si>
  <si>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</si>
  <si>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</si>
  <si>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</si>
  <si>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</si>
  <si>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</si>
  <si>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</si>
  <si>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</si>
  <si>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</si>
  <si>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</si>
  <si>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</si>
  <si>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</si>
  <si>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</si>
  <si>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</si>
  <si>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</si>
  <si>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</si>
  <si>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</si>
  <si>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</si>
  <si>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</si>
  <si>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</si>
  <si>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</si>
  <si>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</si>
  <si>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</si>
  <si>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</si>
  <si>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</si>
  <si>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</si>
  <si>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</si>
  <si>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</si>
  <si>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</si>
  <si>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</si>
  <si>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</si>
  <si>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</si>
  <si>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</si>
  <si>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</si>
  <si>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</si>
  <si>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</si>
  <si>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</si>
  <si>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</si>
  <si>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</si>
  <si>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</si>
  <si>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</si>
  <si>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</si>
  <si>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</si>
  <si>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</si>
  <si>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</si>
  <si>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</si>
  <si>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</si>
  <si>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</si>
  <si>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</si>
  <si>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</si>
  <si>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</si>
  <si>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</si>
  <si>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</si>
  <si>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</si>
  <si>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</si>
  <si>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</si>
  <si>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</si>
  <si>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</si>
  <si>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</si>
  <si>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</si>
  <si>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</si>
  <si>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</si>
  <si>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</si>
  <si>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</si>
  <si>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</si>
  <si>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</si>
  <si>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</si>
  <si>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</si>
  <si>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</si>
  <si>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</si>
  <si>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</si>
  <si>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</si>
  <si>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</si>
  <si>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</si>
  <si>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</si>
  <si>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</si>
  <si>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</si>
  <si>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</si>
  <si>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</si>
  <si>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</si>
  <si>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</si>
  <si>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</si>
  <si>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</si>
  <si>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</si>
  <si>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</si>
  <si>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</si>
  <si>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标记.获得气劲</t>
  </si>
  <si>
    <t>语音报警.获得气劲</t>
  </si>
  <si>
    <t>自身播放.获得气劲</t>
  </si>
  <si>
    <t>团队报警.获得气劲</t>
  </si>
  <si>
    <t>密聊报警.获得气劲</t>
  </si>
  <si>
    <t>中央报警.获得气劲</t>
  </si>
  <si>
    <t>头顶警报.获得气劲</t>
  </si>
  <si>
    <t>团队气劲列表.获得气劲</t>
  </si>
  <si>
    <t>自身气劲列表.获得气劲</t>
  </si>
  <si>
    <t>全屏泛光.获得气劲</t>
  </si>
  <si>
    <t>团队面板.获得气劲</t>
  </si>
  <si>
    <t>仅来源自己.获得气劲</t>
  </si>
  <si>
    <t>语音报警.失去气劲</t>
  </si>
  <si>
    <t>自身播放.失去气劲</t>
  </si>
  <si>
    <t>团队警报.失去气劲</t>
  </si>
  <si>
    <t>密聊警报.失去气劲</t>
  </si>
  <si>
    <t>中央警报.失去气劲</t>
  </si>
  <si>
    <t>触发层数.面板</t>
  </si>
  <si>
    <t>触发逻辑.面板</t>
  </si>
  <si>
    <t>仅来源自己.面板</t>
  </si>
  <si>
    <t>仅监控自己.面板</t>
  </si>
  <si>
    <t>备注.面板</t>
  </si>
  <si>
    <t>优先级.面板</t>
  </si>
  <si>
    <t>蒙版颜色.面板</t>
  </si>
  <si>
    <t>头顶颜色.面板</t>
  </si>
  <si>
    <t>描边透明度.面板</t>
  </si>
  <si>
    <t>蒙版警告.面板</t>
  </si>
  <si>
    <t>特效警告.面板</t>
  </si>
  <si>
    <t>头顶提示.面板</t>
  </si>
  <si>
    <t>保留数组.面板</t>
  </si>
  <si>
    <t>return {BUFF={</t>
  </si>
  <si>
    <t>遁影</t>
  </si>
  <si>
    <t>return {DEBUFF={</t>
  </si>
  <si>
    <t>禁足</t>
  </si>
  <si>
    <t>过图禁足</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</si>
  <si>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</si>
  <si>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</si>
  <si>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</si>
  <si>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</si>
  <si>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</si>
  <si>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</si>
  <si>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</si>
  <si>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</si>
  <si>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</si>
  <si>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</si>
  <si>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</si>
  <si>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</si>
  <si>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全屏泛光.招式释放</t>
  </si>
  <si>
    <t>return {CASTING={</t>
  </si>
  <si>
    <t>八部金刚功</t>
  </si>
  <si>
    <t>数量</t>
  </si>
  <si>
    <t>全部消失</t>
  </si>
  <si>
    <t>标记.NPC进入</t>
  </si>
  <si>
    <t>语音报警.NPC进入</t>
  </si>
  <si>
    <t>团队报警.NPC进入</t>
  </si>
  <si>
    <t>密聊报警.NPC进入</t>
  </si>
  <si>
    <t>中央报警.NPC进入</t>
  </si>
  <si>
    <t>头顶报警.NPC进入</t>
  </si>
  <si>
    <t>全屏泛光.NPC进入</t>
  </si>
  <si>
    <t>语音报警.NPC离开</t>
  </si>
  <si>
    <t>团队报警.NPC离开</t>
  </si>
  <si>
    <t>密聊报警.NPC离开</t>
  </si>
  <si>
    <t>中央报警.NPC离开</t>
  </si>
  <si>
    <t>return {NPC={</t>
  </si>
  <si>
    <t>穿山甲</t>
  </si>
  <si>
    <t>{dwMapID=-1,szDisplay="穿山甲",nMaxDistance=120,tRelation={bAll=true,bEnemy=false,bAlly=false,},tLife={bEnable=false,szOperator="&gt;",nValue=0,},},</t>
  </si>
  <si>
    <t>白蛇</t>
  </si>
  <si>
    <t>{dwMapID=-1,szDisplay="白蛇",nMaxDistance=120,tRelation={bAll=true,bEnemy=false,bAlly=false,},tLife={bEnable=false,szOperator="&gt;",nValue=0,},},</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</si>
  <si>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</si>
  <si>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</si>
  <si>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</si>
  <si>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</si>
  <si>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</si>
  <si>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</si>
  <si>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</si>
  <si>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</si>
  <si>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</si>
  <si>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</si>
  <si>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</si>
  <si>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红包</t>
  </si>
  <si>
    <t>{dwMapID=-1,szDisplay="红包",nMaxDistance=120,tRelation={bAll=true,bEnemy=false,bAlly=false,},tLife={bEnable=false,szOperator="&gt;",nValue=0,},},</t>
  </si>
  <si>
    <t>喊话内容</t>
  </si>
  <si>
    <t>子串搜索</t>
  </si>
  <si>
    <t>正则匹配</t>
  </si>
  <si>
    <t>语音报警.喊话</t>
  </si>
  <si>
    <t>团队报警.喊话</t>
  </si>
  <si>
    <t>密聊警报.喊话</t>
  </si>
  <si>
    <t>中央报警.喊话</t>
  </si>
  <si>
    <t>头顶报警.喊话</t>
  </si>
  <si>
    <t>全屏泛光.喊话</t>
  </si>
  <si>
    <t>return {TALK={</t>
  </si>
  <si>
    <t>门派的数据</t>
  </si>
  <si>
    <t>正在为你寻找玩家，一分钟内对方将与你自动组队，请保持可组队状态。</t>
  </si>
  <si>
    <t>未找到前来帮助的侠士，少侠可重新发布援助。</t>
  </si>
  <si>
    <t>%</t>
  </si>
  <si>
    <t>^大侠的(.-)运势累计至(%d-)/(%d+)</t>
  </si>
  <si>
    <t>运势·{$1}·{$2}/{$3}</t>
  </si>
  <si>
    <t>(.-)已经登记成为送货首领，物资队已出发，请帮会成员立即集合护送！</t>
  </si>
  <si>
    <t>阴山商路·【{$1}】·送货首领</t>
  </si>
  <si>
    <t>100,255,255,</t>
  </si>
  <si>
    <t>大侠的今日的许愿次数已用尽，请明日再来。</t>
  </si>
  <si>
    <t>今日用尽·自己园宅·许愿次数</t>
  </si>
  <si>
    <t>大侠在好友家的今日的许愿次数已用尽，请明日再来。</t>
  </si>
  <si>
    <t>今日用尽·好友园宅·许愿次数</t>
  </si>
  <si>
    <t>转换失败，可能是道具即将超过拥有上限。</t>
  </si>
  <si>
    <t>宝箱·转换失败·可能上限</t>
  </si>
  <si>
    <t>(.-)([增加扣除]-)(%d+)个【(.-)】。</t>
  </si>
  <si>
    <t>{$2}【{$2}】{$1}个</t>
  </si>
  <si>
    <t>^本周已获得送花奖励次数 (%d-)/(%d+)</t>
  </si>
  <si>
    <t>^本周还可通过配置香膏获得调香经验(%d+)次</t>
  </si>
  <si>
    <t>^大侠已经触发过%[(.-)%]奇遇，或者拥有该奇遇的概率提升状态，故奖励(%d-)点不占周上限的园宅币。</t>
  </si>
  <si>
    <t>祈福树·[{$1}]转{$2}园宅币</t>
  </si>
  <si>
    <t>^恭喜侠士获得“(.-)”增益！</t>
  </si>
  <si>
    <t>祈福树·增益·{$1}</t>
  </si>
  <si>
    <t>侠士成功种下了绣球花种子·一级。</t>
  </si>
  <si>
    <t>侠士成功种下了郁金香种子·一级。</t>
  </si>
  <si>
    <t>侠士成功种下了牵牛花种子·一级。</t>
  </si>
  <si>
    <t>侠士成功种下了玫瑰种子·一级。</t>
  </si>
  <si>
    <t>侠士成功种下了百合种子·一级。</t>
  </si>
  <si>
    <t>阿甘开心的对你扭了扭！</t>
  </si>
  <si>
    <t>成功重置原野奇踪进度</t>
  </si>
  <si>
    <t>协助订单已被完成！</t>
  </si>
  <si>
    <t>^请将这单货物送往(.-)号宅邸的管家阿甘处。</t>
  </si>
  <si>
    <t>送信·{$1}</t>
  </si>
  <si>
    <t>运货首领被击杀，损失了10份镖银……</t>
  </si>
  <si>
    <t>阴山商路·首领重伤·损失10镖银</t>
  </si>
  <si>
    <t>运货首领离线了，损失了20份镖银……</t>
  </si>
  <si>
    <t>阴山商路·首领离线·损失20镖银</t>
  </si>
  <si>
    <t>运货首领花费5000两帮会资金成功补货50份！</t>
  </si>
  <si>
    <t>阴山商路·补货·50份</t>
  </si>
  <si>
    <t>运货首领身份已重置，请各位尽快认领物资队将其运抵目的地！</t>
  </si>
  <si>
    <t>阴山商路·首领重置·损失30镖银</t>
  </si>
  <si>
    <t>当前秘境侠客和侠士的总人数已经超过秘境上限，无法再召唤。</t>
  </si>
  <si>
    <t>祈愿未触发，当前已尝试次数为： 1</t>
  </si>
  <si>
    <t>祈愿台·尝试·1次</t>
  </si>
  <si>
    <t>祈愿未触发，当前已尝试次数为： 2</t>
  </si>
  <si>
    <t>祈愿台·尝试·2次</t>
  </si>
  <si>
    <t>宝光闪闪，祈愿触发！</t>
  </si>
  <si>
    <t>祈愿台·祈愿触发</t>
  </si>
  <si>
    <t>{$me}这是什么乱七八糟的水沏的，白白浪费了上好的</t>
  </si>
  <si>
    <t>秘境镖局接引人</t>
  </si>
  <si>
    <t>因(.-)交通阻塞，镖局临时开启【(.-)】秘境镖路，各位侠士可寻我直接进入秘境。</t>
  </si>
  <si>
    <t>255,255,100,</t>
  </si>
  <si>
    <t>好像有鱼咬钩了，快收杆！</t>
  </si>
  <si>
    <t>有鱼咬钩</t>
  </si>
  <si>
    <t>此次帮会通过阴山商路成功运抵</t>
  </si>
  <si>
    <t>阴山商路·成功运抵</t>
  </si>
  <si>
    <t>阴山商路运输物资已成功开启，请有权限的侠士速到黑戈壁帮会物资主簿处申请成为运货首领开始运送！</t>
  </si>
  <si>
    <t>阴山商路·开启</t>
  </si>
  <si>
    <t>本周帮会菜园保卫战完满达成，增加了70000点不占周上限的帮会资金。</t>
  </si>
  <si>
    <t>帮会领地·菜园保卫战·完满达成</t>
  </si>
  <si>
    <t>猪九戒出现祝融山，请大家速去阻止它破坏农田。</t>
  </si>
  <si>
    <t>菜园保卫战·祝融山·猪九戒·出现</t>
  </si>
  <si>
    <t>据韩非子最新消息，唱晚池将于20分钟后归于平静。在此之前于唱晚池钓到稀有物品的概率将大幅增长，机不可失失不再来啊。</t>
  </si>
  <si>
    <t>帮会领地·钓鱼活动·已经开启</t>
  </si>
  <si>
    <t>天上掉馅饼，鱼池落珍宝！刚得到可靠消息，韩非子夜观天象算准了在接下来的40分钟内，于唱晚池钓到稀有物品的概率将大幅增长，机不可失失不再来啊，速回帮会寻珍觅宝钓大鱼吧！</t>
  </si>
  <si>
    <t>帮会领地·钓鱼活动·正式开启</t>
  </si>
  <si>
    <t>【小猪快跑】活动正式开启，请众位侠士速回帮会协助三石叔赶回窜逃的小猪。若帮会总积分达到500分，则帮会和个人均会获得大量奖励！</t>
  </si>
  <si>
    <t>帮会领地·小猪快跑·活动开启</t>
  </si>
  <si>
    <t>你在挖掘宝藏时消耗了</t>
  </si>
  <si>
    <t>挖宝·CD</t>
  </si>
  <si>
    <t>^你已累计翻阅了(%d-)次《(.-)传》。</t>
  </si>
  <si>
    <t>^你不能在%[(.-)%]附近(%d-)尺内执行此操作。</t>
  </si>
  <si>
    <t>注意·[{$1}]·限制{$2}尺</t>
  </si>
  <si>
    <t>少侠奇穴重置，特补偿九花玉露散200个已通过邮件发送，请注意查收。</t>
  </si>
  <si>
    <t>奇穴重置</t>
  </si>
  <si>
    <t>分配者正发起收入分配，不在相同场景者无法投票，倒计时结束后默认反对</t>
  </si>
  <si>
    <t>你发现了一个藏宝洞！藏宝洞只存在两刻钟，务必速速前往挖掘宝藏！</t>
  </si>
  <si>
    <t>发现·藏宝洞</t>
  </si>
  <si>
    <t>团队宝藏点出现！只存在一刻钟，速去寻找！</t>
  </si>
  <si>
    <t>团点出现</t>
  </si>
  <si>
    <t>你在探寻魂墟宝物时不小心惊动了魂墟看守宝物的魂灵！</t>
  </si>
  <si>
    <t>方士寻宝·魂灵宝物</t>
  </si>
  <si>
    <t>注意，你已被发布决斗挑战，10秒后决斗挑战正式生效！</t>
  </si>
  <si>
    <t>你被发布·决斗挑战</t>
  </si>
  <si>
    <t>注意，你已被发布决斗挑战，决斗挑战正式生效！</t>
  </si>
  <si>
    <t>决斗挑战·正式生效</t>
  </si>
  <si>
    <t>return {CHAT={</t>
  </si>
  <si>
    <t>你已进入地图</t>
  </si>
  <si>
    <t>您已经加入战场等待队列。\n</t>
  </si>
  <si>
    <t>您离开了战场的等待队列。\n</t>
  </si>
  <si>
    <t>您的宠物已消除忧虑，变得活泼欢快。\n</t>
  </si>
  <si>
    <t>宠物已消除忧虑</t>
  </si>
  <si>
    <t>援助关系绑定成功，退队可主动解除，但会受到一定惩罚。若对方离线，主动退队解除关系将不受惩罚。\n</t>
  </si>
  <si>
    <t>援助·已绑定</t>
  </si>
  <si>
    <t>南宫麒：随着暮色降临，扬州、五毒、明教、苍云、战乱天策魂虚场景中的魂灵变得活跃起来，各位方士不妨出魂一探究竟，说不定有意外收获！\n</t>
  </si>
  <si>
    <t>方士活动·已经开启</t>
  </si>
  <si>
    <t>帮会领地唱晚池突现异常，各类鱼儿异常活跃，鱼儿上钩时间大大缩短！各路已满80级的侠士可前往一试，定能收获不菲。\n</t>
  </si>
  <si>
    <t>阴山商路运输物资成功开启！请帮会有权限的侠士到黑戈壁帮会物资主簿处申请成为运货首领开始运送！\n</t>
  </si>
  <si>
    <t>江湖急报：巴陵县出现罕见异兽，请深通驭兽秘术之侠客前往收服，以解百姓之忧。\n</t>
  </si>
  <si>
    <t>巴陵御兽·开启</t>
  </si>
  <si>
    <t>江湖快报！卫栖梧正在寻找绝世轻功之人，其友[唐文羽]已在少林举办梅花桩试炼大赛，望广大轻功能人速来少林参赛！\n</t>
  </si>
  <si>
    <t>扶摇九天·开启</t>
  </si>
  <si>
    <t>交易行私货正在拍卖广陵邑7200平【园宅置业·天苑】，侠士们切勿错过！\n</t>
  </si>
  <si>
    <t>交易行私货正在拍卖九寨沟·镜海7200平【万年金券】，侠士们切勿错过！\n</t>
  </si>
  <si>
    <t>^%[(.-)%]：(%d+)/(1?%d%d)\n</t>
  </si>
  <si>
    <t>^你驯养的(.-)[触发]-事件“(.-)”([消除了]-)。</t>
  </si>
  <si>
    <t>^密探来报：%\"(.-)%\"(.-)出现在(.-)[前尘影事]-[“]-([峥嵘振武]-)[”]-([主分线]-)，</t>
  </si>
  <si>
    <t>世界首领·出现</t>
  </si>
  <si>
    <t>关闭阵营模式剩余时间：5分钟。\n</t>
  </si>
  <si>
    <t>关闭阵营模式剩余时间：4分钟。\n</t>
  </si>
  <si>
    <t>关闭阵营模式剩余时间：3分钟。\n</t>
  </si>
  <si>
    <t>关闭阵营模式剩余时间：2分钟。\n</t>
  </si>
  <si>
    <t>关闭阵营模式剩余时间：1分钟。\n</t>
  </si>
  <si>
    <t>你成功关闭了阵营模式。\n</t>
  </si>
  <si>
    <t>关闭阵营模式失败。\n</t>
  </si>
  <si>
    <t>对方不在线。\n</t>
  </si>
  <si>
    <t>已切换到“摁键发言”模式，</t>
  </si>
  <si>
    <t>麦克风·摁键发言</t>
  </si>
  <si>
    <t>你的武斗值增加了20点。\n</t>
  </si>
  <si>
    <t>你的武斗值增加了30点。\n</t>
  </si>
  <si>
    <t>^本日还能从本事件获得(%d-)贡献度的奖励。</t>
  </si>
  <si>
    <t>(.-)已经添加(.-)为(.-)，将在(%d-)秒后对(.-)开启(.-)战斗。</t>
  </si>
  <si>
    <t>{$1}·添加·{$2}·{$3}</t>
  </si>
  <si>
    <t>(.-)对你使用了截元丹，你的原地复活时间被延长了。</t>
  </si>
  <si>
    <t>截元丹·【{$1}】</t>
  </si>
  <si>
    <t>财神降临！慷慨之士 {$team} 正在</t>
  </si>
  <si>
    <t>【{$receiver}】·正在发红包</t>
  </si>
  <si>
    <t>侠士</t>
  </si>
  <si>
    <t>屏蔽·的卢·诛恶·攻防·刷马</t>
  </si>
  <si>
    <t>{nClass=20,nIcon=13,nFrame=5,nTime=-2,szName="鲲鹏岛",key="鲲鹏岛",},</t>
  </si>
  <si>
    <t>{nClass=20,nIcon=13,nFrame=-1,nTime=-1,szName="骑御·劲足",nRefresh=5,key="骑御·劲足",},</t>
  </si>
  <si>
    <t>{nClass=20,nIcon=13,nFrame=-1,nTime=-1,szName="骑御·调息",nRefresh=5,key="骑御·调息",},</t>
  </si>
  <si>
    <t>{nClass=20,nIcon=13,nFrame=5,nTime=-1,szName="炊事",nRefresh=5,key="炊事",},</t>
  </si>
  <si>
    <t>{nClass=20,nIcon=13,nFrame=-1,nTime=-1,szName="创意食品",nRefresh=5,key="创意食品",},</t>
  </si>
  <si>
    <t>{nClass=20,nIcon=4434,nFrame=6,bHold=true,nTime=20,szName="记得领茶饼",nRefresh=99999,key="每日茶饼",},</t>
  </si>
  <si>
    <t>{nClass=20,nIcon=13,nFrame=5,nTime=-2,szName="诛恶事件",key="诛恶事件",},</t>
  </si>
  <si>
    <t>{nClass=20,nIcon=13,nFrame=5,nTime=-2,szName="阵营活动",key="阵营活动",},</t>
  </si>
  <si>
    <t>{nClass=20,nIcon=13,nFrame=5,nTime=-2,szName="通用事件",key="通用事件",},</t>
  </si>
  <si>
    <t>{nClass=20,nIcon=13,nFrame=5,nTime=-2,szName="减伤监控",key="减伤监控",},</t>
  </si>
  <si>
    <t>^%[(.-)%]服务器：%[(.-)%]大侠，率领%[([浩气盟恶人谷]-)%]阵营侠士们，成功夺得【(.-)】</t>
  </si>
  <si>
    <t>{nClass=20,nIcon=643,nFrame=4,nTime=10,szName="{$1}·惊恐不安·成都",nRefresh=1,key="惊恐不安！·",},</t>
  </si>
  <si>
    <t>{nClass=20,nIcon=6227,nFrame=6,nTime=5,szName="{$1}·{$2}·消除了",nRefresh=1,key="{$2}·消除了",},</t>
  </si>
  <si>
    <t>你无法携带更多的任务奖励道具\n</t>
  </si>
  <si>
    <t>{nClass=20,nIcon=13,nFrame=5,nTime=-1,szName="鲲鹏岛",key="鲲鹏岛",},</t>
  </si>
  <si>
    <t>{nClass=20,nIcon=13,nFrame=5,nTime=-1,szName="绣球花",key="绣球花",},</t>
  </si>
  <si>
    <t>{nClass=20,nIcon=13,nFrame=5,nTime=-1,szName="郁金香",key="郁金香",},</t>
  </si>
  <si>
    <t>{nClass=20,nIcon=13,nFrame=5,nTime=-1,szName="牵牛花",key="牵牛花",},</t>
  </si>
  <si>
    <t>你已接受了[大战！</t>
  </si>
  <si>
    <t>你已接受了[江湖秘闻]。\n</t>
  </si>
  <si>
    <t>你已接受了[潜行狙击]。\n</t>
  </si>
  <si>
    <t>你已接受了[品茶鉴水·顾渚紫笋]。\n</t>
  </si>
  <si>
    <t>你已接受了[品茶鉴水·仙崖石花]。\n</t>
  </si>
  <si>
    <t>你已接受了[品茶鉴水·峨眉白芽]。\n</t>
  </si>
  <si>
    <t>你已接受了[品茶鉴水·蒙顶石花]。\n</t>
  </si>
  <si>
    <t>你已接受了[品茶鉴水·西山白露]。\n</t>
  </si>
  <si>
    <t>你已接受了[公平交易·庐山云雾茶]。\n</t>
  </si>
  <si>
    <t>你已接受了[公平交易·仙人掌茶]。\n</t>
  </si>
  <si>
    <t>你已接受了[公平交易·阳羡茶]。\n</t>
  </si>
  <si>
    <t>你已接受了[公平交易·霍山黄芽]。\n</t>
  </si>
  <si>
    <t>你已接受了[公平交易·方山露芽]。\n</t>
  </si>
  <si>
    <t>已开启自动连放，再次按下可取消\n</t>
  </si>
  <si>
    <t>自动连放·已经开启</t>
  </si>
  <si>
    <t>小队的 {$team} 率先攻击了</t>
  </si>
  <si>
    <t>【{$receiver}】开怪了！</t>
  </si>
  <si>
    <t>目前队伍分配模式为：自由拾取。\n</t>
  </si>
  <si>
    <t>分配模式：自由拾取</t>
  </si>
  <si>
    <t>目前队伍分配模式为：队伍拾取。\n</t>
  </si>
  <si>
    <t>分配模式：队伍拾取</t>
  </si>
  <si>
    <t>目前队伍分配模式为：拍团分配。\n</t>
  </si>
  <si>
    <t>分配模式：拍团分配</t>
  </si>
  <si>
    <t>目前队伍分配模式为：分配者分配。\n</t>
  </si>
  <si>
    <t>分配模式：分配者分配</t>
  </si>
  <si>
    <t>已关闭麦克风\n</t>
  </si>
  <si>
    <t>麦克风·已关闭</t>
  </si>
  <si>
    <t>已切换到“自由发言”模式\n</t>
  </si>
  <si>
    <t>麦克风·自由发言</t>
  </si>
  <si>
    <t>您离开了名剑大会的等待队列。\n</t>
  </si>
  <si>
    <t>离开排队·名剑大会</t>
  </si>
  <si>
    <t>您已经加入2对2的名剑大会等待队列中。\n</t>
  </si>
  <si>
    <t>排队·名剑大会·2v2</t>
  </si>
  <si>
    <t>您已经加入3对3的名剑大会等待队列中。\n</t>
  </si>
  <si>
    <t>排队·名剑大会·3v3</t>
  </si>
  <si>
    <t>您已经加入5对5的名剑大会等待队列中。\n</t>
  </si>
  <si>
    <t>排队·名剑大会·5v5</t>
  </si>
  <si>
    <t>该时间段不能参加名剑大会！\n</t>
  </si>
  <si>
    <t>名剑大会·非开启时段</t>
  </si>
  <si>
    <t>当前时间不能进入战场。\n</t>
  </si>
  <si>
    <t>战场·非开启时段</t>
  </si>
  <si>
    <t>已屏蔽所有玩家\n</t>
  </si>
  <si>
    <t>已显示所有玩家\n</t>
  </si>
  <si>
    <t>已屏蔽其他玩家，仅显示队友\n</t>
  </si>
  <si>
    <t>请注意用语和谐，有序发言，切勿发表违规话题。\n</t>
  </si>
  <si>
    <t>重置自身秘境成功。\n</t>
  </si>
  <si>
    <t>重置自身秘境成功</t>
  </si>
  <si>
    <t>本日已不能从本事件获得奖励。\n</t>
  </si>
  <si>
    <t>本周已不能从本事件获得奖励。\n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</si>
</sst>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54">
    <fill>
      <patternFill patternType="none"/>
    </fill>
    <fill>
      <patternFill patternType="gray125"/>
    </fill>
    <fill>
      <patternFill patternType="solid">
        <fgColor rgb="FFFFC7CE"/>
        <bgColor indexed="64"/>
      </patternFill>
    </fill>
    <fill>
      <patternFill patternType="solid">
        <fgColor rgb="FF3C80DC"/>
        <bgColor indexed="64"/>
      </patternFill>
    </fill>
    <fill>
      <patternFill patternType="solid">
        <fgColor rgb="FFA01E1E"/>
        <bgColor indexed="64"/>
      </patternFill>
    </fill>
    <fill>
      <patternFill patternType="solid">
        <fgColor theme="9" tint="0.599993896298105"/>
        <bgColor indexed="64"/>
      </patternFill>
    </fill>
    <fill>
      <patternFill patternType="solid">
        <fgColor rgb="FF00FF00"/>
        <bgColor indexed="64"/>
      </patternFill>
    </fill>
    <fill>
      <patternFill patternType="solid">
        <fgColor rgb="FF00EE00"/>
        <bgColor indexed="64"/>
      </patternFill>
    </fill>
    <fill>
      <patternFill patternType="solid">
        <fgColor rgb="FFB3EE4A"/>
        <bgColor indexed="64"/>
      </patternFill>
    </fill>
    <fill>
      <patternFill patternType="solid">
        <fgColor rgb="FF1FEEFF"/>
        <bgColor indexed="64"/>
      </patternFill>
    </fill>
    <fill>
      <patternFill patternType="solid">
        <fgColor rgb="FF00FFFF"/>
        <bgColor indexed="64"/>
      </patternFill>
    </fill>
    <fill>
      <patternFill patternType="solid">
        <fgColor rgb="FFFF9600"/>
        <bgColor indexed="64"/>
      </patternFill>
    </fill>
    <fill>
      <patternFill patternType="solid">
        <fgColor rgb="FFFFCC00"/>
        <bgColor indexed="64"/>
      </patternFill>
    </fill>
    <fill>
      <patternFill patternType="solid">
        <fgColor rgb="FFA560E8"/>
        <bgColor indexed="64"/>
      </patternFill>
    </fill>
    <fill>
      <patternFill patternType="solid">
        <fgColor rgb="FF0032FF"/>
        <bgColor indexed="64"/>
      </patternFill>
    </fill>
    <fill>
      <patternFill patternType="solid">
        <fgColor rgb="FFFFFF00"/>
        <bgColor indexed="64"/>
      </patternFill>
    </fill>
    <fill>
      <patternFill patternType="solid">
        <fgColor rgb="FFFF99CC"/>
        <bgColor indexed="64"/>
      </patternFill>
    </fill>
    <fill>
      <patternFill patternType="solid">
        <fgColor rgb="FFFF32FF"/>
        <bgColor indexed="64"/>
      </patternFill>
    </fill>
    <fill>
      <patternFill patternType="solid">
        <fgColor rgb="FFFF0055"/>
        <bgColor indexed="64"/>
      </patternFill>
    </fill>
    <fill>
      <patternFill patternType="solid">
        <fgColor rgb="FFFF3232"/>
        <bgColor indexed="64"/>
      </patternFill>
    </fill>
    <fill>
      <patternFill patternType="solid">
        <fgColor rgb="FFDFBF1F"/>
        <bgColor indexed="64"/>
      </patternFill>
    </fill>
    <fill>
      <patternFill patternType="solid">
        <fgColor rgb="FFAAAAAA"/>
        <bgColor indexed="64"/>
      </patternFill>
    </fill>
    <fill>
      <patternFill patternType="solid">
        <fgColor rgb="FFCCCCCC"/>
        <bgColor indexed="64"/>
      </patternFill>
    </fill>
    <fill>
      <patternFill patternType="solid">
        <fgColor rgb="FF58C6F3"/>
        <bgColor indexed="64"/>
      </patternFill>
    </fill>
    <fill>
      <patternFill patternType="solid">
        <fgColor rgb="FF51EBE7"/>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6" borderId="1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2" applyNumberFormat="0" applyFill="0" applyAlignment="0" applyProtection="0">
      <alignment vertical="center"/>
    </xf>
    <xf numFmtId="0" fontId="13" fillId="0" borderId="13" applyNumberFormat="0" applyFill="0" applyAlignment="0" applyProtection="0">
      <alignment vertical="center"/>
    </xf>
    <xf numFmtId="0" fontId="14" fillId="0" borderId="14" applyNumberFormat="0" applyFill="0" applyAlignment="0" applyProtection="0">
      <alignment vertical="center"/>
    </xf>
    <xf numFmtId="0" fontId="14" fillId="0" borderId="0" applyNumberFormat="0" applyFill="0" applyBorder="0" applyAlignment="0" applyProtection="0">
      <alignment vertical="center"/>
    </xf>
    <xf numFmtId="0" fontId="15" fillId="27" borderId="15" applyNumberFormat="0" applyAlignment="0" applyProtection="0">
      <alignment vertical="center"/>
    </xf>
    <xf numFmtId="0" fontId="16" fillId="28" borderId="16" applyNumberFormat="0" applyAlignment="0" applyProtection="0">
      <alignment vertical="center"/>
    </xf>
    <xf numFmtId="0" fontId="17" fillId="28" borderId="15" applyNumberFormat="0" applyAlignment="0" applyProtection="0">
      <alignment vertical="center"/>
    </xf>
    <xf numFmtId="0" fontId="18" fillId="29" borderId="17" applyNumberFormat="0" applyAlignment="0" applyProtection="0">
      <alignment vertical="center"/>
    </xf>
    <xf numFmtId="0" fontId="19" fillId="0" borderId="18" applyNumberFormat="0" applyFill="0" applyAlignment="0" applyProtection="0">
      <alignment vertical="center"/>
    </xf>
    <xf numFmtId="0" fontId="5" fillId="0" borderId="19" applyNumberFormat="0" applyFill="0" applyAlignment="0" applyProtection="0">
      <alignment vertical="center"/>
    </xf>
    <xf numFmtId="0" fontId="2" fillId="25" borderId="0" applyNumberFormat="0" applyBorder="0" applyAlignment="0" applyProtection="0">
      <alignment vertical="center"/>
    </xf>
    <xf numFmtId="0" fontId="1" fillId="2"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1"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21"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0" fillId="42" borderId="0" applyNumberFormat="0" applyBorder="0" applyAlignment="0" applyProtection="0">
      <alignment vertical="center"/>
    </xf>
    <xf numFmtId="0" fontId="21"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46" borderId="0" applyNumberFormat="0" applyBorder="0" applyAlignment="0" applyProtection="0">
      <alignment vertical="center"/>
    </xf>
    <xf numFmtId="0" fontId="21" fillId="47" borderId="0" applyNumberFormat="0" applyBorder="0" applyAlignment="0" applyProtection="0">
      <alignment vertical="center"/>
    </xf>
    <xf numFmtId="0" fontId="0" fillId="48" borderId="0" applyNumberFormat="0" applyBorder="0" applyAlignment="0" applyProtection="0">
      <alignment vertical="center"/>
    </xf>
    <xf numFmtId="0" fontId="0" fillId="49" borderId="0" applyNumberFormat="0" applyBorder="0" applyAlignment="0" applyProtection="0">
      <alignment vertical="center"/>
    </xf>
    <xf numFmtId="0" fontId="0" fillId="50" borderId="0" applyNumberFormat="0" applyBorder="0" applyAlignment="0" applyProtection="0">
      <alignment vertical="center"/>
    </xf>
    <xf numFmtId="0" fontId="21" fillId="51" borderId="0" applyNumberFormat="0" applyBorder="0" applyAlignment="0" applyProtection="0">
      <alignment vertical="center"/>
    </xf>
    <xf numFmtId="0" fontId="0" fillId="52" borderId="0" applyNumberFormat="0" applyBorder="0" applyAlignment="0" applyProtection="0">
      <alignment vertical="center"/>
    </xf>
    <xf numFmtId="0" fontId="0" fillId="5" borderId="0" applyNumberFormat="0" applyBorder="0" applyAlignment="0" applyProtection="0">
      <alignment vertical="center"/>
    </xf>
    <xf numFmtId="0" fontId="0" fillId="53" borderId="0" applyNumberFormat="0" applyBorder="0" applyAlignment="0" applyProtection="0">
      <alignment vertical="center"/>
    </xf>
  </cellStyleXfs>
  <cellXfs count="82">
    <xf numFmtId="0" fontId="0" fillId="0" borderId="0" xfId="0">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2" borderId="1" xfId="23" applyBorder="1" applyAlignment="1">
      <alignment horizontal="center" vertical="center"/>
    </xf>
    <xf numFmtId="0" fontId="1" fillId="2" borderId="2" xfId="23" applyBorder="1" applyAlignment="1">
      <alignment horizontal="center" vertical="center"/>
    </xf>
    <xf numFmtId="0" fontId="1" fillId="2" borderId="3" xfId="23" applyBorder="1" applyAlignment="1">
      <alignment horizontal="center" vertical="center"/>
    </xf>
    <xf numFmtId="0" fontId="1" fillId="2" borderId="4" xfId="23"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3" fontId="0" fillId="3" borderId="1" xfId="0" applyNumberFormat="1" applyFill="1" applyBorder="1" applyAlignment="1">
      <alignment horizontal="center" vertical="center"/>
    </xf>
    <xf numFmtId="0" fontId="0" fillId="0" borderId="3" xfId="0" applyBorder="1" applyAlignment="1">
      <alignment horizontal="center" vertical="center"/>
    </xf>
    <xf numFmtId="0" fontId="0" fillId="0" borderId="1" xfId="0" applyBorder="1">
      <alignment vertical="center"/>
    </xf>
    <xf numFmtId="0" fontId="0" fillId="0" borderId="0" xfId="0" applyBorder="1">
      <alignment vertical="center"/>
    </xf>
    <xf numFmtId="0" fontId="0" fillId="4" borderId="1" xfId="0" applyFill="1" applyBorder="1" applyAlignment="1">
      <alignment horizontal="center" vertical="center"/>
    </xf>
    <xf numFmtId="3" fontId="0" fillId="4" borderId="1" xfId="0" applyNumberFormat="1" applyFill="1" applyBorder="1" applyAlignment="1">
      <alignment horizontal="center" vertical="center"/>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 xfId="0" applyBorder="1">
      <alignment vertical="center"/>
    </xf>
    <xf numFmtId="3" fontId="0" fillId="0" borderId="1" xfId="0" applyNumberFormat="1" applyBorder="1" applyAlignment="1">
      <alignment horizontal="center" vertical="center"/>
    </xf>
    <xf numFmtId="0" fontId="0" fillId="6" borderId="1" xfId="0" applyFill="1" applyBorder="1" applyAlignment="1">
      <alignment horizontal="center" vertical="center"/>
    </xf>
    <xf numFmtId="3" fontId="0" fillId="6" borderId="1" xfId="0" applyNumberFormat="1" applyFill="1" applyBorder="1" applyAlignment="1">
      <alignment horizontal="center" vertical="center"/>
    </xf>
    <xf numFmtId="0" fontId="0" fillId="7" borderId="1" xfId="0" applyFill="1" applyBorder="1" applyAlignment="1">
      <alignment horizontal="center" vertical="center"/>
    </xf>
    <xf numFmtId="3" fontId="0" fillId="7" borderId="1" xfId="0" applyNumberFormat="1" applyFill="1" applyBorder="1" applyAlignment="1">
      <alignment horizontal="center" vertical="center"/>
    </xf>
    <xf numFmtId="0" fontId="0" fillId="8" borderId="1" xfId="0" applyFill="1" applyBorder="1" applyAlignment="1">
      <alignment horizontal="center" vertical="center"/>
    </xf>
    <xf numFmtId="3" fontId="0" fillId="8" borderId="1" xfId="0" applyNumberFormat="1" applyFill="1" applyBorder="1" applyAlignment="1">
      <alignment horizontal="center" vertical="center"/>
    </xf>
    <xf numFmtId="0" fontId="0" fillId="9" borderId="1" xfId="0" applyFill="1" applyBorder="1" applyAlignment="1">
      <alignment horizontal="center" vertical="center"/>
    </xf>
    <xf numFmtId="3" fontId="0" fillId="9" borderId="1" xfId="0" applyNumberFormat="1" applyFill="1" applyBorder="1" applyAlignment="1">
      <alignment horizontal="center" vertical="center"/>
    </xf>
    <xf numFmtId="0" fontId="0" fillId="10" borderId="1" xfId="0" applyFill="1" applyBorder="1" applyAlignment="1">
      <alignment horizontal="center" vertical="center"/>
    </xf>
    <xf numFmtId="3" fontId="0" fillId="10" borderId="1" xfId="0" applyNumberFormat="1" applyFill="1" applyBorder="1" applyAlignment="1">
      <alignment horizontal="center" vertical="center"/>
    </xf>
    <xf numFmtId="0" fontId="0" fillId="11" borderId="1" xfId="0" applyFill="1" applyBorder="1" applyAlignment="1">
      <alignment horizontal="center" vertical="center"/>
    </xf>
    <xf numFmtId="3" fontId="0" fillId="11" borderId="1" xfId="0" applyNumberFormat="1" applyFill="1" applyBorder="1" applyAlignment="1">
      <alignment horizontal="center" vertical="center"/>
    </xf>
    <xf numFmtId="0" fontId="0" fillId="12" borderId="1" xfId="0" applyFill="1" applyBorder="1" applyAlignment="1">
      <alignment horizontal="center" vertical="center"/>
    </xf>
    <xf numFmtId="3" fontId="0" fillId="12" borderId="1" xfId="0" applyNumberFormat="1" applyFill="1" applyBorder="1" applyAlignment="1">
      <alignment horizontal="center" vertical="center"/>
    </xf>
    <xf numFmtId="0" fontId="0" fillId="13" borderId="1" xfId="0" applyFill="1" applyBorder="1" applyAlignment="1">
      <alignment horizontal="center" vertical="center"/>
    </xf>
    <xf numFmtId="3" fontId="0" fillId="13" borderId="1" xfId="0" applyNumberFormat="1" applyFill="1" applyBorder="1" applyAlignment="1">
      <alignment horizontal="center" vertical="center"/>
    </xf>
    <xf numFmtId="0" fontId="0" fillId="14" borderId="1" xfId="0" applyFill="1" applyBorder="1" applyAlignment="1">
      <alignment horizontal="center" vertical="center"/>
    </xf>
    <xf numFmtId="3" fontId="0" fillId="14" borderId="1" xfId="0" applyNumberFormat="1" applyFill="1" applyBorder="1" applyAlignment="1">
      <alignment horizontal="center" vertical="center"/>
    </xf>
    <xf numFmtId="0" fontId="0" fillId="15" borderId="1" xfId="0" applyFill="1" applyBorder="1" applyAlignment="1">
      <alignment horizontal="center" vertical="center"/>
    </xf>
    <xf numFmtId="3" fontId="0" fillId="15" borderId="1" xfId="0" applyNumberFormat="1" applyFill="1" applyBorder="1" applyAlignment="1">
      <alignment horizontal="center" vertical="center"/>
    </xf>
    <xf numFmtId="0" fontId="0" fillId="16" borderId="1" xfId="0" applyFill="1" applyBorder="1" applyAlignment="1">
      <alignment horizontal="center" vertical="center"/>
    </xf>
    <xf numFmtId="3" fontId="0" fillId="16" borderId="1" xfId="0" applyNumberFormat="1" applyFill="1" applyBorder="1" applyAlignment="1">
      <alignment horizontal="center" vertical="center"/>
    </xf>
    <xf numFmtId="0" fontId="0" fillId="17" borderId="1" xfId="0" applyFill="1" applyBorder="1" applyAlignment="1">
      <alignment horizontal="center" vertical="center"/>
    </xf>
    <xf numFmtId="3" fontId="0" fillId="17" borderId="1" xfId="0" applyNumberFormat="1" applyFill="1" applyBorder="1" applyAlignment="1">
      <alignment horizontal="center" vertical="center"/>
    </xf>
    <xf numFmtId="0" fontId="0" fillId="18" borderId="1" xfId="0" applyFill="1" applyBorder="1" applyAlignment="1">
      <alignment horizontal="center" vertical="center"/>
    </xf>
    <xf numFmtId="3" fontId="0" fillId="18" borderId="1" xfId="0" applyNumberFormat="1" applyFill="1" applyBorder="1" applyAlignment="1">
      <alignment horizontal="center" vertical="center"/>
    </xf>
    <xf numFmtId="0" fontId="0" fillId="19" borderId="1" xfId="0" applyFill="1" applyBorder="1" applyAlignment="1">
      <alignment horizontal="center" vertical="center"/>
    </xf>
    <xf numFmtId="3" fontId="0" fillId="19" borderId="1" xfId="0" applyNumberFormat="1" applyFill="1" applyBorder="1" applyAlignment="1">
      <alignment horizontal="center" vertical="center"/>
    </xf>
    <xf numFmtId="0" fontId="0" fillId="20" borderId="1" xfId="0" applyFill="1" applyBorder="1" applyAlignment="1">
      <alignment horizontal="center" vertical="center"/>
    </xf>
    <xf numFmtId="3"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3" fontId="0" fillId="21" borderId="1" xfId="0" applyNumberFormat="1" applyFill="1" applyBorder="1" applyAlignment="1">
      <alignment horizontal="center" vertical="center"/>
    </xf>
    <xf numFmtId="0" fontId="0" fillId="22" borderId="1" xfId="0" applyFill="1" applyBorder="1" applyAlignment="1">
      <alignment horizontal="center" vertical="center"/>
    </xf>
    <xf numFmtId="3" fontId="0" fillId="22" borderId="1" xfId="0" applyNumberFormat="1" applyFill="1" applyBorder="1" applyAlignment="1">
      <alignment horizontal="center" vertical="center"/>
    </xf>
    <xf numFmtId="0" fontId="0" fillId="23" borderId="1" xfId="0" applyFill="1" applyBorder="1" applyAlignment="1">
      <alignment horizontal="center" vertical="center"/>
    </xf>
    <xf numFmtId="3" fontId="0" fillId="23" borderId="1" xfId="0" applyNumberFormat="1" applyFill="1" applyBorder="1" applyAlignment="1">
      <alignment horizontal="center" vertical="center"/>
    </xf>
    <xf numFmtId="0" fontId="0" fillId="24" borderId="1" xfId="0" applyFill="1" applyBorder="1" applyAlignment="1">
      <alignment horizontal="center" vertical="center"/>
    </xf>
    <xf numFmtId="3" fontId="0" fillId="24" borderId="1" xfId="0" applyNumberFormat="1" applyFill="1" applyBorder="1" applyAlignment="1">
      <alignment horizontal="center" vertical="center"/>
    </xf>
    <xf numFmtId="0" fontId="2" fillId="25" borderId="1" xfId="22" applyBorder="1">
      <alignment vertical="center"/>
    </xf>
    <xf numFmtId="0" fontId="0" fillId="15" borderId="1" xfId="0" applyFill="1" applyBorder="1">
      <alignment vertical="center"/>
    </xf>
    <xf numFmtId="0" fontId="3" fillId="15" borderId="0" xfId="0" applyFont="1" applyFill="1" applyAlignment="1">
      <alignment horizontal="center" vertical="center"/>
    </xf>
    <xf numFmtId="0" fontId="4" fillId="0" borderId="1" xfId="6" applyBorder="1">
      <alignment vertical="center"/>
    </xf>
    <xf numFmtId="0" fontId="0" fillId="0" borderId="1" xfId="0" applyBorder="1" applyAlignment="1">
      <alignment vertical="center"/>
    </xf>
    <xf numFmtId="0" fontId="0" fillId="0" borderId="0" xfId="0" applyAlignment="1">
      <alignment vertical="center"/>
    </xf>
    <xf numFmtId="0" fontId="1" fillId="2" borderId="1" xfId="23" applyBorder="1" applyAlignment="1">
      <alignment vertical="center"/>
    </xf>
    <xf numFmtId="0" fontId="0" fillId="0" borderId="1" xfId="0" applyFill="1" applyBorder="1" applyAlignment="1">
      <alignment vertical="center"/>
    </xf>
    <xf numFmtId="0" fontId="0" fillId="15" borderId="1" xfId="0" applyFill="1" applyBorder="1" applyAlignment="1">
      <alignment vertical="center"/>
    </xf>
    <xf numFmtId="0" fontId="5" fillId="15" borderId="1" xfId="0" applyFont="1" applyFill="1" applyBorder="1" applyAlignment="1">
      <alignment vertical="center"/>
    </xf>
    <xf numFmtId="0" fontId="1" fillId="2" borderId="1" xfId="23" applyBorder="1" applyAlignment="1">
      <alignment horizontal="left" vertical="center"/>
    </xf>
    <xf numFmtId="0" fontId="1" fillId="2" borderId="1" xfId="23" applyBorder="1">
      <alignment vertical="center"/>
    </xf>
    <xf numFmtId="0" fontId="1" fillId="2" borderId="8" xfId="23" applyBorder="1">
      <alignment vertical="center"/>
    </xf>
    <xf numFmtId="0" fontId="1" fillId="2" borderId="10" xfId="23" applyBorder="1" applyAlignment="1">
      <alignment horizontal="left" vertical="center"/>
    </xf>
    <xf numFmtId="0" fontId="0" fillId="15" borderId="1" xfId="0"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left" vertical="center"/>
    </xf>
    <xf numFmtId="0" fontId="6" fillId="9" borderId="1" xfId="0" applyFont="1" applyFill="1" applyBorder="1" applyAlignment="1">
      <alignment vertical="center"/>
    </xf>
    <xf numFmtId="0" fontId="0" fillId="15" borderId="3" xfId="0" applyFill="1" applyBorder="1" applyAlignment="1">
      <alignment vertical="center"/>
    </xf>
    <xf numFmtId="0" fontId="3" fillId="15" borderId="1" xfId="0" applyFont="1" applyFill="1" applyBorder="1">
      <alignment vertical="center"/>
    </xf>
    <xf numFmtId="0" fontId="0" fillId="15" borderId="1" xfId="0" applyFill="1" applyBorder="1" applyAlignment="1" quotePrefix="1">
      <alignment vertical="center"/>
    </xf>
    <xf numFmtId="3" fontId="0" fillId="3" borderId="1" xfId="0" applyNumberFormat="1" applyFill="1" applyBorder="1" applyAlignment="1" quotePrefix="1">
      <alignment horizontal="center" vertical="center"/>
    </xf>
    <xf numFmtId="3" fontId="0" fillId="4" borderId="1" xfId="0" applyNumberFormat="1" applyFill="1" applyBorder="1" applyAlignment="1" quotePrefix="1">
      <alignment horizontal="center" vertical="center"/>
    </xf>
    <xf numFmtId="3" fontId="0" fillId="5" borderId="1" xfId="0" applyNumberFormat="1" applyFill="1" applyBorder="1" applyAlignment="1" quotePrefix="1">
      <alignment horizontal="center" vertical="center"/>
    </xf>
    <xf numFmtId="3" fontId="0" fillId="0" borderId="1" xfId="0" applyNumberFormat="1" applyBorder="1" applyAlignment="1" quotePrefix="1">
      <alignment horizontal="center" vertical="center"/>
    </xf>
    <xf numFmtId="3" fontId="0" fillId="6" borderId="1" xfId="0" applyNumberFormat="1" applyFill="1" applyBorder="1" applyAlignment="1" quotePrefix="1">
      <alignment horizontal="center" vertical="center"/>
    </xf>
    <xf numFmtId="3" fontId="0" fillId="7" borderId="1" xfId="0" applyNumberFormat="1" applyFill="1" applyBorder="1" applyAlignment="1" quotePrefix="1">
      <alignment horizontal="center" vertical="center"/>
    </xf>
    <xf numFmtId="3" fontId="0" fillId="8" borderId="1" xfId="0" applyNumberFormat="1" applyFill="1" applyBorder="1" applyAlignment="1" quotePrefix="1">
      <alignment horizontal="center" vertical="center"/>
    </xf>
    <xf numFmtId="3" fontId="0" fillId="9" borderId="1" xfId="0" applyNumberFormat="1" applyFill="1" applyBorder="1" applyAlignment="1" quotePrefix="1">
      <alignment horizontal="center" vertical="center"/>
    </xf>
    <xf numFmtId="3" fontId="0" fillId="10" borderId="1" xfId="0" applyNumberFormat="1" applyFill="1" applyBorder="1" applyAlignment="1" quotePrefix="1">
      <alignment horizontal="center" vertical="center"/>
    </xf>
    <xf numFmtId="3" fontId="0" fillId="11" borderId="1" xfId="0" applyNumberFormat="1" applyFill="1" applyBorder="1" applyAlignment="1" quotePrefix="1">
      <alignment horizontal="center" vertical="center"/>
    </xf>
    <xf numFmtId="3" fontId="0" fillId="12" borderId="1" xfId="0" applyNumberFormat="1" applyFill="1" applyBorder="1" applyAlignment="1" quotePrefix="1">
      <alignment horizontal="center" vertical="center"/>
    </xf>
    <xf numFmtId="3" fontId="0" fillId="13" borderId="1" xfId="0" applyNumberFormat="1" applyFill="1" applyBorder="1" applyAlignment="1" quotePrefix="1">
      <alignment horizontal="center" vertical="center"/>
    </xf>
    <xf numFmtId="3" fontId="0" fillId="14" borderId="1" xfId="0" applyNumberFormat="1" applyFill="1" applyBorder="1" applyAlignment="1" quotePrefix="1">
      <alignment horizontal="center" vertical="center"/>
    </xf>
    <xf numFmtId="3" fontId="0" fillId="15" borderId="1" xfId="0" applyNumberFormat="1" applyFill="1" applyBorder="1" applyAlignment="1" quotePrefix="1">
      <alignment horizontal="center" vertical="center"/>
    </xf>
    <xf numFmtId="3" fontId="0" fillId="16" borderId="1" xfId="0" applyNumberFormat="1" applyFill="1" applyBorder="1" applyAlignment="1" quotePrefix="1">
      <alignment horizontal="center" vertical="center"/>
    </xf>
    <xf numFmtId="3" fontId="0" fillId="17" borderId="1" xfId="0" applyNumberFormat="1" applyFill="1" applyBorder="1" applyAlignment="1" quotePrefix="1">
      <alignment horizontal="center" vertical="center"/>
    </xf>
    <xf numFmtId="3" fontId="0" fillId="18" borderId="1" xfId="0" applyNumberFormat="1" applyFill="1" applyBorder="1" applyAlignment="1" quotePrefix="1">
      <alignment horizontal="center" vertical="center"/>
    </xf>
    <xf numFmtId="3" fontId="0" fillId="19" borderId="1" xfId="0" applyNumberFormat="1" applyFill="1" applyBorder="1" applyAlignment="1" quotePrefix="1">
      <alignment horizontal="center" vertical="center"/>
    </xf>
    <xf numFmtId="3" fontId="0" fillId="20" borderId="1" xfId="0" applyNumberFormat="1" applyFill="1" applyBorder="1" applyAlignment="1" quotePrefix="1">
      <alignment horizontal="center" vertical="center"/>
    </xf>
    <xf numFmtId="3" fontId="0" fillId="21" borderId="1" xfId="0" applyNumberFormat="1" applyFill="1" applyBorder="1" applyAlignment="1" quotePrefix="1">
      <alignment horizontal="center" vertical="center"/>
    </xf>
    <xf numFmtId="3" fontId="0" fillId="22" borderId="1" xfId="0" applyNumberFormat="1" applyFill="1" applyBorder="1" applyAlignment="1" quotePrefix="1">
      <alignment horizontal="center" vertical="center"/>
    </xf>
    <xf numFmtId="3" fontId="0" fillId="23" borderId="1" xfId="0" applyNumberFormat="1" applyFill="1" applyBorder="1" applyAlignment="1" quotePrefix="1">
      <alignment horizontal="center" vertical="center"/>
    </xf>
    <xf numFmtId="3" fontId="0" fillId="24" borderId="1" xfId="0" applyNumberFormat="1" applyFill="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51EBE7"/>
      <color rgb="0058C6F3"/>
      <color rgb="001FEEFF"/>
      <color rgb="00CCCCCC"/>
      <color rgb="003C80DC"/>
      <color rgb="00A01E1E"/>
      <color rgb="00FF0055"/>
      <color rgb="0000EE00"/>
      <color rgb="00A560E8"/>
      <color rgb="00FFCC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A1" sqref="A1"/>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62" t="s">
        <v>0</v>
      </c>
      <c r="B1" s="63" t="s">
        <v>1</v>
      </c>
      <c r="C1" s="64" t="s">
        <v>2</v>
      </c>
    </row>
    <row r="2" spans="1:7">
      <c r="A2" s="62" t="s">
        <v>3</v>
      </c>
      <c r="B2" s="11" t="s">
        <v>4</v>
      </c>
      <c r="C2" s="64" t="s">
        <v>2</v>
      </c>
      <c r="D2" s="11" t="s">
        <v>5</v>
      </c>
      <c r="E2" s="65" t="s">
        <v>6</v>
      </c>
    </row>
    <row r="3" spans="1:7">
      <c r="A3" s="62" t="s">
        <v>7</v>
      </c>
      <c r="B3" s="11" t="s">
        <v>8</v>
      </c>
      <c r="C3" s="64" t="s">
        <v>2</v>
      </c>
      <c r="D3" s="11" t="s">
        <v>9</v>
      </c>
      <c r="E3" s="65" t="s">
        <v>10</v>
      </c>
    </row>
    <row r="4" spans="1:7">
      <c r="A4" s="62" t="str">
        <f ca="1">"nTimeStamp = "&amp;((NOW()-70*365-19)*86400-8*3600)*1000&amp;","</f>
        <v>nTimeStamp = 1786712559000,</v>
      </c>
      <c r="B4" s="11" t="s">
        <v>11</v>
      </c>
      <c r="C4" s="64" t="s">
        <v>2</v>
      </c>
      <c r="D4" s="63" t="s">
        <v>12</v>
      </c>
      <c r="E4" s="63"/>
    </row>
    <row r="5" spans="1:7">
      <c r="A5" s="62" t="s">
        <v>13</v>
      </c>
      <c r="B5" s="11" t="s">
        <v>14</v>
      </c>
      <c r="C5" s="64" t="s">
        <v>2</v>
      </c>
      <c r="D5" s="63" t="s">
        <v>15</v>
      </c>
      <c r="E5" s="63"/>
    </row>
    <row r="6" spans="1:7">
      <c r="A6" s="62" t="s">
        <v>16</v>
      </c>
      <c r="B6" s="11" t="s">
        <v>17</v>
      </c>
      <c r="C6" s="64" t="s">
        <v>2</v>
      </c>
      <c r="D6" s="63" t="s">
        <v>18</v>
      </c>
      <c r="E6" s="63"/>
    </row>
    <row r="7" spans="1:7">
      <c r="A7" s="62" t="s">
        <v>19</v>
      </c>
      <c r="B7" s="11" t="s">
        <v>20</v>
      </c>
      <c r="C7" s="64" t="s">
        <v>2</v>
      </c>
      <c r="D7" s="63" t="s">
        <v>21</v>
      </c>
      <c r="E7" s="63"/>
    </row>
    <row r="8" spans="1:7">
      <c r="A8" s="62" t="s">
        <v>22</v>
      </c>
      <c r="B8" s="11"/>
      <c r="C8" s="64" t="s">
        <v>2</v>
      </c>
      <c r="D8" s="63" t="s">
        <v>23</v>
      </c>
      <c r="E8" s="63"/>
    </row>
    <row r="9" spans="1:7">
      <c r="C9" s="64" t="s">
        <v>2</v>
      </c>
    </row>
    <row r="10" spans="1:7">
      <c r="A10" s="11" t="s">
        <v>24</v>
      </c>
      <c r="B10" s="11"/>
      <c r="C10" s="64" t="s">
        <v>2</v>
      </c>
      <c r="D10" s="11"/>
    </row>
    <row r="11" spans="1:7">
      <c r="A11" s="66" t="s">
        <v>25</v>
      </c>
      <c r="B11" s="66" t="s">
        <v>26</v>
      </c>
      <c r="C11" s="64" t="s">
        <v>2</v>
      </c>
      <c r="D11" s="66" t="s">
        <v>25</v>
      </c>
      <c r="E11" s="67"/>
      <c r="F11" s="67"/>
      <c r="G11" s="67"/>
    </row>
    <row r="12" spans="1:7">
      <c r="A12" s="66" t="s">
        <v>27</v>
      </c>
      <c r="B12" s="66" t="s">
        <v>28</v>
      </c>
      <c r="C12" s="64" t="s">
        <v>2</v>
      </c>
      <c r="D12" s="66" t="s">
        <v>27</v>
      </c>
      <c r="E12" s="67"/>
      <c r="F12" s="67"/>
      <c r="G12" s="67"/>
    </row>
    <row r="13" spans="1:7">
      <c r="A13" s="66" t="s">
        <v>29</v>
      </c>
      <c r="B13" s="66" t="s">
        <v>30</v>
      </c>
      <c r="C13" s="64" t="s">
        <v>2</v>
      </c>
      <c r="D13" s="66" t="s">
        <v>29</v>
      </c>
      <c r="E13" s="67"/>
      <c r="F13" s="67"/>
      <c r="G13" s="67"/>
    </row>
    <row r="14" spans="1:7">
      <c r="A14" s="66" t="s">
        <v>31</v>
      </c>
      <c r="B14" s="66" t="s">
        <v>32</v>
      </c>
      <c r="C14" s="64" t="s">
        <v>2</v>
      </c>
      <c r="D14" s="66" t="s">
        <v>31</v>
      </c>
      <c r="E14" s="67"/>
      <c r="F14" s="67"/>
      <c r="G14" s="67"/>
    </row>
    <row r="15" spans="1:7">
      <c r="A15" s="66" t="s">
        <v>33</v>
      </c>
      <c r="B15" s="66" t="s">
        <v>34</v>
      </c>
      <c r="C15" s="64" t="s">
        <v>2</v>
      </c>
      <c r="D15" s="66" t="s">
        <v>33</v>
      </c>
      <c r="E15" s="67"/>
      <c r="F15" s="67"/>
      <c r="G15" s="67"/>
    </row>
    <row r="16" spans="1:7">
      <c r="A16" s="66" t="s">
        <v>35</v>
      </c>
      <c r="B16" s="66" t="s">
        <v>36</v>
      </c>
      <c r="C16" s="64" t="s">
        <v>2</v>
      </c>
      <c r="D16" s="66" t="s">
        <v>35</v>
      </c>
      <c r="E16" s="67"/>
      <c r="F16" s="67"/>
      <c r="G16" s="67"/>
    </row>
    <row r="17" spans="1:7">
      <c r="A17" s="66" t="s">
        <v>37</v>
      </c>
      <c r="B17" s="66" t="s">
        <v>38</v>
      </c>
      <c r="C17" s="64" t="s">
        <v>2</v>
      </c>
      <c r="D17" s="66" t="s">
        <v>37</v>
      </c>
      <c r="E17" s="67"/>
      <c r="F17" s="67"/>
      <c r="G17" s="67"/>
    </row>
    <row r="18" spans="1:7">
      <c r="A18" s="67"/>
      <c r="B18" s="67"/>
      <c r="C18" s="64" t="s">
        <v>2</v>
      </c>
      <c r="D18" s="67"/>
      <c r="E18" s="67"/>
      <c r="F18" s="67"/>
      <c r="G18" s="67"/>
    </row>
    <row r="19" spans="1:7">
      <c r="F19" s="67"/>
      <c r="G19" s="67"/>
    </row>
    <row r="20" spans="1:7">
      <c r="A20" s="68" t="s">
        <v>39</v>
      </c>
      <c r="B20" s="68"/>
      <c r="C20" s="68"/>
      <c r="D20" s="68"/>
      <c r="E20" s="68"/>
      <c r="F20" s="68"/>
      <c r="G20" s="68"/>
    </row>
    <row r="21" spans="1:7">
      <c r="A21" s="66" t="s">
        <v>40</v>
      </c>
      <c r="B21" s="66" t="s">
        <v>41</v>
      </c>
      <c r="C21" s="66" t="s">
        <v>42</v>
      </c>
      <c r="D21" s="66" t="s">
        <v>43</v>
      </c>
      <c r="E21" s="66" t="s">
        <v>44</v>
      </c>
      <c r="F21" s="66" t="s">
        <v>45</v>
      </c>
      <c r="G21" s="66" t="s">
        <v>46</v>
      </c>
    </row>
    <row r="22" spans="1:7">
      <c r="A22" s="66" t="s">
        <v>47</v>
      </c>
      <c r="B22" s="66" t="s">
        <v>48</v>
      </c>
      <c r="C22" s="66" t="s">
        <v>49</v>
      </c>
      <c r="D22" s="66" t="s">
        <v>50</v>
      </c>
      <c r="E22" s="66" t="s">
        <v>51</v>
      </c>
      <c r="F22" s="66" t="s">
        <v>52</v>
      </c>
      <c r="G22" s="66" t="s">
        <v>53</v>
      </c>
    </row>
    <row r="23" spans="1:7">
      <c r="A23" s="66" t="s">
        <v>54</v>
      </c>
      <c r="B23" s="66" t="s">
        <v>55</v>
      </c>
      <c r="C23" s="66" t="s">
        <v>56</v>
      </c>
      <c r="D23" s="69" t="s">
        <v>57</v>
      </c>
      <c r="E23" s="66" t="s">
        <v>51</v>
      </c>
      <c r="F23" s="66" t="s">
        <v>52</v>
      </c>
      <c r="G23" s="66" t="s">
        <v>53</v>
      </c>
    </row>
    <row r="24" spans="1:7">
      <c r="A24" s="66" t="s">
        <v>58</v>
      </c>
      <c r="B24" s="66" t="s">
        <v>55</v>
      </c>
      <c r="C24" s="66" t="s">
        <v>59</v>
      </c>
      <c r="D24" s="66" t="s">
        <v>60</v>
      </c>
      <c r="E24" s="66" t="s">
        <v>51</v>
      </c>
      <c r="F24" s="66" t="s">
        <v>52</v>
      </c>
      <c r="G24" s="66" t="s">
        <v>53</v>
      </c>
    </row>
    <row r="25" spans="1:7">
      <c r="A25" s="66" t="s">
        <v>61</v>
      </c>
      <c r="B25" s="66"/>
      <c r="C25" s="66"/>
      <c r="D25" s="66"/>
      <c r="E25" s="66"/>
      <c r="F25" s="66"/>
      <c r="G25" s="66"/>
    </row>
    <row r="26" spans="1:7">
      <c r="A26" s="66" t="s">
        <v>40</v>
      </c>
      <c r="B26" s="66" t="s">
        <v>41</v>
      </c>
      <c r="C26" s="66" t="s">
        <v>42</v>
      </c>
      <c r="D26" s="66" t="s">
        <v>43</v>
      </c>
      <c r="E26" s="66" t="s">
        <v>44</v>
      </c>
      <c r="F26" s="66" t="s">
        <v>45</v>
      </c>
      <c r="G26" s="66" t="s">
        <v>46</v>
      </c>
    </row>
    <row r="27" spans="1:7">
      <c r="A27" s="66" t="s">
        <v>62</v>
      </c>
      <c r="B27" s="66" t="s">
        <v>63</v>
      </c>
      <c r="C27" s="66" t="s">
        <v>64</v>
      </c>
      <c r="D27" s="66" t="s">
        <v>65</v>
      </c>
      <c r="E27" s="66" t="s">
        <v>66</v>
      </c>
      <c r="F27" s="66" t="s">
        <v>53</v>
      </c>
      <c r="G27" s="66" t="s">
        <v>52</v>
      </c>
    </row>
    <row r="28" spans="1:7">
      <c r="A28" s="66" t="s">
        <v>67</v>
      </c>
      <c r="B28" s="66" t="s">
        <v>63</v>
      </c>
      <c r="C28" s="66" t="s">
        <v>68</v>
      </c>
      <c r="D28" s="66" t="s">
        <v>69</v>
      </c>
      <c r="E28" s="66" t="s">
        <v>70</v>
      </c>
      <c r="F28" s="66" t="s">
        <v>53</v>
      </c>
      <c r="G28" s="66" t="s">
        <v>52</v>
      </c>
    </row>
    <row r="29" spans="1:7">
      <c r="A29" s="66" t="s">
        <v>71</v>
      </c>
      <c r="B29" s="66" t="s">
        <v>72</v>
      </c>
      <c r="C29" s="66" t="s">
        <v>73</v>
      </c>
      <c r="D29" s="66" t="s">
        <v>74</v>
      </c>
      <c r="E29" s="66" t="s">
        <v>70</v>
      </c>
      <c r="F29" s="66" t="s">
        <v>52</v>
      </c>
      <c r="G29" s="66" t="s">
        <v>53</v>
      </c>
    </row>
    <row r="30" spans="1:7">
      <c r="A30" s="66" t="s">
        <v>75</v>
      </c>
      <c r="B30" s="66" t="s">
        <v>63</v>
      </c>
      <c r="C30" s="66" t="s">
        <v>76</v>
      </c>
      <c r="D30" s="66" t="s">
        <v>77</v>
      </c>
      <c r="E30" s="66" t="s">
        <v>78</v>
      </c>
      <c r="F30" s="66" t="s">
        <v>52</v>
      </c>
      <c r="G30" s="66" t="s">
        <v>53</v>
      </c>
    </row>
    <row r="31" spans="1:7">
      <c r="A31" s="66" t="s">
        <v>79</v>
      </c>
      <c r="B31" s="66" t="s">
        <v>48</v>
      </c>
      <c r="C31" s="66" t="s">
        <v>80</v>
      </c>
      <c r="D31" s="66" t="s">
        <v>81</v>
      </c>
      <c r="E31" s="66" t="s">
        <v>66</v>
      </c>
      <c r="F31" s="66" t="s">
        <v>52</v>
      </c>
      <c r="G31" s="66" t="s">
        <v>53</v>
      </c>
    </row>
    <row r="32" spans="1:7">
      <c r="A32" s="66" t="s">
        <v>82</v>
      </c>
      <c r="B32" s="66" t="s">
        <v>63</v>
      </c>
      <c r="C32" s="66" t="s">
        <v>83</v>
      </c>
      <c r="D32" s="66" t="s">
        <v>84</v>
      </c>
      <c r="E32" s="66" t="s">
        <v>66</v>
      </c>
      <c r="F32" s="66" t="s">
        <v>52</v>
      </c>
      <c r="G32" s="66" t="s">
        <v>53</v>
      </c>
    </row>
    <row r="33" spans="1:7">
      <c r="A33" s="66" t="s">
        <v>85</v>
      </c>
      <c r="B33" s="66" t="s">
        <v>63</v>
      </c>
      <c r="C33" s="66" t="s">
        <v>86</v>
      </c>
      <c r="D33" s="66" t="s">
        <v>87</v>
      </c>
      <c r="E33" s="66" t="s">
        <v>70</v>
      </c>
      <c r="F33" s="66" t="s">
        <v>52</v>
      </c>
      <c r="G33" s="66" t="s">
        <v>53</v>
      </c>
    </row>
    <row r="34" spans="1:7">
      <c r="A34" s="66" t="s">
        <v>88</v>
      </c>
      <c r="B34" s="66" t="s">
        <v>89</v>
      </c>
      <c r="C34" s="66" t="s">
        <v>90</v>
      </c>
      <c r="D34" s="66" t="s">
        <v>91</v>
      </c>
      <c r="E34" s="66" t="s">
        <v>66</v>
      </c>
      <c r="F34" s="66" t="s">
        <v>52</v>
      </c>
      <c r="G34" s="66" t="s">
        <v>53</v>
      </c>
    </row>
    <row r="35" spans="1:7">
      <c r="A35" s="66" t="s">
        <v>92</v>
      </c>
      <c r="B35" s="66" t="s">
        <v>55</v>
      </c>
      <c r="C35" s="66" t="s">
        <v>93</v>
      </c>
      <c r="D35" s="66" t="s">
        <v>94</v>
      </c>
      <c r="E35" s="66" t="s">
        <v>95</v>
      </c>
      <c r="F35" s="66" t="s">
        <v>52</v>
      </c>
      <c r="G35" s="66" t="s">
        <v>53</v>
      </c>
    </row>
    <row r="36" spans="1:7">
      <c r="A36" s="66" t="s">
        <v>96</v>
      </c>
      <c r="B36" s="66" t="s">
        <v>72</v>
      </c>
      <c r="C36" s="66" t="s">
        <v>97</v>
      </c>
      <c r="D36" s="66" t="s">
        <v>98</v>
      </c>
      <c r="E36" s="66" t="s">
        <v>29</v>
      </c>
      <c r="F36" s="66" t="s">
        <v>52</v>
      </c>
      <c r="G36" s="66" t="s">
        <v>53</v>
      </c>
    </row>
    <row r="37" spans="1:7">
      <c r="A37" s="66" t="s">
        <v>99</v>
      </c>
      <c r="B37" s="66" t="s">
        <v>63</v>
      </c>
      <c r="C37" s="66" t="s">
        <v>100</v>
      </c>
      <c r="D37" s="66" t="s">
        <v>101</v>
      </c>
      <c r="E37" s="66" t="s">
        <v>31</v>
      </c>
      <c r="F37" s="66" t="s">
        <v>53</v>
      </c>
      <c r="G37" s="66" t="s">
        <v>52</v>
      </c>
    </row>
    <row r="38" spans="1:7">
      <c r="A38" s="66" t="s">
        <v>102</v>
      </c>
      <c r="B38" s="66" t="s">
        <v>72</v>
      </c>
      <c r="C38" s="66" t="s">
        <v>103</v>
      </c>
      <c r="D38" s="66" t="s">
        <v>104</v>
      </c>
      <c r="E38" s="66" t="s">
        <v>105</v>
      </c>
      <c r="F38" s="66" t="s">
        <v>52</v>
      </c>
      <c r="G38" s="66" t="s">
        <v>53</v>
      </c>
    </row>
    <row r="39" spans="1:7">
      <c r="A39" s="66" t="s">
        <v>106</v>
      </c>
      <c r="B39" s="66" t="s">
        <v>55</v>
      </c>
      <c r="C39" s="66" t="s">
        <v>107</v>
      </c>
      <c r="D39" s="66" t="s">
        <v>108</v>
      </c>
      <c r="E39" s="66" t="s">
        <v>105</v>
      </c>
      <c r="F39" s="66" t="s">
        <v>52</v>
      </c>
      <c r="G39" s="66" t="s">
        <v>53</v>
      </c>
    </row>
    <row r="40" spans="1:7">
      <c r="A40" s="66" t="s">
        <v>109</v>
      </c>
      <c r="B40" s="66" t="s">
        <v>48</v>
      </c>
      <c r="C40" s="66" t="s">
        <v>110</v>
      </c>
      <c r="D40" s="66" t="s">
        <v>111</v>
      </c>
      <c r="E40" s="66" t="s">
        <v>35</v>
      </c>
      <c r="F40" s="66" t="s">
        <v>52</v>
      </c>
      <c r="G40" s="66" t="s">
        <v>53</v>
      </c>
    </row>
    <row r="41" spans="1:7">
      <c r="A41" s="70" t="s">
        <v>112</v>
      </c>
      <c r="B41" s="70" t="s">
        <v>48</v>
      </c>
      <c r="C41" s="70" t="s">
        <v>113</v>
      </c>
      <c r="D41" s="70" t="s">
        <v>114</v>
      </c>
      <c r="E41" s="71" t="s">
        <v>115</v>
      </c>
      <c r="F41" s="70" t="s">
        <v>52</v>
      </c>
      <c r="G41" s="70" t="s">
        <v>53</v>
      </c>
    </row>
    <row r="42" spans="1:7">
      <c r="A42" s="66" t="s">
        <v>116</v>
      </c>
      <c r="B42" s="66" t="s">
        <v>72</v>
      </c>
      <c r="C42" s="66" t="s">
        <v>117</v>
      </c>
      <c r="D42" s="66" t="s">
        <v>118</v>
      </c>
      <c r="E42" s="66" t="s">
        <v>119</v>
      </c>
      <c r="F42" s="66" t="s">
        <v>52</v>
      </c>
      <c r="G42" s="66" t="s">
        <v>52</v>
      </c>
    </row>
    <row r="43" spans="1:7">
      <c r="A43" s="66" t="s">
        <v>120</v>
      </c>
      <c r="B43" s="66" t="s">
        <v>72</v>
      </c>
      <c r="C43" s="66" t="s">
        <v>121</v>
      </c>
      <c r="D43" s="66" t="s">
        <v>122</v>
      </c>
      <c r="E43" s="66" t="s">
        <v>119</v>
      </c>
      <c r="F43" s="66" t="s">
        <v>52</v>
      </c>
      <c r="G43" s="66" t="s">
        <v>52</v>
      </c>
    </row>
    <row r="45" spans="1:7">
      <c r="A45" s="72" t="s">
        <v>123</v>
      </c>
      <c r="B45" s="72"/>
      <c r="C45" s="72"/>
      <c r="D45" s="73"/>
      <c r="E45" s="73"/>
      <c r="F45" s="73"/>
      <c r="G45" s="73"/>
    </row>
    <row r="46" spans="1:7">
      <c r="A46" s="66" t="s">
        <v>124</v>
      </c>
      <c r="B46" s="66" t="s">
        <v>41</v>
      </c>
      <c r="C46" s="66" t="s">
        <v>42</v>
      </c>
      <c r="D46" s="66" t="s">
        <v>43</v>
      </c>
      <c r="E46" s="66" t="s">
        <v>44</v>
      </c>
      <c r="F46" s="66"/>
      <c r="G46" s="66"/>
    </row>
    <row r="47" spans="1:7">
      <c r="A47" s="66" t="s">
        <v>125</v>
      </c>
      <c r="B47" s="66" t="s">
        <v>55</v>
      </c>
      <c r="C47" s="66" t="s">
        <v>126</v>
      </c>
      <c r="D47" s="66" t="s">
        <v>127</v>
      </c>
      <c r="E47" s="66" t="s">
        <v>70</v>
      </c>
      <c r="F47" s="66"/>
      <c r="G47" s="66"/>
    </row>
    <row r="48" spans="1:7">
      <c r="A48" s="66" t="s">
        <v>128</v>
      </c>
      <c r="B48" s="66" t="s">
        <v>72</v>
      </c>
      <c r="C48" s="66" t="s">
        <v>129</v>
      </c>
      <c r="D48" s="66" t="s">
        <v>130</v>
      </c>
      <c r="E48" s="66" t="s">
        <v>51</v>
      </c>
      <c r="F48" s="66"/>
      <c r="G48" s="66"/>
    </row>
    <row r="49" spans="1:7">
      <c r="A49" s="66" t="s">
        <v>131</v>
      </c>
      <c r="B49" s="66" t="s">
        <v>72</v>
      </c>
      <c r="C49" s="66" t="s">
        <v>132</v>
      </c>
      <c r="D49" s="66" t="s">
        <v>133</v>
      </c>
      <c r="E49" s="66" t="s">
        <v>51</v>
      </c>
      <c r="F49" s="66"/>
      <c r="G49" s="66"/>
    </row>
    <row r="50" spans="1:7">
      <c r="A50" s="66" t="s">
        <v>134</v>
      </c>
      <c r="B50" s="66" t="s">
        <v>72</v>
      </c>
      <c r="C50" s="66" t="s">
        <v>135</v>
      </c>
      <c r="D50" s="66" t="s">
        <v>136</v>
      </c>
      <c r="E50" s="66" t="s">
        <v>51</v>
      </c>
      <c r="F50" s="66"/>
      <c r="G50" s="66"/>
    </row>
    <row r="51" spans="1:7">
      <c r="A51" s="66" t="s">
        <v>137</v>
      </c>
      <c r="B51" s="66" t="s">
        <v>72</v>
      </c>
      <c r="C51" s="66" t="s">
        <v>138</v>
      </c>
      <c r="D51" s="66" t="s">
        <v>139</v>
      </c>
      <c r="E51" s="66" t="s">
        <v>140</v>
      </c>
      <c r="F51" s="66"/>
      <c r="G51" s="66"/>
    </row>
    <row r="52" spans="1:7">
      <c r="A52" s="66" t="s">
        <v>141</v>
      </c>
      <c r="B52" s="66" t="s">
        <v>72</v>
      </c>
      <c r="C52" s="66" t="s">
        <v>142</v>
      </c>
      <c r="D52" s="66" t="s">
        <v>143</v>
      </c>
      <c r="E52" s="66" t="s">
        <v>95</v>
      </c>
      <c r="F52" s="66"/>
      <c r="G52" s="66"/>
    </row>
    <row r="53" spans="1:7">
      <c r="A53" s="66" t="s">
        <v>144</v>
      </c>
      <c r="B53" s="66" t="s">
        <v>72</v>
      </c>
      <c r="C53" s="66" t="s">
        <v>145</v>
      </c>
      <c r="D53" s="66" t="s">
        <v>146</v>
      </c>
      <c r="E53" s="66" t="s">
        <v>95</v>
      </c>
      <c r="F53" s="66"/>
      <c r="G53" s="66"/>
    </row>
    <row r="54" spans="1:7">
      <c r="A54" s="66" t="s">
        <v>147</v>
      </c>
      <c r="B54" s="66" t="s">
        <v>72</v>
      </c>
      <c r="C54" s="66" t="s">
        <v>148</v>
      </c>
      <c r="D54" s="66" t="s">
        <v>149</v>
      </c>
      <c r="E54" s="66" t="s">
        <v>95</v>
      </c>
      <c r="F54" s="66"/>
      <c r="G54" s="66"/>
    </row>
    <row r="55" spans="1:7">
      <c r="A55" s="66" t="s">
        <v>150</v>
      </c>
      <c r="B55" s="66" t="s">
        <v>72</v>
      </c>
      <c r="C55" s="66" t="s">
        <v>151</v>
      </c>
      <c r="D55" s="66" t="s">
        <v>152</v>
      </c>
      <c r="E55" s="66" t="s">
        <v>95</v>
      </c>
      <c r="F55" s="66"/>
      <c r="G55" s="66"/>
    </row>
    <row r="56" spans="1:7">
      <c r="A56" s="66" t="s">
        <v>153</v>
      </c>
      <c r="B56" s="66" t="s">
        <v>48</v>
      </c>
      <c r="C56" s="66" t="s">
        <v>154</v>
      </c>
      <c r="D56" s="66" t="s">
        <v>155</v>
      </c>
      <c r="E56" s="66" t="s">
        <v>70</v>
      </c>
      <c r="F56" s="66" t="s">
        <v>52</v>
      </c>
      <c r="G56" s="66" t="s">
        <v>53</v>
      </c>
    </row>
    <row r="57" spans="1:7">
      <c r="A57" s="66" t="s">
        <v>156</v>
      </c>
      <c r="B57" s="66" t="s">
        <v>72</v>
      </c>
      <c r="C57" s="66" t="s">
        <v>157</v>
      </c>
      <c r="D57" s="66" t="s">
        <v>158</v>
      </c>
      <c r="E57" s="66" t="s">
        <v>70</v>
      </c>
      <c r="F57" s="66" t="s">
        <v>52</v>
      </c>
      <c r="G57" s="66" t="s">
        <v>53</v>
      </c>
    </row>
    <row r="58" spans="1:7">
      <c r="A58" s="66" t="s">
        <v>159</v>
      </c>
      <c r="B58" s="66" t="s">
        <v>72</v>
      </c>
      <c r="C58" s="66" t="s">
        <v>160</v>
      </c>
      <c r="D58" s="66" t="s">
        <v>161</v>
      </c>
      <c r="E58" s="66" t="s">
        <v>70</v>
      </c>
      <c r="F58" s="66" t="s">
        <v>52</v>
      </c>
      <c r="G58" s="66" t="s">
        <v>53</v>
      </c>
    </row>
    <row r="61" spans="1:7">
      <c r="A61" s="72" t="s">
        <v>162</v>
      </c>
      <c r="B61" s="72" t="s">
        <v>40</v>
      </c>
      <c r="C61" s="72" t="s">
        <v>42</v>
      </c>
      <c r="D61" s="74" t="s">
        <v>163</v>
      </c>
      <c r="E61" s="75" t="s">
        <v>164</v>
      </c>
      <c r="F61" s="72" t="s">
        <v>165</v>
      </c>
      <c r="G61" s="72" t="s">
        <v>166</v>
      </c>
    </row>
    <row r="62" spans="1:7">
      <c r="A62" s="76">
        <v>0</v>
      </c>
      <c r="B62" s="76" t="s">
        <v>167</v>
      </c>
      <c r="C62" s="76" t="s">
        <v>168</v>
      </c>
      <c r="D62" s="11" t="s">
        <v>169</v>
      </c>
      <c r="E62" s="77" t="s">
        <v>170</v>
      </c>
      <c r="F62" s="77" t="s">
        <v>171</v>
      </c>
      <c r="G62" s="11"/>
    </row>
    <row r="63" spans="1:7">
      <c r="A63" s="78">
        <v>1</v>
      </c>
      <c r="B63" s="78" t="s">
        <v>172</v>
      </c>
      <c r="C63" s="78" t="s">
        <v>173</v>
      </c>
      <c r="D63" s="11" t="s">
        <v>174</v>
      </c>
      <c r="E63" s="77" t="s">
        <v>175</v>
      </c>
      <c r="F63" s="11" t="s">
        <v>176</v>
      </c>
      <c r="G63" s="11" t="s">
        <v>177</v>
      </c>
    </row>
    <row r="64" spans="1:7">
      <c r="A64" s="78">
        <v>2</v>
      </c>
      <c r="B64" s="78" t="s">
        <v>178</v>
      </c>
      <c r="C64" s="78" t="s">
        <v>179</v>
      </c>
      <c r="D64" s="11" t="s">
        <v>180</v>
      </c>
      <c r="E64" s="77" t="s">
        <v>181</v>
      </c>
      <c r="F64" s="11" t="s">
        <v>182</v>
      </c>
      <c r="G64" s="11" t="s">
        <v>183</v>
      </c>
    </row>
    <row r="65" spans="1:7">
      <c r="A65" s="78">
        <v>3</v>
      </c>
      <c r="B65" s="78" t="s">
        <v>184</v>
      </c>
      <c r="C65" s="78" t="s">
        <v>185</v>
      </c>
      <c r="D65" s="11" t="s">
        <v>186</v>
      </c>
      <c r="E65" s="77" t="s">
        <v>187</v>
      </c>
      <c r="F65" s="11" t="s">
        <v>188</v>
      </c>
      <c r="G65" s="11" t="s">
        <v>189</v>
      </c>
    </row>
    <row r="66" ht="15" customHeight="1" spans="1:7">
      <c r="A66" s="78">
        <v>4</v>
      </c>
      <c r="B66" s="78" t="s">
        <v>190</v>
      </c>
      <c r="C66" s="78" t="s">
        <v>191</v>
      </c>
      <c r="D66" s="11" t="s">
        <v>192</v>
      </c>
      <c r="E66" s="77" t="s">
        <v>193</v>
      </c>
      <c r="F66" s="11" t="s">
        <v>194</v>
      </c>
      <c r="G66" s="11" t="s">
        <v>195</v>
      </c>
    </row>
    <row r="67" spans="1:7">
      <c r="A67" s="78">
        <v>5</v>
      </c>
      <c r="B67" s="78" t="s">
        <v>196</v>
      </c>
      <c r="C67" s="78" t="s">
        <v>197</v>
      </c>
      <c r="D67" s="11" t="s">
        <v>198</v>
      </c>
      <c r="E67" s="77" t="s">
        <v>199</v>
      </c>
      <c r="F67" s="11" t="s">
        <v>200</v>
      </c>
      <c r="G67" s="11" t="s">
        <v>201</v>
      </c>
    </row>
    <row r="68" spans="1:7">
      <c r="A68" s="78">
        <v>6</v>
      </c>
      <c r="B68" s="78" t="s">
        <v>202</v>
      </c>
      <c r="C68" s="78" t="s">
        <v>203</v>
      </c>
      <c r="D68" s="11" t="s">
        <v>204</v>
      </c>
      <c r="E68" s="77" t="s">
        <v>205</v>
      </c>
      <c r="F68" s="11" t="s">
        <v>206</v>
      </c>
      <c r="G68" s="11" t="s">
        <v>207</v>
      </c>
    </row>
    <row r="69" spans="1:7">
      <c r="A69" s="78">
        <v>7</v>
      </c>
      <c r="B69" s="78" t="s">
        <v>208</v>
      </c>
      <c r="C69" s="78" t="s">
        <v>209</v>
      </c>
      <c r="D69" s="11" t="s">
        <v>210</v>
      </c>
      <c r="E69" s="77" t="s">
        <v>211</v>
      </c>
      <c r="F69" s="11" t="s">
        <v>212</v>
      </c>
      <c r="G69" s="11" t="s">
        <v>213</v>
      </c>
    </row>
    <row r="70" spans="1:7">
      <c r="A70" s="78">
        <v>8</v>
      </c>
      <c r="B70" s="78" t="s">
        <v>214</v>
      </c>
      <c r="C70" s="78" t="s">
        <v>215</v>
      </c>
      <c r="D70" s="11" t="s">
        <v>216</v>
      </c>
      <c r="E70" s="77" t="s">
        <v>217</v>
      </c>
      <c r="F70" s="11" t="s">
        <v>218</v>
      </c>
      <c r="G70" s="11" t="s">
        <v>219</v>
      </c>
    </row>
    <row r="71" spans="1:7">
      <c r="A71" s="78">
        <v>9</v>
      </c>
      <c r="B71" s="78" t="s">
        <v>220</v>
      </c>
      <c r="C71" s="78" t="s">
        <v>221</v>
      </c>
      <c r="D71" s="11" t="s">
        <v>222</v>
      </c>
      <c r="E71" s="77" t="s">
        <v>223</v>
      </c>
      <c r="F71" s="11" t="s">
        <v>224</v>
      </c>
      <c r="G71" s="11" t="s">
        <v>225</v>
      </c>
    </row>
    <row r="72" spans="1:7">
      <c r="A72" s="78">
        <v>10</v>
      </c>
      <c r="B72" s="78" t="s">
        <v>226</v>
      </c>
      <c r="C72" s="78" t="s">
        <v>227</v>
      </c>
      <c r="D72" s="11" t="s">
        <v>228</v>
      </c>
      <c r="E72" s="77" t="s">
        <v>229</v>
      </c>
      <c r="F72" s="11" t="s">
        <v>230</v>
      </c>
      <c r="G72" s="11" t="s">
        <v>231</v>
      </c>
    </row>
    <row r="73" spans="1:7">
      <c r="A73" s="78">
        <v>11</v>
      </c>
      <c r="B73" s="78" t="s">
        <v>232</v>
      </c>
      <c r="C73" s="78" t="s">
        <v>233</v>
      </c>
      <c r="F73" s="11" t="s">
        <v>22</v>
      </c>
      <c r="G73" s="11"/>
    </row>
    <row r="74" spans="1:7">
      <c r="A74" s="78">
        <v>12</v>
      </c>
      <c r="B74" s="78" t="s">
        <v>234</v>
      </c>
      <c r="C74" s="78" t="s">
        <v>235</v>
      </c>
      <c r="F74" s="76" t="s">
        <v>236</v>
      </c>
      <c r="G74" s="63"/>
    </row>
    <row r="75" spans="1:7">
      <c r="A75" s="78">
        <v>13</v>
      </c>
      <c r="B75" s="78" t="s">
        <v>237</v>
      </c>
      <c r="C75" s="78" t="s">
        <v>238</v>
      </c>
      <c r="F75" s="63" t="s">
        <v>239</v>
      </c>
      <c r="G75" s="76" t="s">
        <v>240</v>
      </c>
    </row>
    <row r="76" spans="1:7">
      <c r="A76" s="78">
        <v>14</v>
      </c>
      <c r="B76" s="78" t="s">
        <v>241</v>
      </c>
      <c r="C76" s="78" t="s">
        <v>242</v>
      </c>
    </row>
    <row r="77" spans="1:7">
      <c r="A77" s="78">
        <v>15</v>
      </c>
      <c r="B77" s="78" t="s">
        <v>243</v>
      </c>
      <c r="C77" s="78"/>
    </row>
    <row r="78" spans="1:7">
      <c r="A78" s="78">
        <v>16</v>
      </c>
      <c r="B78" s="78" t="s">
        <v>244</v>
      </c>
      <c r="C78" s="78" t="s">
        <v>245</v>
      </c>
    </row>
    <row r="79" spans="1:7">
      <c r="A79" s="78">
        <v>17</v>
      </c>
      <c r="B79" s="78" t="s">
        <v>246</v>
      </c>
      <c r="C79" s="78" t="s">
        <v>247</v>
      </c>
    </row>
    <row r="80" spans="1:7">
      <c r="A80" s="78">
        <v>18</v>
      </c>
      <c r="B80" s="78" t="s">
        <v>248</v>
      </c>
      <c r="C80" s="78" t="s">
        <v>249</v>
      </c>
    </row>
    <row r="81" spans="1:5">
      <c r="A81" s="78">
        <v>19</v>
      </c>
      <c r="B81" s="78" t="s">
        <v>250</v>
      </c>
      <c r="C81" s="78" t="s">
        <v>251</v>
      </c>
    </row>
    <row r="82" spans="1:5">
      <c r="A82" s="78">
        <v>20</v>
      </c>
      <c r="B82" s="78" t="s">
        <v>252</v>
      </c>
      <c r="C82" s="78" t="s">
        <v>253</v>
      </c>
    </row>
    <row r="84" spans="1:5">
      <c r="A84" s="68" t="s">
        <v>40</v>
      </c>
      <c r="B84" s="68" t="s">
        <v>41</v>
      </c>
      <c r="C84" s="68" t="s">
        <v>42</v>
      </c>
      <c r="D84" s="68" t="s">
        <v>43</v>
      </c>
      <c r="E84" s="68"/>
    </row>
    <row r="85" spans="1:5">
      <c r="A85" s="70" t="s">
        <v>254</v>
      </c>
      <c r="B85" s="70"/>
      <c r="C85" s="70"/>
      <c r="D85" s="70"/>
      <c r="E85" s="70" t="s">
        <v>255</v>
      </c>
    </row>
    <row r="86" customHeight="1" spans="1:5">
      <c r="A86" s="66" t="s">
        <v>256</v>
      </c>
      <c r="B86" s="66" t="s">
        <v>63</v>
      </c>
      <c r="C86" s="66" t="s">
        <v>257</v>
      </c>
      <c r="D86" s="66" t="s">
        <v>258</v>
      </c>
      <c r="E86" s="66" t="s">
        <v>259</v>
      </c>
    </row>
    <row r="87" customHeight="1" spans="1:5">
      <c r="A87" s="66" t="s">
        <v>260</v>
      </c>
      <c r="B87" s="66" t="s">
        <v>48</v>
      </c>
      <c r="C87" s="66" t="s">
        <v>261</v>
      </c>
      <c r="D87" s="66" t="s">
        <v>262</v>
      </c>
      <c r="E87" s="66"/>
    </row>
    <row r="88" customHeight="1" spans="1:5">
      <c r="A88" s="66" t="s">
        <v>263</v>
      </c>
      <c r="B88" s="66" t="s">
        <v>72</v>
      </c>
      <c r="C88" s="66" t="s">
        <v>264</v>
      </c>
      <c r="D88" s="66" t="s">
        <v>265</v>
      </c>
      <c r="E88" s="66" t="s">
        <v>266</v>
      </c>
    </row>
    <row r="89" customHeight="1" spans="1:5">
      <c r="A89" s="66" t="s">
        <v>267</v>
      </c>
      <c r="B89" s="66" t="s">
        <v>72</v>
      </c>
      <c r="C89" s="66" t="s">
        <v>268</v>
      </c>
      <c r="D89" s="66" t="s">
        <v>269</v>
      </c>
      <c r="E89" s="66"/>
    </row>
    <row r="90" customHeight="1" spans="1:5">
      <c r="A90" s="66" t="s">
        <v>270</v>
      </c>
      <c r="B90" s="66" t="s">
        <v>48</v>
      </c>
      <c r="C90" s="66" t="s">
        <v>271</v>
      </c>
      <c r="D90" s="66" t="s">
        <v>272</v>
      </c>
      <c r="E90" s="66" t="s">
        <v>273</v>
      </c>
    </row>
    <row r="91" customHeight="1" spans="1:5">
      <c r="A91" s="70" t="s">
        <v>274</v>
      </c>
      <c r="B91" s="70" t="s">
        <v>63</v>
      </c>
      <c r="C91" s="70" t="s">
        <v>275</v>
      </c>
      <c r="D91" s="70" t="s">
        <v>276</v>
      </c>
      <c r="E91" s="70" t="s">
        <v>277</v>
      </c>
    </row>
    <row r="92" spans="1:5">
      <c r="A92" s="66" t="s">
        <v>58</v>
      </c>
      <c r="B92" s="66" t="s">
        <v>48</v>
      </c>
      <c r="C92" s="66" t="s">
        <v>278</v>
      </c>
      <c r="D92" s="66" t="s">
        <v>279</v>
      </c>
      <c r="E92" s="66" t="s">
        <v>280</v>
      </c>
    </row>
    <row r="93" spans="1:5">
      <c r="A93" s="66" t="s">
        <v>281</v>
      </c>
      <c r="B93" s="66" t="s">
        <v>282</v>
      </c>
      <c r="C93" s="66" t="s">
        <v>283</v>
      </c>
      <c r="D93" s="66" t="s">
        <v>284</v>
      </c>
      <c r="E93" s="66" t="s">
        <v>285</v>
      </c>
    </row>
    <row r="94" spans="1:5">
      <c r="A94" s="66" t="s">
        <v>286</v>
      </c>
      <c r="B94" s="66" t="s">
        <v>72</v>
      </c>
      <c r="C94" s="66" t="s">
        <v>287</v>
      </c>
      <c r="D94" s="66" t="s">
        <v>288</v>
      </c>
      <c r="E94" s="66"/>
    </row>
    <row r="95" spans="1:5">
      <c r="A95" s="66" t="s">
        <v>137</v>
      </c>
      <c r="B95" s="66" t="s">
        <v>72</v>
      </c>
      <c r="C95" s="66" t="s">
        <v>289</v>
      </c>
      <c r="D95" s="66" t="s">
        <v>139</v>
      </c>
      <c r="E95" s="66"/>
    </row>
    <row r="96" spans="1:5">
      <c r="A96" s="66" t="s">
        <v>290</v>
      </c>
      <c r="B96" s="66" t="s">
        <v>48</v>
      </c>
      <c r="C96" s="66" t="s">
        <v>291</v>
      </c>
      <c r="D96" s="66" t="s">
        <v>292</v>
      </c>
      <c r="E96" s="66"/>
    </row>
    <row r="97" spans="1:5">
      <c r="A97" s="66" t="s">
        <v>293</v>
      </c>
      <c r="B97" s="66" t="s">
        <v>72</v>
      </c>
      <c r="C97" s="66" t="s">
        <v>294</v>
      </c>
      <c r="D97" s="66" t="s">
        <v>295</v>
      </c>
      <c r="E97" s="66"/>
    </row>
    <row r="98" spans="1:5">
      <c r="A98" s="67"/>
      <c r="B98" s="67"/>
      <c r="C98" s="67"/>
      <c r="D98" s="67"/>
      <c r="E98" s="67"/>
    </row>
    <row r="99" spans="1:5">
      <c r="A99" s="70" t="s">
        <v>296</v>
      </c>
      <c r="B99" s="70"/>
      <c r="C99" s="70"/>
      <c r="D99" s="70"/>
      <c r="E99" s="70" t="s">
        <v>297</v>
      </c>
    </row>
    <row r="100" spans="1:5">
      <c r="A100" s="66" t="s">
        <v>298</v>
      </c>
      <c r="B100" s="66" t="s">
        <v>89</v>
      </c>
      <c r="C100" s="66" t="s">
        <v>299</v>
      </c>
      <c r="D100" s="66" t="s">
        <v>300</v>
      </c>
      <c r="E100" s="70" t="s">
        <v>301</v>
      </c>
    </row>
    <row r="101" spans="1:5">
      <c r="A101" s="66" t="s">
        <v>302</v>
      </c>
      <c r="B101" s="66" t="s">
        <v>89</v>
      </c>
      <c r="C101" s="66" t="s">
        <v>303</v>
      </c>
      <c r="D101" s="66" t="s">
        <v>304</v>
      </c>
      <c r="E101" s="70" t="s">
        <v>305</v>
      </c>
    </row>
    <row r="102" spans="1:5">
      <c r="A102" s="66" t="s">
        <v>306</v>
      </c>
      <c r="B102" s="66" t="s">
        <v>307</v>
      </c>
      <c r="C102" s="66" t="s">
        <v>308</v>
      </c>
      <c r="D102" s="66" t="s">
        <v>309</v>
      </c>
      <c r="E102" s="66"/>
    </row>
    <row r="103" spans="1:5">
      <c r="A103" s="66" t="s">
        <v>310</v>
      </c>
      <c r="B103" s="66" t="s">
        <v>48</v>
      </c>
      <c r="C103" s="66" t="s">
        <v>311</v>
      </c>
      <c r="D103" s="66" t="s">
        <v>312</v>
      </c>
      <c r="E103" s="66"/>
    </row>
    <row r="104" spans="1:5">
      <c r="A104" s="66" t="s">
        <v>313</v>
      </c>
      <c r="B104" s="66" t="s">
        <v>63</v>
      </c>
      <c r="C104" s="66" t="s">
        <v>314</v>
      </c>
      <c r="D104" s="66" t="s">
        <v>315</v>
      </c>
      <c r="E104" s="66"/>
    </row>
    <row r="105" spans="1:5">
      <c r="A105" s="67"/>
      <c r="B105" s="67"/>
      <c r="C105" s="67"/>
      <c r="D105" s="67"/>
      <c r="E105" s="67"/>
    </row>
    <row r="106" spans="1:5">
      <c r="A106" s="70" t="s">
        <v>316</v>
      </c>
      <c r="B106" s="70"/>
      <c r="C106" s="70"/>
      <c r="D106" s="70"/>
      <c r="E106" s="70" t="s">
        <v>317</v>
      </c>
    </row>
    <row r="107" spans="1:5">
      <c r="A107" s="66" t="s">
        <v>318</v>
      </c>
      <c r="B107" s="66" t="s">
        <v>63</v>
      </c>
      <c r="C107" s="66" t="s">
        <v>319</v>
      </c>
      <c r="D107" s="66" t="s">
        <v>320</v>
      </c>
      <c r="E107" s="66"/>
    </row>
    <row r="108" spans="1:5">
      <c r="A108" s="66" t="s">
        <v>82</v>
      </c>
      <c r="B108" s="66" t="s">
        <v>63</v>
      </c>
      <c r="C108" s="66" t="s">
        <v>321</v>
      </c>
      <c r="D108" s="66" t="s">
        <v>322</v>
      </c>
      <c r="E108" s="66"/>
    </row>
    <row r="109" spans="1:5">
      <c r="A109" s="70" t="s">
        <v>99</v>
      </c>
      <c r="B109" s="70" t="s">
        <v>63</v>
      </c>
      <c r="C109" s="79" t="s">
        <v>323</v>
      </c>
      <c r="D109" s="70" t="s">
        <v>324</v>
      </c>
      <c r="E109" s="70" t="s">
        <v>325</v>
      </c>
    </row>
    <row r="110" spans="1:5">
      <c r="A110" s="66" t="s">
        <v>326</v>
      </c>
      <c r="B110" s="66" t="s">
        <v>72</v>
      </c>
      <c r="C110" s="66" t="s">
        <v>327</v>
      </c>
      <c r="D110" s="66" t="s">
        <v>328</v>
      </c>
      <c r="E110" s="66"/>
    </row>
    <row r="111" spans="1:5">
      <c r="A111" s="66" t="s">
        <v>79</v>
      </c>
      <c r="B111" s="66" t="s">
        <v>48</v>
      </c>
      <c r="C111" s="66" t="s">
        <v>329</v>
      </c>
      <c r="D111" s="66" t="s">
        <v>330</v>
      </c>
      <c r="E111" s="66"/>
    </row>
    <row r="112" spans="1:5">
      <c r="A112" s="66" t="s">
        <v>128</v>
      </c>
      <c r="B112" s="66" t="s">
        <v>72</v>
      </c>
      <c r="C112" s="66" t="s">
        <v>331</v>
      </c>
      <c r="D112" s="66" t="s">
        <v>130</v>
      </c>
      <c r="E112" s="66"/>
    </row>
    <row r="113" spans="1:5">
      <c r="A113" s="66" t="s">
        <v>332</v>
      </c>
      <c r="B113" s="66" t="s">
        <v>333</v>
      </c>
      <c r="C113" s="66" t="s">
        <v>334</v>
      </c>
      <c r="D113" s="66" t="s">
        <v>335</v>
      </c>
      <c r="E113" s="82" t="s">
        <v>336</v>
      </c>
    </row>
    <row r="114" spans="1:5">
      <c r="A114" s="66" t="s">
        <v>337</v>
      </c>
      <c r="B114" s="66" t="s">
        <v>307</v>
      </c>
      <c r="C114" s="66" t="s">
        <v>338</v>
      </c>
      <c r="D114" s="66" t="s">
        <v>339</v>
      </c>
      <c r="E114" s="66"/>
    </row>
    <row r="115" spans="1:5">
      <c r="A115" s="70" t="s">
        <v>340</v>
      </c>
      <c r="B115" s="70" t="s">
        <v>48</v>
      </c>
      <c r="C115" s="70" t="s">
        <v>341</v>
      </c>
      <c r="D115" s="80" t="s">
        <v>342</v>
      </c>
      <c r="E115" s="71" t="s">
        <v>343</v>
      </c>
    </row>
    <row r="116" spans="1:5">
      <c r="E116" s="81" t="s">
        <v>344</v>
      </c>
    </row>
    <row r="117" spans="1:5">
      <c r="E117" s="81" t="s">
        <v>345</v>
      </c>
    </row>
    <row r="118" spans="1:5">
      <c r="E118" s="81" t="s">
        <v>346</v>
      </c>
    </row>
  </sheetData>
  <hyperlinks>
    <hyperlink ref="C107" r:id="rId1" display="动态属性编号"/>
    <hyperlink ref="E3" r:id="rId2" display="https://www.jx3box.com/tool/74098"/>
    <hyperlink ref="E2"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79"/>
  <sheetViews>
    <sheetView workbookViewId="0">
      <selection activeCell="D21" sqref="D21"/>
    </sheetView>
  </sheetViews>
  <sheetFormatPr defaultColWidth="9" defaultRowHeight="13.5"/>
  <cols>
    <col min="1" max="1" width="6.625" style="1" customWidth="1"/>
    <col min="2" max="2" width="24.625" style="1" customWidth="1"/>
    <col min="3" max="5" width="6.625" style="2" customWidth="1"/>
    <col min="6" max="6" width="12.625" style="2" customWidth="1"/>
    <col min="7" max="9" width="10.625" style="2" customWidth="1"/>
    <col min="10" max="10" width="8.625" style="2" customWidth="1"/>
    <col min="11" max="11" width="12.625" style="2" customWidth="1"/>
    <col min="12" max="12" width="8.625" style="2" customWidth="1"/>
    <col min="13" max="13" width="16.625" customWidth="1"/>
    <col min="14" max="15" width="18.625" customWidth="1"/>
    <col min="16" max="17" width="9" style="2"/>
    <col min="18" max="20" width="6.625" style="2" customWidth="1"/>
    <col min="21" max="23" width="10.625" customWidth="1"/>
    <col min="24" max="24" width="6.625" customWidth="1"/>
    <col min="25" max="25" width="10.625" customWidth="1"/>
    <col min="26" max="27" width="6.625" customWidth="1"/>
    <col min="28" max="28" width="6.5" style="2" customWidth="1"/>
    <col min="29" max="29" width="37.625" customWidth="1"/>
    <col min="30" max="30" width="10.25" customWidth="1"/>
  </cols>
  <sheetData>
    <row r="1" spans="1:31">
      <c r="A1" s="3" t="s">
        <v>347</v>
      </c>
      <c r="B1" s="3" t="s">
        <v>348</v>
      </c>
      <c r="C1" s="3" t="s">
        <v>349</v>
      </c>
      <c r="D1" s="3" t="s">
        <v>350</v>
      </c>
      <c r="E1" s="3" t="s">
        <v>351</v>
      </c>
      <c r="F1" s="4" t="s">
        <v>352</v>
      </c>
      <c r="G1" s="4" t="s">
        <v>353</v>
      </c>
      <c r="H1" s="4" t="s">
        <v>354</v>
      </c>
      <c r="I1" s="4" t="s">
        <v>355</v>
      </c>
      <c r="J1" s="3" t="s">
        <v>356</v>
      </c>
      <c r="K1" s="3" t="s">
        <v>357</v>
      </c>
      <c r="L1" s="3" t="s">
        <v>358</v>
      </c>
      <c r="M1" s="3" t="s">
        <v>359</v>
      </c>
      <c r="N1" s="3" t="s">
        <v>360</v>
      </c>
      <c r="O1" s="3" t="s">
        <v>361</v>
      </c>
      <c r="P1" s="3" t="s">
        <v>362</v>
      </c>
      <c r="Q1" s="3"/>
      <c r="R1" s="3" t="s">
        <v>351</v>
      </c>
      <c r="S1" s="3" t="s">
        <v>363</v>
      </c>
      <c r="T1" s="3" t="s">
        <v>364</v>
      </c>
      <c r="U1" s="3"/>
      <c r="V1" s="3" t="s">
        <v>365</v>
      </c>
      <c r="W1" s="3"/>
      <c r="X1" s="5" t="s">
        <v>366</v>
      </c>
      <c r="Y1" s="4"/>
      <c r="Z1" s="5" t="s">
        <v>367</v>
      </c>
      <c r="AA1" s="6"/>
      <c r="AB1" s="7" t="s">
        <v>368</v>
      </c>
      <c r="AC1" s="7" t="s">
        <v>369</v>
      </c>
      <c r="AD1" s="7" t="s">
        <v>370</v>
      </c>
    </row>
    <row r="2" spans="1:31">
      <c r="A2" s="7">
        <v>-31</v>
      </c>
      <c r="B2" s="7"/>
      <c r="C2" s="7" t="s">
        <v>371</v>
      </c>
      <c r="D2" s="7">
        <v>0</v>
      </c>
      <c r="E2" s="7">
        <v>0</v>
      </c>
      <c r="F2" s="7" t="s">
        <v>371</v>
      </c>
      <c r="G2" s="7">
        <v>0</v>
      </c>
      <c r="H2" s="7" t="s">
        <v>372</v>
      </c>
      <c r="I2" s="7" t="s">
        <v>373</v>
      </c>
      <c r="J2" s="8" t="s">
        <v>374</v>
      </c>
      <c r="K2" s="83" t="s">
        <v>375</v>
      </c>
      <c r="L2" s="83" t="str">
        <f>DEC2HEX(LEFT(K2,FIND(",",K2)-1),2)&amp;DEC2HEX(LEFT(RIGHT(K2,LEN(K2)-LEN(LEFT(K2,FIND(",",K2)-1))-1),FIND(",",RIGHT(K2,LEN(K2)-LEN(LEFT(K2,FIND(",",K2)-1))-1))-1),2)&amp;DEC2HEX(LEFT(RIGHT(K2,LEN(K2)-LEN(LEFT(RIGHT(K2,LEN(K2)-LEN(LEFT(K2,FIND(",",K2)-1))-1),FIND(",",RIGHT(K2,LEN(K2)-LEN(LEFT(K2,FIND(",",K2)-1))-1))-1))-LEN(LEFT(K2,FIND(",",K2)-1))-2),FIND(",",RIGHT(K2,LEN(K2)-LEN(LEFT(RIGHT(K2,LEN(K2)-LEN(LEFT(K2,FIND(",",K2)-1))-1),FIND(",",RIGHT(K2,LEN(K2)-LEN(LEFT(K2,FIND(",",K2)-1))-1))-1))-LEN(LEFT(K2,FIND(",",K2)-1))-2))-1),2)</f>
        <v>3C80DC</v>
      </c>
      <c r="M2" s="7" t="s">
        <v>376</v>
      </c>
      <c r="N2" s="7" t="s">
        <v>377</v>
      </c>
      <c r="O2" s="7" t="s">
        <v>378</v>
      </c>
      <c r="P2" s="7" t="s">
        <v>379</v>
      </c>
      <c r="Q2" s="7" t="s">
        <v>380</v>
      </c>
      <c r="R2" s="7">
        <v>0</v>
      </c>
      <c r="S2" s="7" t="str">
        <f>""</f>
        <v/>
      </c>
      <c r="T2" s="7">
        <v>0</v>
      </c>
      <c r="U2" s="7" t="str">
        <f>""</f>
        <v/>
      </c>
      <c r="V2" s="7" t="s">
        <v>381</v>
      </c>
      <c r="W2" s="10" t="s">
        <v>382</v>
      </c>
      <c r="X2" s="7" t="s">
        <v>383</v>
      </c>
      <c r="Y2" s="7" t="s">
        <v>384</v>
      </c>
      <c r="Z2" s="7" t="s">
        <v>385</v>
      </c>
      <c r="AA2" s="10" t="s">
        <v>386</v>
      </c>
      <c r="AB2" s="7">
        <v>1</v>
      </c>
      <c r="AC2" s="11" t="s">
        <v>387</v>
      </c>
      <c r="AD2" s="11" t="s">
        <v>388</v>
      </c>
      <c r="AE2" s="12"/>
    </row>
    <row r="3" spans="1:31">
      <c r="A3" s="7">
        <v>-30</v>
      </c>
      <c r="B3" s="7"/>
      <c r="C3" s="7" t="s">
        <v>389</v>
      </c>
      <c r="D3" s="7">
        <v>1</v>
      </c>
      <c r="E3" s="7">
        <v>3</v>
      </c>
      <c r="F3" s="7" t="s">
        <v>390</v>
      </c>
      <c r="G3" s="7">
        <v>10003</v>
      </c>
      <c r="H3" s="7" t="s">
        <v>391</v>
      </c>
      <c r="I3" s="7" t="s">
        <v>392</v>
      </c>
      <c r="J3" s="13" t="s">
        <v>393</v>
      </c>
      <c r="K3" s="13" t="s">
        <v>394</v>
      </c>
      <c r="L3" s="84" t="str">
        <f>DEC2HEX(LEFT(K3,FIND(",",K3)-1),2)&amp;DEC2HEX(LEFT(RIGHT(K3,LEN(K3)-LEN(LEFT(K3,FIND(",",K3)-1))-1),FIND(",",RIGHT(K3,LEN(K3)-LEN(LEFT(K3,FIND(",",K3)-1))-1))-1),2)&amp;DEC2HEX(LEFT(RIGHT(K3,LEN(K3)-LEN(LEFT(RIGHT(K3,LEN(K3)-LEN(LEFT(K3,FIND(",",K3)-1))-1),FIND(",",RIGHT(K3,LEN(K3)-LEN(LEFT(K3,FIND(",",K3)-1))-1))-1))-LEN(LEFT(K3,FIND(",",K3)-1))-2),FIND(",",RIGHT(K3,LEN(K3)-LEN(LEFT(RIGHT(K3,LEN(K3)-LEN(LEFT(K3,FIND(",",K3)-1))-1),FIND(",",RIGHT(K3,LEN(K3)-LEN(LEFT(K3,FIND(",",K3)-1))-1))-1))-LEN(LEFT(K3,FIND(",",K3)-1))-2))-1),2)</f>
        <v>A01E1E</v>
      </c>
      <c r="M3" s="7" t="s">
        <v>395</v>
      </c>
      <c r="N3" s="7" t="s">
        <v>396</v>
      </c>
      <c r="O3" s="7" t="s">
        <v>397</v>
      </c>
      <c r="P3" s="7" t="s">
        <v>398</v>
      </c>
      <c r="Q3" s="7" t="s">
        <v>399</v>
      </c>
      <c r="R3" s="7">
        <v>1</v>
      </c>
      <c r="S3" s="7" t="s">
        <v>400</v>
      </c>
      <c r="T3" s="7">
        <v>1</v>
      </c>
      <c r="U3" s="7" t="s">
        <v>401</v>
      </c>
      <c r="V3" s="7" t="s">
        <v>402</v>
      </c>
      <c r="W3" s="10" t="s">
        <v>384</v>
      </c>
      <c r="X3" s="7" t="s">
        <v>400</v>
      </c>
      <c r="Y3" s="7" t="s">
        <v>382</v>
      </c>
      <c r="Z3" s="7" t="s">
        <v>403</v>
      </c>
      <c r="AA3" s="10" t="s">
        <v>386</v>
      </c>
      <c r="AB3" s="7">
        <v>2</v>
      </c>
      <c r="AC3" s="11" t="s">
        <v>404</v>
      </c>
      <c r="AD3" s="11" t="s">
        <v>405</v>
      </c>
      <c r="AE3" s="12"/>
    </row>
    <row r="4" spans="1:31">
      <c r="A4" s="7">
        <v>-29</v>
      </c>
      <c r="B4" s="7"/>
      <c r="C4" s="7" t="s">
        <v>406</v>
      </c>
      <c r="D4" s="7">
        <v>2</v>
      </c>
      <c r="E4" s="7">
        <v>2</v>
      </c>
      <c r="F4" s="7" t="s">
        <v>407</v>
      </c>
      <c r="G4" s="7">
        <v>10002</v>
      </c>
      <c r="H4" s="7" t="s">
        <v>391</v>
      </c>
      <c r="I4" s="7" t="s">
        <v>392</v>
      </c>
      <c r="J4" s="15" t="s">
        <v>408</v>
      </c>
      <c r="K4" s="15" t="s">
        <v>409</v>
      </c>
      <c r="L4" s="85" t="str">
        <f t="shared" ref="L4:L39" si="0">DEC2HEX(LEFT(K4,FIND(",",K4)-1),2)&amp;DEC2HEX(LEFT(RIGHT(K4,LEN(K4)-LEN(LEFT(K4,FIND(",",K4)-1))-1),FIND(",",RIGHT(K4,LEN(K4)-LEN(LEFT(K4,FIND(",",K4)-1))-1))-1),2)&amp;DEC2HEX(LEFT(RIGHT(K4,LEN(K4)-LEN(LEFT(RIGHT(K4,LEN(K4)-LEN(LEFT(K4,FIND(",",K4)-1))-1),FIND(",",RIGHT(K4,LEN(K4)-LEN(LEFT(K4,FIND(",",K4)-1))-1))-1))-LEN(LEFT(K4,FIND(",",K4)-1))-2),FIND(",",RIGHT(K4,LEN(K4)-LEN(LEFT(RIGHT(K4,LEN(K4)-LEN(LEFT(K4,FIND(",",K4)-1))-1),FIND(",",RIGHT(K4,LEN(K4)-LEN(LEFT(K4,FIND(",",K4)-1))-1))-1))-LEN(LEFT(K4,FIND(",",K4)-1))-2))-1),2)</f>
        <v>FFB25F</v>
      </c>
      <c r="M4" s="7" t="s">
        <v>410</v>
      </c>
      <c r="N4" s="7" t="s">
        <v>411</v>
      </c>
      <c r="O4" s="7" t="s">
        <v>412</v>
      </c>
      <c r="P4" s="7" t="s">
        <v>413</v>
      </c>
      <c r="Q4" s="7" t="s">
        <v>399</v>
      </c>
      <c r="R4" s="7">
        <v>2</v>
      </c>
      <c r="S4" s="7" t="s">
        <v>383</v>
      </c>
      <c r="T4" s="7">
        <v>2</v>
      </c>
      <c r="U4" s="7" t="s">
        <v>414</v>
      </c>
      <c r="V4" s="7" t="s">
        <v>415</v>
      </c>
      <c r="W4" s="10" t="s">
        <v>416</v>
      </c>
      <c r="X4" s="7" t="s">
        <v>386</v>
      </c>
      <c r="Y4" s="7" t="s">
        <v>417</v>
      </c>
      <c r="Z4" s="7" t="s">
        <v>418</v>
      </c>
      <c r="AA4" s="10" t="s">
        <v>386</v>
      </c>
      <c r="AB4" s="7">
        <v>3</v>
      </c>
      <c r="AC4" s="11" t="s">
        <v>419</v>
      </c>
      <c r="AD4" s="11" t="s">
        <v>405</v>
      </c>
      <c r="AE4" s="12"/>
    </row>
    <row r="5" spans="1:31">
      <c r="A5" s="7">
        <v>-28</v>
      </c>
      <c r="B5" s="7"/>
      <c r="C5" s="7" t="s">
        <v>420</v>
      </c>
      <c r="D5" s="7">
        <v>3</v>
      </c>
      <c r="E5" s="7">
        <v>4</v>
      </c>
      <c r="F5" s="7" t="s">
        <v>421</v>
      </c>
      <c r="G5" s="7">
        <v>10015</v>
      </c>
      <c r="H5" s="7" t="s">
        <v>422</v>
      </c>
      <c r="I5" s="7" t="s">
        <v>423</v>
      </c>
      <c r="J5" s="15" t="s">
        <v>406</v>
      </c>
      <c r="K5" s="85" t="s">
        <v>424</v>
      </c>
      <c r="L5" s="85" t="str">
        <f t="shared" si="0"/>
        <v>C498FF</v>
      </c>
      <c r="M5" s="7" t="s">
        <v>425</v>
      </c>
      <c r="N5" s="7" t="s">
        <v>426</v>
      </c>
      <c r="O5" s="7" t="s">
        <v>425</v>
      </c>
      <c r="P5" s="7" t="s">
        <v>427</v>
      </c>
      <c r="Q5" s="7" t="s">
        <v>399</v>
      </c>
      <c r="R5" s="7">
        <v>3</v>
      </c>
      <c r="S5" s="7" t="s">
        <v>428</v>
      </c>
      <c r="T5" s="7">
        <v>3</v>
      </c>
      <c r="U5" s="7" t="s">
        <v>429</v>
      </c>
      <c r="V5" s="7" t="s">
        <v>430</v>
      </c>
      <c r="W5" s="10" t="s">
        <v>430</v>
      </c>
      <c r="X5" s="7" t="s">
        <v>431</v>
      </c>
      <c r="Y5" s="10" t="s">
        <v>416</v>
      </c>
      <c r="Z5" s="17"/>
      <c r="AA5" s="18"/>
      <c r="AB5" s="7">
        <v>4</v>
      </c>
      <c r="AC5" s="11" t="s">
        <v>432</v>
      </c>
      <c r="AD5" s="11" t="s">
        <v>433</v>
      </c>
      <c r="AE5" s="12"/>
    </row>
    <row r="6" spans="1:31">
      <c r="A6" s="7">
        <v>-27</v>
      </c>
      <c r="B6" s="7"/>
      <c r="C6" s="7" t="s">
        <v>434</v>
      </c>
      <c r="D6" s="7">
        <v>4</v>
      </c>
      <c r="E6" s="7">
        <v>5</v>
      </c>
      <c r="F6" s="7" t="s">
        <v>435</v>
      </c>
      <c r="G6" s="7">
        <v>10014</v>
      </c>
      <c r="H6" s="7" t="s">
        <v>422</v>
      </c>
      <c r="I6" s="7" t="s">
        <v>423</v>
      </c>
      <c r="J6" s="15" t="s">
        <v>389</v>
      </c>
      <c r="K6" s="15" t="s">
        <v>436</v>
      </c>
      <c r="L6" s="85" t="str">
        <f t="shared" si="0"/>
        <v>FF6F53</v>
      </c>
      <c r="M6" s="7" t="s">
        <v>437</v>
      </c>
      <c r="N6" s="7" t="s">
        <v>438</v>
      </c>
      <c r="O6" s="7" t="s">
        <v>439</v>
      </c>
      <c r="P6" s="7" t="s">
        <v>440</v>
      </c>
      <c r="Q6" s="7" t="s">
        <v>399</v>
      </c>
      <c r="R6" s="7">
        <v>4</v>
      </c>
      <c r="S6" s="7" t="s">
        <v>441</v>
      </c>
      <c r="T6" s="7">
        <v>4</v>
      </c>
      <c r="U6" s="7" t="s">
        <v>442</v>
      </c>
      <c r="V6" s="7" t="s">
        <v>443</v>
      </c>
      <c r="W6" s="10" t="s">
        <v>444</v>
      </c>
      <c r="X6" s="7" t="s">
        <v>445</v>
      </c>
      <c r="Y6" s="10" t="s">
        <v>416</v>
      </c>
      <c r="Z6" s="19"/>
      <c r="AA6" s="1"/>
      <c r="AB6" s="7">
        <v>5</v>
      </c>
      <c r="AC6" s="11" t="s">
        <v>446</v>
      </c>
      <c r="AD6" s="11" t="s">
        <v>447</v>
      </c>
      <c r="AE6" s="12"/>
    </row>
    <row r="7" spans="1:31">
      <c r="A7" s="7">
        <v>-26</v>
      </c>
      <c r="B7" s="7"/>
      <c r="C7" s="7" t="s">
        <v>408</v>
      </c>
      <c r="D7" s="7">
        <v>5</v>
      </c>
      <c r="E7" s="7">
        <v>1</v>
      </c>
      <c r="F7" s="7" t="s">
        <v>448</v>
      </c>
      <c r="G7" s="7">
        <v>10021</v>
      </c>
      <c r="H7" s="7" t="s">
        <v>449</v>
      </c>
      <c r="I7" s="7" t="s">
        <v>450</v>
      </c>
      <c r="J7" s="15" t="s">
        <v>420</v>
      </c>
      <c r="K7" s="85" t="s">
        <v>451</v>
      </c>
      <c r="L7" s="85" t="str">
        <f t="shared" si="0"/>
        <v>16D8D8</v>
      </c>
      <c r="M7" s="7" t="s">
        <v>452</v>
      </c>
      <c r="N7" s="7" t="s">
        <v>453</v>
      </c>
      <c r="O7" s="7" t="s">
        <v>452</v>
      </c>
      <c r="P7" s="7" t="s">
        <v>454</v>
      </c>
      <c r="Q7" s="7" t="s">
        <v>399</v>
      </c>
      <c r="T7" s="7">
        <v>5</v>
      </c>
      <c r="U7" s="7" t="s">
        <v>455</v>
      </c>
      <c r="V7" s="20" t="s">
        <v>456</v>
      </c>
      <c r="W7" s="17" t="s">
        <v>457</v>
      </c>
      <c r="X7" s="7" t="s">
        <v>458</v>
      </c>
      <c r="Y7" s="10" t="s">
        <v>444</v>
      </c>
      <c r="Z7" s="19"/>
      <c r="AA7" s="1"/>
      <c r="AB7" s="7">
        <v>6</v>
      </c>
      <c r="AC7" s="11" t="s">
        <v>459</v>
      </c>
      <c r="AD7" s="11" t="s">
        <v>460</v>
      </c>
      <c r="AE7" s="12"/>
    </row>
    <row r="8" spans="1:31">
      <c r="A8" s="7">
        <v>-25</v>
      </c>
      <c r="B8" s="7"/>
      <c r="C8" s="7" t="s">
        <v>461</v>
      </c>
      <c r="D8" s="7">
        <v>6</v>
      </c>
      <c r="E8" s="7">
        <v>8</v>
      </c>
      <c r="F8" s="7" t="s">
        <v>462</v>
      </c>
      <c r="G8" s="7">
        <v>10028</v>
      </c>
      <c r="H8" s="7" t="s">
        <v>449</v>
      </c>
      <c r="I8" s="7" t="s">
        <v>450</v>
      </c>
      <c r="J8" s="15" t="s">
        <v>434</v>
      </c>
      <c r="K8" s="85" t="s">
        <v>463</v>
      </c>
      <c r="L8" s="85" t="str">
        <f t="shared" si="0"/>
        <v>FF81B0</v>
      </c>
      <c r="M8" s="7" t="s">
        <v>464</v>
      </c>
      <c r="N8" s="7" t="s">
        <v>465</v>
      </c>
      <c r="O8" s="7" t="s">
        <v>464</v>
      </c>
      <c r="P8" s="7" t="s">
        <v>466</v>
      </c>
      <c r="Q8" s="7" t="s">
        <v>399</v>
      </c>
      <c r="T8" s="7">
        <v>6</v>
      </c>
      <c r="U8" s="10" t="s">
        <v>467</v>
      </c>
      <c r="V8" s="7" t="s">
        <v>468</v>
      </c>
      <c r="W8" s="7" t="s">
        <v>417</v>
      </c>
      <c r="X8" s="7" t="s">
        <v>441</v>
      </c>
      <c r="Y8" s="10" t="s">
        <v>430</v>
      </c>
      <c r="Z8" s="19"/>
      <c r="AA8" s="1"/>
      <c r="AB8" s="7">
        <v>7</v>
      </c>
      <c r="AC8" s="11" t="s">
        <v>459</v>
      </c>
      <c r="AD8" s="11" t="s">
        <v>460</v>
      </c>
      <c r="AE8" s="12"/>
    </row>
    <row r="9" spans="1:31">
      <c r="A9" s="7">
        <v>-24</v>
      </c>
      <c r="B9" s="7"/>
      <c r="C9" s="7" t="s">
        <v>469</v>
      </c>
      <c r="D9" s="7">
        <v>7</v>
      </c>
      <c r="E9" s="7">
        <v>9</v>
      </c>
      <c r="F9" s="7" t="s">
        <v>470</v>
      </c>
      <c r="G9" s="7">
        <v>10026</v>
      </c>
      <c r="H9" s="7" t="s">
        <v>471</v>
      </c>
      <c r="I9" s="7" t="s">
        <v>472</v>
      </c>
      <c r="J9" s="15" t="s">
        <v>473</v>
      </c>
      <c r="K9" s="85" t="s">
        <v>474</v>
      </c>
      <c r="L9" s="85" t="str">
        <f t="shared" si="0"/>
        <v>3793FF</v>
      </c>
      <c r="M9" s="7" t="s">
        <v>475</v>
      </c>
      <c r="N9" s="7" t="s">
        <v>476</v>
      </c>
      <c r="O9" s="7" t="s">
        <v>477</v>
      </c>
      <c r="P9" s="7" t="s">
        <v>478</v>
      </c>
      <c r="Q9" s="7" t="s">
        <v>399</v>
      </c>
      <c r="T9" s="7">
        <v>7</v>
      </c>
      <c r="U9" s="10" t="s">
        <v>479</v>
      </c>
      <c r="V9" s="19"/>
      <c r="W9" s="21"/>
      <c r="X9" s="7" t="s">
        <v>480</v>
      </c>
      <c r="Y9" s="7" t="s">
        <v>457</v>
      </c>
      <c r="Z9" s="2"/>
      <c r="AA9" s="1"/>
      <c r="AB9" s="7">
        <v>8</v>
      </c>
      <c r="AC9" s="11" t="s">
        <v>459</v>
      </c>
      <c r="AD9" s="11" t="s">
        <v>460</v>
      </c>
      <c r="AE9" s="12"/>
    </row>
    <row r="10" spans="1:31">
      <c r="A10" s="7">
        <v>-23</v>
      </c>
      <c r="B10" s="7"/>
      <c r="C10" s="7" t="s">
        <v>481</v>
      </c>
      <c r="D10" s="7">
        <v>8</v>
      </c>
      <c r="E10" s="7">
        <v>10</v>
      </c>
      <c r="F10" s="7" t="s">
        <v>482</v>
      </c>
      <c r="G10" s="7">
        <v>10062</v>
      </c>
      <c r="H10" s="7" t="s">
        <v>471</v>
      </c>
      <c r="I10" s="7" t="s">
        <v>472</v>
      </c>
      <c r="J10" s="15" t="s">
        <v>483</v>
      </c>
      <c r="K10" s="15" t="s">
        <v>484</v>
      </c>
      <c r="L10" s="85" t="str">
        <f t="shared" si="0"/>
        <v>79B736</v>
      </c>
      <c r="M10" s="7" t="s">
        <v>485</v>
      </c>
      <c r="N10" s="7" t="s">
        <v>486</v>
      </c>
      <c r="O10" s="7" t="s">
        <v>487</v>
      </c>
      <c r="P10" s="7" t="s">
        <v>488</v>
      </c>
      <c r="Q10" s="7" t="s">
        <v>399</v>
      </c>
      <c r="T10" s="7">
        <v>8</v>
      </c>
      <c r="U10" s="10" t="s">
        <v>489</v>
      </c>
      <c r="V10" s="19"/>
      <c r="W10" s="21"/>
      <c r="X10" s="7" t="s">
        <v>490</v>
      </c>
      <c r="Y10" s="7" t="s">
        <v>491</v>
      </c>
      <c r="Z10" s="2"/>
      <c r="AA10" s="2"/>
      <c r="AB10" s="7">
        <v>9</v>
      </c>
      <c r="AC10" s="11" t="s">
        <v>459</v>
      </c>
      <c r="AD10" s="11" t="s">
        <v>460</v>
      </c>
      <c r="AE10" s="12"/>
    </row>
    <row r="11" spans="1:31">
      <c r="A11" s="7">
        <v>-22</v>
      </c>
      <c r="B11" s="7"/>
      <c r="C11" s="7" t="s">
        <v>473</v>
      </c>
      <c r="D11" s="7">
        <v>9</v>
      </c>
      <c r="E11" s="7">
        <v>6</v>
      </c>
      <c r="F11" s="7" t="s">
        <v>492</v>
      </c>
      <c r="G11" s="7">
        <v>10081</v>
      </c>
      <c r="H11" s="7" t="s">
        <v>493</v>
      </c>
      <c r="I11" s="7" t="s">
        <v>494</v>
      </c>
      <c r="J11" s="15" t="s">
        <v>461</v>
      </c>
      <c r="K11" s="15" t="s">
        <v>495</v>
      </c>
      <c r="L11" s="85" t="str">
        <f t="shared" si="0"/>
        <v>D6F95D</v>
      </c>
      <c r="M11" s="7" t="s">
        <v>496</v>
      </c>
      <c r="N11" s="7" t="s">
        <v>497</v>
      </c>
      <c r="O11" s="7" t="s">
        <v>498</v>
      </c>
      <c r="P11" s="7" t="s">
        <v>499</v>
      </c>
      <c r="Q11" s="7" t="s">
        <v>500</v>
      </c>
      <c r="T11" s="7">
        <v>9</v>
      </c>
      <c r="U11" s="10" t="s">
        <v>501</v>
      </c>
      <c r="V11" s="19"/>
      <c r="W11" s="2"/>
      <c r="X11" s="2"/>
      <c r="Y11" s="2"/>
      <c r="Z11" s="2"/>
      <c r="AA11" s="2"/>
      <c r="AB11" s="7">
        <v>10</v>
      </c>
      <c r="AC11" s="11" t="s">
        <v>459</v>
      </c>
      <c r="AD11" s="11" t="s">
        <v>460</v>
      </c>
      <c r="AE11" s="12"/>
    </row>
    <row r="12" spans="1:31">
      <c r="A12" s="7">
        <v>-21</v>
      </c>
      <c r="B12" s="7"/>
      <c r="C12" s="7" t="s">
        <v>483</v>
      </c>
      <c r="D12" s="7">
        <v>10</v>
      </c>
      <c r="E12" s="7">
        <v>7</v>
      </c>
      <c r="F12" s="7" t="s">
        <v>502</v>
      </c>
      <c r="G12" s="7">
        <v>10080</v>
      </c>
      <c r="H12" s="7" t="s">
        <v>493</v>
      </c>
      <c r="I12" s="7" t="s">
        <v>494</v>
      </c>
      <c r="J12" s="15" t="s">
        <v>469</v>
      </c>
      <c r="K12" s="15" t="s">
        <v>503</v>
      </c>
      <c r="L12" s="85" t="str">
        <f t="shared" si="0"/>
        <v>CD853F</v>
      </c>
      <c r="M12" s="7" t="s">
        <v>504</v>
      </c>
      <c r="N12" s="7" t="s">
        <v>505</v>
      </c>
      <c r="O12" s="7" t="s">
        <v>506</v>
      </c>
      <c r="P12" s="7" t="s">
        <v>507</v>
      </c>
      <c r="Q12" s="7" t="s">
        <v>508</v>
      </c>
      <c r="T12" s="7">
        <v>10</v>
      </c>
      <c r="U12" s="10" t="s">
        <v>509</v>
      </c>
      <c r="V12" s="19"/>
      <c r="W12" s="2"/>
      <c r="X12" s="2"/>
      <c r="AA12" s="2"/>
      <c r="AB12" s="7">
        <v>11</v>
      </c>
      <c r="AC12" s="11" t="s">
        <v>510</v>
      </c>
      <c r="AD12" s="11" t="s">
        <v>511</v>
      </c>
      <c r="AE12" s="12"/>
    </row>
    <row r="13" spans="1:31">
      <c r="A13" s="7">
        <v>-20</v>
      </c>
      <c r="B13" s="7"/>
      <c r="C13" s="7" t="s">
        <v>512</v>
      </c>
      <c r="D13" s="7">
        <v>18</v>
      </c>
      <c r="E13" s="7">
        <v>21</v>
      </c>
      <c r="F13" s="7" t="s">
        <v>513</v>
      </c>
      <c r="G13" s="7">
        <v>10175</v>
      </c>
      <c r="H13" s="7" t="s">
        <v>514</v>
      </c>
      <c r="I13" s="7" t="s">
        <v>515</v>
      </c>
      <c r="J13" s="15" t="s">
        <v>481</v>
      </c>
      <c r="K13" s="15" t="s">
        <v>516</v>
      </c>
      <c r="L13" s="85" t="str">
        <f t="shared" si="0"/>
        <v>F04660</v>
      </c>
      <c r="M13" s="7" t="s">
        <v>517</v>
      </c>
      <c r="N13" s="7" t="s">
        <v>518</v>
      </c>
      <c r="O13" s="7" t="s">
        <v>517</v>
      </c>
      <c r="P13" s="7" t="s">
        <v>519</v>
      </c>
      <c r="Q13" s="7" t="s">
        <v>508</v>
      </c>
      <c r="T13" s="7">
        <v>11</v>
      </c>
      <c r="U13" s="10" t="s">
        <v>520</v>
      </c>
      <c r="V13" s="22"/>
      <c r="AB13" s="7">
        <v>12</v>
      </c>
      <c r="AC13" s="11" t="s">
        <v>521</v>
      </c>
      <c r="AD13" s="11" t="s">
        <v>522</v>
      </c>
      <c r="AE13" s="12"/>
    </row>
    <row r="14" spans="1:31">
      <c r="A14" s="7">
        <v>-19</v>
      </c>
      <c r="B14" s="7" t="s">
        <v>523</v>
      </c>
      <c r="C14" s="7" t="s">
        <v>524</v>
      </c>
      <c r="D14" s="7">
        <v>19</v>
      </c>
      <c r="E14" s="7">
        <v>22</v>
      </c>
      <c r="F14" s="7" t="s">
        <v>525</v>
      </c>
      <c r="G14" s="7">
        <v>10176</v>
      </c>
      <c r="H14" s="7" t="s">
        <v>514</v>
      </c>
      <c r="I14" s="7" t="s">
        <v>515</v>
      </c>
      <c r="J14" s="15" t="s">
        <v>512</v>
      </c>
      <c r="K14" s="15" t="s">
        <v>526</v>
      </c>
      <c r="L14" s="85" t="str">
        <f t="shared" si="0"/>
        <v>B43C00</v>
      </c>
      <c r="M14" s="7" t="s">
        <v>527</v>
      </c>
      <c r="N14" s="7" t="s">
        <v>528</v>
      </c>
      <c r="O14" s="7" t="s">
        <v>527</v>
      </c>
      <c r="P14" s="7" t="s">
        <v>529</v>
      </c>
      <c r="Q14" s="7" t="s">
        <v>530</v>
      </c>
      <c r="AB14" s="7">
        <v>13</v>
      </c>
      <c r="AC14" s="11" t="s">
        <v>531</v>
      </c>
      <c r="AD14" s="11" t="s">
        <v>522</v>
      </c>
      <c r="AE14" s="12"/>
    </row>
    <row r="15" spans="1:31">
      <c r="A15" s="7">
        <v>-18</v>
      </c>
      <c r="B15" s="7" t="s">
        <v>532</v>
      </c>
      <c r="C15" s="7" t="s">
        <v>533</v>
      </c>
      <c r="D15" s="7">
        <v>20</v>
      </c>
      <c r="E15" s="7">
        <v>23</v>
      </c>
      <c r="F15" s="7" t="s">
        <v>534</v>
      </c>
      <c r="G15" s="7">
        <v>10224</v>
      </c>
      <c r="H15" s="7" t="s">
        <v>535</v>
      </c>
      <c r="I15" s="7" t="s">
        <v>536</v>
      </c>
      <c r="J15" s="15" t="s">
        <v>524</v>
      </c>
      <c r="K15" s="85" t="s">
        <v>537</v>
      </c>
      <c r="L15" s="85" t="str">
        <f t="shared" si="0"/>
        <v>64FAB4</v>
      </c>
      <c r="M15" s="7" t="s">
        <v>538</v>
      </c>
      <c r="N15" s="7" t="s">
        <v>539</v>
      </c>
      <c r="O15" s="7" t="s">
        <v>540</v>
      </c>
      <c r="P15" s="7" t="s">
        <v>541</v>
      </c>
      <c r="Q15" s="7" t="s">
        <v>530</v>
      </c>
      <c r="AB15" s="7">
        <v>14</v>
      </c>
      <c r="AC15" s="11" t="s">
        <v>542</v>
      </c>
      <c r="AD15" s="11" t="s">
        <v>522</v>
      </c>
      <c r="AE15" s="12"/>
    </row>
    <row r="16" spans="1:31">
      <c r="A16" s="7">
        <v>-17</v>
      </c>
      <c r="B16" s="7" t="s">
        <v>543</v>
      </c>
      <c r="C16" s="7" t="s">
        <v>544</v>
      </c>
      <c r="D16" s="7">
        <v>21</v>
      </c>
      <c r="E16" s="7">
        <v>24</v>
      </c>
      <c r="F16" s="7" t="s">
        <v>545</v>
      </c>
      <c r="G16" s="7">
        <v>10225</v>
      </c>
      <c r="H16" s="7" t="s">
        <v>535</v>
      </c>
      <c r="I16" s="7" t="s">
        <v>536</v>
      </c>
      <c r="J16" s="15" t="s">
        <v>533</v>
      </c>
      <c r="K16" s="85" t="s">
        <v>546</v>
      </c>
      <c r="L16" s="85" t="str">
        <f t="shared" si="0"/>
        <v>6A6CBD</v>
      </c>
      <c r="M16" s="7" t="s">
        <v>547</v>
      </c>
      <c r="N16" s="7" t="s">
        <v>548</v>
      </c>
      <c r="O16" s="7" t="s">
        <v>547</v>
      </c>
      <c r="P16" s="7" t="s">
        <v>549</v>
      </c>
      <c r="Q16" s="7" t="s">
        <v>530</v>
      </c>
      <c r="AB16" s="7">
        <v>15</v>
      </c>
      <c r="AC16" s="11" t="s">
        <v>550</v>
      </c>
      <c r="AD16" s="11" t="s">
        <v>551</v>
      </c>
      <c r="AE16" s="12"/>
    </row>
    <row r="17" spans="1:31">
      <c r="A17" s="7">
        <v>-16</v>
      </c>
      <c r="B17" s="7" t="s">
        <v>552</v>
      </c>
      <c r="C17" s="7" t="s">
        <v>553</v>
      </c>
      <c r="D17" s="7">
        <v>22</v>
      </c>
      <c r="E17" s="7">
        <v>25</v>
      </c>
      <c r="F17" s="7" t="s">
        <v>554</v>
      </c>
      <c r="G17" s="7">
        <v>10144</v>
      </c>
      <c r="H17" s="7" t="s">
        <v>555</v>
      </c>
      <c r="I17" s="7" t="s">
        <v>556</v>
      </c>
      <c r="J17" s="15" t="s">
        <v>544</v>
      </c>
      <c r="K17" s="85" t="s">
        <v>557</v>
      </c>
      <c r="L17" s="85" t="str">
        <f t="shared" si="0"/>
        <v>ABE3FA</v>
      </c>
      <c r="M17" s="7" t="s">
        <v>558</v>
      </c>
      <c r="N17" s="7" t="s">
        <v>559</v>
      </c>
      <c r="O17" s="7" t="s">
        <v>558</v>
      </c>
      <c r="P17" s="7" t="s">
        <v>560</v>
      </c>
      <c r="Q17" s="7" t="s">
        <v>561</v>
      </c>
      <c r="AB17" s="7">
        <v>16</v>
      </c>
      <c r="AC17" s="11" t="s">
        <v>562</v>
      </c>
      <c r="AD17" s="11" t="s">
        <v>563</v>
      </c>
      <c r="AE17" s="12"/>
    </row>
    <row r="18" spans="1:31">
      <c r="A18" s="7">
        <v>-15</v>
      </c>
      <c r="B18" s="7" t="s">
        <v>564</v>
      </c>
      <c r="C18" s="7" t="s">
        <v>565</v>
      </c>
      <c r="D18" s="7">
        <v>23</v>
      </c>
      <c r="E18" s="7">
        <v>211</v>
      </c>
      <c r="F18" s="7" t="s">
        <v>566</v>
      </c>
      <c r="G18" s="7">
        <v>10145</v>
      </c>
      <c r="H18" s="7" t="s">
        <v>555</v>
      </c>
      <c r="I18" s="7" t="s">
        <v>556</v>
      </c>
      <c r="J18" s="15" t="s">
        <v>553</v>
      </c>
      <c r="K18" s="15" t="s">
        <v>567</v>
      </c>
      <c r="L18" s="85" t="str">
        <f t="shared" si="0"/>
        <v>A10922</v>
      </c>
      <c r="M18" s="7" t="s">
        <v>568</v>
      </c>
      <c r="N18" s="7" t="s">
        <v>569</v>
      </c>
      <c r="O18" s="7" t="s">
        <v>570</v>
      </c>
      <c r="P18" s="7" t="s">
        <v>571</v>
      </c>
      <c r="Q18" s="7" t="s">
        <v>561</v>
      </c>
      <c r="AB18" s="7">
        <v>17</v>
      </c>
      <c r="AC18" s="11" t="s">
        <v>572</v>
      </c>
      <c r="AD18" s="11" t="s">
        <v>563</v>
      </c>
      <c r="AE18" s="12"/>
    </row>
    <row r="19" spans="1:31">
      <c r="A19" s="7">
        <v>-14</v>
      </c>
      <c r="B19" s="7" t="s">
        <v>573</v>
      </c>
      <c r="C19" s="7" t="s">
        <v>574</v>
      </c>
      <c r="D19" s="7">
        <v>24</v>
      </c>
      <c r="E19" s="7">
        <v>212</v>
      </c>
      <c r="F19" s="7" t="s">
        <v>575</v>
      </c>
      <c r="G19" s="7">
        <v>10268</v>
      </c>
      <c r="H19" s="7" t="s">
        <v>576</v>
      </c>
      <c r="I19" s="7" t="s">
        <v>577</v>
      </c>
      <c r="J19" s="15" t="s">
        <v>565</v>
      </c>
      <c r="K19" s="15" t="s">
        <v>578</v>
      </c>
      <c r="L19" s="85" t="str">
        <f t="shared" si="0"/>
        <v>A653FB</v>
      </c>
      <c r="M19" s="7" t="s">
        <v>579</v>
      </c>
      <c r="N19" s="7" t="s">
        <v>580</v>
      </c>
      <c r="O19" s="7" t="s">
        <v>581</v>
      </c>
      <c r="AB19" s="7">
        <v>18</v>
      </c>
      <c r="AC19" s="11" t="s">
        <v>582</v>
      </c>
      <c r="AD19" s="11" t="s">
        <v>563</v>
      </c>
      <c r="AE19" s="12"/>
    </row>
    <row r="20" spans="1:31">
      <c r="A20" s="7">
        <v>-13</v>
      </c>
      <c r="B20" s="7" t="s">
        <v>583</v>
      </c>
      <c r="C20" s="7" t="s">
        <v>584</v>
      </c>
      <c r="D20" s="7">
        <v>26</v>
      </c>
      <c r="E20" s="7">
        <v>213</v>
      </c>
      <c r="F20" s="7" t="s">
        <v>585</v>
      </c>
      <c r="G20" s="7">
        <v>10242</v>
      </c>
      <c r="H20" s="7" t="s">
        <v>586</v>
      </c>
      <c r="I20" s="7" t="s">
        <v>587</v>
      </c>
      <c r="J20" s="15" t="s">
        <v>574</v>
      </c>
      <c r="K20" s="15" t="s">
        <v>588</v>
      </c>
      <c r="L20" s="85" t="str">
        <f t="shared" si="0"/>
        <v>00AC99</v>
      </c>
      <c r="M20" s="7" t="s">
        <v>589</v>
      </c>
      <c r="N20" s="7" t="s">
        <v>590</v>
      </c>
      <c r="O20" s="7" t="s">
        <v>591</v>
      </c>
      <c r="AB20" s="7">
        <v>19</v>
      </c>
      <c r="AC20" s="11" t="s">
        <v>592</v>
      </c>
      <c r="AD20" s="11" t="s">
        <v>563</v>
      </c>
      <c r="AE20" s="12"/>
    </row>
    <row r="21" spans="1:31">
      <c r="A21" s="7">
        <v>-12</v>
      </c>
      <c r="B21" s="7" t="s">
        <v>593</v>
      </c>
      <c r="F21" s="7" t="s">
        <v>594</v>
      </c>
      <c r="G21" s="7">
        <v>10243</v>
      </c>
      <c r="H21" s="7" t="s">
        <v>586</v>
      </c>
      <c r="I21" s="7" t="s">
        <v>587</v>
      </c>
      <c r="J21" s="15" t="s">
        <v>584</v>
      </c>
      <c r="K21" s="85" t="s">
        <v>595</v>
      </c>
      <c r="L21" s="85" t="str">
        <f t="shared" si="0"/>
        <v>6BB7F2</v>
      </c>
      <c r="M21" s="7" t="s">
        <v>596</v>
      </c>
      <c r="N21" s="7" t="s">
        <v>597</v>
      </c>
      <c r="O21" s="7" t="s">
        <v>598</v>
      </c>
      <c r="AB21" s="7">
        <v>20</v>
      </c>
      <c r="AC21" s="11" t="s">
        <v>599</v>
      </c>
      <c r="AD21" s="11" t="s">
        <v>563</v>
      </c>
      <c r="AE21" s="12"/>
    </row>
    <row r="22" spans="1:31">
      <c r="A22" s="7">
        <v>-11</v>
      </c>
      <c r="B22" s="7" t="s">
        <v>600</v>
      </c>
      <c r="F22" s="7" t="s">
        <v>601</v>
      </c>
      <c r="G22" s="7">
        <v>10389</v>
      </c>
      <c r="H22" s="7" t="s">
        <v>602</v>
      </c>
      <c r="I22" s="7" t="s">
        <v>603</v>
      </c>
      <c r="J22" s="15" t="s">
        <v>604</v>
      </c>
      <c r="K22" s="85" t="s">
        <v>605</v>
      </c>
      <c r="L22" s="85" t="str">
        <f t="shared" si="0"/>
        <v>EBD773</v>
      </c>
      <c r="M22" s="7" t="s">
        <v>606</v>
      </c>
      <c r="N22" s="7" t="s">
        <v>607</v>
      </c>
      <c r="O22" s="7" t="s">
        <v>608</v>
      </c>
      <c r="AB22" s="7">
        <v>21</v>
      </c>
      <c r="AC22" s="11" t="s">
        <v>609</v>
      </c>
      <c r="AD22" s="11" t="s">
        <v>610</v>
      </c>
      <c r="AE22" s="12"/>
    </row>
    <row r="23" spans="1:31">
      <c r="A23" s="7">
        <v>-10</v>
      </c>
      <c r="B23" s="7" t="s">
        <v>611</v>
      </c>
      <c r="F23" s="7" t="s">
        <v>612</v>
      </c>
      <c r="G23" s="7">
        <v>10390</v>
      </c>
      <c r="H23" s="7" t="s">
        <v>602</v>
      </c>
      <c r="I23" s="7" t="s">
        <v>603</v>
      </c>
      <c r="J23" s="7" t="s">
        <v>613</v>
      </c>
      <c r="K23" s="86" t="s">
        <v>614</v>
      </c>
      <c r="L23" s="86" t="str">
        <f t="shared" si="0"/>
        <v>FFFFFF</v>
      </c>
      <c r="M23" s="7" t="s">
        <v>615</v>
      </c>
      <c r="N23" s="7" t="s">
        <v>616</v>
      </c>
      <c r="O23" s="7" t="s">
        <v>617</v>
      </c>
      <c r="AB23" s="7">
        <v>22</v>
      </c>
      <c r="AC23" s="11" t="s">
        <v>618</v>
      </c>
      <c r="AD23" s="11" t="s">
        <v>610</v>
      </c>
      <c r="AE23" s="12"/>
    </row>
    <row r="24" spans="1:31">
      <c r="A24" s="7">
        <v>-9</v>
      </c>
      <c r="B24" s="7" t="s">
        <v>619</v>
      </c>
      <c r="F24" s="7" t="s">
        <v>620</v>
      </c>
      <c r="G24" s="7">
        <v>10447</v>
      </c>
      <c r="H24" s="7" t="s">
        <v>621</v>
      </c>
      <c r="I24" s="7" t="s">
        <v>622</v>
      </c>
      <c r="J24" s="24" t="s">
        <v>623</v>
      </c>
      <c r="K24" s="24" t="s">
        <v>624</v>
      </c>
      <c r="L24" s="87" t="str">
        <f t="shared" si="0"/>
        <v>00FF00</v>
      </c>
      <c r="M24" s="3" t="s">
        <v>625</v>
      </c>
      <c r="N24" s="3" t="s">
        <v>360</v>
      </c>
      <c r="O24" s="3" t="s">
        <v>361</v>
      </c>
      <c r="AB24" s="7">
        <v>23</v>
      </c>
      <c r="AC24" s="11" t="s">
        <v>626</v>
      </c>
      <c r="AD24" s="11" t="s">
        <v>610</v>
      </c>
      <c r="AE24" s="12"/>
    </row>
    <row r="25" spans="1:31">
      <c r="A25" s="7">
        <v>-8</v>
      </c>
      <c r="B25" s="7" t="s">
        <v>627</v>
      </c>
      <c r="F25" s="7" t="s">
        <v>628</v>
      </c>
      <c r="G25" s="7">
        <v>10448</v>
      </c>
      <c r="H25" s="7" t="s">
        <v>621</v>
      </c>
      <c r="I25" s="7" t="s">
        <v>622</v>
      </c>
      <c r="J25" s="26" t="s">
        <v>629</v>
      </c>
      <c r="K25" s="26" t="s">
        <v>630</v>
      </c>
      <c r="L25" s="88" t="str">
        <f t="shared" si="0"/>
        <v>00EE00</v>
      </c>
      <c r="M25" s="7" t="s">
        <v>631</v>
      </c>
      <c r="N25" s="7" t="s">
        <v>632</v>
      </c>
      <c r="O25" s="7" t="s">
        <v>631</v>
      </c>
      <c r="AB25" s="7">
        <v>24</v>
      </c>
      <c r="AC25" s="11" t="s">
        <v>633</v>
      </c>
      <c r="AD25" s="11" t="s">
        <v>610</v>
      </c>
      <c r="AE25" s="12"/>
    </row>
    <row r="26" spans="1:31">
      <c r="A26" s="7">
        <v>-7</v>
      </c>
      <c r="B26" s="7" t="s">
        <v>634</v>
      </c>
      <c r="F26" s="7" t="s">
        <v>635</v>
      </c>
      <c r="G26" s="7">
        <v>10464</v>
      </c>
      <c r="H26" s="7" t="s">
        <v>636</v>
      </c>
      <c r="I26" s="7" t="s">
        <v>637</v>
      </c>
      <c r="J26" s="28" t="s">
        <v>638</v>
      </c>
      <c r="K26" s="28" t="s">
        <v>639</v>
      </c>
      <c r="L26" s="89" t="str">
        <f t="shared" si="0"/>
        <v>B3EE4A</v>
      </c>
      <c r="M26" s="7" t="s">
        <v>640</v>
      </c>
      <c r="N26" s="7" t="s">
        <v>641</v>
      </c>
      <c r="O26" s="7" t="s">
        <v>642</v>
      </c>
      <c r="AB26" s="7">
        <v>25</v>
      </c>
      <c r="AC26" s="11" t="s">
        <v>643</v>
      </c>
      <c r="AD26" s="11" t="s">
        <v>610</v>
      </c>
      <c r="AE26" s="12"/>
    </row>
    <row r="27" spans="1:31">
      <c r="A27" s="7">
        <v>-6</v>
      </c>
      <c r="B27" s="7" t="s">
        <v>644</v>
      </c>
      <c r="F27" s="7" t="s">
        <v>645</v>
      </c>
      <c r="G27" s="7">
        <v>10533</v>
      </c>
      <c r="H27" s="7" t="s">
        <v>646</v>
      </c>
      <c r="I27" s="7" t="s">
        <v>647</v>
      </c>
      <c r="J27" s="30" t="s">
        <v>648</v>
      </c>
      <c r="K27" s="30" t="s">
        <v>649</v>
      </c>
      <c r="L27" s="90" t="str">
        <f t="shared" ref="L27" si="1">DEC2HEX(LEFT(K27,FIND(",",K27)-1),2)&amp;DEC2HEX(LEFT(RIGHT(K27,LEN(K27)-LEN(LEFT(K27,FIND(",",K27)-1))-1),FIND(",",RIGHT(K27,LEN(K27)-LEN(LEFT(K27,FIND(",",K27)-1))-1))-1),2)&amp;DEC2HEX(LEFT(RIGHT(K27,LEN(K27)-LEN(LEFT(RIGHT(K27,LEN(K27)-LEN(LEFT(K27,FIND(",",K27)-1))-1),FIND(",",RIGHT(K27,LEN(K27)-LEN(LEFT(K27,FIND(",",K27)-1))-1))-1))-LEN(LEFT(K27,FIND(",",K27)-1))-2),FIND(",",RIGHT(K27,LEN(K27)-LEN(LEFT(RIGHT(K27,LEN(K27)-LEN(LEFT(K27,FIND(",",K27)-1))-1),FIND(",",RIGHT(K27,LEN(K27)-LEN(LEFT(K27,FIND(",",K27)-1))-1))-1))-LEN(LEFT(K27,FIND(",",K27)-1))-2))-1),2)</f>
        <v>1FEEFF</v>
      </c>
      <c r="M27" s="7" t="s">
        <v>650</v>
      </c>
      <c r="N27" s="7" t="s">
        <v>651</v>
      </c>
      <c r="O27" s="7" t="s">
        <v>652</v>
      </c>
      <c r="AB27" s="7">
        <v>26</v>
      </c>
      <c r="AC27" s="11" t="s">
        <v>653</v>
      </c>
      <c r="AD27" s="11" t="s">
        <v>654</v>
      </c>
      <c r="AE27" s="12"/>
    </row>
    <row r="28" spans="1:31">
      <c r="A28" s="7">
        <v>-5</v>
      </c>
      <c r="B28" s="7" t="s">
        <v>655</v>
      </c>
      <c r="F28" s="7" t="s">
        <v>656</v>
      </c>
      <c r="G28" s="7">
        <v>10585</v>
      </c>
      <c r="H28" s="7" t="s">
        <v>657</v>
      </c>
      <c r="I28" s="7" t="s">
        <v>658</v>
      </c>
      <c r="J28" s="32" t="s">
        <v>659</v>
      </c>
      <c r="K28" s="32" t="s">
        <v>660</v>
      </c>
      <c r="L28" s="91" t="str">
        <f t="shared" si="0"/>
        <v>00FFFF</v>
      </c>
      <c r="M28" s="7" t="s">
        <v>661</v>
      </c>
      <c r="N28" s="7" t="s">
        <v>662</v>
      </c>
      <c r="O28" s="7" t="s">
        <v>663</v>
      </c>
      <c r="AB28" s="7">
        <v>27</v>
      </c>
      <c r="AC28" s="11" t="s">
        <v>664</v>
      </c>
      <c r="AD28" s="11" t="s">
        <v>665</v>
      </c>
      <c r="AE28" s="12"/>
    </row>
    <row r="29" spans="1:31">
      <c r="A29" s="7">
        <v>-4</v>
      </c>
      <c r="B29" s="7" t="s">
        <v>666</v>
      </c>
      <c r="F29" s="7" t="s">
        <v>667</v>
      </c>
      <c r="G29" s="7">
        <v>10615</v>
      </c>
      <c r="H29" s="7" t="s">
        <v>668</v>
      </c>
      <c r="I29" s="7" t="s">
        <v>669</v>
      </c>
      <c r="J29" s="34" t="s">
        <v>670</v>
      </c>
      <c r="K29" s="34" t="s">
        <v>671</v>
      </c>
      <c r="L29" s="92" t="str">
        <f t="shared" si="0"/>
        <v>FF9600</v>
      </c>
      <c r="M29" s="7" t="s">
        <v>672</v>
      </c>
      <c r="N29" s="7" t="s">
        <v>673</v>
      </c>
      <c r="O29" s="7" t="s">
        <v>674</v>
      </c>
      <c r="AB29" s="7">
        <v>28</v>
      </c>
      <c r="AC29" s="11" t="s">
        <v>675</v>
      </c>
      <c r="AD29" s="11" t="s">
        <v>676</v>
      </c>
      <c r="AE29" s="12"/>
    </row>
    <row r="30" spans="1:31">
      <c r="A30" s="7">
        <v>-3</v>
      </c>
      <c r="B30" s="7" t="s">
        <v>677</v>
      </c>
      <c r="F30" s="7" t="s">
        <v>678</v>
      </c>
      <c r="G30" s="7">
        <v>10626</v>
      </c>
      <c r="H30" s="7" t="s">
        <v>679</v>
      </c>
      <c r="I30" s="7" t="s">
        <v>680</v>
      </c>
      <c r="J30" s="36" t="s">
        <v>681</v>
      </c>
      <c r="K30" s="36" t="s">
        <v>682</v>
      </c>
      <c r="L30" s="93" t="str">
        <f t="shared" si="0"/>
        <v>FFCC00</v>
      </c>
      <c r="M30" s="7" t="s">
        <v>683</v>
      </c>
      <c r="N30" s="7" t="s">
        <v>684</v>
      </c>
      <c r="O30" s="7" t="s">
        <v>685</v>
      </c>
      <c r="AB30" s="7">
        <v>29</v>
      </c>
      <c r="AC30" s="11" t="s">
        <v>686</v>
      </c>
      <c r="AD30" s="11" t="s">
        <v>687</v>
      </c>
      <c r="AE30" s="12"/>
    </row>
    <row r="31" spans="1:31">
      <c r="A31" s="7">
        <v>-2</v>
      </c>
      <c r="B31" s="7" t="s">
        <v>688</v>
      </c>
      <c r="F31" s="7" t="s">
        <v>689</v>
      </c>
      <c r="G31" s="7">
        <v>10627</v>
      </c>
      <c r="H31" s="7" t="s">
        <v>679</v>
      </c>
      <c r="I31" s="7" t="s">
        <v>680</v>
      </c>
      <c r="J31" s="38" t="s">
        <v>690</v>
      </c>
      <c r="K31" s="38" t="s">
        <v>691</v>
      </c>
      <c r="L31" s="94" t="str">
        <f t="shared" si="0"/>
        <v>A560E8</v>
      </c>
      <c r="M31" s="7" t="s">
        <v>692</v>
      </c>
      <c r="N31" s="7" t="s">
        <v>693</v>
      </c>
      <c r="O31" s="7" t="s">
        <v>694</v>
      </c>
      <c r="AB31" s="7">
        <v>30</v>
      </c>
      <c r="AC31" s="11" t="s">
        <v>695</v>
      </c>
      <c r="AD31" s="11" t="s">
        <v>654</v>
      </c>
      <c r="AE31" s="12"/>
    </row>
    <row r="32" spans="1:31">
      <c r="A32" s="7">
        <v>-1</v>
      </c>
      <c r="B32" s="7" t="s">
        <v>696</v>
      </c>
      <c r="F32" s="7" t="s">
        <v>697</v>
      </c>
      <c r="G32" s="7">
        <v>10698</v>
      </c>
      <c r="H32" s="7" t="s">
        <v>698</v>
      </c>
      <c r="I32" s="7" t="s">
        <v>699</v>
      </c>
      <c r="J32" s="40" t="s">
        <v>700</v>
      </c>
      <c r="K32" s="40" t="s">
        <v>701</v>
      </c>
      <c r="L32" s="95" t="str">
        <f t="shared" si="0"/>
        <v>0032FF</v>
      </c>
      <c r="M32" s="3" t="s">
        <v>702</v>
      </c>
      <c r="N32" s="3" t="s">
        <v>360</v>
      </c>
      <c r="O32" s="3" t="s">
        <v>361</v>
      </c>
      <c r="AB32" s="7">
        <v>31</v>
      </c>
      <c r="AC32" s="11" t="s">
        <v>703</v>
      </c>
      <c r="AD32" s="11" t="s">
        <v>654</v>
      </c>
      <c r="AE32" s="12"/>
    </row>
    <row r="33" spans="1:31">
      <c r="A33" s="7">
        <v>0</v>
      </c>
      <c r="B33" s="7" t="str">
        <f>""</f>
        <v/>
      </c>
      <c r="F33" s="7" t="s">
        <v>704</v>
      </c>
      <c r="G33" s="7">
        <v>10756</v>
      </c>
      <c r="J33" s="42" t="s">
        <v>705</v>
      </c>
      <c r="K33" s="42" t="s">
        <v>706</v>
      </c>
      <c r="L33" s="96" t="str">
        <f t="shared" si="0"/>
        <v>FFFF00</v>
      </c>
      <c r="M33" s="7" t="s">
        <v>707</v>
      </c>
      <c r="N33" s="7" t="s">
        <v>708</v>
      </c>
      <c r="O33" s="7" t="s">
        <v>707</v>
      </c>
      <c r="AB33" s="7">
        <v>32</v>
      </c>
      <c r="AC33" s="11" t="s">
        <v>703</v>
      </c>
      <c r="AD33" s="11" t="s">
        <v>654</v>
      </c>
      <c r="AE33" s="12"/>
    </row>
    <row r="34" spans="1:31">
      <c r="A34" s="7">
        <v>1</v>
      </c>
      <c r="B34" s="7" t="s">
        <v>709</v>
      </c>
      <c r="F34" s="7" t="s">
        <v>710</v>
      </c>
      <c r="G34" s="7">
        <v>10786</v>
      </c>
      <c r="J34" s="44" t="s">
        <v>711</v>
      </c>
      <c r="K34" s="97" t="s">
        <v>712</v>
      </c>
      <c r="L34" s="97" t="str">
        <f t="shared" si="0"/>
        <v>FF99CC</v>
      </c>
      <c r="M34" s="7" t="s">
        <v>713</v>
      </c>
      <c r="N34" s="7" t="s">
        <v>714</v>
      </c>
      <c r="O34" s="7" t="s">
        <v>715</v>
      </c>
      <c r="AB34" s="7">
        <v>33</v>
      </c>
      <c r="AC34" s="11" t="s">
        <v>703</v>
      </c>
      <c r="AD34" s="11" t="s">
        <v>654</v>
      </c>
      <c r="AE34" s="12"/>
    </row>
    <row r="35" spans="1:31">
      <c r="A35" s="7">
        <v>2</v>
      </c>
      <c r="B35" s="7" t="s">
        <v>406</v>
      </c>
      <c r="F35" s="7" t="s">
        <v>716</v>
      </c>
      <c r="G35" s="7">
        <v>10821</v>
      </c>
      <c r="J35" s="46" t="s">
        <v>717</v>
      </c>
      <c r="K35" s="46" t="s">
        <v>718</v>
      </c>
      <c r="L35" s="98" t="str">
        <f t="shared" si="0"/>
        <v>FF32FF</v>
      </c>
      <c r="M35" s="7" t="s">
        <v>719</v>
      </c>
      <c r="N35" s="7" t="s">
        <v>720</v>
      </c>
      <c r="O35" s="7" t="s">
        <v>719</v>
      </c>
      <c r="AB35" s="7">
        <v>34</v>
      </c>
      <c r="AC35" s="11" t="s">
        <v>703</v>
      </c>
      <c r="AD35" s="11" t="s">
        <v>654</v>
      </c>
      <c r="AE35" s="12"/>
    </row>
    <row r="36" spans="1:31">
      <c r="A36" s="7">
        <v>3</v>
      </c>
      <c r="B36" s="7" t="s">
        <v>721</v>
      </c>
      <c r="F36" s="7" t="s">
        <v>722</v>
      </c>
      <c r="G36" s="7">
        <v>100053</v>
      </c>
      <c r="J36" s="48" t="s">
        <v>723</v>
      </c>
      <c r="K36" s="48" t="s">
        <v>724</v>
      </c>
      <c r="L36" s="99" t="str">
        <f t="shared" si="0"/>
        <v>FF0055</v>
      </c>
      <c r="M36" s="7" t="s">
        <v>725</v>
      </c>
      <c r="N36" s="7" t="s">
        <v>726</v>
      </c>
      <c r="O36" s="7" t="s">
        <v>725</v>
      </c>
      <c r="AB36" s="7">
        <v>35</v>
      </c>
      <c r="AC36" s="11" t="s">
        <v>727</v>
      </c>
      <c r="AD36" s="11" t="s">
        <v>654</v>
      </c>
      <c r="AE36" s="12"/>
    </row>
    <row r="37" spans="1:31">
      <c r="A37" s="7">
        <v>5</v>
      </c>
      <c r="B37" s="7" t="s">
        <v>408</v>
      </c>
      <c r="F37" s="7" t="s">
        <v>728</v>
      </c>
      <c r="G37" s="7">
        <v>100069</v>
      </c>
      <c r="J37" s="50" t="s">
        <v>729</v>
      </c>
      <c r="K37" s="50" t="s">
        <v>730</v>
      </c>
      <c r="L37" s="100" t="str">
        <f t="shared" si="0"/>
        <v>FF3232</v>
      </c>
      <c r="M37" s="7" t="s">
        <v>731</v>
      </c>
      <c r="N37" s="7" t="s">
        <v>732</v>
      </c>
      <c r="O37" s="7" t="s">
        <v>731</v>
      </c>
      <c r="AB37" s="7">
        <v>36</v>
      </c>
      <c r="AC37" s="11" t="s">
        <v>733</v>
      </c>
      <c r="AD37" s="11" t="s">
        <v>654</v>
      </c>
      <c r="AE37" s="12"/>
    </row>
    <row r="38" spans="1:31">
      <c r="A38" s="7">
        <v>6</v>
      </c>
      <c r="B38" s="7" t="s">
        <v>734</v>
      </c>
      <c r="F38" s="7" t="s">
        <v>735</v>
      </c>
      <c r="G38" s="7">
        <v>100389</v>
      </c>
      <c r="J38" s="52" t="s">
        <v>736</v>
      </c>
      <c r="K38" s="52" t="s">
        <v>737</v>
      </c>
      <c r="L38" s="101" t="str">
        <f t="shared" si="0"/>
        <v>DFBF1F</v>
      </c>
      <c r="M38" s="7" t="s">
        <v>738</v>
      </c>
      <c r="N38" s="7" t="s">
        <v>739</v>
      </c>
      <c r="O38" s="7" t="s">
        <v>740</v>
      </c>
      <c r="AB38" s="7">
        <v>37</v>
      </c>
      <c r="AC38" s="11" t="s">
        <v>741</v>
      </c>
      <c r="AD38" s="11" t="s">
        <v>654</v>
      </c>
      <c r="AE38" s="12"/>
    </row>
    <row r="39" spans="1:31">
      <c r="A39" s="7">
        <v>7</v>
      </c>
      <c r="B39" s="7" t="s">
        <v>420</v>
      </c>
      <c r="F39" s="7" t="s">
        <v>742</v>
      </c>
      <c r="G39" s="7">
        <v>100398</v>
      </c>
      <c r="J39" s="54" t="s">
        <v>743</v>
      </c>
      <c r="K39" s="102" t="s">
        <v>744</v>
      </c>
      <c r="L39" s="102" t="str">
        <f t="shared" si="0"/>
        <v>AAAAAA</v>
      </c>
      <c r="M39" s="7" t="s">
        <v>745</v>
      </c>
      <c r="N39" s="7" t="s">
        <v>746</v>
      </c>
      <c r="O39" s="7" t="s">
        <v>745</v>
      </c>
      <c r="AB39" s="7">
        <v>38</v>
      </c>
      <c r="AC39" s="11" t="s">
        <v>747</v>
      </c>
      <c r="AD39" s="11" t="s">
        <v>748</v>
      </c>
      <c r="AE39" s="12"/>
    </row>
    <row r="40" spans="1:31">
      <c r="A40" s="7">
        <v>8</v>
      </c>
      <c r="B40" s="7" t="s">
        <v>749</v>
      </c>
      <c r="F40" s="7" t="s">
        <v>750</v>
      </c>
      <c r="G40" s="7">
        <v>100408</v>
      </c>
      <c r="J40" s="56" t="s">
        <v>751</v>
      </c>
      <c r="K40" s="103" t="s">
        <v>752</v>
      </c>
      <c r="L40" s="103" t="str">
        <f t="shared" ref="L40:L42" si="2">DEC2HEX(LEFT(K40,FIND(",",K40)-1),2)&amp;DEC2HEX(LEFT(RIGHT(K40,LEN(K40)-LEN(LEFT(K40,FIND(",",K40)-1))-1),FIND(",",RIGHT(K40,LEN(K40)-LEN(LEFT(K40,FIND(",",K40)-1))-1))-1),2)&amp;DEC2HEX(LEFT(RIGHT(K40,LEN(K40)-LEN(LEFT(RIGHT(K40,LEN(K40)-LEN(LEFT(K40,FIND(",",K40)-1))-1),FIND(",",RIGHT(K40,LEN(K40)-LEN(LEFT(K40,FIND(",",K40)-1))-1))-1))-LEN(LEFT(K40,FIND(",",K40)-1))-2),FIND(",",RIGHT(K40,LEN(K40)-LEN(LEFT(RIGHT(K40,LEN(K40)-LEN(LEFT(K40,FIND(",",K40)-1))-1),FIND(",",RIGHT(K40,LEN(K40)-LEN(LEFT(K40,FIND(",",K40)-1))-1))-1))-LEN(LEFT(K40,FIND(",",K40)-1))-2))-1),2)</f>
        <v>CCCCCC</v>
      </c>
      <c r="M40" s="7" t="s">
        <v>753</v>
      </c>
      <c r="N40" s="7" t="s">
        <v>754</v>
      </c>
      <c r="O40" s="7" t="s">
        <v>755</v>
      </c>
      <c r="AB40" s="7">
        <v>39</v>
      </c>
      <c r="AC40" s="11" t="s">
        <v>756</v>
      </c>
      <c r="AD40" s="11" t="s">
        <v>748</v>
      </c>
      <c r="AE40" s="12"/>
    </row>
    <row r="41" spans="1:31">
      <c r="A41" s="7">
        <v>9</v>
      </c>
      <c r="B41" s="7" t="s">
        <v>757</v>
      </c>
      <c r="F41" s="7" t="s">
        <v>758</v>
      </c>
      <c r="G41" s="7">
        <v>100411</v>
      </c>
      <c r="J41" s="58" t="s">
        <v>759</v>
      </c>
      <c r="K41" s="58" t="s">
        <v>760</v>
      </c>
      <c r="L41" s="104" t="str">
        <f t="shared" si="2"/>
        <v>58C6F3</v>
      </c>
      <c r="M41" s="7" t="s">
        <v>761</v>
      </c>
      <c r="N41" s="7" t="s">
        <v>762</v>
      </c>
      <c r="O41" s="7" t="s">
        <v>763</v>
      </c>
      <c r="AB41" s="7">
        <v>40</v>
      </c>
      <c r="AC41" s="11" t="s">
        <v>764</v>
      </c>
      <c r="AD41" s="11" t="s">
        <v>748</v>
      </c>
      <c r="AE41" s="12"/>
    </row>
    <row r="42" spans="1:31">
      <c r="A42" s="7">
        <v>10</v>
      </c>
      <c r="B42" s="7" t="s">
        <v>765</v>
      </c>
      <c r="F42" s="7" t="s">
        <v>766</v>
      </c>
      <c r="G42" s="7">
        <v>100406</v>
      </c>
      <c r="J42" s="60" t="s">
        <v>767</v>
      </c>
      <c r="K42" s="60" t="s">
        <v>768</v>
      </c>
      <c r="L42" s="105" t="str">
        <f t="shared" si="2"/>
        <v>51EBE7</v>
      </c>
      <c r="M42" s="7" t="s">
        <v>769</v>
      </c>
      <c r="N42" s="7" t="s">
        <v>770</v>
      </c>
      <c r="O42" s="7" t="s">
        <v>769</v>
      </c>
      <c r="AB42" s="7">
        <v>41</v>
      </c>
      <c r="AC42" s="11" t="s">
        <v>771</v>
      </c>
      <c r="AD42" s="11" t="s">
        <v>748</v>
      </c>
      <c r="AE42" s="12"/>
    </row>
    <row r="43" spans="1:31">
      <c r="A43" s="7">
        <v>11</v>
      </c>
      <c r="B43" s="7" t="s">
        <v>389</v>
      </c>
      <c r="F43" s="7" t="s">
        <v>772</v>
      </c>
      <c r="G43" s="7">
        <v>100407</v>
      </c>
      <c r="M43" s="7" t="s">
        <v>773</v>
      </c>
      <c r="N43" s="7" t="s">
        <v>774</v>
      </c>
      <c r="O43" s="7" t="s">
        <v>775</v>
      </c>
      <c r="AB43" s="7">
        <v>42</v>
      </c>
      <c r="AC43" s="11" t="s">
        <v>776</v>
      </c>
      <c r="AD43" s="11" t="s">
        <v>777</v>
      </c>
      <c r="AE43" s="12"/>
    </row>
    <row r="44" spans="1:31">
      <c r="A44" s="7">
        <v>12</v>
      </c>
      <c r="B44" s="7" t="s">
        <v>778</v>
      </c>
      <c r="F44" s="7" t="s">
        <v>779</v>
      </c>
      <c r="G44" s="7">
        <v>100410</v>
      </c>
      <c r="M44" s="7" t="s">
        <v>780</v>
      </c>
      <c r="N44" s="7" t="s">
        <v>781</v>
      </c>
      <c r="O44" s="7" t="s">
        <v>782</v>
      </c>
    </row>
    <row r="45" spans="1:31">
      <c r="A45" s="7">
        <v>13</v>
      </c>
      <c r="B45" s="7" t="s">
        <v>783</v>
      </c>
      <c r="F45" s="7" t="s">
        <v>784</v>
      </c>
      <c r="G45" s="7">
        <v>100409</v>
      </c>
      <c r="M45" s="7" t="s">
        <v>785</v>
      </c>
      <c r="N45" s="7" t="s">
        <v>786</v>
      </c>
      <c r="O45" s="7" t="s">
        <v>787</v>
      </c>
    </row>
    <row r="46" spans="1:31">
      <c r="A46" s="7">
        <v>14</v>
      </c>
      <c r="B46" s="7" t="s">
        <v>788</v>
      </c>
      <c r="F46" s="7" t="s">
        <v>789</v>
      </c>
      <c r="G46" s="7">
        <v>100654</v>
      </c>
      <c r="M46" s="7" t="s">
        <v>790</v>
      </c>
      <c r="N46" s="7" t="s">
        <v>791</v>
      </c>
      <c r="O46" s="7" t="s">
        <v>792</v>
      </c>
    </row>
    <row r="47" spans="1:31">
      <c r="A47" s="7">
        <v>15</v>
      </c>
      <c r="B47" s="7" t="s">
        <v>793</v>
      </c>
      <c r="F47" s="7" t="s">
        <v>794</v>
      </c>
      <c r="G47" s="7">
        <v>100655</v>
      </c>
      <c r="M47" s="7" t="s">
        <v>795</v>
      </c>
      <c r="N47" s="7" t="s">
        <v>796</v>
      </c>
      <c r="O47" s="7" t="s">
        <v>797</v>
      </c>
    </row>
    <row r="48" spans="1:31">
      <c r="A48" s="7">
        <v>16</v>
      </c>
      <c r="B48" s="7" t="s">
        <v>434</v>
      </c>
      <c r="F48" s="7" t="s">
        <v>798</v>
      </c>
      <c r="G48" s="7">
        <v>101716</v>
      </c>
      <c r="M48" s="7" t="s">
        <v>799</v>
      </c>
      <c r="N48" s="7" t="s">
        <v>800</v>
      </c>
      <c r="O48" s="7" t="s">
        <v>801</v>
      </c>
    </row>
    <row r="49" spans="1:15">
      <c r="A49" s="7">
        <v>17</v>
      </c>
      <c r="B49" s="7" t="s">
        <v>802</v>
      </c>
      <c r="F49" s="7" t="s">
        <v>803</v>
      </c>
      <c r="G49" s="7">
        <v>101734</v>
      </c>
      <c r="M49" s="7" t="s">
        <v>804</v>
      </c>
      <c r="N49" s="7" t="s">
        <v>805</v>
      </c>
      <c r="O49" s="7" t="s">
        <v>804</v>
      </c>
    </row>
    <row r="50" spans="1:15">
      <c r="A50" s="7">
        <v>18</v>
      </c>
      <c r="B50" s="7" t="s">
        <v>806</v>
      </c>
      <c r="F50" s="7" t="s">
        <v>807</v>
      </c>
      <c r="G50" s="7">
        <v>100725</v>
      </c>
      <c r="M50" s="7" t="s">
        <v>808</v>
      </c>
      <c r="N50" s="7" t="s">
        <v>809</v>
      </c>
      <c r="O50" s="7" t="s">
        <v>810</v>
      </c>
    </row>
    <row r="51" spans="1:15">
      <c r="A51" s="7">
        <v>19</v>
      </c>
      <c r="B51" s="7" t="s">
        <v>811</v>
      </c>
      <c r="F51" s="7" t="s">
        <v>812</v>
      </c>
      <c r="G51" s="7">
        <v>100651</v>
      </c>
      <c r="M51" s="7" t="s">
        <v>813</v>
      </c>
      <c r="N51" s="7" t="s">
        <v>814</v>
      </c>
      <c r="O51" s="7" t="s">
        <v>815</v>
      </c>
    </row>
    <row r="52" spans="1:15">
      <c r="A52" s="7">
        <v>20</v>
      </c>
      <c r="B52" s="7" t="s">
        <v>816</v>
      </c>
      <c r="F52" s="7" t="s">
        <v>817</v>
      </c>
      <c r="G52" s="7">
        <v>100618</v>
      </c>
      <c r="M52" s="3" t="s">
        <v>818</v>
      </c>
      <c r="N52" s="3" t="s">
        <v>360</v>
      </c>
      <c r="O52" s="3" t="s">
        <v>361</v>
      </c>
    </row>
    <row r="53" spans="1:15">
      <c r="A53" s="7">
        <v>21</v>
      </c>
      <c r="B53" s="7" t="s">
        <v>819</v>
      </c>
      <c r="F53" s="7" t="s">
        <v>820</v>
      </c>
      <c r="G53" s="7">
        <v>100631</v>
      </c>
      <c r="M53" s="7" t="s">
        <v>821</v>
      </c>
      <c r="N53" s="7" t="s">
        <v>822</v>
      </c>
      <c r="O53" s="7" t="s">
        <v>821</v>
      </c>
    </row>
    <row r="54" spans="1:15">
      <c r="A54" s="7">
        <v>22</v>
      </c>
      <c r="B54" s="7" t="s">
        <v>823</v>
      </c>
      <c r="F54" s="7" t="s">
        <v>824</v>
      </c>
      <c r="G54" s="7">
        <v>101025</v>
      </c>
      <c r="M54" s="7" t="s">
        <v>825</v>
      </c>
      <c r="N54" s="7" t="s">
        <v>826</v>
      </c>
      <c r="O54" s="7" t="s">
        <v>825</v>
      </c>
    </row>
    <row r="55" spans="1:15">
      <c r="A55" s="7">
        <v>23</v>
      </c>
      <c r="B55" s="7" t="s">
        <v>827</v>
      </c>
      <c r="F55" s="7" t="s">
        <v>828</v>
      </c>
      <c r="G55" s="7">
        <v>101024</v>
      </c>
      <c r="M55" s="7" t="s">
        <v>829</v>
      </c>
      <c r="N55" s="7" t="s">
        <v>830</v>
      </c>
      <c r="O55" s="7" t="s">
        <v>831</v>
      </c>
    </row>
    <row r="56" spans="1:15">
      <c r="A56" s="7">
        <v>25</v>
      </c>
      <c r="B56" s="7" t="s">
        <v>374</v>
      </c>
      <c r="F56" s="7" t="s">
        <v>832</v>
      </c>
      <c r="G56" s="7">
        <v>101124</v>
      </c>
      <c r="M56" s="7" t="s">
        <v>833</v>
      </c>
      <c r="N56" s="7" t="s">
        <v>834</v>
      </c>
      <c r="O56" s="7" t="s">
        <v>835</v>
      </c>
    </row>
    <row r="57" spans="1:15">
      <c r="A57" s="7">
        <v>26</v>
      </c>
      <c r="B57" s="7" t="s">
        <v>836</v>
      </c>
      <c r="F57" s="7" t="s">
        <v>837</v>
      </c>
      <c r="G57" s="7">
        <v>101125</v>
      </c>
      <c r="M57" s="7" t="s">
        <v>838</v>
      </c>
      <c r="N57" s="7" t="s">
        <v>839</v>
      </c>
      <c r="O57" s="7" t="s">
        <v>840</v>
      </c>
    </row>
    <row r="58" spans="1:15">
      <c r="A58" s="7">
        <v>27</v>
      </c>
      <c r="B58" s="7" t="s">
        <v>393</v>
      </c>
      <c r="F58" s="7" t="s">
        <v>841</v>
      </c>
      <c r="G58" s="7">
        <v>100994</v>
      </c>
      <c r="M58" s="7" t="s">
        <v>842</v>
      </c>
      <c r="N58" s="7" t="s">
        <v>843</v>
      </c>
      <c r="O58" s="7" t="s">
        <v>844</v>
      </c>
    </row>
    <row r="59" spans="1:15">
      <c r="A59" s="7">
        <v>28</v>
      </c>
      <c r="B59" s="7" t="s">
        <v>845</v>
      </c>
      <c r="F59" s="7" t="s">
        <v>846</v>
      </c>
      <c r="G59" s="7">
        <v>101090</v>
      </c>
      <c r="M59" s="7" t="s">
        <v>847</v>
      </c>
      <c r="N59" s="7" t="s">
        <v>848</v>
      </c>
      <c r="O59" s="7" t="s">
        <v>849</v>
      </c>
    </row>
    <row r="60" spans="1:15">
      <c r="A60" s="7">
        <v>29</v>
      </c>
      <c r="B60" s="7" t="s">
        <v>850</v>
      </c>
      <c r="F60" s="7" t="s">
        <v>851</v>
      </c>
      <c r="G60" s="7">
        <v>101173</v>
      </c>
      <c r="M60" s="3" t="s">
        <v>852</v>
      </c>
      <c r="N60" s="3" t="s">
        <v>360</v>
      </c>
      <c r="O60" s="3" t="s">
        <v>361</v>
      </c>
    </row>
    <row r="61" spans="1:15">
      <c r="A61" s="7">
        <v>30</v>
      </c>
      <c r="B61" s="7" t="s">
        <v>853</v>
      </c>
      <c r="F61" s="7" t="s">
        <v>854</v>
      </c>
      <c r="G61" s="7">
        <v>101450</v>
      </c>
      <c r="M61" s="7" t="s">
        <v>855</v>
      </c>
      <c r="N61" s="7" t="s">
        <v>856</v>
      </c>
      <c r="O61" s="7" t="s">
        <v>855</v>
      </c>
    </row>
    <row r="62" spans="1:15">
      <c r="A62" s="7">
        <v>31</v>
      </c>
      <c r="B62" s="7" t="s">
        <v>857</v>
      </c>
      <c r="F62" s="7" t="s">
        <v>858</v>
      </c>
      <c r="G62" s="7">
        <v>101374</v>
      </c>
      <c r="M62" s="7" t="s">
        <v>859</v>
      </c>
      <c r="N62" s="7" t="s">
        <v>860</v>
      </c>
      <c r="O62" s="7" t="s">
        <v>859</v>
      </c>
    </row>
    <row r="63" spans="1:15">
      <c r="A63" s="7">
        <v>32</v>
      </c>
      <c r="B63" s="7" t="s">
        <v>861</v>
      </c>
      <c r="F63" s="7" t="s">
        <v>862</v>
      </c>
      <c r="G63" s="7">
        <v>101355</v>
      </c>
      <c r="M63" s="7" t="s">
        <v>863</v>
      </c>
      <c r="N63" s="7" t="s">
        <v>864</v>
      </c>
      <c r="O63" s="7" t="s">
        <v>865</v>
      </c>
    </row>
    <row r="64" spans="1:15">
      <c r="A64" s="7">
        <v>33</v>
      </c>
      <c r="B64" s="7" t="s">
        <v>866</v>
      </c>
      <c r="F64" s="7" t="s">
        <v>867</v>
      </c>
      <c r="G64" s="7">
        <v>101375</v>
      </c>
      <c r="M64" s="7" t="s">
        <v>868</v>
      </c>
      <c r="N64" s="7" t="s">
        <v>869</v>
      </c>
      <c r="O64" s="7" t="s">
        <v>868</v>
      </c>
    </row>
    <row r="65" spans="1:15">
      <c r="A65" s="7">
        <v>34</v>
      </c>
      <c r="B65" s="7" t="s">
        <v>870</v>
      </c>
      <c r="F65" s="7" t="s">
        <v>871</v>
      </c>
      <c r="G65" s="7">
        <v>101740</v>
      </c>
      <c r="M65" s="3" t="s">
        <v>872</v>
      </c>
      <c r="N65" s="3" t="s">
        <v>360</v>
      </c>
      <c r="O65" s="3" t="s">
        <v>361</v>
      </c>
    </row>
    <row r="66" spans="1:15">
      <c r="A66" s="7">
        <v>35</v>
      </c>
      <c r="B66" s="7" t="s">
        <v>873</v>
      </c>
      <c r="F66" s="7" t="s">
        <v>874</v>
      </c>
      <c r="G66" s="7">
        <v>102278</v>
      </c>
      <c r="M66" s="7" t="s">
        <v>875</v>
      </c>
      <c r="N66" s="7" t="s">
        <v>876</v>
      </c>
      <c r="O66" s="7" t="s">
        <v>875</v>
      </c>
    </row>
    <row r="67" spans="1:15">
      <c r="A67" s="7">
        <v>36</v>
      </c>
      <c r="B67" s="7" t="s">
        <v>877</v>
      </c>
      <c r="F67" s="7" t="s">
        <v>878</v>
      </c>
      <c r="G67" s="7">
        <v>102393</v>
      </c>
      <c r="M67" s="7" t="s">
        <v>879</v>
      </c>
      <c r="N67" s="7" t="s">
        <v>880</v>
      </c>
      <c r="O67" s="7" t="s">
        <v>879</v>
      </c>
    </row>
    <row r="68" spans="1:15">
      <c r="A68" s="7">
        <v>37</v>
      </c>
      <c r="B68" s="7" t="s">
        <v>881</v>
      </c>
      <c r="M68" s="7" t="s">
        <v>882</v>
      </c>
      <c r="N68" s="7" t="s">
        <v>883</v>
      </c>
      <c r="O68" s="7" t="s">
        <v>882</v>
      </c>
    </row>
    <row r="69" spans="1:15">
      <c r="A69" s="7">
        <v>38</v>
      </c>
      <c r="B69" s="7" t="s">
        <v>884</v>
      </c>
      <c r="M69" s="7" t="s">
        <v>885</v>
      </c>
      <c r="N69" s="7" t="s">
        <v>886</v>
      </c>
      <c r="O69" s="7" t="s">
        <v>885</v>
      </c>
    </row>
    <row r="70" spans="1:15">
      <c r="A70" s="7">
        <v>39</v>
      </c>
      <c r="B70" s="7" t="s">
        <v>887</v>
      </c>
      <c r="M70" s="7" t="s">
        <v>888</v>
      </c>
      <c r="N70" s="7" t="s">
        <v>889</v>
      </c>
      <c r="O70" s="7" t="s">
        <v>888</v>
      </c>
    </row>
    <row r="71" spans="1:15">
      <c r="A71" s="7">
        <v>40</v>
      </c>
      <c r="B71" s="7" t="s">
        <v>890</v>
      </c>
      <c r="M71" s="7" t="s">
        <v>891</v>
      </c>
      <c r="N71" s="7" t="s">
        <v>892</v>
      </c>
      <c r="O71" s="7" t="s">
        <v>891</v>
      </c>
    </row>
    <row r="72" spans="1:15">
      <c r="A72" s="7">
        <v>41</v>
      </c>
      <c r="B72" s="7" t="s">
        <v>893</v>
      </c>
      <c r="M72" s="7" t="s">
        <v>894</v>
      </c>
      <c r="N72" s="7" t="s">
        <v>895</v>
      </c>
      <c r="O72" s="7" t="s">
        <v>894</v>
      </c>
    </row>
    <row r="73" spans="1:15">
      <c r="A73" s="7">
        <v>42</v>
      </c>
      <c r="B73" s="7" t="s">
        <v>896</v>
      </c>
      <c r="M73" s="7" t="s">
        <v>897</v>
      </c>
      <c r="N73" s="7" t="s">
        <v>898</v>
      </c>
      <c r="O73" s="7" t="s">
        <v>897</v>
      </c>
    </row>
    <row r="74" spans="1:15">
      <c r="A74" s="7">
        <v>43</v>
      </c>
      <c r="B74" s="7" t="s">
        <v>899</v>
      </c>
      <c r="M74" s="7" t="s">
        <v>900</v>
      </c>
      <c r="N74" s="7" t="s">
        <v>901</v>
      </c>
      <c r="O74" s="7" t="s">
        <v>900</v>
      </c>
    </row>
    <row r="75" spans="1:15">
      <c r="A75" s="7">
        <v>44</v>
      </c>
      <c r="B75" s="7" t="s">
        <v>902</v>
      </c>
      <c r="M75" s="7" t="s">
        <v>903</v>
      </c>
      <c r="N75" s="7" t="s">
        <v>904</v>
      </c>
      <c r="O75" s="7" t="s">
        <v>905</v>
      </c>
    </row>
    <row r="76" spans="1:15">
      <c r="A76" s="7">
        <v>45</v>
      </c>
      <c r="B76" s="7" t="s">
        <v>906</v>
      </c>
      <c r="M76" s="7" t="s">
        <v>907</v>
      </c>
      <c r="N76" s="7" t="s">
        <v>908</v>
      </c>
      <c r="O76" s="7" t="s">
        <v>907</v>
      </c>
    </row>
    <row r="77" spans="1:15">
      <c r="A77" s="7">
        <v>46</v>
      </c>
      <c r="B77" s="7" t="s">
        <v>909</v>
      </c>
      <c r="M77" s="7" t="s">
        <v>910</v>
      </c>
      <c r="N77" s="7" t="s">
        <v>911</v>
      </c>
      <c r="O77" s="7" t="s">
        <v>910</v>
      </c>
    </row>
    <row r="78" spans="1:15">
      <c r="A78" s="7">
        <v>47</v>
      </c>
      <c r="B78" s="7" t="s">
        <v>912</v>
      </c>
      <c r="M78" s="7" t="s">
        <v>913</v>
      </c>
      <c r="N78" s="7" t="s">
        <v>914</v>
      </c>
      <c r="O78" s="7" t="s">
        <v>913</v>
      </c>
    </row>
    <row r="79" spans="1:15">
      <c r="A79" s="7">
        <v>48</v>
      </c>
      <c r="B79" s="7" t="s">
        <v>915</v>
      </c>
      <c r="M79" s="7" t="s">
        <v>916</v>
      </c>
      <c r="N79" s="7" t="s">
        <v>917</v>
      </c>
      <c r="O79" s="7" t="s">
        <v>916</v>
      </c>
    </row>
    <row r="80" spans="1:15">
      <c r="A80" s="7">
        <v>49</v>
      </c>
      <c r="B80" s="7" t="s">
        <v>918</v>
      </c>
      <c r="M80" s="7" t="s">
        <v>919</v>
      </c>
      <c r="N80" s="7" t="s">
        <v>920</v>
      </c>
      <c r="O80" s="7" t="s">
        <v>919</v>
      </c>
    </row>
    <row r="81" spans="1:15">
      <c r="A81" s="7">
        <v>50</v>
      </c>
      <c r="B81" s="7" t="s">
        <v>921</v>
      </c>
      <c r="M81" s="7" t="s">
        <v>922</v>
      </c>
      <c r="N81" s="7" t="s">
        <v>923</v>
      </c>
      <c r="O81" s="7" t="s">
        <v>922</v>
      </c>
    </row>
    <row r="82" spans="1:15">
      <c r="A82" s="7">
        <v>51</v>
      </c>
      <c r="B82" s="7" t="s">
        <v>924</v>
      </c>
      <c r="M82" s="7" t="s">
        <v>925</v>
      </c>
      <c r="N82" s="7" t="s">
        <v>926</v>
      </c>
      <c r="O82" s="7" t="s">
        <v>925</v>
      </c>
    </row>
    <row r="83" spans="1:15">
      <c r="A83" s="7">
        <v>52</v>
      </c>
      <c r="B83" s="7" t="s">
        <v>927</v>
      </c>
      <c r="M83" s="7" t="s">
        <v>928</v>
      </c>
      <c r="N83" s="7" t="s">
        <v>929</v>
      </c>
      <c r="O83" s="7" t="s">
        <v>928</v>
      </c>
    </row>
    <row r="84" spans="1:15">
      <c r="A84" s="7">
        <v>53</v>
      </c>
      <c r="B84" s="7" t="s">
        <v>930</v>
      </c>
      <c r="M84" s="7" t="s">
        <v>931</v>
      </c>
      <c r="N84" s="7" t="s">
        <v>932</v>
      </c>
      <c r="O84" s="7" t="s">
        <v>931</v>
      </c>
    </row>
    <row r="85" spans="1:15">
      <c r="A85" s="7">
        <v>55</v>
      </c>
      <c r="B85" s="7" t="s">
        <v>933</v>
      </c>
      <c r="M85" s="7" t="s">
        <v>934</v>
      </c>
      <c r="N85" s="7" t="s">
        <v>935</v>
      </c>
      <c r="O85" s="7" t="s">
        <v>934</v>
      </c>
    </row>
    <row r="86" spans="1:15">
      <c r="A86" s="7">
        <v>56</v>
      </c>
      <c r="B86" s="7" t="s">
        <v>936</v>
      </c>
      <c r="M86" s="7" t="s">
        <v>937</v>
      </c>
      <c r="N86" s="7" t="s">
        <v>938</v>
      </c>
      <c r="O86" s="7" t="s">
        <v>937</v>
      </c>
    </row>
    <row r="87" spans="1:15">
      <c r="A87" s="7">
        <v>57</v>
      </c>
      <c r="B87" s="7" t="s">
        <v>939</v>
      </c>
      <c r="M87" s="7" t="s">
        <v>940</v>
      </c>
      <c r="N87" s="7" t="s">
        <v>941</v>
      </c>
      <c r="O87" s="7" t="s">
        <v>940</v>
      </c>
    </row>
    <row r="88" spans="1:15">
      <c r="A88" s="7">
        <v>58</v>
      </c>
      <c r="B88" s="7" t="s">
        <v>942</v>
      </c>
      <c r="M88" s="7" t="s">
        <v>943</v>
      </c>
      <c r="N88" s="7" t="s">
        <v>944</v>
      </c>
      <c r="O88" s="7" t="s">
        <v>943</v>
      </c>
    </row>
    <row r="89" spans="1:15">
      <c r="A89" s="7">
        <v>60</v>
      </c>
      <c r="B89" s="7" t="s">
        <v>945</v>
      </c>
      <c r="M89" s="7" t="s">
        <v>946</v>
      </c>
      <c r="N89" s="7" t="s">
        <v>947</v>
      </c>
      <c r="O89" s="7" t="s">
        <v>946</v>
      </c>
    </row>
    <row r="90" spans="1:15">
      <c r="A90" s="7">
        <v>61</v>
      </c>
      <c r="B90" s="7" t="s">
        <v>948</v>
      </c>
      <c r="M90" s="7" t="s">
        <v>949</v>
      </c>
      <c r="N90" s="7" t="s">
        <v>950</v>
      </c>
      <c r="O90" s="7" t="s">
        <v>949</v>
      </c>
    </row>
    <row r="91" spans="1:15">
      <c r="A91" s="7">
        <v>62</v>
      </c>
      <c r="B91" s="7" t="s">
        <v>951</v>
      </c>
      <c r="M91" s="7" t="s">
        <v>952</v>
      </c>
      <c r="N91" s="7" t="s">
        <v>953</v>
      </c>
      <c r="O91" s="7" t="s">
        <v>952</v>
      </c>
    </row>
    <row r="92" spans="1:15">
      <c r="A92" s="7">
        <v>63</v>
      </c>
      <c r="B92" s="7" t="s">
        <v>954</v>
      </c>
      <c r="M92" s="7" t="s">
        <v>955</v>
      </c>
      <c r="N92" s="7" t="s">
        <v>956</v>
      </c>
      <c r="O92" s="7" t="s">
        <v>955</v>
      </c>
    </row>
    <row r="93" spans="1:15">
      <c r="A93" s="7">
        <v>64</v>
      </c>
      <c r="B93" s="7" t="s">
        <v>957</v>
      </c>
      <c r="M93" s="7" t="s">
        <v>958</v>
      </c>
      <c r="N93" s="7" t="s">
        <v>959</v>
      </c>
      <c r="O93" s="7" t="s">
        <v>958</v>
      </c>
    </row>
    <row r="94" spans="1:15">
      <c r="A94" s="7">
        <v>65</v>
      </c>
      <c r="B94" s="7" t="s">
        <v>960</v>
      </c>
      <c r="M94" s="7" t="s">
        <v>961</v>
      </c>
      <c r="N94" s="7" t="s">
        <v>962</v>
      </c>
      <c r="O94" s="7" t="s">
        <v>961</v>
      </c>
    </row>
    <row r="95" spans="1:15">
      <c r="A95" s="7">
        <v>66</v>
      </c>
      <c r="B95" s="7" t="s">
        <v>963</v>
      </c>
      <c r="M95" s="7" t="s">
        <v>964</v>
      </c>
      <c r="N95" s="7" t="s">
        <v>965</v>
      </c>
      <c r="O95" s="7" t="s">
        <v>964</v>
      </c>
    </row>
    <row r="96" spans="1:15">
      <c r="A96" s="7">
        <v>67</v>
      </c>
      <c r="B96" s="7" t="s">
        <v>966</v>
      </c>
      <c r="M96" s="7" t="s">
        <v>967</v>
      </c>
      <c r="N96" s="7" t="s">
        <v>968</v>
      </c>
      <c r="O96" s="7" t="s">
        <v>967</v>
      </c>
    </row>
    <row r="97" spans="1:15">
      <c r="A97" s="7">
        <v>68</v>
      </c>
      <c r="B97" s="7" t="s">
        <v>969</v>
      </c>
      <c r="M97" s="7" t="s">
        <v>970</v>
      </c>
      <c r="N97" s="7" t="s">
        <v>971</v>
      </c>
      <c r="O97" s="7" t="s">
        <v>970</v>
      </c>
    </row>
    <row r="98" spans="1:15">
      <c r="A98" s="7">
        <v>69</v>
      </c>
      <c r="B98" s="7" t="s">
        <v>972</v>
      </c>
      <c r="M98" s="7" t="s">
        <v>973</v>
      </c>
      <c r="N98" s="7" t="s">
        <v>974</v>
      </c>
      <c r="O98" s="7" t="s">
        <v>973</v>
      </c>
    </row>
    <row r="99" spans="1:15">
      <c r="A99" s="7">
        <v>70</v>
      </c>
      <c r="B99" s="7" t="s">
        <v>975</v>
      </c>
      <c r="M99" s="7" t="s">
        <v>976</v>
      </c>
      <c r="N99" s="7" t="s">
        <v>977</v>
      </c>
      <c r="O99" s="7" t="s">
        <v>976</v>
      </c>
    </row>
    <row r="100" spans="1:15">
      <c r="A100" s="7">
        <v>71</v>
      </c>
      <c r="B100" s="7" t="s">
        <v>978</v>
      </c>
      <c r="M100" s="7" t="s">
        <v>979</v>
      </c>
      <c r="N100" s="7" t="s">
        <v>980</v>
      </c>
      <c r="O100" s="7" t="s">
        <v>979</v>
      </c>
    </row>
    <row r="101" spans="1:15">
      <c r="A101" s="7">
        <v>72</v>
      </c>
      <c r="B101" s="7" t="s">
        <v>981</v>
      </c>
      <c r="M101" s="7" t="s">
        <v>982</v>
      </c>
      <c r="N101" s="7" t="s">
        <v>983</v>
      </c>
      <c r="O101" s="7" t="s">
        <v>982</v>
      </c>
    </row>
    <row r="102" spans="1:15">
      <c r="A102" s="7">
        <v>73</v>
      </c>
      <c r="B102" s="7" t="s">
        <v>984</v>
      </c>
      <c r="M102" s="7" t="s">
        <v>985</v>
      </c>
      <c r="N102" s="7" t="s">
        <v>986</v>
      </c>
      <c r="O102" s="7" t="s">
        <v>985</v>
      </c>
    </row>
    <row r="103" spans="1:15">
      <c r="A103" s="7">
        <v>74</v>
      </c>
      <c r="B103" s="7" t="s">
        <v>987</v>
      </c>
      <c r="M103" s="7" t="s">
        <v>988</v>
      </c>
      <c r="N103" s="7" t="s">
        <v>989</v>
      </c>
      <c r="O103" s="7" t="s">
        <v>988</v>
      </c>
    </row>
    <row r="104" spans="1:15">
      <c r="A104" s="7">
        <v>75</v>
      </c>
      <c r="B104" s="7" t="s">
        <v>990</v>
      </c>
      <c r="M104" s="7" t="s">
        <v>991</v>
      </c>
      <c r="N104" s="7" t="s">
        <v>992</v>
      </c>
      <c r="O104" s="7" t="s">
        <v>991</v>
      </c>
    </row>
    <row r="105" spans="1:15">
      <c r="A105" s="7">
        <v>100</v>
      </c>
      <c r="B105" s="7" t="s">
        <v>993</v>
      </c>
      <c r="M105" s="7" t="s">
        <v>994</v>
      </c>
      <c r="N105" s="7" t="s">
        <v>995</v>
      </c>
      <c r="O105" s="7" t="s">
        <v>994</v>
      </c>
    </row>
    <row r="106" spans="1:15">
      <c r="A106" s="7">
        <v>101</v>
      </c>
      <c r="B106" s="7" t="s">
        <v>996</v>
      </c>
      <c r="M106" s="7" t="s">
        <v>997</v>
      </c>
      <c r="N106" s="7" t="s">
        <v>998</v>
      </c>
      <c r="O106" s="7" t="s">
        <v>997</v>
      </c>
    </row>
    <row r="107" spans="1:15">
      <c r="A107" s="7">
        <v>102</v>
      </c>
      <c r="B107" s="7" t="s">
        <v>473</v>
      </c>
      <c r="M107" s="7" t="s">
        <v>999</v>
      </c>
      <c r="N107" s="7" t="s">
        <v>1000</v>
      </c>
      <c r="O107" s="7" t="s">
        <v>999</v>
      </c>
    </row>
    <row r="108" spans="1:15">
      <c r="A108" s="7">
        <v>103</v>
      </c>
      <c r="B108" s="7" t="s">
        <v>1001</v>
      </c>
      <c r="M108" s="7" t="s">
        <v>1002</v>
      </c>
      <c r="N108" s="7" t="s">
        <v>1003</v>
      </c>
      <c r="O108" s="7" t="s">
        <v>1002</v>
      </c>
    </row>
    <row r="109" spans="1:15">
      <c r="A109" s="7">
        <v>104</v>
      </c>
      <c r="B109" s="7" t="s">
        <v>1004</v>
      </c>
      <c r="M109" s="7" t="s">
        <v>1005</v>
      </c>
      <c r="N109" s="7" t="s">
        <v>1006</v>
      </c>
      <c r="O109" s="7" t="s">
        <v>1005</v>
      </c>
    </row>
    <row r="110" spans="1:15">
      <c r="A110" s="7">
        <v>105</v>
      </c>
      <c r="B110" s="7" t="s">
        <v>1007</v>
      </c>
      <c r="M110" s="7" t="s">
        <v>1008</v>
      </c>
      <c r="N110" s="7" t="s">
        <v>1009</v>
      </c>
      <c r="O110" s="7" t="s">
        <v>1008</v>
      </c>
    </row>
    <row r="111" spans="1:15">
      <c r="A111" s="7">
        <v>106</v>
      </c>
      <c r="B111" s="7" t="s">
        <v>1010</v>
      </c>
      <c r="M111" s="7" t="s">
        <v>1011</v>
      </c>
      <c r="N111" s="7" t="s">
        <v>1012</v>
      </c>
      <c r="O111" s="7" t="s">
        <v>1011</v>
      </c>
    </row>
    <row r="112" spans="1:15">
      <c r="A112" s="7">
        <v>107</v>
      </c>
      <c r="B112" s="7" t="s">
        <v>1013</v>
      </c>
      <c r="M112" s="7" t="s">
        <v>1014</v>
      </c>
      <c r="N112" s="7" t="s">
        <v>1015</v>
      </c>
      <c r="O112" s="7" t="s">
        <v>1014</v>
      </c>
    </row>
    <row r="113" spans="1:15">
      <c r="A113" s="7">
        <v>108</v>
      </c>
      <c r="B113" s="7" t="s">
        <v>1016</v>
      </c>
      <c r="M113" s="7" t="s">
        <v>1017</v>
      </c>
      <c r="N113" s="7" t="s">
        <v>1018</v>
      </c>
      <c r="O113" s="7" t="s">
        <v>1017</v>
      </c>
    </row>
    <row r="114" spans="1:15">
      <c r="A114" s="7">
        <v>109</v>
      </c>
      <c r="B114" s="7" t="s">
        <v>1019</v>
      </c>
      <c r="M114" s="7" t="s">
        <v>1020</v>
      </c>
      <c r="N114" s="7" t="s">
        <v>1021</v>
      </c>
      <c r="O114" s="7" t="s">
        <v>1020</v>
      </c>
    </row>
    <row r="115" spans="1:15">
      <c r="A115" s="7">
        <v>110</v>
      </c>
      <c r="B115" s="7" t="s">
        <v>1022</v>
      </c>
      <c r="M115" s="7" t="s">
        <v>1023</v>
      </c>
      <c r="N115" s="7" t="s">
        <v>1024</v>
      </c>
      <c r="O115" s="7" t="s">
        <v>1023</v>
      </c>
    </row>
    <row r="116" spans="1:15">
      <c r="A116" s="7">
        <v>111</v>
      </c>
      <c r="B116" s="7" t="s">
        <v>1025</v>
      </c>
      <c r="M116" s="7" t="s">
        <v>1026</v>
      </c>
      <c r="N116" s="7" t="s">
        <v>1027</v>
      </c>
      <c r="O116" s="7" t="s">
        <v>1026</v>
      </c>
    </row>
    <row r="117" spans="1:15">
      <c r="A117" s="7">
        <v>112</v>
      </c>
      <c r="B117" s="7" t="s">
        <v>1028</v>
      </c>
      <c r="M117" s="7" t="s">
        <v>1029</v>
      </c>
      <c r="N117" s="7" t="s">
        <v>1030</v>
      </c>
      <c r="O117" s="7" t="s">
        <v>1029</v>
      </c>
    </row>
    <row r="118" spans="1:15">
      <c r="A118" s="7">
        <v>113</v>
      </c>
      <c r="B118" s="7" t="s">
        <v>1031</v>
      </c>
      <c r="M118" s="7" t="s">
        <v>1032</v>
      </c>
      <c r="N118" s="7" t="s">
        <v>1033</v>
      </c>
      <c r="O118" s="7" t="s">
        <v>1032</v>
      </c>
    </row>
    <row r="119" spans="1:15">
      <c r="A119" s="7">
        <v>114</v>
      </c>
      <c r="B119" s="7" t="s">
        <v>1034</v>
      </c>
      <c r="M119" s="7" t="s">
        <v>1035</v>
      </c>
      <c r="N119" s="7" t="s">
        <v>1036</v>
      </c>
      <c r="O119" s="7" t="s">
        <v>1035</v>
      </c>
    </row>
    <row r="120" spans="1:15">
      <c r="A120" s="7">
        <v>115</v>
      </c>
      <c r="B120" s="7" t="s">
        <v>1037</v>
      </c>
      <c r="M120" s="7" t="s">
        <v>1038</v>
      </c>
      <c r="N120" s="7" t="s">
        <v>1039</v>
      </c>
      <c r="O120" s="7" t="s">
        <v>1038</v>
      </c>
    </row>
    <row r="121" spans="1:15">
      <c r="A121" s="7">
        <v>116</v>
      </c>
      <c r="B121" s="7" t="s">
        <v>1040</v>
      </c>
      <c r="M121" s="7" t="s">
        <v>1041</v>
      </c>
      <c r="N121" s="7" t="s">
        <v>1042</v>
      </c>
      <c r="O121" s="7" t="s">
        <v>1041</v>
      </c>
    </row>
    <row r="122" spans="1:15">
      <c r="A122" s="7">
        <v>117</v>
      </c>
      <c r="B122" s="7" t="s">
        <v>1043</v>
      </c>
      <c r="M122" s="7" t="s">
        <v>1044</v>
      </c>
      <c r="N122" s="7" t="s">
        <v>1045</v>
      </c>
      <c r="O122" s="7" t="s">
        <v>1044</v>
      </c>
    </row>
    <row r="123" spans="1:15">
      <c r="A123" s="7">
        <v>118</v>
      </c>
      <c r="B123" s="7" t="s">
        <v>1046</v>
      </c>
      <c r="M123" s="7" t="s">
        <v>1047</v>
      </c>
      <c r="N123" s="7" t="s">
        <v>1048</v>
      </c>
      <c r="O123" s="7" t="s">
        <v>1047</v>
      </c>
    </row>
    <row r="124" spans="1:15">
      <c r="A124" s="7">
        <v>119</v>
      </c>
      <c r="B124" s="7" t="s">
        <v>1049</v>
      </c>
      <c r="M124" s="7" t="s">
        <v>1050</v>
      </c>
      <c r="N124" s="7" t="s">
        <v>1051</v>
      </c>
      <c r="O124" s="7" t="s">
        <v>1050</v>
      </c>
    </row>
    <row r="125" spans="1:15">
      <c r="A125" s="7">
        <v>120</v>
      </c>
      <c r="B125" s="7" t="s">
        <v>1052</v>
      </c>
      <c r="M125" s="7" t="s">
        <v>1053</v>
      </c>
      <c r="N125" s="7" t="s">
        <v>1054</v>
      </c>
      <c r="O125" s="7" t="s">
        <v>1053</v>
      </c>
    </row>
    <row r="126" spans="1:15">
      <c r="A126" s="7">
        <v>121</v>
      </c>
      <c r="B126" s="7" t="s">
        <v>1055</v>
      </c>
      <c r="M126" s="3" t="s">
        <v>1056</v>
      </c>
      <c r="N126" s="3" t="s">
        <v>1057</v>
      </c>
      <c r="O126" s="3" t="s">
        <v>361</v>
      </c>
    </row>
    <row r="127" spans="1:15">
      <c r="A127" s="7">
        <v>122</v>
      </c>
      <c r="B127" s="7" t="s">
        <v>483</v>
      </c>
      <c r="M127" s="7" t="s">
        <v>1058</v>
      </c>
      <c r="N127" s="7" t="s">
        <v>1059</v>
      </c>
      <c r="O127" s="7" t="s">
        <v>1058</v>
      </c>
    </row>
    <row r="128" spans="1:15">
      <c r="A128" s="7">
        <v>123</v>
      </c>
      <c r="B128" s="7" t="s">
        <v>1060</v>
      </c>
      <c r="M128" s="7" t="s">
        <v>1061</v>
      </c>
      <c r="N128" s="7" t="s">
        <v>1062</v>
      </c>
      <c r="O128" s="7" t="s">
        <v>1061</v>
      </c>
    </row>
    <row r="129" spans="1:15">
      <c r="A129" s="7">
        <v>125</v>
      </c>
      <c r="B129" s="7" t="s">
        <v>1063</v>
      </c>
      <c r="M129" s="7" t="s">
        <v>1064</v>
      </c>
      <c r="N129" s="7" t="s">
        <v>1065</v>
      </c>
      <c r="O129" s="7" t="s">
        <v>1064</v>
      </c>
    </row>
    <row r="130" spans="1:15">
      <c r="A130" s="7">
        <v>126</v>
      </c>
      <c r="B130" s="7" t="s">
        <v>1066</v>
      </c>
      <c r="M130" s="7" t="s">
        <v>1067</v>
      </c>
      <c r="N130" s="7" t="s">
        <v>1068</v>
      </c>
      <c r="O130" s="7" t="s">
        <v>1067</v>
      </c>
    </row>
    <row r="131" spans="1:15">
      <c r="A131" s="7">
        <v>127</v>
      </c>
      <c r="B131" s="7" t="s">
        <v>1069</v>
      </c>
      <c r="M131" s="7" t="s">
        <v>1070</v>
      </c>
      <c r="N131" s="7" t="s">
        <v>1071</v>
      </c>
      <c r="O131" s="7" t="s">
        <v>1070</v>
      </c>
    </row>
    <row r="132" spans="1:15">
      <c r="A132" s="7">
        <v>128</v>
      </c>
      <c r="B132" s="7" t="s">
        <v>1072</v>
      </c>
      <c r="M132" s="7" t="s">
        <v>1073</v>
      </c>
      <c r="N132" s="7" t="s">
        <v>1074</v>
      </c>
      <c r="O132" s="7" t="s">
        <v>1073</v>
      </c>
    </row>
    <row r="133" spans="1:15">
      <c r="A133" s="7">
        <v>129</v>
      </c>
      <c r="B133" s="7" t="s">
        <v>1075</v>
      </c>
      <c r="M133" s="7" t="s">
        <v>1076</v>
      </c>
      <c r="N133" s="7" t="s">
        <v>1077</v>
      </c>
      <c r="O133" s="7" t="s">
        <v>1076</v>
      </c>
    </row>
    <row r="134" spans="1:15">
      <c r="A134" s="7">
        <v>130</v>
      </c>
      <c r="B134" s="7" t="s">
        <v>1078</v>
      </c>
      <c r="M134" s="7" t="s">
        <v>1079</v>
      </c>
      <c r="N134" s="7" t="s">
        <v>1080</v>
      </c>
      <c r="O134" s="7" t="s">
        <v>1079</v>
      </c>
    </row>
    <row r="135" spans="1:15">
      <c r="A135" s="7">
        <v>131</v>
      </c>
      <c r="B135" s="7" t="s">
        <v>1081</v>
      </c>
      <c r="M135" s="7" t="s">
        <v>1082</v>
      </c>
      <c r="N135" s="7" t="s">
        <v>1083</v>
      </c>
      <c r="O135" s="7" t="s">
        <v>1082</v>
      </c>
    </row>
    <row r="136" spans="1:15">
      <c r="A136" s="7">
        <v>133</v>
      </c>
      <c r="B136" s="7" t="s">
        <v>1084</v>
      </c>
      <c r="M136" s="7" t="s">
        <v>1085</v>
      </c>
      <c r="N136" s="7" t="s">
        <v>1086</v>
      </c>
      <c r="O136" s="7" t="s">
        <v>1085</v>
      </c>
    </row>
    <row r="137" spans="1:15">
      <c r="A137" s="7">
        <v>134</v>
      </c>
      <c r="B137" s="7" t="s">
        <v>1087</v>
      </c>
      <c r="M137" s="7" t="s">
        <v>1088</v>
      </c>
      <c r="N137" s="7" t="s">
        <v>1089</v>
      </c>
      <c r="O137" s="7" t="s">
        <v>1088</v>
      </c>
    </row>
    <row r="138" spans="1:15">
      <c r="A138" s="7">
        <v>135</v>
      </c>
      <c r="B138" s="7" t="s">
        <v>1090</v>
      </c>
      <c r="M138" s="7" t="s">
        <v>1091</v>
      </c>
      <c r="N138" s="7" t="s">
        <v>1092</v>
      </c>
      <c r="O138" s="7" t="s">
        <v>1091</v>
      </c>
    </row>
    <row r="139" spans="1:15">
      <c r="A139" s="7">
        <v>136</v>
      </c>
      <c r="B139" s="7" t="s">
        <v>1093</v>
      </c>
      <c r="M139" s="7" t="s">
        <v>1094</v>
      </c>
      <c r="N139" s="7" t="s">
        <v>1095</v>
      </c>
      <c r="O139" s="7" t="s">
        <v>1094</v>
      </c>
    </row>
    <row r="140" spans="1:15">
      <c r="A140" s="7">
        <v>137</v>
      </c>
      <c r="B140" s="7" t="s">
        <v>1096</v>
      </c>
      <c r="M140" s="7" t="s">
        <v>1097</v>
      </c>
      <c r="N140" s="7" t="s">
        <v>1098</v>
      </c>
      <c r="O140" s="7" t="s">
        <v>1097</v>
      </c>
    </row>
    <row r="141" spans="1:15">
      <c r="A141" s="7">
        <v>138</v>
      </c>
      <c r="B141" s="7" t="s">
        <v>1099</v>
      </c>
      <c r="M141" s="7" t="s">
        <v>1100</v>
      </c>
      <c r="N141" s="7" t="s">
        <v>1101</v>
      </c>
      <c r="O141" s="7" t="s">
        <v>1100</v>
      </c>
    </row>
    <row r="142" spans="1:15">
      <c r="A142" s="7">
        <v>139</v>
      </c>
      <c r="B142" s="7" t="s">
        <v>1102</v>
      </c>
      <c r="M142" s="7" t="s">
        <v>1103</v>
      </c>
      <c r="N142" s="7" t="s">
        <v>1104</v>
      </c>
      <c r="O142" s="7" t="s">
        <v>1103</v>
      </c>
    </row>
    <row r="143" spans="1:15">
      <c r="A143" s="7">
        <v>140</v>
      </c>
      <c r="B143" s="7" t="s">
        <v>1105</v>
      </c>
      <c r="M143" s="7" t="s">
        <v>1106</v>
      </c>
      <c r="N143" s="7" t="s">
        <v>1107</v>
      </c>
      <c r="O143" s="7" t="s">
        <v>1106</v>
      </c>
    </row>
    <row r="144" spans="1:15">
      <c r="A144" s="7">
        <v>141</v>
      </c>
      <c r="B144" s="7" t="s">
        <v>1108</v>
      </c>
      <c r="M144" s="7" t="s">
        <v>1109</v>
      </c>
      <c r="N144" s="7" t="s">
        <v>1110</v>
      </c>
      <c r="O144" s="7" t="s">
        <v>1109</v>
      </c>
    </row>
    <row r="145" spans="1:15">
      <c r="A145" s="7">
        <v>142</v>
      </c>
      <c r="B145" s="7" t="s">
        <v>1111</v>
      </c>
      <c r="M145" s="7" t="s">
        <v>1112</v>
      </c>
      <c r="N145" s="7" t="s">
        <v>1113</v>
      </c>
      <c r="O145" s="7" t="s">
        <v>1112</v>
      </c>
    </row>
    <row r="146" spans="1:15">
      <c r="A146" s="7">
        <v>143</v>
      </c>
      <c r="B146" s="7" t="s">
        <v>1114</v>
      </c>
      <c r="M146" s="7" t="s">
        <v>1115</v>
      </c>
      <c r="N146" s="7" t="s">
        <v>1116</v>
      </c>
      <c r="O146" s="7" t="s">
        <v>1115</v>
      </c>
    </row>
    <row r="147" spans="1:15">
      <c r="A147" s="7">
        <v>144</v>
      </c>
      <c r="B147" s="7" t="s">
        <v>1114</v>
      </c>
      <c r="M147" s="7" t="s">
        <v>1117</v>
      </c>
      <c r="N147" s="7" t="s">
        <v>1118</v>
      </c>
      <c r="O147" s="7" t="s">
        <v>1117</v>
      </c>
    </row>
    <row r="148" spans="1:15">
      <c r="A148" s="7">
        <v>145</v>
      </c>
      <c r="B148" s="7" t="s">
        <v>1114</v>
      </c>
      <c r="M148" s="7" t="s">
        <v>1119</v>
      </c>
      <c r="N148" s="7" t="s">
        <v>1120</v>
      </c>
      <c r="O148" s="7" t="s">
        <v>1119</v>
      </c>
    </row>
    <row r="149" spans="1:15">
      <c r="A149" s="7">
        <v>146</v>
      </c>
      <c r="B149" s="7" t="s">
        <v>1114</v>
      </c>
      <c r="M149" s="3" t="s">
        <v>1121</v>
      </c>
      <c r="N149" s="3" t="s">
        <v>360</v>
      </c>
      <c r="O149" s="3" t="s">
        <v>361</v>
      </c>
    </row>
    <row r="150" spans="1:15">
      <c r="A150" s="7">
        <v>147</v>
      </c>
      <c r="B150" s="7" t="s">
        <v>1114</v>
      </c>
      <c r="M150" s="7" t="s">
        <v>1122</v>
      </c>
      <c r="N150" s="7" t="s">
        <v>1123</v>
      </c>
      <c r="O150" s="7" t="s">
        <v>1122</v>
      </c>
    </row>
    <row r="151" spans="1:15">
      <c r="A151" s="7">
        <v>148</v>
      </c>
      <c r="B151" s="7" t="s">
        <v>1124</v>
      </c>
      <c r="M151" s="7" t="s">
        <v>1125</v>
      </c>
      <c r="N151" s="7" t="s">
        <v>1126</v>
      </c>
      <c r="O151" s="7" t="s">
        <v>1125</v>
      </c>
    </row>
    <row r="152" spans="1:15">
      <c r="A152" s="7">
        <v>149</v>
      </c>
      <c r="B152" s="7" t="s">
        <v>1127</v>
      </c>
      <c r="M152" s="7" t="s">
        <v>1128</v>
      </c>
      <c r="N152" s="7" t="s">
        <v>1129</v>
      </c>
      <c r="O152" s="7" t="s">
        <v>1128</v>
      </c>
    </row>
    <row r="153" spans="1:15">
      <c r="A153" s="7">
        <v>150</v>
      </c>
      <c r="B153" s="7" t="s">
        <v>481</v>
      </c>
      <c r="M153" s="7" t="s">
        <v>1130</v>
      </c>
      <c r="N153" s="7" t="s">
        <v>1131</v>
      </c>
      <c r="O153" s="7" t="s">
        <v>1130</v>
      </c>
    </row>
    <row r="154" spans="1:15">
      <c r="A154" s="7">
        <v>151</v>
      </c>
      <c r="B154" s="7" t="s">
        <v>1132</v>
      </c>
      <c r="M154" s="7" t="s">
        <v>1133</v>
      </c>
      <c r="N154" s="7" t="s">
        <v>1134</v>
      </c>
      <c r="O154" s="7" t="s">
        <v>1133</v>
      </c>
    </row>
    <row r="155" spans="1:15">
      <c r="A155" s="7">
        <v>152</v>
      </c>
      <c r="B155" s="7" t="s">
        <v>1135</v>
      </c>
      <c r="M155" s="7" t="s">
        <v>1136</v>
      </c>
      <c r="N155" s="7" t="s">
        <v>1137</v>
      </c>
      <c r="O155" s="7" t="s">
        <v>1136</v>
      </c>
    </row>
    <row r="156" spans="1:15">
      <c r="A156" s="7">
        <v>153</v>
      </c>
      <c r="B156" s="7" t="s">
        <v>1138</v>
      </c>
      <c r="M156" s="7" t="s">
        <v>1139</v>
      </c>
      <c r="N156" s="7" t="s">
        <v>1140</v>
      </c>
      <c r="O156" s="7" t="s">
        <v>1139</v>
      </c>
    </row>
    <row r="157" spans="1:15">
      <c r="A157" s="7">
        <v>155</v>
      </c>
      <c r="B157" s="7" t="s">
        <v>1141</v>
      </c>
      <c r="M157" s="7" t="s">
        <v>1142</v>
      </c>
      <c r="N157" s="7" t="s">
        <v>1143</v>
      </c>
      <c r="O157" s="7" t="s">
        <v>1142</v>
      </c>
    </row>
    <row r="158" spans="1:15">
      <c r="A158" s="7">
        <v>156</v>
      </c>
      <c r="B158" s="7" t="s">
        <v>1144</v>
      </c>
      <c r="M158" s="7" t="s">
        <v>1145</v>
      </c>
      <c r="N158" s="7" t="s">
        <v>1146</v>
      </c>
      <c r="O158" s="7" t="s">
        <v>1145</v>
      </c>
    </row>
    <row r="159" spans="1:15">
      <c r="A159" s="7">
        <v>157</v>
      </c>
      <c r="B159" s="7" t="s">
        <v>1147</v>
      </c>
      <c r="M159" s="7" t="s">
        <v>1148</v>
      </c>
      <c r="N159" s="7" t="s">
        <v>1149</v>
      </c>
      <c r="O159" s="7" t="s">
        <v>1148</v>
      </c>
    </row>
    <row r="160" spans="1:15">
      <c r="A160" s="7">
        <v>158</v>
      </c>
      <c r="B160" s="7" t="s">
        <v>1150</v>
      </c>
      <c r="M160" s="7" t="s">
        <v>1151</v>
      </c>
      <c r="N160" s="7" t="s">
        <v>1152</v>
      </c>
      <c r="O160" s="7" t="s">
        <v>1151</v>
      </c>
    </row>
    <row r="161" spans="1:15">
      <c r="A161" s="7">
        <v>159</v>
      </c>
      <c r="B161" s="7" t="s">
        <v>469</v>
      </c>
      <c r="M161" s="7" t="s">
        <v>1153</v>
      </c>
      <c r="N161" s="7" t="s">
        <v>1154</v>
      </c>
      <c r="O161" s="7" t="s">
        <v>1153</v>
      </c>
    </row>
    <row r="162" spans="1:15">
      <c r="A162" s="7">
        <v>160</v>
      </c>
      <c r="B162" s="7" t="s">
        <v>1155</v>
      </c>
      <c r="M162" s="3" t="s">
        <v>1156</v>
      </c>
      <c r="N162" s="3" t="s">
        <v>360</v>
      </c>
      <c r="O162" s="3" t="s">
        <v>361</v>
      </c>
    </row>
    <row r="163" spans="1:15">
      <c r="A163" s="7">
        <v>161</v>
      </c>
      <c r="B163" s="7" t="s">
        <v>1157</v>
      </c>
      <c r="M163" s="7" t="s">
        <v>1158</v>
      </c>
      <c r="N163" s="7" t="s">
        <v>1159</v>
      </c>
      <c r="O163" s="7" t="s">
        <v>1158</v>
      </c>
    </row>
    <row r="164" spans="1:15">
      <c r="A164" s="7">
        <v>162</v>
      </c>
      <c r="B164" s="7" t="s">
        <v>1160</v>
      </c>
      <c r="M164" s="7" t="s">
        <v>1161</v>
      </c>
      <c r="N164" s="7" t="s">
        <v>1162</v>
      </c>
      <c r="O164" s="7" t="s">
        <v>1161</v>
      </c>
    </row>
    <row r="165" spans="1:15">
      <c r="A165" s="7">
        <v>163</v>
      </c>
      <c r="B165" s="7" t="s">
        <v>1163</v>
      </c>
      <c r="M165" s="7" t="s">
        <v>1164</v>
      </c>
      <c r="N165" s="7" t="s">
        <v>1165</v>
      </c>
      <c r="O165" s="7" t="s">
        <v>1164</v>
      </c>
    </row>
    <row r="166" spans="1:15">
      <c r="A166" s="7">
        <v>164</v>
      </c>
      <c r="B166" s="7" t="s">
        <v>1166</v>
      </c>
      <c r="M166" s="7" t="s">
        <v>1167</v>
      </c>
      <c r="N166" s="7" t="s">
        <v>1168</v>
      </c>
      <c r="O166" s="7" t="s">
        <v>1169</v>
      </c>
    </row>
    <row r="167" spans="1:15">
      <c r="A167" s="7">
        <v>165</v>
      </c>
      <c r="B167" s="7" t="s">
        <v>1170</v>
      </c>
      <c r="M167" s="7" t="s">
        <v>1171</v>
      </c>
      <c r="N167" s="7" t="s">
        <v>1172</v>
      </c>
      <c r="O167" s="7" t="s">
        <v>1173</v>
      </c>
    </row>
    <row r="168" spans="1:15">
      <c r="A168" s="7">
        <v>167</v>
      </c>
      <c r="B168" s="7" t="s">
        <v>1174</v>
      </c>
      <c r="M168" s="7">
        <v>666666</v>
      </c>
      <c r="N168" s="7" t="s">
        <v>1175</v>
      </c>
      <c r="O168" s="7">
        <v>666666</v>
      </c>
    </row>
    <row r="169" spans="1:15">
      <c r="A169" s="7">
        <v>169</v>
      </c>
      <c r="B169" s="7" t="s">
        <v>1176</v>
      </c>
      <c r="M169" s="7" t="s">
        <v>1177</v>
      </c>
      <c r="N169" s="7" t="s">
        <v>1178</v>
      </c>
      <c r="O169" s="7" t="s">
        <v>1177</v>
      </c>
    </row>
    <row r="170" spans="1:15">
      <c r="A170" s="7">
        <v>170</v>
      </c>
      <c r="B170" s="7" t="s">
        <v>1179</v>
      </c>
      <c r="M170" s="7" t="s">
        <v>1180</v>
      </c>
      <c r="N170" s="7" t="s">
        <v>1181</v>
      </c>
      <c r="O170" s="7" t="s">
        <v>1180</v>
      </c>
    </row>
    <row r="171" spans="1:15">
      <c r="A171" s="7">
        <v>171</v>
      </c>
      <c r="B171" s="7" t="s">
        <v>1182</v>
      </c>
      <c r="M171" s="7"/>
      <c r="N171" s="7"/>
      <c r="O171" s="7"/>
    </row>
    <row r="172" spans="1:15">
      <c r="A172" s="7">
        <v>172</v>
      </c>
      <c r="B172" s="7" t="s">
        <v>529</v>
      </c>
      <c r="M172" s="7"/>
      <c r="N172" s="7"/>
      <c r="O172" s="7"/>
    </row>
    <row r="173" spans="1:15">
      <c r="A173" s="7">
        <v>173</v>
      </c>
      <c r="B173" s="7" t="s">
        <v>1183</v>
      </c>
      <c r="M173" s="7"/>
      <c r="N173" s="7"/>
      <c r="O173" s="7"/>
    </row>
    <row r="174" spans="1:15">
      <c r="A174" s="7">
        <v>174</v>
      </c>
      <c r="B174" s="7" t="s">
        <v>1184</v>
      </c>
      <c r="M174" s="7"/>
      <c r="N174" s="7"/>
      <c r="O174" s="7"/>
    </row>
    <row r="175" spans="1:15">
      <c r="A175" s="7">
        <v>175</v>
      </c>
      <c r="B175" s="7" t="s">
        <v>1185</v>
      </c>
      <c r="M175" s="7"/>
      <c r="N175" s="7"/>
      <c r="O175" s="7"/>
    </row>
    <row r="176" spans="1:15">
      <c r="A176" s="7">
        <v>176</v>
      </c>
      <c r="B176" s="7" t="s">
        <v>1186</v>
      </c>
      <c r="M176" s="7"/>
      <c r="N176" s="7"/>
      <c r="O176" s="7"/>
    </row>
    <row r="177" spans="1:15">
      <c r="A177" s="7">
        <v>177</v>
      </c>
      <c r="B177" s="7" t="s">
        <v>1187</v>
      </c>
      <c r="M177" s="7"/>
      <c r="N177" s="7"/>
      <c r="O177" s="7"/>
    </row>
    <row r="178" spans="1:15">
      <c r="A178" s="7">
        <v>178</v>
      </c>
      <c r="B178" s="7" t="s">
        <v>1188</v>
      </c>
      <c r="M178" s="7"/>
      <c r="N178" s="7"/>
      <c r="O178" s="7"/>
    </row>
    <row r="179" spans="1:15">
      <c r="A179" s="7">
        <v>179</v>
      </c>
      <c r="B179" s="7" t="s">
        <v>1189</v>
      </c>
      <c r="M179" s="7"/>
      <c r="N179" s="7"/>
      <c r="O179" s="7"/>
    </row>
    <row r="180" spans="1:15">
      <c r="A180" s="7">
        <v>181</v>
      </c>
      <c r="B180" s="7" t="s">
        <v>1190</v>
      </c>
      <c r="M180" s="7"/>
      <c r="N180" s="7"/>
      <c r="O180" s="7"/>
    </row>
    <row r="181" spans="1:15">
      <c r="A181" s="7">
        <v>182</v>
      </c>
      <c r="B181" s="7" t="s">
        <v>1191</v>
      </c>
      <c r="M181" s="7"/>
      <c r="N181" s="7"/>
      <c r="O181" s="7"/>
    </row>
    <row r="182" spans="1:15">
      <c r="A182" s="7">
        <v>183</v>
      </c>
      <c r="B182" s="7" t="s">
        <v>1192</v>
      </c>
      <c r="M182" s="7"/>
      <c r="N182" s="7"/>
      <c r="O182" s="7"/>
    </row>
    <row r="183" spans="1:15">
      <c r="A183" s="7">
        <v>184</v>
      </c>
      <c r="B183" s="7" t="s">
        <v>1193</v>
      </c>
      <c r="M183" s="7"/>
      <c r="N183" s="7"/>
      <c r="O183" s="7"/>
    </row>
    <row r="184" spans="1:15">
      <c r="A184" s="7">
        <v>186</v>
      </c>
      <c r="B184" s="7" t="s">
        <v>1194</v>
      </c>
      <c r="M184" s="7"/>
      <c r="N184" s="7"/>
      <c r="O184" s="7"/>
    </row>
    <row r="185" spans="1:15">
      <c r="A185" s="7">
        <v>187</v>
      </c>
      <c r="B185" s="7" t="s">
        <v>1195</v>
      </c>
      <c r="M185" s="7"/>
      <c r="N185" s="7"/>
      <c r="O185" s="7"/>
    </row>
    <row r="186" spans="1:15">
      <c r="A186" s="7">
        <v>189</v>
      </c>
      <c r="B186" s="7" t="s">
        <v>1196</v>
      </c>
      <c r="M186" s="7"/>
      <c r="N186" s="7"/>
      <c r="O186" s="7"/>
    </row>
    <row r="187" spans="1:15">
      <c r="A187" s="7">
        <v>190</v>
      </c>
      <c r="B187" s="7" t="s">
        <v>1197</v>
      </c>
      <c r="M187" s="7"/>
      <c r="N187" s="7"/>
      <c r="O187" s="7"/>
    </row>
    <row r="188" spans="1:15">
      <c r="A188" s="7">
        <v>191</v>
      </c>
      <c r="B188" s="7" t="s">
        <v>1198</v>
      </c>
      <c r="M188" s="7"/>
      <c r="N188" s="7"/>
      <c r="O188" s="7"/>
    </row>
    <row r="189" spans="1:15">
      <c r="A189" s="7">
        <v>192</v>
      </c>
      <c r="B189" s="7" t="s">
        <v>1199</v>
      </c>
      <c r="M189" s="7"/>
      <c r="N189" s="7"/>
      <c r="O189" s="7"/>
    </row>
    <row r="190" spans="1:15">
      <c r="A190" s="7">
        <v>193</v>
      </c>
      <c r="B190" s="7" t="s">
        <v>512</v>
      </c>
      <c r="M190" s="7"/>
      <c r="N190" s="7"/>
      <c r="O190" s="7"/>
    </row>
    <row r="191" spans="1:15">
      <c r="A191" s="7">
        <v>194</v>
      </c>
      <c r="B191" s="7" t="s">
        <v>1200</v>
      </c>
      <c r="M191" s="7"/>
      <c r="N191" s="7"/>
      <c r="O191" s="7"/>
    </row>
    <row r="192" spans="1:15">
      <c r="A192" s="7">
        <v>195</v>
      </c>
      <c r="B192" s="7" t="s">
        <v>1201</v>
      </c>
      <c r="M192" s="7"/>
      <c r="N192" s="7"/>
      <c r="O192" s="7"/>
    </row>
    <row r="193" spans="1:15">
      <c r="A193" s="7">
        <v>196</v>
      </c>
      <c r="B193" s="7" t="s">
        <v>1202</v>
      </c>
      <c r="M193" s="7"/>
      <c r="N193" s="7"/>
      <c r="O193" s="7"/>
    </row>
    <row r="194" spans="1:15">
      <c r="A194" s="7">
        <v>197</v>
      </c>
      <c r="B194" s="7" t="s">
        <v>1203</v>
      </c>
      <c r="M194" s="7"/>
      <c r="N194" s="7"/>
      <c r="O194" s="7"/>
    </row>
    <row r="195" spans="1:15">
      <c r="A195" s="7">
        <v>198</v>
      </c>
      <c r="B195" s="7" t="s">
        <v>1204</v>
      </c>
      <c r="M195" s="7"/>
      <c r="N195" s="7"/>
      <c r="O195" s="7"/>
    </row>
    <row r="196" spans="1:15">
      <c r="A196" s="7">
        <v>199</v>
      </c>
      <c r="B196" s="7" t="s">
        <v>1205</v>
      </c>
      <c r="M196" s="7"/>
      <c r="N196" s="7"/>
      <c r="O196" s="7"/>
    </row>
    <row r="197" spans="1:15">
      <c r="A197" s="7">
        <v>200</v>
      </c>
      <c r="B197" s="7" t="s">
        <v>1206</v>
      </c>
      <c r="M197" s="7"/>
      <c r="N197" s="7"/>
      <c r="O197" s="7"/>
    </row>
    <row r="198" spans="1:15">
      <c r="A198" s="7">
        <v>203</v>
      </c>
      <c r="B198" s="7" t="s">
        <v>1207</v>
      </c>
      <c r="M198" s="7"/>
      <c r="N198" s="7"/>
      <c r="O198" s="7"/>
    </row>
    <row r="199" spans="1:15">
      <c r="A199" s="7">
        <v>204</v>
      </c>
      <c r="B199" s="7" t="s">
        <v>1208</v>
      </c>
      <c r="M199" s="7"/>
      <c r="N199" s="7"/>
      <c r="O199" s="7"/>
    </row>
    <row r="200" spans="1:15">
      <c r="A200" s="7">
        <v>205</v>
      </c>
      <c r="B200" s="7" t="s">
        <v>1209</v>
      </c>
      <c r="M200" s="7"/>
      <c r="N200" s="7"/>
      <c r="O200" s="7"/>
    </row>
    <row r="201" spans="1:15">
      <c r="A201" s="7">
        <v>206</v>
      </c>
      <c r="B201" s="7" t="s">
        <v>1210</v>
      </c>
      <c r="M201" s="7"/>
      <c r="N201" s="7"/>
      <c r="O201" s="7"/>
    </row>
    <row r="202" spans="1:15">
      <c r="A202" s="7">
        <v>209</v>
      </c>
      <c r="B202" s="7" t="s">
        <v>1211</v>
      </c>
      <c r="M202" s="7"/>
      <c r="N202" s="7"/>
      <c r="O202" s="7"/>
    </row>
    <row r="203" spans="1:15">
      <c r="A203" s="7">
        <v>211</v>
      </c>
      <c r="B203" s="7" t="s">
        <v>1212</v>
      </c>
      <c r="M203" s="7"/>
      <c r="N203" s="7"/>
      <c r="O203" s="7"/>
    </row>
    <row r="204" spans="1:15">
      <c r="A204" s="7">
        <v>212</v>
      </c>
      <c r="B204" s="7" t="s">
        <v>1213</v>
      </c>
      <c r="M204" s="7"/>
      <c r="N204" s="7"/>
      <c r="O204" s="7"/>
    </row>
    <row r="205" spans="1:15">
      <c r="A205" s="7">
        <v>213</v>
      </c>
      <c r="B205" s="7" t="s">
        <v>1214</v>
      </c>
      <c r="M205" s="7"/>
      <c r="N205" s="7"/>
      <c r="O205" s="7"/>
    </row>
    <row r="206" spans="1:15">
      <c r="A206" s="7">
        <v>214</v>
      </c>
      <c r="B206" s="7" t="s">
        <v>1215</v>
      </c>
      <c r="M206" s="7"/>
      <c r="N206" s="7"/>
      <c r="O206" s="7"/>
    </row>
    <row r="207" spans="1:15">
      <c r="A207" s="7">
        <v>215</v>
      </c>
      <c r="B207" s="7" t="s">
        <v>1216</v>
      </c>
      <c r="M207" s="7"/>
      <c r="N207" s="7"/>
      <c r="O207" s="7"/>
    </row>
    <row r="208" spans="1:15">
      <c r="A208" s="7">
        <v>216</v>
      </c>
      <c r="B208" s="7" t="s">
        <v>1217</v>
      </c>
      <c r="M208" s="7"/>
      <c r="N208" s="7"/>
      <c r="O208" s="7"/>
    </row>
    <row r="209" spans="1:15">
      <c r="A209" s="7">
        <v>217</v>
      </c>
      <c r="B209" s="7" t="s">
        <v>1218</v>
      </c>
      <c r="M209" s="7"/>
      <c r="N209" s="7"/>
      <c r="O209" s="7"/>
    </row>
    <row r="210" spans="1:15">
      <c r="A210" s="7">
        <v>218</v>
      </c>
      <c r="B210" s="7" t="s">
        <v>1219</v>
      </c>
      <c r="M210" s="7"/>
      <c r="N210" s="7"/>
      <c r="O210" s="7"/>
    </row>
    <row r="211" spans="1:15">
      <c r="A211" s="7">
        <v>219</v>
      </c>
      <c r="B211" s="7" t="s">
        <v>1220</v>
      </c>
      <c r="M211" s="7"/>
      <c r="N211" s="7"/>
      <c r="O211" s="7"/>
    </row>
    <row r="212" spans="1:15">
      <c r="A212" s="7">
        <v>220</v>
      </c>
      <c r="B212" s="7" t="s">
        <v>1221</v>
      </c>
      <c r="M212" s="7"/>
      <c r="N212" s="7"/>
      <c r="O212" s="7"/>
    </row>
    <row r="213" spans="1:15">
      <c r="A213" s="7">
        <v>221</v>
      </c>
      <c r="B213" s="7" t="s">
        <v>1222</v>
      </c>
      <c r="M213" s="7"/>
      <c r="N213" s="7"/>
      <c r="O213" s="7"/>
    </row>
    <row r="214" spans="1:15">
      <c r="A214" s="7">
        <v>222</v>
      </c>
      <c r="B214" s="7" t="s">
        <v>1223</v>
      </c>
      <c r="M214" s="7"/>
      <c r="N214" s="7"/>
      <c r="O214" s="7"/>
    </row>
    <row r="215" spans="1:15">
      <c r="A215" s="7">
        <v>224</v>
      </c>
      <c r="B215" s="7" t="s">
        <v>1224</v>
      </c>
      <c r="M215" s="7"/>
      <c r="N215" s="7"/>
      <c r="O215" s="7"/>
    </row>
    <row r="216" spans="1:15">
      <c r="A216" s="7">
        <v>225</v>
      </c>
      <c r="B216" s="7" t="s">
        <v>1225</v>
      </c>
      <c r="M216" s="7"/>
      <c r="N216" s="7"/>
      <c r="O216" s="7"/>
    </row>
    <row r="217" spans="1:15">
      <c r="A217" s="7">
        <v>227</v>
      </c>
      <c r="B217" s="7" t="s">
        <v>1226</v>
      </c>
      <c r="M217" s="7"/>
      <c r="N217" s="7"/>
      <c r="O217" s="7"/>
    </row>
    <row r="218" spans="1:15">
      <c r="A218" s="7">
        <v>228</v>
      </c>
      <c r="B218" s="7" t="s">
        <v>1227</v>
      </c>
      <c r="M218" s="7"/>
      <c r="N218" s="7"/>
      <c r="O218" s="7"/>
    </row>
    <row r="219" spans="1:15">
      <c r="A219" s="7">
        <v>229</v>
      </c>
      <c r="B219" s="7" t="s">
        <v>1228</v>
      </c>
      <c r="M219" s="7"/>
      <c r="N219" s="7"/>
      <c r="O219" s="7"/>
    </row>
    <row r="220" spans="1:15">
      <c r="A220" s="7">
        <v>230</v>
      </c>
      <c r="B220" s="7" t="s">
        <v>1229</v>
      </c>
      <c r="M220" s="7"/>
      <c r="N220" s="7"/>
      <c r="O220" s="7"/>
    </row>
    <row r="221" spans="1:15">
      <c r="A221" s="7">
        <v>231</v>
      </c>
      <c r="B221" s="7" t="s">
        <v>1230</v>
      </c>
      <c r="M221" s="7"/>
      <c r="N221" s="7"/>
      <c r="O221" s="7"/>
    </row>
    <row r="222" spans="1:15">
      <c r="A222" s="7">
        <v>232</v>
      </c>
      <c r="B222" s="7" t="s">
        <v>1231</v>
      </c>
      <c r="M222" s="7"/>
      <c r="N222" s="7"/>
      <c r="O222" s="7"/>
    </row>
    <row r="223" spans="1:15">
      <c r="A223" s="7">
        <v>233</v>
      </c>
      <c r="B223" s="7" t="s">
        <v>1232</v>
      </c>
      <c r="M223" s="7"/>
      <c r="N223" s="7"/>
      <c r="O223" s="7"/>
    </row>
    <row r="224" spans="1:15">
      <c r="A224" s="7">
        <v>234</v>
      </c>
      <c r="B224" s="7" t="s">
        <v>1233</v>
      </c>
      <c r="M224" s="7"/>
      <c r="N224" s="7"/>
      <c r="O224" s="7"/>
    </row>
    <row r="225" spans="1:15">
      <c r="A225" s="7">
        <v>235</v>
      </c>
      <c r="B225" s="7" t="s">
        <v>1234</v>
      </c>
      <c r="M225" s="7"/>
      <c r="N225" s="7"/>
      <c r="O225" s="7"/>
    </row>
    <row r="226" spans="1:15">
      <c r="A226" s="7">
        <v>236</v>
      </c>
      <c r="B226" s="7" t="s">
        <v>1235</v>
      </c>
      <c r="M226" s="7"/>
      <c r="N226" s="7"/>
      <c r="O226" s="7"/>
    </row>
    <row r="227" spans="1:15">
      <c r="A227" s="7">
        <v>237</v>
      </c>
      <c r="B227" s="7" t="s">
        <v>1236</v>
      </c>
      <c r="M227" s="7"/>
      <c r="N227" s="7"/>
      <c r="O227" s="7"/>
    </row>
    <row r="228" spans="1:15">
      <c r="A228" s="7">
        <v>238</v>
      </c>
      <c r="B228" s="7" t="s">
        <v>1237</v>
      </c>
      <c r="M228" s="7"/>
      <c r="N228" s="7"/>
      <c r="O228" s="7"/>
    </row>
    <row r="229" spans="1:15">
      <c r="A229" s="7">
        <v>239</v>
      </c>
      <c r="B229" s="7" t="s">
        <v>1238</v>
      </c>
      <c r="M229" s="7"/>
      <c r="N229" s="7"/>
      <c r="O229" s="7"/>
    </row>
    <row r="230" spans="1:15">
      <c r="A230" s="7">
        <v>240</v>
      </c>
      <c r="B230" s="7" t="s">
        <v>1239</v>
      </c>
      <c r="M230" s="7"/>
      <c r="N230" s="7"/>
      <c r="O230" s="7"/>
    </row>
    <row r="231" spans="1:15">
      <c r="A231" s="7">
        <v>241</v>
      </c>
      <c r="B231" s="7" t="s">
        <v>1240</v>
      </c>
      <c r="M231" s="7"/>
      <c r="N231" s="7"/>
      <c r="O231" s="7"/>
    </row>
    <row r="232" spans="1:15">
      <c r="A232" s="7">
        <v>242</v>
      </c>
      <c r="B232" s="7" t="s">
        <v>1241</v>
      </c>
      <c r="M232" s="7"/>
      <c r="N232" s="7"/>
      <c r="O232" s="7"/>
    </row>
    <row r="233" spans="1:15">
      <c r="A233" s="7">
        <v>243</v>
      </c>
      <c r="B233" s="7" t="s">
        <v>1242</v>
      </c>
      <c r="M233" s="7"/>
      <c r="N233" s="7"/>
      <c r="O233" s="7"/>
    </row>
    <row r="234" spans="1:15">
      <c r="A234" s="7">
        <v>244</v>
      </c>
      <c r="B234" s="7" t="s">
        <v>1243</v>
      </c>
      <c r="M234" s="7"/>
      <c r="N234" s="7"/>
      <c r="O234" s="7"/>
    </row>
    <row r="235" spans="1:15">
      <c r="A235" s="7">
        <v>245</v>
      </c>
      <c r="B235" s="7" t="s">
        <v>1244</v>
      </c>
      <c r="M235" s="7"/>
      <c r="N235" s="7"/>
      <c r="O235" s="7"/>
    </row>
    <row r="236" spans="1:15">
      <c r="A236" s="7">
        <v>246</v>
      </c>
      <c r="B236" s="7" t="s">
        <v>1245</v>
      </c>
      <c r="M236" s="7"/>
      <c r="N236" s="7"/>
      <c r="O236" s="7"/>
    </row>
    <row r="237" spans="1:15">
      <c r="A237" s="7">
        <v>247</v>
      </c>
      <c r="B237" s="7" t="s">
        <v>1246</v>
      </c>
      <c r="M237" s="7"/>
      <c r="N237" s="7"/>
      <c r="O237" s="7"/>
    </row>
    <row r="238" spans="1:15">
      <c r="A238" s="7">
        <v>248</v>
      </c>
      <c r="B238" s="7" t="s">
        <v>1247</v>
      </c>
      <c r="M238" s="7"/>
      <c r="N238" s="7"/>
      <c r="O238" s="7"/>
    </row>
    <row r="239" spans="1:15">
      <c r="A239" s="7">
        <v>249</v>
      </c>
      <c r="B239" s="7" t="s">
        <v>1248</v>
      </c>
      <c r="M239" s="7"/>
      <c r="N239" s="7"/>
      <c r="O239" s="7"/>
    </row>
    <row r="240" spans="1:15">
      <c r="A240" s="7">
        <v>250</v>
      </c>
      <c r="B240" s="7" t="s">
        <v>1249</v>
      </c>
      <c r="M240" s="7"/>
      <c r="N240" s="7"/>
      <c r="O240" s="7"/>
    </row>
    <row r="241" spans="1:15">
      <c r="A241" s="7">
        <v>251</v>
      </c>
      <c r="B241" s="7" t="s">
        <v>1250</v>
      </c>
      <c r="M241" s="7"/>
      <c r="N241" s="7"/>
      <c r="O241" s="7"/>
    </row>
    <row r="242" spans="1:15">
      <c r="A242" s="7">
        <v>256</v>
      </c>
      <c r="B242" s="7" t="s">
        <v>1251</v>
      </c>
      <c r="M242" s="7"/>
      <c r="N242" s="7"/>
      <c r="O242" s="7"/>
    </row>
    <row r="243" spans="1:15">
      <c r="A243" s="7">
        <v>257</v>
      </c>
      <c r="B243" s="7" t="s">
        <v>1252</v>
      </c>
      <c r="M243" s="7"/>
      <c r="N243" s="7"/>
      <c r="O243" s="7"/>
    </row>
    <row r="244" spans="1:15">
      <c r="A244" s="7">
        <v>258</v>
      </c>
      <c r="B244" s="7" t="s">
        <v>1253</v>
      </c>
      <c r="M244" s="7"/>
      <c r="N244" s="7"/>
      <c r="O244" s="7"/>
    </row>
    <row r="245" spans="1:15">
      <c r="A245" s="7">
        <v>259</v>
      </c>
      <c r="B245" s="7" t="s">
        <v>1254</v>
      </c>
      <c r="M245" s="7"/>
      <c r="N245" s="7"/>
      <c r="O245" s="7"/>
    </row>
    <row r="246" spans="1:15">
      <c r="A246" s="7">
        <v>260</v>
      </c>
      <c r="B246" s="7" t="s">
        <v>1255</v>
      </c>
      <c r="M246" s="7"/>
      <c r="N246" s="7"/>
      <c r="O246" s="7"/>
    </row>
    <row r="247" spans="1:15">
      <c r="A247" s="7">
        <v>261</v>
      </c>
      <c r="B247" s="7" t="s">
        <v>1256</v>
      </c>
      <c r="M247" s="7"/>
      <c r="N247" s="7"/>
      <c r="O247" s="7"/>
    </row>
    <row r="248" spans="1:15">
      <c r="A248" s="7">
        <v>262</v>
      </c>
      <c r="B248" s="7" t="s">
        <v>1257</v>
      </c>
      <c r="M248" s="7"/>
      <c r="N248" s="7"/>
      <c r="O248" s="7"/>
    </row>
    <row r="249" spans="1:15">
      <c r="A249" s="7">
        <v>263</v>
      </c>
      <c r="B249" s="7" t="s">
        <v>1258</v>
      </c>
      <c r="M249" s="7"/>
      <c r="N249" s="7"/>
      <c r="O249" s="7"/>
    </row>
    <row r="250" spans="1:15">
      <c r="A250" s="7">
        <v>264</v>
      </c>
      <c r="B250" s="7" t="s">
        <v>1259</v>
      </c>
      <c r="M250" s="7"/>
      <c r="N250" s="7"/>
      <c r="O250" s="7"/>
    </row>
    <row r="251" spans="1:15">
      <c r="A251" s="7">
        <v>265</v>
      </c>
      <c r="B251" s="7" t="s">
        <v>1260</v>
      </c>
      <c r="M251" s="7"/>
      <c r="N251" s="7"/>
      <c r="O251" s="7"/>
    </row>
    <row r="252" spans="1:15">
      <c r="A252" s="7">
        <v>266</v>
      </c>
      <c r="B252" s="7" t="s">
        <v>1261</v>
      </c>
      <c r="M252" s="7"/>
      <c r="N252" s="7"/>
      <c r="O252" s="7"/>
    </row>
    <row r="253" spans="1:15">
      <c r="A253" s="7">
        <v>267</v>
      </c>
      <c r="B253" s="7" t="s">
        <v>1262</v>
      </c>
      <c r="M253" s="7"/>
      <c r="N253" s="7"/>
      <c r="O253" s="7"/>
    </row>
    <row r="254" spans="1:15">
      <c r="A254" s="7">
        <v>268</v>
      </c>
      <c r="B254" s="7" t="s">
        <v>1263</v>
      </c>
      <c r="M254" s="7"/>
      <c r="N254" s="7"/>
      <c r="O254" s="7"/>
    </row>
    <row r="255" spans="1:15">
      <c r="A255" s="7">
        <v>269</v>
      </c>
      <c r="B255" s="7" t="s">
        <v>1264</v>
      </c>
      <c r="M255" s="7"/>
      <c r="N255" s="7"/>
      <c r="O255" s="7"/>
    </row>
    <row r="256" spans="1:15">
      <c r="A256" s="7">
        <v>270</v>
      </c>
      <c r="B256" s="7" t="s">
        <v>1265</v>
      </c>
      <c r="M256" s="7"/>
      <c r="N256" s="7"/>
      <c r="O256" s="7"/>
    </row>
    <row r="257" spans="1:15">
      <c r="A257" s="7">
        <v>271</v>
      </c>
      <c r="B257" s="7" t="s">
        <v>1266</v>
      </c>
      <c r="M257" s="7"/>
      <c r="N257" s="7"/>
      <c r="O257" s="7"/>
    </row>
    <row r="258" spans="1:15">
      <c r="A258" s="7">
        <v>272</v>
      </c>
      <c r="B258" s="7" t="s">
        <v>1267</v>
      </c>
      <c r="M258" s="7"/>
      <c r="N258" s="7"/>
      <c r="O258" s="7"/>
    </row>
    <row r="259" spans="1:15">
      <c r="A259" s="7">
        <v>273</v>
      </c>
      <c r="B259" s="7" t="s">
        <v>1268</v>
      </c>
      <c r="M259" s="7"/>
      <c r="N259" s="7"/>
      <c r="O259" s="7"/>
    </row>
    <row r="260" spans="1:15">
      <c r="A260" s="7">
        <v>274</v>
      </c>
      <c r="B260" s="7" t="s">
        <v>1256</v>
      </c>
      <c r="M260" s="7"/>
      <c r="N260" s="7"/>
      <c r="O260" s="7"/>
    </row>
    <row r="261" spans="1:15">
      <c r="A261" s="7">
        <v>275</v>
      </c>
      <c r="B261" s="7" t="s">
        <v>1269</v>
      </c>
      <c r="M261" s="7"/>
      <c r="N261" s="7"/>
      <c r="O261" s="7"/>
    </row>
    <row r="262" spans="1:15">
      <c r="A262" s="7">
        <v>276</v>
      </c>
      <c r="B262" s="7" t="s">
        <v>1270</v>
      </c>
      <c r="M262" s="7"/>
      <c r="N262" s="7"/>
      <c r="O262" s="7"/>
    </row>
    <row r="263" spans="1:15">
      <c r="A263" s="7">
        <v>277</v>
      </c>
      <c r="B263" s="7" t="s">
        <v>1271</v>
      </c>
      <c r="M263" s="7"/>
      <c r="N263" s="7"/>
      <c r="O263" s="7"/>
    </row>
    <row r="264" spans="1:15">
      <c r="A264" s="7">
        <v>278</v>
      </c>
      <c r="B264" s="7" t="s">
        <v>1270</v>
      </c>
      <c r="M264" s="7"/>
      <c r="N264" s="7"/>
      <c r="O264" s="7"/>
    </row>
    <row r="265" spans="1:15">
      <c r="A265" s="7">
        <v>279</v>
      </c>
      <c r="B265" s="7" t="s">
        <v>1270</v>
      </c>
      <c r="M265" s="7"/>
      <c r="N265" s="7"/>
      <c r="O265" s="7"/>
    </row>
    <row r="266" spans="1:15">
      <c r="A266" s="7">
        <v>280</v>
      </c>
      <c r="B266" s="7" t="s">
        <v>1270</v>
      </c>
      <c r="M266" s="7"/>
      <c r="N266" s="7"/>
      <c r="O266" s="7"/>
    </row>
    <row r="267" spans="1:15">
      <c r="A267" s="7">
        <v>281</v>
      </c>
      <c r="B267" s="7" t="s">
        <v>1270</v>
      </c>
      <c r="M267" s="7"/>
      <c r="N267" s="7"/>
      <c r="O267" s="7"/>
    </row>
    <row r="268" spans="1:15">
      <c r="A268" s="7">
        <v>282</v>
      </c>
      <c r="B268" s="7">
        <v>1024</v>
      </c>
      <c r="M268" s="7"/>
      <c r="N268" s="7"/>
      <c r="O268" s="7"/>
    </row>
    <row r="269" spans="1:15">
      <c r="A269" s="7">
        <v>283</v>
      </c>
      <c r="B269" s="7" t="s">
        <v>1272</v>
      </c>
      <c r="M269" s="7"/>
      <c r="N269" s="7"/>
      <c r="O269" s="7"/>
    </row>
    <row r="270" spans="1:15">
      <c r="A270" s="7">
        <v>284</v>
      </c>
      <c r="B270" s="7" t="s">
        <v>1273</v>
      </c>
      <c r="M270" s="7"/>
      <c r="N270" s="7"/>
      <c r="O270" s="7"/>
    </row>
    <row r="271" spans="1:15">
      <c r="A271" s="7">
        <v>285</v>
      </c>
      <c r="B271" s="7" t="s">
        <v>1274</v>
      </c>
      <c r="M271" s="7"/>
      <c r="N271" s="7"/>
      <c r="O271" s="7"/>
    </row>
    <row r="272" spans="1:15">
      <c r="A272" s="7">
        <v>286</v>
      </c>
      <c r="B272" s="7" t="s">
        <v>1275</v>
      </c>
      <c r="M272" s="7"/>
      <c r="N272" s="7"/>
      <c r="O272" s="7"/>
    </row>
    <row r="273" spans="1:15">
      <c r="A273" s="7">
        <v>287</v>
      </c>
      <c r="B273" s="7" t="s">
        <v>1276</v>
      </c>
      <c r="M273" s="7"/>
      <c r="N273" s="7"/>
      <c r="O273" s="7"/>
    </row>
    <row r="274" spans="1:15">
      <c r="A274" s="7">
        <v>288</v>
      </c>
      <c r="B274" s="7" t="s">
        <v>1277</v>
      </c>
      <c r="M274" s="7"/>
      <c r="N274" s="7"/>
      <c r="O274" s="7"/>
    </row>
    <row r="275" spans="1:15">
      <c r="A275" s="7">
        <v>289</v>
      </c>
      <c r="B275" s="7" t="s">
        <v>1278</v>
      </c>
      <c r="M275" s="7"/>
      <c r="N275" s="7"/>
      <c r="O275" s="7"/>
    </row>
    <row r="276" spans="1:15">
      <c r="A276" s="7">
        <v>290</v>
      </c>
      <c r="B276" s="7" t="s">
        <v>1279</v>
      </c>
      <c r="M276" s="7"/>
      <c r="N276" s="7"/>
      <c r="O276" s="7"/>
    </row>
    <row r="277" spans="1:15">
      <c r="A277" s="7">
        <v>291</v>
      </c>
      <c r="B277" s="7" t="s">
        <v>1280</v>
      </c>
      <c r="M277" s="7"/>
      <c r="N277" s="7"/>
      <c r="O277" s="7"/>
    </row>
    <row r="278" spans="1:15">
      <c r="A278" s="7">
        <v>292</v>
      </c>
      <c r="B278" s="7" t="s">
        <v>1281</v>
      </c>
      <c r="M278" s="7"/>
      <c r="N278" s="7"/>
      <c r="O278" s="7"/>
    </row>
    <row r="279" spans="1:15">
      <c r="A279" s="7">
        <v>293</v>
      </c>
      <c r="B279" s="7" t="s">
        <v>1282</v>
      </c>
      <c r="M279" s="7"/>
      <c r="N279" s="7"/>
      <c r="O279" s="7"/>
    </row>
    <row r="280" spans="1:15">
      <c r="A280" s="7">
        <v>294</v>
      </c>
      <c r="B280" s="7" t="s">
        <v>1283</v>
      </c>
      <c r="M280" s="7"/>
      <c r="N280" s="7"/>
      <c r="O280" s="7"/>
    </row>
    <row r="281" spans="1:15">
      <c r="A281" s="7">
        <v>295</v>
      </c>
      <c r="B281" s="7" t="s">
        <v>1284</v>
      </c>
      <c r="M281" s="7"/>
      <c r="N281" s="7"/>
      <c r="O281" s="7"/>
    </row>
    <row r="282" spans="1:15">
      <c r="A282" s="7">
        <v>296</v>
      </c>
      <c r="B282" s="7" t="s">
        <v>1285</v>
      </c>
      <c r="M282" s="7"/>
      <c r="N282" s="7"/>
      <c r="O282" s="7"/>
    </row>
    <row r="283" spans="1:15">
      <c r="A283" s="7">
        <v>297</v>
      </c>
      <c r="B283" s="7" t="s">
        <v>1286</v>
      </c>
      <c r="M283" s="7"/>
      <c r="N283" s="7"/>
      <c r="O283" s="7"/>
    </row>
    <row r="284" spans="1:15">
      <c r="A284" s="7">
        <v>298</v>
      </c>
      <c r="B284" s="7" t="s">
        <v>1287</v>
      </c>
      <c r="M284" s="7"/>
      <c r="N284" s="7"/>
      <c r="O284" s="7"/>
    </row>
    <row r="285" spans="1:15">
      <c r="A285" s="7">
        <v>299</v>
      </c>
      <c r="B285" s="7" t="s">
        <v>1288</v>
      </c>
      <c r="M285" s="7"/>
      <c r="N285" s="7"/>
      <c r="O285" s="7"/>
    </row>
    <row r="286" spans="1:15">
      <c r="A286" s="7">
        <v>300</v>
      </c>
      <c r="B286" s="7" t="s">
        <v>1289</v>
      </c>
      <c r="M286" s="7"/>
      <c r="N286" s="7"/>
      <c r="O286" s="7"/>
    </row>
    <row r="287" spans="1:15">
      <c r="A287" s="7">
        <v>301</v>
      </c>
      <c r="B287" s="7" t="s">
        <v>1290</v>
      </c>
      <c r="M287" s="7"/>
      <c r="N287" s="7"/>
      <c r="O287" s="7"/>
    </row>
    <row r="288" spans="1:15">
      <c r="A288" s="7">
        <v>302</v>
      </c>
      <c r="B288" s="7" t="s">
        <v>1291</v>
      </c>
      <c r="M288" s="7"/>
      <c r="N288" s="7"/>
      <c r="O288" s="7"/>
    </row>
    <row r="289" spans="1:15">
      <c r="A289" s="7">
        <v>303</v>
      </c>
      <c r="B289" s="7" t="s">
        <v>1292</v>
      </c>
      <c r="M289" s="7"/>
      <c r="N289" s="7"/>
      <c r="O289" s="7"/>
    </row>
    <row r="290" spans="1:15">
      <c r="A290" s="7">
        <v>304</v>
      </c>
      <c r="B290" s="7" t="s">
        <v>1293</v>
      </c>
      <c r="M290" s="7"/>
      <c r="N290" s="7"/>
      <c r="O290" s="7"/>
    </row>
    <row r="291" spans="1:15">
      <c r="A291" s="7">
        <v>305</v>
      </c>
      <c r="B291" s="7" t="s">
        <v>1294</v>
      </c>
      <c r="M291" s="7"/>
      <c r="N291" s="7"/>
      <c r="O291" s="7"/>
    </row>
    <row r="292" spans="1:15">
      <c r="A292" s="7">
        <v>306</v>
      </c>
      <c r="B292" s="7" t="s">
        <v>1295</v>
      </c>
      <c r="M292" s="7"/>
      <c r="N292" s="7"/>
      <c r="O292" s="7"/>
    </row>
    <row r="293" spans="1:15">
      <c r="A293" s="7">
        <v>307</v>
      </c>
      <c r="B293" s="7" t="s">
        <v>1296</v>
      </c>
      <c r="M293" s="7"/>
      <c r="N293" s="7"/>
      <c r="O293" s="7"/>
    </row>
    <row r="294" spans="1:15">
      <c r="A294" s="7">
        <v>308</v>
      </c>
      <c r="B294" s="7" t="s">
        <v>1297</v>
      </c>
      <c r="M294" s="7"/>
      <c r="N294" s="7"/>
      <c r="O294" s="7"/>
    </row>
    <row r="295" spans="1:15">
      <c r="A295" s="7">
        <v>309</v>
      </c>
      <c r="B295" s="7" t="s">
        <v>1298</v>
      </c>
      <c r="M295" s="7"/>
      <c r="N295" s="7"/>
      <c r="O295" s="7"/>
    </row>
    <row r="296" spans="1:15">
      <c r="A296" s="7">
        <v>310</v>
      </c>
      <c r="B296" s="7" t="s">
        <v>1299</v>
      </c>
      <c r="M296" s="7"/>
      <c r="N296" s="7"/>
      <c r="O296" s="7"/>
    </row>
    <row r="297" spans="1:15">
      <c r="A297" s="7">
        <v>311</v>
      </c>
      <c r="B297" s="7" t="s">
        <v>1300</v>
      </c>
      <c r="M297" s="7"/>
      <c r="N297" s="7"/>
      <c r="O297" s="7"/>
    </row>
    <row r="298" spans="1:15">
      <c r="A298" s="7">
        <v>312</v>
      </c>
      <c r="B298" s="7" t="s">
        <v>1301</v>
      </c>
      <c r="M298" s="7"/>
      <c r="N298" s="7"/>
      <c r="O298" s="7"/>
    </row>
    <row r="299" spans="1:15">
      <c r="A299" s="7">
        <v>313</v>
      </c>
      <c r="B299" s="7" t="s">
        <v>1302</v>
      </c>
      <c r="M299" s="7"/>
      <c r="N299" s="7"/>
      <c r="O299" s="7"/>
    </row>
    <row r="300" spans="1:15">
      <c r="A300" s="7">
        <v>314</v>
      </c>
      <c r="B300" s="7" t="s">
        <v>1303</v>
      </c>
      <c r="M300" s="7"/>
      <c r="N300" s="7"/>
      <c r="O300" s="7"/>
    </row>
    <row r="301" spans="1:15">
      <c r="A301" s="7">
        <v>315</v>
      </c>
      <c r="B301" s="7" t="s">
        <v>1304</v>
      </c>
      <c r="M301" s="7"/>
      <c r="N301" s="7"/>
      <c r="O301" s="7"/>
    </row>
    <row r="302" spans="1:15">
      <c r="A302" s="7">
        <v>316</v>
      </c>
      <c r="B302" s="7" t="s">
        <v>1305</v>
      </c>
      <c r="M302" s="7"/>
      <c r="N302" s="7"/>
      <c r="O302" s="7"/>
    </row>
    <row r="303" spans="1:15">
      <c r="A303" s="7">
        <v>317</v>
      </c>
      <c r="B303" s="7" t="s">
        <v>1306</v>
      </c>
      <c r="M303" s="7"/>
      <c r="N303" s="7"/>
      <c r="O303" s="7"/>
    </row>
    <row r="304" spans="1:15">
      <c r="A304" s="7">
        <v>318</v>
      </c>
      <c r="B304" s="7" t="s">
        <v>1307</v>
      </c>
      <c r="M304" s="7"/>
      <c r="N304" s="7"/>
      <c r="O304" s="7"/>
    </row>
    <row r="305" spans="1:15">
      <c r="A305" s="7">
        <v>321</v>
      </c>
      <c r="B305" s="7" t="s">
        <v>1308</v>
      </c>
      <c r="M305" s="7"/>
      <c r="N305" s="7"/>
      <c r="O305" s="7"/>
    </row>
    <row r="306" spans="1:15">
      <c r="A306" s="7">
        <v>322</v>
      </c>
      <c r="B306" s="7" t="s">
        <v>1309</v>
      </c>
      <c r="M306" s="7"/>
      <c r="N306" s="7"/>
      <c r="O306" s="7"/>
    </row>
    <row r="307" spans="1:15">
      <c r="A307" s="7">
        <v>323</v>
      </c>
      <c r="B307" s="7" t="s">
        <v>1310</v>
      </c>
      <c r="M307" s="7"/>
      <c r="N307" s="7"/>
      <c r="O307" s="7"/>
    </row>
    <row r="308" spans="1:15">
      <c r="A308" s="7">
        <v>324</v>
      </c>
      <c r="B308" s="7" t="s">
        <v>1311</v>
      </c>
      <c r="M308" s="7"/>
      <c r="N308" s="7"/>
      <c r="O308" s="7"/>
    </row>
    <row r="309" spans="1:15">
      <c r="A309" s="7">
        <v>325</v>
      </c>
      <c r="B309" s="7" t="s">
        <v>1312</v>
      </c>
      <c r="M309" s="7"/>
      <c r="N309" s="7"/>
      <c r="O309" s="7"/>
    </row>
    <row r="310" spans="1:15">
      <c r="A310" s="7">
        <v>330</v>
      </c>
      <c r="B310" s="7" t="s">
        <v>1313</v>
      </c>
      <c r="M310" s="7"/>
      <c r="N310" s="7"/>
      <c r="O310" s="7"/>
    </row>
    <row r="311" spans="1:15">
      <c r="A311" s="7">
        <v>331</v>
      </c>
      <c r="B311" s="7" t="s">
        <v>1314</v>
      </c>
      <c r="M311" s="7"/>
      <c r="N311" s="7"/>
      <c r="O311" s="7"/>
    </row>
    <row r="312" spans="1:15">
      <c r="A312" s="7">
        <v>332</v>
      </c>
      <c r="B312" s="7" t="s">
        <v>1315</v>
      </c>
      <c r="M312" s="7"/>
      <c r="N312" s="7"/>
      <c r="O312" s="7"/>
    </row>
    <row r="313" spans="1:15">
      <c r="A313" s="7">
        <v>333</v>
      </c>
      <c r="B313" s="7" t="s">
        <v>544</v>
      </c>
      <c r="M313" s="7"/>
      <c r="N313" s="7"/>
      <c r="O313" s="7"/>
    </row>
    <row r="314" spans="1:15">
      <c r="A314" s="7">
        <v>334</v>
      </c>
      <c r="B314" s="7" t="s">
        <v>1316</v>
      </c>
      <c r="M314" s="7"/>
      <c r="N314" s="7"/>
      <c r="O314" s="7"/>
    </row>
    <row r="315" spans="1:15">
      <c r="A315" s="7">
        <v>337</v>
      </c>
      <c r="B315" s="7" t="s">
        <v>1317</v>
      </c>
      <c r="M315" s="7"/>
      <c r="N315" s="7"/>
      <c r="O315" s="7"/>
    </row>
    <row r="316" spans="1:15">
      <c r="A316" s="7">
        <v>338</v>
      </c>
      <c r="B316" s="7" t="s">
        <v>1318</v>
      </c>
      <c r="M316" s="7"/>
      <c r="N316" s="7"/>
      <c r="O316" s="7"/>
    </row>
    <row r="317" spans="1:15">
      <c r="A317" s="7">
        <v>339</v>
      </c>
      <c r="B317" s="7" t="s">
        <v>1319</v>
      </c>
      <c r="M317" s="7"/>
      <c r="N317" s="7"/>
      <c r="O317" s="7"/>
    </row>
    <row r="318" spans="1:15">
      <c r="A318" s="7">
        <v>340</v>
      </c>
      <c r="B318" s="7" t="s">
        <v>1320</v>
      </c>
      <c r="M318" s="7"/>
      <c r="N318" s="7"/>
      <c r="O318" s="7"/>
    </row>
    <row r="319" spans="1:15">
      <c r="A319" s="7">
        <v>341</v>
      </c>
      <c r="B319" s="7" t="s">
        <v>1321</v>
      </c>
      <c r="M319" s="7"/>
      <c r="N319" s="7"/>
      <c r="O319" s="7"/>
    </row>
    <row r="320" spans="1:15">
      <c r="A320" s="7">
        <v>342</v>
      </c>
      <c r="B320" s="7" t="s">
        <v>1322</v>
      </c>
      <c r="M320" s="7"/>
      <c r="N320" s="7"/>
      <c r="O320" s="7"/>
    </row>
    <row r="321" spans="1:15">
      <c r="A321" s="7">
        <v>343</v>
      </c>
      <c r="B321" s="7" t="s">
        <v>1323</v>
      </c>
      <c r="M321" s="7"/>
      <c r="N321" s="7"/>
      <c r="O321" s="7"/>
    </row>
    <row r="322" spans="1:15">
      <c r="A322" s="7">
        <v>344</v>
      </c>
      <c r="B322" s="7" t="s">
        <v>1324</v>
      </c>
      <c r="M322" s="7"/>
      <c r="N322" s="7"/>
      <c r="O322" s="7"/>
    </row>
    <row r="323" spans="1:15">
      <c r="A323" s="7">
        <v>347</v>
      </c>
      <c r="B323" s="7" t="s">
        <v>1325</v>
      </c>
      <c r="M323" s="7"/>
      <c r="N323" s="7"/>
      <c r="O323" s="7"/>
    </row>
    <row r="324" spans="1:15">
      <c r="A324" s="7">
        <v>348</v>
      </c>
      <c r="B324" s="7" t="s">
        <v>1326</v>
      </c>
      <c r="M324" s="7"/>
      <c r="N324" s="7"/>
      <c r="O324" s="7"/>
    </row>
    <row r="325" spans="1:15">
      <c r="A325" s="7">
        <v>349</v>
      </c>
      <c r="B325" s="7" t="s">
        <v>1327</v>
      </c>
      <c r="M325" s="7"/>
      <c r="N325" s="7"/>
      <c r="O325" s="7"/>
    </row>
    <row r="326" spans="1:15">
      <c r="A326" s="7">
        <v>350</v>
      </c>
      <c r="B326" s="7" t="s">
        <v>1328</v>
      </c>
      <c r="M326" s="7"/>
      <c r="N326" s="7"/>
      <c r="O326" s="7"/>
    </row>
    <row r="327" spans="1:15">
      <c r="A327" s="7">
        <v>354</v>
      </c>
      <c r="B327" s="7" t="s">
        <v>1329</v>
      </c>
      <c r="M327" s="7"/>
      <c r="N327" s="7"/>
      <c r="O327" s="7"/>
    </row>
    <row r="328" spans="1:15">
      <c r="A328" s="7">
        <v>355</v>
      </c>
      <c r="B328" s="7" t="s">
        <v>1330</v>
      </c>
      <c r="M328" s="7"/>
      <c r="N328" s="7"/>
      <c r="O328" s="7"/>
    </row>
    <row r="329" spans="1:15">
      <c r="A329" s="7">
        <v>356</v>
      </c>
      <c r="B329" s="7" t="s">
        <v>1331</v>
      </c>
      <c r="M329" s="7"/>
      <c r="N329" s="7"/>
      <c r="O329" s="7"/>
    </row>
    <row r="330" spans="1:15">
      <c r="A330" s="7">
        <v>357</v>
      </c>
      <c r="B330" s="7" t="s">
        <v>1332</v>
      </c>
      <c r="M330" s="7"/>
      <c r="N330" s="7"/>
      <c r="O330" s="7"/>
    </row>
    <row r="331" spans="1:15">
      <c r="A331" s="7">
        <v>358</v>
      </c>
      <c r="B331" s="7" t="s">
        <v>1333</v>
      </c>
      <c r="M331" s="7"/>
      <c r="N331" s="7"/>
      <c r="O331" s="7"/>
    </row>
    <row r="332" spans="1:15">
      <c r="A332" s="7">
        <v>359</v>
      </c>
      <c r="B332" s="7" t="s">
        <v>1334</v>
      </c>
      <c r="M332" s="7"/>
      <c r="N332" s="7"/>
      <c r="O332" s="7"/>
    </row>
    <row r="333" spans="1:15">
      <c r="A333" s="7">
        <v>360</v>
      </c>
      <c r="B333" s="7" t="s">
        <v>1335</v>
      </c>
      <c r="M333" s="7"/>
      <c r="N333" s="7"/>
      <c r="O333" s="7"/>
    </row>
    <row r="334" spans="1:15">
      <c r="A334" s="7">
        <v>361</v>
      </c>
      <c r="B334" s="7" t="s">
        <v>1336</v>
      </c>
      <c r="M334" s="7"/>
      <c r="N334" s="7"/>
      <c r="O334" s="7"/>
    </row>
    <row r="335" spans="1:15">
      <c r="A335" s="7">
        <v>362</v>
      </c>
      <c r="B335" s="7" t="s">
        <v>1337</v>
      </c>
    </row>
    <row r="336" spans="1:15">
      <c r="A336" s="7">
        <v>364</v>
      </c>
      <c r="B336" s="7" t="s">
        <v>1338</v>
      </c>
    </row>
    <row r="337" spans="1:2">
      <c r="A337" s="7">
        <v>365</v>
      </c>
      <c r="B337" s="7" t="s">
        <v>1339</v>
      </c>
    </row>
    <row r="338" spans="1:2">
      <c r="A338" s="7">
        <v>366</v>
      </c>
      <c r="B338" s="7" t="s">
        <v>1340</v>
      </c>
    </row>
    <row r="339" spans="1:2">
      <c r="A339" s="7">
        <v>368</v>
      </c>
      <c r="B339" s="7" t="s">
        <v>1341</v>
      </c>
    </row>
    <row r="340" spans="1:2">
      <c r="A340" s="7">
        <v>369</v>
      </c>
      <c r="B340" s="7" t="s">
        <v>1342</v>
      </c>
    </row>
    <row r="341" spans="1:2">
      <c r="A341" s="7">
        <v>370</v>
      </c>
      <c r="B341" s="7" t="s">
        <v>1343</v>
      </c>
    </row>
    <row r="342" spans="1:2">
      <c r="A342" s="7">
        <v>406</v>
      </c>
      <c r="B342" s="7" t="s">
        <v>1344</v>
      </c>
    </row>
    <row r="343" spans="1:2">
      <c r="A343" s="7">
        <v>407</v>
      </c>
      <c r="B343" s="7" t="s">
        <v>1345</v>
      </c>
    </row>
    <row r="344" spans="1:2">
      <c r="A344" s="7">
        <v>410</v>
      </c>
      <c r="B344" s="7" t="s">
        <v>1346</v>
      </c>
    </row>
    <row r="345" spans="1:2">
      <c r="A345" s="7">
        <v>411</v>
      </c>
      <c r="B345" s="7" t="s">
        <v>1347</v>
      </c>
    </row>
    <row r="346" spans="1:2">
      <c r="A346" s="7">
        <v>412</v>
      </c>
      <c r="B346" s="7" t="s">
        <v>1348</v>
      </c>
    </row>
    <row r="347" spans="1:2">
      <c r="A347" s="7">
        <v>413</v>
      </c>
      <c r="B347" s="7" t="s">
        <v>1349</v>
      </c>
    </row>
    <row r="348" spans="1:2">
      <c r="A348" s="7">
        <v>414</v>
      </c>
      <c r="B348" s="7" t="s">
        <v>1350</v>
      </c>
    </row>
    <row r="349" spans="1:2">
      <c r="A349" s="7">
        <v>415</v>
      </c>
      <c r="B349" s="7" t="s">
        <v>1351</v>
      </c>
    </row>
    <row r="350" spans="1:2">
      <c r="A350" s="7">
        <v>417</v>
      </c>
      <c r="B350" s="7" t="s">
        <v>1352</v>
      </c>
    </row>
    <row r="351" spans="1:2">
      <c r="A351" s="7">
        <v>418</v>
      </c>
      <c r="B351" s="7" t="s">
        <v>1353</v>
      </c>
    </row>
    <row r="352" spans="1:2">
      <c r="A352" s="7">
        <v>419</v>
      </c>
      <c r="B352" s="7" t="s">
        <v>1354</v>
      </c>
    </row>
    <row r="353" spans="1:2">
      <c r="A353" s="7">
        <v>420</v>
      </c>
      <c r="B353" s="7" t="s">
        <v>1355</v>
      </c>
    </row>
    <row r="354" spans="1:2">
      <c r="A354" s="7">
        <v>421</v>
      </c>
      <c r="B354" s="7" t="s">
        <v>1356</v>
      </c>
    </row>
    <row r="355" spans="1:2">
      <c r="A355" s="7">
        <v>422</v>
      </c>
      <c r="B355" s="7" t="s">
        <v>1357</v>
      </c>
    </row>
    <row r="356" spans="1:2">
      <c r="A356" s="7">
        <v>423</v>
      </c>
      <c r="B356" s="7" t="s">
        <v>1358</v>
      </c>
    </row>
    <row r="357" spans="1:2">
      <c r="A357" s="7">
        <v>424</v>
      </c>
      <c r="B357" s="7" t="s">
        <v>1359</v>
      </c>
    </row>
    <row r="358" spans="1:2">
      <c r="A358" s="7">
        <v>425</v>
      </c>
      <c r="B358" s="7" t="s">
        <v>1360</v>
      </c>
    </row>
    <row r="359" spans="1:2">
      <c r="A359" s="7">
        <v>426</v>
      </c>
      <c r="B359" s="7" t="s">
        <v>1361</v>
      </c>
    </row>
    <row r="360" spans="1:2">
      <c r="A360" s="7">
        <v>427</v>
      </c>
      <c r="B360" s="7" t="s">
        <v>1362</v>
      </c>
    </row>
    <row r="361" spans="1:2">
      <c r="A361" s="7">
        <v>428</v>
      </c>
      <c r="B361" s="7" t="s">
        <v>1363</v>
      </c>
    </row>
    <row r="362" spans="1:2">
      <c r="A362" s="7">
        <v>431</v>
      </c>
      <c r="B362" s="7" t="s">
        <v>1364</v>
      </c>
    </row>
    <row r="363" spans="1:2">
      <c r="A363" s="7">
        <v>432</v>
      </c>
      <c r="B363" s="7" t="s">
        <v>1365</v>
      </c>
    </row>
    <row r="364" spans="1:2">
      <c r="A364" s="7">
        <v>433</v>
      </c>
      <c r="B364" s="7" t="s">
        <v>1366</v>
      </c>
    </row>
    <row r="365" spans="1:2">
      <c r="A365" s="7">
        <v>434</v>
      </c>
      <c r="B365" s="7" t="s">
        <v>1367</v>
      </c>
    </row>
    <row r="366" spans="1:2">
      <c r="A366" s="7">
        <v>435</v>
      </c>
      <c r="B366" s="7" t="s">
        <v>1368</v>
      </c>
    </row>
    <row r="367" spans="1:2">
      <c r="A367" s="7">
        <v>436</v>
      </c>
      <c r="B367" s="7" t="s">
        <v>1369</v>
      </c>
    </row>
    <row r="368" spans="1:2">
      <c r="A368" s="7">
        <v>437</v>
      </c>
      <c r="B368" s="7" t="s">
        <v>1370</v>
      </c>
    </row>
    <row r="369" spans="1:2">
      <c r="A369" s="7">
        <v>438</v>
      </c>
      <c r="B369" s="7" t="s">
        <v>1371</v>
      </c>
    </row>
    <row r="370" spans="1:2">
      <c r="A370" s="7">
        <v>439</v>
      </c>
      <c r="B370" s="7" t="s">
        <v>1372</v>
      </c>
    </row>
    <row r="371" spans="1:2">
      <c r="A371" s="7">
        <v>440</v>
      </c>
      <c r="B371" s="7" t="s">
        <v>1373</v>
      </c>
    </row>
    <row r="372" spans="1:2">
      <c r="A372" s="7">
        <v>441</v>
      </c>
      <c r="B372" s="7" t="s">
        <v>1374</v>
      </c>
    </row>
    <row r="373" spans="1:2">
      <c r="A373" s="7">
        <v>442</v>
      </c>
      <c r="B373" s="7" t="s">
        <v>1375</v>
      </c>
    </row>
    <row r="374" spans="1:2">
      <c r="A374" s="7">
        <v>443</v>
      </c>
      <c r="B374" s="7" t="s">
        <v>1376</v>
      </c>
    </row>
    <row r="375" spans="1:2">
      <c r="A375" s="7">
        <v>444</v>
      </c>
      <c r="B375" s="7" t="s">
        <v>1377</v>
      </c>
    </row>
    <row r="376" spans="1:2">
      <c r="A376" s="7">
        <v>445</v>
      </c>
      <c r="B376" s="7" t="s">
        <v>1378</v>
      </c>
    </row>
    <row r="377" spans="1:2">
      <c r="A377" s="7">
        <v>446</v>
      </c>
      <c r="B377" s="7" t="s">
        <v>1114</v>
      </c>
    </row>
    <row r="378" spans="1:2">
      <c r="A378" s="7">
        <v>447</v>
      </c>
      <c r="B378" s="7" t="s">
        <v>1379</v>
      </c>
    </row>
    <row r="379" spans="1:2">
      <c r="A379" s="7">
        <v>448</v>
      </c>
      <c r="B379" s="7" t="s">
        <v>1380</v>
      </c>
    </row>
    <row r="380" spans="1:2">
      <c r="A380" s="7">
        <v>450</v>
      </c>
      <c r="B380" s="7" t="s">
        <v>1381</v>
      </c>
    </row>
    <row r="381" spans="1:2">
      <c r="A381" s="7">
        <v>451</v>
      </c>
      <c r="B381" s="7" t="s">
        <v>1382</v>
      </c>
    </row>
    <row r="382" spans="1:2">
      <c r="A382" s="7">
        <v>452</v>
      </c>
      <c r="B382" s="7" t="s">
        <v>1383</v>
      </c>
    </row>
    <row r="383" spans="1:2">
      <c r="A383" s="7">
        <v>453</v>
      </c>
      <c r="B383" s="7" t="s">
        <v>1384</v>
      </c>
    </row>
    <row r="384" spans="1:2">
      <c r="A384" s="7">
        <v>454</v>
      </c>
      <c r="B384" s="7" t="s">
        <v>1385</v>
      </c>
    </row>
    <row r="385" spans="1:2">
      <c r="A385" s="7">
        <v>455</v>
      </c>
      <c r="B385" s="7" t="s">
        <v>1386</v>
      </c>
    </row>
    <row r="386" spans="1:2">
      <c r="A386" s="7">
        <v>457</v>
      </c>
      <c r="B386" s="7" t="s">
        <v>1387</v>
      </c>
    </row>
    <row r="387" spans="1:2">
      <c r="A387" s="7">
        <v>458</v>
      </c>
      <c r="B387" s="7" t="s">
        <v>1388</v>
      </c>
    </row>
    <row r="388" spans="1:2">
      <c r="A388" s="7">
        <v>459</v>
      </c>
      <c r="B388" s="7" t="s">
        <v>1389</v>
      </c>
    </row>
    <row r="389" spans="1:2">
      <c r="A389" s="7">
        <v>460</v>
      </c>
      <c r="B389" s="7" t="s">
        <v>1390</v>
      </c>
    </row>
    <row r="390" spans="1:2">
      <c r="A390" s="7">
        <v>461</v>
      </c>
      <c r="B390" s="7" t="s">
        <v>1391</v>
      </c>
    </row>
    <row r="391" spans="1:2">
      <c r="A391" s="7">
        <v>462</v>
      </c>
      <c r="B391" s="7" t="s">
        <v>1392</v>
      </c>
    </row>
    <row r="392" spans="1:2">
      <c r="A392" s="7">
        <v>463</v>
      </c>
      <c r="B392" s="7" t="s">
        <v>1393</v>
      </c>
    </row>
    <row r="393" spans="1:2">
      <c r="A393" s="7">
        <v>464</v>
      </c>
      <c r="B393" s="7" t="s">
        <v>1394</v>
      </c>
    </row>
    <row r="394" spans="1:2">
      <c r="A394" s="7">
        <v>465</v>
      </c>
      <c r="B394" s="7" t="s">
        <v>1395</v>
      </c>
    </row>
    <row r="395" spans="1:2">
      <c r="A395" s="7">
        <v>466</v>
      </c>
      <c r="B395" s="7" t="s">
        <v>1396</v>
      </c>
    </row>
    <row r="396" spans="1:2">
      <c r="A396" s="7">
        <v>467</v>
      </c>
      <c r="B396" s="7" t="s">
        <v>1397</v>
      </c>
    </row>
    <row r="397" spans="1:2">
      <c r="A397" s="7">
        <v>468</v>
      </c>
      <c r="B397" s="7" t="s">
        <v>1398</v>
      </c>
    </row>
    <row r="398" spans="1:2">
      <c r="A398" s="7">
        <v>469</v>
      </c>
      <c r="B398" s="7" t="s">
        <v>1399</v>
      </c>
    </row>
    <row r="399" spans="1:2">
      <c r="A399" s="7">
        <v>470</v>
      </c>
      <c r="B399" s="7" t="s">
        <v>1400</v>
      </c>
    </row>
    <row r="400" spans="1:2">
      <c r="A400" s="7">
        <v>471</v>
      </c>
      <c r="B400" s="7" t="s">
        <v>1401</v>
      </c>
    </row>
    <row r="401" spans="1:2">
      <c r="A401" s="7">
        <v>473</v>
      </c>
      <c r="B401" s="7" t="s">
        <v>1402</v>
      </c>
    </row>
    <row r="402" spans="1:2">
      <c r="A402" s="7">
        <v>474</v>
      </c>
      <c r="B402" s="7" t="s">
        <v>1403</v>
      </c>
    </row>
    <row r="403" spans="1:2">
      <c r="A403" s="7">
        <v>475</v>
      </c>
      <c r="B403" s="7" t="s">
        <v>1404</v>
      </c>
    </row>
    <row r="404" spans="1:2">
      <c r="A404" s="7">
        <v>476</v>
      </c>
      <c r="B404" s="7" t="s">
        <v>1405</v>
      </c>
    </row>
    <row r="405" spans="1:2">
      <c r="A405" s="7">
        <v>477</v>
      </c>
      <c r="B405" s="7" t="s">
        <v>1406</v>
      </c>
    </row>
    <row r="406" spans="1:2">
      <c r="A406" s="7">
        <v>478</v>
      </c>
      <c r="B406" s="7" t="s">
        <v>1407</v>
      </c>
    </row>
    <row r="407" spans="1:2">
      <c r="A407" s="7">
        <v>479</v>
      </c>
      <c r="B407" s="7" t="s">
        <v>1408</v>
      </c>
    </row>
    <row r="408" spans="1:2">
      <c r="A408" s="7">
        <v>480</v>
      </c>
      <c r="B408" s="7" t="s">
        <v>1409</v>
      </c>
    </row>
    <row r="409" spans="1:2">
      <c r="A409" s="7">
        <v>481</v>
      </c>
      <c r="B409" s="7" t="s">
        <v>1410</v>
      </c>
    </row>
    <row r="410" spans="1:2">
      <c r="A410" s="7">
        <v>482</v>
      </c>
      <c r="B410" s="7" t="s">
        <v>1411</v>
      </c>
    </row>
    <row r="411" spans="1:2">
      <c r="A411" s="7">
        <v>483</v>
      </c>
      <c r="B411" s="7" t="s">
        <v>1412</v>
      </c>
    </row>
    <row r="412" spans="1:2">
      <c r="A412" s="7">
        <v>484</v>
      </c>
      <c r="B412" s="7" t="s">
        <v>1413</v>
      </c>
    </row>
    <row r="413" spans="1:2">
      <c r="A413" s="7">
        <v>486</v>
      </c>
      <c r="B413" s="7" t="s">
        <v>1414</v>
      </c>
    </row>
    <row r="414" spans="1:2">
      <c r="A414" s="7">
        <v>487</v>
      </c>
      <c r="B414" s="7" t="s">
        <v>1415</v>
      </c>
    </row>
    <row r="415" spans="1:2">
      <c r="A415" s="7">
        <v>488</v>
      </c>
      <c r="B415" s="7" t="s">
        <v>1416</v>
      </c>
    </row>
    <row r="416" spans="1:2">
      <c r="A416" s="7">
        <v>489</v>
      </c>
      <c r="B416" s="7" t="s">
        <v>1417</v>
      </c>
    </row>
    <row r="417" spans="1:2">
      <c r="A417" s="7">
        <v>490</v>
      </c>
      <c r="B417" s="7" t="s">
        <v>1418</v>
      </c>
    </row>
    <row r="418" spans="1:2">
      <c r="A418" s="7">
        <v>491</v>
      </c>
      <c r="B418" s="7" t="s">
        <v>1419</v>
      </c>
    </row>
    <row r="419" spans="1:2">
      <c r="A419" s="7">
        <v>492</v>
      </c>
      <c r="B419" s="7" t="s">
        <v>1420</v>
      </c>
    </row>
    <row r="420" spans="1:2">
      <c r="A420" s="7">
        <v>493</v>
      </c>
      <c r="B420" s="7" t="s">
        <v>1421</v>
      </c>
    </row>
    <row r="421" spans="1:2">
      <c r="A421" s="7">
        <v>494</v>
      </c>
      <c r="B421" s="7" t="s">
        <v>1422</v>
      </c>
    </row>
    <row r="422" spans="1:2">
      <c r="A422" s="7">
        <v>495</v>
      </c>
      <c r="B422" s="7" t="s">
        <v>1423</v>
      </c>
    </row>
    <row r="423" spans="1:2">
      <c r="A423" s="7">
        <v>496</v>
      </c>
      <c r="B423" s="7" t="s">
        <v>1424</v>
      </c>
    </row>
    <row r="424" spans="1:2">
      <c r="A424" s="7">
        <v>497</v>
      </c>
      <c r="B424" s="7" t="s">
        <v>1425</v>
      </c>
    </row>
    <row r="425" spans="1:2">
      <c r="A425" s="7">
        <v>498</v>
      </c>
      <c r="B425" s="7" t="s">
        <v>1426</v>
      </c>
    </row>
    <row r="426" spans="1:2">
      <c r="A426" s="7">
        <v>499</v>
      </c>
      <c r="B426" s="7" t="s">
        <v>1427</v>
      </c>
    </row>
    <row r="427" spans="1:2">
      <c r="A427" s="7">
        <v>500</v>
      </c>
      <c r="B427" s="7" t="s">
        <v>1428</v>
      </c>
    </row>
    <row r="428" spans="1:2">
      <c r="A428" s="7">
        <v>501</v>
      </c>
      <c r="B428" s="7" t="s">
        <v>1429</v>
      </c>
    </row>
    <row r="429" spans="1:2">
      <c r="A429" s="7">
        <v>502</v>
      </c>
      <c r="B429" s="7" t="s">
        <v>1430</v>
      </c>
    </row>
    <row r="430" spans="1:2">
      <c r="A430" s="7">
        <v>503</v>
      </c>
      <c r="B430" s="7" t="s">
        <v>1431</v>
      </c>
    </row>
    <row r="431" spans="1:2">
      <c r="A431" s="7">
        <v>504</v>
      </c>
      <c r="B431" s="7" t="s">
        <v>1432</v>
      </c>
    </row>
    <row r="432" spans="1:2">
      <c r="A432" s="7">
        <v>505</v>
      </c>
      <c r="B432" s="7" t="s">
        <v>1433</v>
      </c>
    </row>
    <row r="433" spans="1:2">
      <c r="A433" s="7">
        <v>506</v>
      </c>
      <c r="B433" s="7" t="s">
        <v>1434</v>
      </c>
    </row>
    <row r="434" spans="1:2">
      <c r="A434" s="7">
        <v>507</v>
      </c>
      <c r="B434" s="7" t="s">
        <v>1435</v>
      </c>
    </row>
    <row r="435" spans="1:2">
      <c r="A435" s="7">
        <v>508</v>
      </c>
      <c r="B435" s="7" t="s">
        <v>1436</v>
      </c>
    </row>
    <row r="436" spans="1:2">
      <c r="A436" s="7">
        <v>509</v>
      </c>
      <c r="B436" s="7" t="s">
        <v>1437</v>
      </c>
    </row>
    <row r="437" spans="1:2">
      <c r="A437" s="7">
        <v>510</v>
      </c>
      <c r="B437" s="7" t="s">
        <v>1438</v>
      </c>
    </row>
    <row r="438" spans="1:2">
      <c r="A438" s="7">
        <v>511</v>
      </c>
      <c r="B438" s="7" t="s">
        <v>1439</v>
      </c>
    </row>
    <row r="439" spans="1:2">
      <c r="A439" s="7">
        <v>512</v>
      </c>
      <c r="B439" s="7" t="s">
        <v>1440</v>
      </c>
    </row>
    <row r="440" spans="1:2">
      <c r="A440" s="7">
        <v>513</v>
      </c>
      <c r="B440" s="7" t="s">
        <v>1397</v>
      </c>
    </row>
    <row r="441" spans="1:2">
      <c r="A441" s="7">
        <v>514</v>
      </c>
      <c r="B441" s="7" t="s">
        <v>1441</v>
      </c>
    </row>
    <row r="442" spans="1:2">
      <c r="A442" s="7">
        <v>515</v>
      </c>
      <c r="B442" s="7" t="s">
        <v>1442</v>
      </c>
    </row>
    <row r="443" spans="1:2">
      <c r="A443" s="7">
        <v>516</v>
      </c>
      <c r="B443" s="7" t="s">
        <v>1443</v>
      </c>
    </row>
    <row r="444" spans="1:2">
      <c r="A444" s="7">
        <v>517</v>
      </c>
      <c r="B444" s="7" t="s">
        <v>1444</v>
      </c>
    </row>
    <row r="445" spans="1:2">
      <c r="A445" s="7">
        <v>518</v>
      </c>
      <c r="B445" s="7" t="s">
        <v>1445</v>
      </c>
    </row>
    <row r="446" spans="1:2">
      <c r="A446" s="7">
        <v>519</v>
      </c>
      <c r="B446" s="7" t="s">
        <v>1446</v>
      </c>
    </row>
    <row r="447" spans="1:2">
      <c r="A447" s="7">
        <v>520</v>
      </c>
      <c r="B447" s="7" t="s">
        <v>1447</v>
      </c>
    </row>
    <row r="448" spans="1:2">
      <c r="A448" s="7">
        <v>521</v>
      </c>
      <c r="B448" s="7" t="s">
        <v>1448</v>
      </c>
    </row>
    <row r="449" spans="1:2">
      <c r="A449" s="7">
        <v>522</v>
      </c>
      <c r="B449" s="7" t="s">
        <v>1449</v>
      </c>
    </row>
    <row r="450" spans="1:2">
      <c r="A450" s="7">
        <v>523</v>
      </c>
      <c r="B450" s="7" t="s">
        <v>1450</v>
      </c>
    </row>
    <row r="451" spans="1:2">
      <c r="A451" s="7">
        <v>524</v>
      </c>
      <c r="B451" s="7" t="s">
        <v>1451</v>
      </c>
    </row>
    <row r="452" spans="1:2">
      <c r="A452" s="7">
        <v>525</v>
      </c>
      <c r="B452" s="7" t="s">
        <v>1452</v>
      </c>
    </row>
    <row r="453" spans="1:2">
      <c r="A453" s="7">
        <v>526</v>
      </c>
      <c r="B453" s="7" t="s">
        <v>1453</v>
      </c>
    </row>
    <row r="454" spans="1:2">
      <c r="A454" s="7">
        <v>527</v>
      </c>
      <c r="B454" s="7" t="s">
        <v>1454</v>
      </c>
    </row>
    <row r="455" spans="1:2">
      <c r="A455" s="7">
        <v>528</v>
      </c>
      <c r="B455" s="7" t="s">
        <v>1455</v>
      </c>
    </row>
    <row r="456" spans="1:2">
      <c r="A456" s="7">
        <v>529</v>
      </c>
      <c r="B456" s="7" t="s">
        <v>1456</v>
      </c>
    </row>
    <row r="457" spans="1:2">
      <c r="A457" s="7">
        <v>530</v>
      </c>
      <c r="B457" s="7" t="s">
        <v>1457</v>
      </c>
    </row>
    <row r="458" spans="1:2">
      <c r="A458" s="7">
        <v>531</v>
      </c>
      <c r="B458" s="7" t="s">
        <v>1458</v>
      </c>
    </row>
    <row r="459" spans="1:2">
      <c r="A459" s="7">
        <v>532</v>
      </c>
      <c r="B459" s="7" t="s">
        <v>1459</v>
      </c>
    </row>
    <row r="460" spans="1:2">
      <c r="A460" s="7">
        <v>533</v>
      </c>
      <c r="B460" s="7" t="s">
        <v>1460</v>
      </c>
    </row>
    <row r="461" spans="1:2">
      <c r="A461" s="7">
        <v>534</v>
      </c>
      <c r="B461" s="7" t="s">
        <v>1461</v>
      </c>
    </row>
    <row r="462" spans="1:2">
      <c r="A462" s="7">
        <v>535</v>
      </c>
      <c r="B462" s="7" t="s">
        <v>1462</v>
      </c>
    </row>
    <row r="463" spans="1:2">
      <c r="A463" s="7">
        <v>536</v>
      </c>
      <c r="B463" s="7" t="s">
        <v>1463</v>
      </c>
    </row>
    <row r="464" spans="1:2">
      <c r="A464" s="7">
        <v>537</v>
      </c>
      <c r="B464" s="7" t="s">
        <v>1464</v>
      </c>
    </row>
    <row r="465" spans="1:2">
      <c r="A465" s="7">
        <v>538</v>
      </c>
      <c r="B465" s="7" t="s">
        <v>1465</v>
      </c>
    </row>
    <row r="466" spans="1:2">
      <c r="A466" s="7">
        <v>539</v>
      </c>
      <c r="B466" s="7" t="s">
        <v>1466</v>
      </c>
    </row>
    <row r="467" spans="1:2">
      <c r="A467" s="7">
        <v>540</v>
      </c>
      <c r="B467" s="7" t="s">
        <v>1467</v>
      </c>
    </row>
    <row r="468" spans="1:2">
      <c r="A468" s="7">
        <v>541</v>
      </c>
      <c r="B468" s="7" t="s">
        <v>1468</v>
      </c>
    </row>
    <row r="469" spans="1:2">
      <c r="A469" s="7">
        <v>542</v>
      </c>
      <c r="B469" s="7" t="s">
        <v>1469</v>
      </c>
    </row>
    <row r="470" spans="1:2">
      <c r="A470" s="7">
        <v>543</v>
      </c>
      <c r="B470" s="7" t="s">
        <v>1470</v>
      </c>
    </row>
    <row r="471" spans="1:2">
      <c r="A471" s="7">
        <v>544</v>
      </c>
      <c r="B471" s="7" t="s">
        <v>1471</v>
      </c>
    </row>
    <row r="472" spans="1:2">
      <c r="A472" s="7">
        <v>545</v>
      </c>
      <c r="B472" s="7" t="s">
        <v>1472</v>
      </c>
    </row>
    <row r="473" spans="1:2">
      <c r="A473" s="7">
        <v>546</v>
      </c>
      <c r="B473" s="7" t="s">
        <v>1473</v>
      </c>
    </row>
    <row r="474" spans="1:2">
      <c r="A474" s="7">
        <v>547</v>
      </c>
      <c r="B474" s="7" t="s">
        <v>1474</v>
      </c>
    </row>
    <row r="475" spans="1:2">
      <c r="A475" s="7">
        <v>548</v>
      </c>
      <c r="B475" s="7" t="s">
        <v>1475</v>
      </c>
    </row>
    <row r="476" spans="1:2">
      <c r="A476" s="7">
        <v>549</v>
      </c>
      <c r="B476" s="7" t="s">
        <v>1476</v>
      </c>
    </row>
    <row r="477" spans="1:2">
      <c r="A477" s="7">
        <v>550</v>
      </c>
      <c r="B477" s="7" t="s">
        <v>1477</v>
      </c>
    </row>
    <row r="478" spans="1:2">
      <c r="A478" s="7">
        <v>551</v>
      </c>
      <c r="B478" s="7" t="s">
        <v>1478</v>
      </c>
    </row>
    <row r="479" spans="1:2">
      <c r="A479" s="7">
        <v>552</v>
      </c>
      <c r="B479" s="7" t="s">
        <v>1479</v>
      </c>
    </row>
    <row r="480" spans="1:2">
      <c r="A480" s="7">
        <v>559</v>
      </c>
      <c r="B480" s="7" t="s">
        <v>1480</v>
      </c>
    </row>
    <row r="481" spans="1:2">
      <c r="A481" s="7">
        <v>560</v>
      </c>
      <c r="B481" s="7" t="s">
        <v>1481</v>
      </c>
    </row>
    <row r="482" spans="1:2">
      <c r="A482" s="7">
        <v>561</v>
      </c>
      <c r="B482" s="7" t="s">
        <v>1482</v>
      </c>
    </row>
    <row r="483" spans="1:2">
      <c r="A483" s="7">
        <v>562</v>
      </c>
      <c r="B483" s="7" t="s">
        <v>1483</v>
      </c>
    </row>
    <row r="484" spans="1:2">
      <c r="A484" s="7">
        <v>563</v>
      </c>
      <c r="B484" s="7" t="s">
        <v>1484</v>
      </c>
    </row>
    <row r="485" spans="1:2">
      <c r="A485" s="7">
        <v>564</v>
      </c>
      <c r="B485" s="7" t="s">
        <v>1485</v>
      </c>
    </row>
    <row r="486" spans="1:2">
      <c r="A486" s="7">
        <v>565</v>
      </c>
      <c r="B486" s="7" t="s">
        <v>1486</v>
      </c>
    </row>
    <row r="487" spans="1:2">
      <c r="A487" s="7">
        <v>566</v>
      </c>
      <c r="B487" s="7" t="s">
        <v>1487</v>
      </c>
    </row>
    <row r="488" spans="1:2">
      <c r="A488" s="7">
        <v>567</v>
      </c>
      <c r="B488" s="7" t="s">
        <v>1488</v>
      </c>
    </row>
    <row r="489" spans="1:2">
      <c r="A489" s="7">
        <v>568</v>
      </c>
      <c r="B489" s="7" t="s">
        <v>1489</v>
      </c>
    </row>
    <row r="490" spans="1:2">
      <c r="A490" s="7">
        <v>569</v>
      </c>
      <c r="B490" s="7" t="s">
        <v>1490</v>
      </c>
    </row>
    <row r="491" spans="1:2">
      <c r="A491" s="7">
        <v>570</v>
      </c>
      <c r="B491" s="7" t="s">
        <v>1491</v>
      </c>
    </row>
    <row r="492" spans="1:2">
      <c r="A492" s="7">
        <v>571</v>
      </c>
      <c r="B492" s="7" t="s">
        <v>1492</v>
      </c>
    </row>
    <row r="493" spans="1:2">
      <c r="A493" s="7">
        <v>572</v>
      </c>
      <c r="B493" s="7" t="s">
        <v>1493</v>
      </c>
    </row>
    <row r="494" spans="1:2">
      <c r="A494" s="7">
        <v>573</v>
      </c>
      <c r="B494" s="7" t="s">
        <v>1494</v>
      </c>
    </row>
    <row r="495" spans="1:2">
      <c r="A495" s="7">
        <v>574</v>
      </c>
      <c r="B495" s="7" t="s">
        <v>1495</v>
      </c>
    </row>
    <row r="496" spans="1:2">
      <c r="A496" s="7">
        <v>575</v>
      </c>
      <c r="B496" s="7" t="s">
        <v>1496</v>
      </c>
    </row>
    <row r="497" spans="1:2">
      <c r="A497" s="7">
        <v>576</v>
      </c>
      <c r="B497" s="7" t="s">
        <v>1497</v>
      </c>
    </row>
    <row r="498" spans="1:2">
      <c r="A498" s="7">
        <v>577</v>
      </c>
      <c r="B498" s="7" t="s">
        <v>1498</v>
      </c>
    </row>
    <row r="499" spans="1:2">
      <c r="A499" s="7">
        <v>578</v>
      </c>
      <c r="B499" s="7" t="s">
        <v>584</v>
      </c>
    </row>
    <row r="500" spans="1:2">
      <c r="A500" s="7">
        <v>579</v>
      </c>
      <c r="B500" s="7" t="s">
        <v>1499</v>
      </c>
    </row>
    <row r="501" spans="1:2">
      <c r="A501" s="7">
        <v>580</v>
      </c>
      <c r="B501" s="7" t="s">
        <v>1500</v>
      </c>
    </row>
    <row r="502" spans="1:2">
      <c r="A502" s="7">
        <v>581</v>
      </c>
      <c r="B502" s="7" t="s">
        <v>1501</v>
      </c>
    </row>
    <row r="503" spans="1:2">
      <c r="A503" s="7">
        <v>582</v>
      </c>
      <c r="B503" s="7" t="s">
        <v>1502</v>
      </c>
    </row>
    <row r="504" spans="1:2">
      <c r="A504" s="7">
        <v>583</v>
      </c>
      <c r="B504" s="7" t="s">
        <v>1503</v>
      </c>
    </row>
    <row r="505" spans="1:2">
      <c r="A505" s="7">
        <v>584</v>
      </c>
      <c r="B505" s="7" t="s">
        <v>1504</v>
      </c>
    </row>
    <row r="506" spans="1:2">
      <c r="A506" s="7">
        <v>585</v>
      </c>
      <c r="B506" s="7" t="s">
        <v>1505</v>
      </c>
    </row>
    <row r="507" spans="1:2">
      <c r="A507" s="7">
        <v>586</v>
      </c>
      <c r="B507" s="7" t="s">
        <v>1506</v>
      </c>
    </row>
    <row r="508" spans="1:2">
      <c r="A508" s="7">
        <v>587</v>
      </c>
      <c r="B508" s="7" t="s">
        <v>1507</v>
      </c>
    </row>
    <row r="509" spans="1:2">
      <c r="A509" s="7">
        <v>588</v>
      </c>
      <c r="B509" s="7" t="s">
        <v>1508</v>
      </c>
    </row>
    <row r="510" spans="1:2">
      <c r="A510" s="7">
        <v>589</v>
      </c>
      <c r="B510" s="7" t="s">
        <v>1509</v>
      </c>
    </row>
    <row r="511" spans="1:2">
      <c r="A511" s="7">
        <v>590</v>
      </c>
      <c r="B511" s="7" t="s">
        <v>1510</v>
      </c>
    </row>
    <row r="512" spans="1:2">
      <c r="A512" s="7">
        <v>591</v>
      </c>
      <c r="B512" s="7" t="s">
        <v>1511</v>
      </c>
    </row>
    <row r="513" spans="1:2">
      <c r="A513" s="7">
        <v>593</v>
      </c>
      <c r="B513" s="7" t="s">
        <v>1512</v>
      </c>
    </row>
    <row r="514" spans="1:2">
      <c r="A514" s="7">
        <v>594</v>
      </c>
      <c r="B514" s="7" t="s">
        <v>1513</v>
      </c>
    </row>
    <row r="515" spans="1:2">
      <c r="A515" s="7">
        <v>596</v>
      </c>
      <c r="B515" s="7" t="s">
        <v>1514</v>
      </c>
    </row>
    <row r="516" spans="1:2">
      <c r="A516" s="7">
        <v>597</v>
      </c>
      <c r="B516" s="7" t="s">
        <v>1515</v>
      </c>
    </row>
    <row r="517" spans="1:2">
      <c r="A517" s="7">
        <v>598</v>
      </c>
      <c r="B517" s="7" t="s">
        <v>1516</v>
      </c>
    </row>
    <row r="518" spans="1:2">
      <c r="A518" s="7">
        <v>599</v>
      </c>
      <c r="B518" s="7" t="s">
        <v>1517</v>
      </c>
    </row>
    <row r="519" spans="1:2">
      <c r="A519" s="7">
        <v>600</v>
      </c>
      <c r="B519" s="7" t="s">
        <v>1518</v>
      </c>
    </row>
    <row r="520" spans="1:2">
      <c r="A520" s="7">
        <v>601</v>
      </c>
      <c r="B520" s="7" t="s">
        <v>1519</v>
      </c>
    </row>
    <row r="521" spans="1:2">
      <c r="A521" s="7">
        <v>602</v>
      </c>
      <c r="B521" s="7" t="s">
        <v>1520</v>
      </c>
    </row>
    <row r="522" spans="1:2">
      <c r="A522" s="7">
        <v>603</v>
      </c>
      <c r="B522" s="7" t="s">
        <v>1521</v>
      </c>
    </row>
    <row r="523" spans="1:2">
      <c r="A523" s="7">
        <v>604</v>
      </c>
      <c r="B523" s="7" t="s">
        <v>1522</v>
      </c>
    </row>
    <row r="524" spans="1:2">
      <c r="A524" s="7">
        <v>605</v>
      </c>
      <c r="B524" s="7" t="s">
        <v>1523</v>
      </c>
    </row>
    <row r="525" spans="1:2">
      <c r="A525" s="7">
        <v>606</v>
      </c>
      <c r="B525" s="7" t="s">
        <v>1524</v>
      </c>
    </row>
    <row r="526" spans="1:2">
      <c r="A526" s="7">
        <v>607</v>
      </c>
      <c r="B526" s="7" t="s">
        <v>1525</v>
      </c>
    </row>
    <row r="527" spans="1:2">
      <c r="A527" s="7">
        <v>608</v>
      </c>
      <c r="B527" s="7" t="s">
        <v>1526</v>
      </c>
    </row>
    <row r="528" spans="1:2">
      <c r="A528" s="7">
        <v>609</v>
      </c>
      <c r="B528" s="7" t="s">
        <v>1527</v>
      </c>
    </row>
    <row r="529" spans="1:2">
      <c r="A529" s="7">
        <v>610</v>
      </c>
      <c r="B529" s="7" t="s">
        <v>1528</v>
      </c>
    </row>
    <row r="530" spans="1:2">
      <c r="A530" s="7">
        <v>611</v>
      </c>
      <c r="B530" s="7" t="s">
        <v>1529</v>
      </c>
    </row>
    <row r="531" spans="1:2">
      <c r="A531" s="7">
        <v>612</v>
      </c>
      <c r="B531" s="7" t="s">
        <v>1530</v>
      </c>
    </row>
    <row r="532" spans="1:2">
      <c r="A532" s="7">
        <v>613</v>
      </c>
      <c r="B532" s="7" t="s">
        <v>1531</v>
      </c>
    </row>
    <row r="533" spans="1:2">
      <c r="A533" s="7">
        <v>614</v>
      </c>
      <c r="B533" s="7" t="s">
        <v>1532</v>
      </c>
    </row>
    <row r="534" spans="1:2">
      <c r="A534" s="7">
        <v>615</v>
      </c>
      <c r="B534" s="7" t="s">
        <v>1533</v>
      </c>
    </row>
    <row r="535" spans="1:2">
      <c r="A535" s="7">
        <v>616</v>
      </c>
      <c r="B535" s="7" t="s">
        <v>1534</v>
      </c>
    </row>
    <row r="536" spans="1:2">
      <c r="A536" s="7">
        <v>617</v>
      </c>
      <c r="B536" s="7" t="s">
        <v>1535</v>
      </c>
    </row>
    <row r="537" spans="1:2">
      <c r="A537" s="7">
        <v>618</v>
      </c>
      <c r="B537" s="7" t="s">
        <v>1536</v>
      </c>
    </row>
    <row r="538" spans="1:2">
      <c r="A538" s="7">
        <v>620</v>
      </c>
      <c r="B538" s="7" t="s">
        <v>1537</v>
      </c>
    </row>
    <row r="539" spans="1:2">
      <c r="A539" s="7">
        <v>621</v>
      </c>
      <c r="B539" s="7" t="s">
        <v>1538</v>
      </c>
    </row>
    <row r="540" spans="1:2">
      <c r="A540" s="7">
        <v>622</v>
      </c>
      <c r="B540" s="7" t="s">
        <v>1539</v>
      </c>
    </row>
    <row r="541" spans="1:2">
      <c r="A541" s="7">
        <v>623</v>
      </c>
      <c r="B541" s="7" t="s">
        <v>1540</v>
      </c>
    </row>
    <row r="542" spans="1:2">
      <c r="A542" s="7">
        <v>624</v>
      </c>
      <c r="B542" s="7" t="s">
        <v>1541</v>
      </c>
    </row>
    <row r="543" spans="1:2">
      <c r="A543" s="7">
        <v>625</v>
      </c>
      <c r="B543" s="7" t="s">
        <v>1542</v>
      </c>
    </row>
    <row r="544" spans="1:2">
      <c r="A544" s="7">
        <v>626</v>
      </c>
      <c r="B544" s="7" t="s">
        <v>1543</v>
      </c>
    </row>
    <row r="545" spans="1:2">
      <c r="A545" s="7">
        <v>627</v>
      </c>
      <c r="B545" s="7" t="s">
        <v>1544</v>
      </c>
    </row>
    <row r="546" spans="1:2">
      <c r="A546" s="7">
        <v>628</v>
      </c>
      <c r="B546" s="7" t="s">
        <v>1545</v>
      </c>
    </row>
    <row r="547" spans="1:2">
      <c r="A547" s="7">
        <v>629</v>
      </c>
      <c r="B547" s="7" t="s">
        <v>1546</v>
      </c>
    </row>
    <row r="548" spans="1:2">
      <c r="A548" s="7">
        <v>630</v>
      </c>
      <c r="B548" s="7" t="s">
        <v>1547</v>
      </c>
    </row>
    <row r="549" spans="1:2">
      <c r="A549" s="7">
        <v>631</v>
      </c>
      <c r="B549" s="7" t="s">
        <v>1548</v>
      </c>
    </row>
    <row r="550" spans="1:2">
      <c r="A550" s="7">
        <v>632</v>
      </c>
      <c r="B550" s="7" t="s">
        <v>1549</v>
      </c>
    </row>
    <row r="551" spans="1:2">
      <c r="A551" s="7">
        <v>633</v>
      </c>
      <c r="B551" s="7" t="s">
        <v>1550</v>
      </c>
    </row>
    <row r="552" spans="1:2">
      <c r="A552" s="7">
        <v>634</v>
      </c>
      <c r="B552" s="7" t="s">
        <v>1551</v>
      </c>
    </row>
    <row r="553" spans="1:2">
      <c r="A553" s="7">
        <v>636</v>
      </c>
      <c r="B553" s="7" t="s">
        <v>1552</v>
      </c>
    </row>
    <row r="554" spans="1:2">
      <c r="A554" s="7">
        <v>637</v>
      </c>
      <c r="B554" s="7" t="s">
        <v>1553</v>
      </c>
    </row>
    <row r="555" spans="1:2">
      <c r="A555" s="7">
        <v>638</v>
      </c>
      <c r="B555" s="7" t="s">
        <v>1554</v>
      </c>
    </row>
    <row r="556" spans="1:2">
      <c r="A556" s="7">
        <v>639</v>
      </c>
      <c r="B556" s="7" t="s">
        <v>1555</v>
      </c>
    </row>
    <row r="557" spans="1:2">
      <c r="A557" s="7">
        <v>640</v>
      </c>
      <c r="B557" s="7" t="s">
        <v>1556</v>
      </c>
    </row>
    <row r="558" spans="1:2">
      <c r="A558" s="7">
        <v>642</v>
      </c>
      <c r="B558" s="7" t="s">
        <v>1557</v>
      </c>
    </row>
    <row r="559" spans="1:2">
      <c r="A559" s="7">
        <v>643</v>
      </c>
      <c r="B559" s="7" t="s">
        <v>1558</v>
      </c>
    </row>
    <row r="560" spans="1:2">
      <c r="A560" s="7">
        <v>644</v>
      </c>
      <c r="B560" s="7" t="s">
        <v>1559</v>
      </c>
    </row>
    <row r="561" spans="1:2">
      <c r="A561" s="7">
        <v>645</v>
      </c>
      <c r="B561" s="7" t="s">
        <v>1560</v>
      </c>
    </row>
    <row r="562" spans="1:2">
      <c r="A562" s="7">
        <v>646</v>
      </c>
      <c r="B562" s="7" t="s">
        <v>1561</v>
      </c>
    </row>
    <row r="563" spans="1:2">
      <c r="A563" s="7">
        <v>647</v>
      </c>
      <c r="B563" s="7" t="s">
        <v>1562</v>
      </c>
    </row>
    <row r="564" spans="1:2">
      <c r="A564" s="7">
        <v>648</v>
      </c>
      <c r="B564" s="7" t="s">
        <v>1563</v>
      </c>
    </row>
    <row r="565" spans="1:2">
      <c r="A565" s="7">
        <v>649</v>
      </c>
      <c r="B565" s="7" t="s">
        <v>1564</v>
      </c>
    </row>
    <row r="566" spans="1:2">
      <c r="A566" s="7">
        <v>650</v>
      </c>
      <c r="B566" s="7" t="s">
        <v>1565</v>
      </c>
    </row>
    <row r="567" spans="1:2">
      <c r="A567" s="7">
        <v>651</v>
      </c>
      <c r="B567" s="7" t="s">
        <v>1566</v>
      </c>
    </row>
    <row r="568" spans="1:2">
      <c r="A568" s="7">
        <v>652</v>
      </c>
      <c r="B568" s="7" t="s">
        <v>1567</v>
      </c>
    </row>
    <row r="569" spans="1:2">
      <c r="A569" s="7">
        <v>653</v>
      </c>
      <c r="B569" s="7" t="s">
        <v>1568</v>
      </c>
    </row>
    <row r="570" spans="1:2">
      <c r="A570" s="7">
        <v>654</v>
      </c>
      <c r="B570" s="7" t="s">
        <v>1569</v>
      </c>
    </row>
    <row r="571" spans="1:2">
      <c r="A571" s="7">
        <v>655</v>
      </c>
      <c r="B571" s="7" t="s">
        <v>1570</v>
      </c>
    </row>
    <row r="572" spans="1:2">
      <c r="A572" s="7">
        <v>656</v>
      </c>
      <c r="B572" s="7" t="s">
        <v>1571</v>
      </c>
    </row>
    <row r="573" spans="1:2">
      <c r="A573" s="7">
        <v>658</v>
      </c>
      <c r="B573" s="7" t="s">
        <v>1572</v>
      </c>
    </row>
    <row r="574" spans="1:2">
      <c r="A574" s="7">
        <v>659</v>
      </c>
      <c r="B574" s="7" t="s">
        <v>1573</v>
      </c>
    </row>
    <row r="575" spans="1:2">
      <c r="A575" s="7">
        <v>660</v>
      </c>
      <c r="B575" s="7" t="s">
        <v>1574</v>
      </c>
    </row>
    <row r="576" spans="1:2">
      <c r="A576" s="7">
        <v>661</v>
      </c>
      <c r="B576" s="7" t="s">
        <v>1575</v>
      </c>
    </row>
    <row r="577" spans="1:2">
      <c r="A577" s="7">
        <v>662</v>
      </c>
      <c r="B577" s="7" t="s">
        <v>1576</v>
      </c>
    </row>
    <row r="578" spans="1:2">
      <c r="A578" s="7">
        <v>663</v>
      </c>
      <c r="B578" s="7" t="s">
        <v>1577</v>
      </c>
    </row>
    <row r="579" spans="1:2">
      <c r="A579" s="7">
        <v>995</v>
      </c>
      <c r="B579" s="7" t="s">
        <v>1578</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workbookViewId="0">
      <selection activeCell="AR3" sqref="AR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1618</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108</v>
      </c>
      <c r="D3">
        <v>1</v>
      </c>
      <c r="I3">
        <v>1</v>
      </c>
      <c r="K3" t="s">
        <v>1619</v>
      </c>
      <c r="L3" t="s">
        <v>682</v>
      </c>
      <c r="S3">
        <v>1</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{dwID=108,nLevel=1,nScrutinyType=1,szNote="遁影",col={255,204,0,},[1]={bScreenHead=true,bBuffList=true,},[2]={},},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topLeftCell="U1" workbookViewId="0">
      <selection activeCell="AQ3" sqref="AQ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1620</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7246</v>
      </c>
      <c r="D3">
        <v>1</v>
      </c>
      <c r="F3">
        <v>3443</v>
      </c>
      <c r="G3" t="s">
        <v>1621</v>
      </c>
      <c r="I3">
        <v>1</v>
      </c>
      <c r="K3" t="s">
        <v>1622</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{dwID=7246,nLevel=1,nIcon=3443,szName="禁足",nScrutinyType=1,szNote="过图禁足",[1]={bBuffList=true,},[2]={},},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topLeftCell="C1" workbookViewId="0">
      <selection activeCell="Y2" sqref="Y2"/>
    </sheetView>
  </sheetViews>
  <sheetFormatPr defaultColWidth="9" defaultRowHeight="13.5" outlineLevelRow="3"/>
  <sheetData>
    <row r="1" spans="1:26">
      <c r="A1" t="s">
        <v>1579</v>
      </c>
      <c r="B1" t="s">
        <v>1580</v>
      </c>
      <c r="C1" t="s">
        <v>62</v>
      </c>
      <c r="D1" t="s">
        <v>68</v>
      </c>
      <c r="E1" t="s">
        <v>1582</v>
      </c>
      <c r="F1" t="s">
        <v>1583</v>
      </c>
      <c r="G1" t="s">
        <v>1584</v>
      </c>
      <c r="H1" t="s">
        <v>1585</v>
      </c>
      <c r="I1" t="s">
        <v>1586</v>
      </c>
      <c r="J1" t="s">
        <v>49</v>
      </c>
      <c r="K1" t="s">
        <v>1587</v>
      </c>
      <c r="L1" t="s">
        <v>1623</v>
      </c>
      <c r="M1" t="s">
        <v>1624</v>
      </c>
      <c r="N1" t="s">
        <v>1625</v>
      </c>
      <c r="O1" t="s">
        <v>1626</v>
      </c>
      <c r="P1" t="s">
        <v>1627</v>
      </c>
      <c r="Q1" t="s">
        <v>1628</v>
      </c>
      <c r="R1" t="s">
        <v>1629</v>
      </c>
      <c r="S1" t="s">
        <v>1630</v>
      </c>
      <c r="T1" t="s">
        <v>1631</v>
      </c>
      <c r="U1" t="s">
        <v>1632</v>
      </c>
      <c r="V1" t="s">
        <v>1633</v>
      </c>
      <c r="W1" t="s">
        <v>1634</v>
      </c>
      <c r="X1" t="s">
        <v>1635</v>
      </c>
      <c r="Y1" t="s">
        <v>1636</v>
      </c>
      <c r="Z1" t="s">
        <v>316</v>
      </c>
    </row>
    <row r="2" spans="1:26">
      <c r="A2" t="s">
        <v>696</v>
      </c>
      <c r="B2">
        <v>-1</v>
      </c>
      <c r="Y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IF(X2&gt;0,"bFullScreen=true,","")&amp;"},"&amp;"[8]={"&amp;IF(Q2&lt;&gt;"","tMark={"&amp;Q2&amp;"},","")&amp;IF(R2&lt;&gt;"","szVoice="""&amp;R2&amp;""",","")&amp;IF(S2&gt;0,"bTeamChannel=true,","")&amp;IF(T2&gt;0,"bWhisperChannel=true,","")&amp;IF(U2&gt;0,"bCenterAlarm=true,","")&amp;IF(V2&gt;0,"bScreenHead=true,","")&amp;IF(W2&gt;0,"bFullScreen=true,","")&amp;"},"&amp;IF(Z2&lt;&gt;"","tCountdown={"&amp;_xlfn.TEXTJOIN("",TRUE,Z2:AAD2)&amp;"},","")&amp;"},")))</f>
        <v>[-1]={</v>
      </c>
    </row>
    <row r="3" spans="1:26">
      <c r="C3">
        <v>35028</v>
      </c>
      <c r="D3">
        <v>1</v>
      </c>
      <c r="E3">
        <v>13</v>
      </c>
      <c r="H3">
        <v>2</v>
      </c>
      <c r="J3" t="s">
        <v>1637</v>
      </c>
      <c r="K3" t="s">
        <v>660</v>
      </c>
      <c r="V3">
        <v>1</v>
      </c>
      <c r="Y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IF(X3&gt;0,"bFullScreen=true,","")&amp;"},"&amp;"[8]={"&amp;IF(Q3&lt;&gt;"","tMark={"&amp;Q3&amp;"},","")&amp;IF(R3&lt;&gt;"","szVoice="""&amp;R3&amp;""",","")&amp;IF(S3&gt;0,"bTeamChannel=true,","")&amp;IF(T3&gt;0,"bWhisperChannel=true,","")&amp;IF(U3&gt;0,"bCenterAlarm=true,","")&amp;IF(V3&gt;0,"bScreenHead=true,","")&amp;IF(W3&gt;0,"bFullScreen=true,","")&amp;"},"&amp;IF(Z3&lt;&gt;"","tCountdown={"&amp;_xlfn.TEXTJOIN("",TRUE,Z3:AAD3)&amp;"},","")&amp;"},")))</f>
        <v>{dwID=35028,nLevel=1,nIcon=13,nScrutinyType=2,szNote="八部金刚功",col={0,255,255,},[9]={},[8]={bScreenHead=true,},},</v>
      </c>
    </row>
    <row r="4" spans="1:26">
      <c r="Y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IF(X4&gt;0,"bFullScreen=true,","")&amp;"},"&amp;"[8]={"&amp;IF(Q4&lt;&gt;"","tMark={"&amp;Q4&amp;"},","")&amp;IF(R4&lt;&gt;"","szVoice="""&amp;R4&amp;""",","")&amp;IF(S4&gt;0,"bTeamChannel=true,","")&amp;IF(T4&gt;0,"bWhisperChannel=true,","")&amp;IF(U4&gt;0,"bCenterAlarm=true,","")&amp;IF(V4&gt;0,"bScreenHead=true,","")&amp;IF(W4&gt;0,"bFullScreen=true,","")&amp;"},"&amp;IF(Z4&lt;&gt;"","tCountdown={"&amp;_xlfn.TEXTJOIN("",TRUE,Z4:AAD4)&amp;"},","")&amp;"},")))</f>
        <v>},},}</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W3" sqref="W3"/>
    </sheetView>
  </sheetViews>
  <sheetFormatPr defaultColWidth="9" defaultRowHeight="13.5" outlineLevelRow="4"/>
  <sheetData>
    <row r="1" spans="1:24">
      <c r="A1" t="s">
        <v>1579</v>
      </c>
      <c r="B1" t="s">
        <v>1580</v>
      </c>
      <c r="C1" t="s">
        <v>62</v>
      </c>
      <c r="D1" t="s">
        <v>1582</v>
      </c>
      <c r="E1" t="s">
        <v>1638</v>
      </c>
      <c r="F1" t="s">
        <v>1639</v>
      </c>
      <c r="G1" t="s">
        <v>1583</v>
      </c>
      <c r="H1" t="s">
        <v>1586</v>
      </c>
      <c r="I1" t="s">
        <v>49</v>
      </c>
      <c r="J1" t="s">
        <v>1587</v>
      </c>
      <c r="K1" t="s">
        <v>1640</v>
      </c>
      <c r="L1" t="s">
        <v>1641</v>
      </c>
      <c r="M1" t="s">
        <v>1642</v>
      </c>
      <c r="N1" t="s">
        <v>1643</v>
      </c>
      <c r="O1" t="s">
        <v>1644</v>
      </c>
      <c r="P1" t="s">
        <v>1645</v>
      </c>
      <c r="Q1" t="s">
        <v>1646</v>
      </c>
      <c r="R1" t="s">
        <v>1647</v>
      </c>
      <c r="S1" t="s">
        <v>1648</v>
      </c>
      <c r="T1" t="s">
        <v>1649</v>
      </c>
      <c r="U1" t="s">
        <v>1650</v>
      </c>
      <c r="V1" t="s">
        <v>296</v>
      </c>
      <c r="W1" t="s">
        <v>1651</v>
      </c>
      <c r="X1" t="s">
        <v>316</v>
      </c>
    </row>
    <row r="2" spans="1:24">
      <c r="A2" t="s">
        <v>696</v>
      </c>
      <c r="B2">
        <v>-1</v>
      </c>
      <c r="W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IF(Q2&gt;0,"bFullScreen=true,","")&amp;"},"&amp;"[4]={"&amp;IF(R2&lt;&gt;"","szVoice="""&amp;R2&amp;""",","")&amp;IF(S2&gt;0,"bTeamChannel=true,","")&amp;IF(T2&gt;0,"bWhisperChannel=true,","")&amp;IF(U2&gt;0,"bCenterAlarm=true,","")&amp;"},"&amp;IF(V2&lt;&gt;"","aFocus={"&amp;V2&amp;"},","")&amp;IF(X2&lt;&gt;"","tCountdown={"&amp;_xlfn.TEXTJOIN("",TRUE,X2:AAA2)&amp;"},","")&amp;"},")))</f>
        <v>[-1]={</v>
      </c>
    </row>
    <row r="3" spans="1:24">
      <c r="C3">
        <v>64661</v>
      </c>
      <c r="D3">
        <v>47</v>
      </c>
      <c r="I3" t="s">
        <v>1652</v>
      </c>
      <c r="V3" t="s">
        <v>1653</v>
      </c>
      <c r="W3" t="str">
        <f>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IF(Q3&gt;0,"bFullScreen=true,","")&amp;"},"&amp;"[4]={"&amp;IF(R3&lt;&gt;"","szVoice="""&amp;R3&amp;""",","")&amp;IF(S3&gt;0,"bTeamChannel=true,","")&amp;IF(T3&gt;0,"bWhisperChannel=true,","")&amp;IF(U3&gt;0,"bCenterAlarm=true,","")&amp;"},"&amp;IF(V3&lt;&gt;"","aFocus={"&amp;V3&amp;"},","")&amp;IF(X3&lt;&gt;"","tCountdown={"&amp;_xlfn.TEXTJOIN("",TRUE,X3:AAA3)&amp;"},","")&amp;"},")))</f>
        <v>{dwID=64661,nFrame=47,szNote="穿山甲",[3]={},[4]={},aFocus={{dwMapID=-1,szDisplay="穿山甲",nMaxDistance=120,tRelation={bAll=true,bEnemy=false,bAlly=false,},tLife={bEnable=false,szOperator="&gt;",nValue=0,},},},},</v>
      </c>
    </row>
    <row r="4" spans="1:24">
      <c r="C4">
        <v>64662</v>
      </c>
      <c r="D4">
        <v>47</v>
      </c>
      <c r="I4" t="s">
        <v>1654</v>
      </c>
      <c r="V4" t="s">
        <v>1655</v>
      </c>
      <c r="W4" t="str">
        <f>IF(ISBLANK(B4)=FALSE,IF(ISBLANK(B3),"},["&amp;B4&amp;"]={","["&amp;B4&amp;"]={"),IF(AND(ISBLANK(B4),ISBLANK(D4),ISBLANK(C4),OR(ISBLANK(B3)=FALSE,ISBLANK(D3)=FALSE,ISBLANK(C3)=FALSE)),"},},}",IF(ISBLANK(C4),"","{dwID="&amp;C4&amp;","&amp;"nFrame="&amp;D4&amp;","&amp;IF(E4&gt;0,"nCount="&amp;E4&amp;",","")&amp;IF(F4&gt;0,"bAllLeave=true,","")&amp;IF(G4&lt;&gt;"","szName="""&amp;G4&amp;""",","")&amp;IF(H4&lt;&gt;"","tKungFu={"&amp;H4&amp;"},","")&amp;IF(I4&lt;&gt;"","szNote="""&amp;I4&amp;""",","")&amp;IF(J4&lt;&gt;"","col={"&amp;J4&amp;"},","")&amp;"[3]={"&amp;IF(K4&lt;&gt;"","tMark={"&amp;K4&amp;"},","")&amp;IF(L4&lt;&gt;"","szVoice="""&amp;L4&amp;""",","")&amp;IF(M4&gt;0,"bTeamChannel=true,","")&amp;IF(N4&gt;0,"bWhisperChannel=true,","")&amp;IF(O4&gt;0,"bCenterAlarm=true,","")&amp;IF(P4&gt;0,"bScreenHead=true,","")&amp;IF(Q4&gt;0,"bFullScreen=true,","")&amp;"},"&amp;"[4]={"&amp;IF(R4&lt;&gt;"","szVoice="""&amp;R4&amp;""",","")&amp;IF(S4&gt;0,"bTeamChannel=true,","")&amp;IF(T4&gt;0,"bWhisperChannel=true,","")&amp;IF(U4&gt;0,"bCenterAlarm=true,","")&amp;"},"&amp;IF(V4&lt;&gt;"","aFocus={"&amp;V4&amp;"},","")&amp;IF(X4&lt;&gt;"","tCountdown={"&amp;_xlfn.TEXTJOIN("",TRUE,X4:AAA4)&amp;"},","")&amp;"},")))</f>
        <v>{dwID=64662,nFrame=47,szNote="白蛇",[3]={},[4]={},aFocus={{dwMapID=-1,szDisplay="白蛇",nMaxDistance=120,tRelation={bAll=true,bEnemy=false,bAlly=false,},tLife={bEnable=false,szOperator="&gt;",nValue=0,},},},},</v>
      </c>
    </row>
    <row r="5" spans="1:24">
      <c r="W5" t="str">
        <f>IF(ISBLANK(B5)=FALSE,IF(ISBLANK(B4),"},["&amp;B5&amp;"]={","["&amp;B5&amp;"]={"),IF(AND(ISBLANK(B5),ISBLANK(D5),ISBLANK(C5),OR(ISBLANK(B4)=FALSE,ISBLANK(D4)=FALSE,ISBLANK(C4)=FALSE)),"},},}",IF(ISBLANK(C5),"","{dwID="&amp;C5&amp;","&amp;"nFrame="&amp;D5&amp;","&amp;IF(E5&gt;0,"nCount="&amp;E5&amp;",","")&amp;IF(F5&gt;0,"bAllLeave=true,","")&amp;IF(G5&lt;&gt;"","szName="""&amp;G5&amp;""",","")&amp;IF(H5&lt;&gt;"","tKungFu={"&amp;H5&amp;"},","")&amp;IF(I5&lt;&gt;"","szNote="""&amp;I5&amp;""",","")&amp;IF(J5&lt;&gt;"","col={"&amp;J5&amp;"},","")&amp;"[3]={"&amp;IF(K5&lt;&gt;"","tMark={"&amp;K5&amp;"},","")&amp;IF(L5&lt;&gt;"","szVoice="""&amp;L5&amp;""",","")&amp;IF(M5&gt;0,"bTeamChannel=true,","")&amp;IF(N5&gt;0,"bWhisperChannel=true,","")&amp;IF(O5&gt;0,"bCenterAlarm=true,","")&amp;IF(P5&gt;0,"bScreenHead=true,","")&amp;IF(Q5&gt;0,"bFullScreen=true,","")&amp;"},"&amp;"[4]={"&amp;IF(R5&lt;&gt;"","szVoice="""&amp;R5&amp;""",","")&amp;IF(S5&gt;0,"bTeamChannel=true,","")&amp;IF(T5&gt;0,"bWhisperChannel=true,","")&amp;IF(U5&gt;0,"bCenterAlarm=true,","")&amp;"},"&amp;IF(V5&lt;&gt;"","aFocus={"&amp;V5&amp;"},","")&amp;IF(X5&lt;&gt;"","tCountdown={"&amp;_xlfn.TEXTJOIN("",TRUE,X5:AAA5)&amp;"},","")&amp;"},")))</f>
        <v>},},}</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U4" sqref="U4"/>
    </sheetView>
  </sheetViews>
  <sheetFormatPr defaultColWidth="9" defaultRowHeight="13.5" outlineLevelRow="3"/>
  <sheetData>
    <row r="1" spans="1:22">
      <c r="A1" t="s">
        <v>1579</v>
      </c>
      <c r="B1" t="s">
        <v>1580</v>
      </c>
      <c r="C1" t="s">
        <v>62</v>
      </c>
      <c r="D1" t="s">
        <v>1638</v>
      </c>
      <c r="E1" t="s">
        <v>1639</v>
      </c>
      <c r="F1" t="s">
        <v>1583</v>
      </c>
      <c r="G1" t="s">
        <v>1586</v>
      </c>
      <c r="H1" t="s">
        <v>49</v>
      </c>
      <c r="I1" t="s">
        <v>1587</v>
      </c>
      <c r="J1" t="s">
        <v>1656</v>
      </c>
      <c r="K1" t="s">
        <v>1657</v>
      </c>
      <c r="L1" t="s">
        <v>1658</v>
      </c>
      <c r="M1" t="s">
        <v>1659</v>
      </c>
      <c r="N1" t="s">
        <v>1660</v>
      </c>
      <c r="O1" t="s">
        <v>1661</v>
      </c>
      <c r="P1" t="s">
        <v>1662</v>
      </c>
      <c r="Q1" t="s">
        <v>1663</v>
      </c>
      <c r="R1" t="s">
        <v>1664</v>
      </c>
      <c r="S1" t="s">
        <v>1665</v>
      </c>
      <c r="T1" t="s">
        <v>296</v>
      </c>
      <c r="U1" t="s">
        <v>1666</v>
      </c>
      <c r="V1" t="s">
        <v>316</v>
      </c>
    </row>
    <row r="2" spans="1:22">
      <c r="A2" t="s">
        <v>696</v>
      </c>
      <c r="B2">
        <v>-1</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v>
      </c>
    </row>
    <row r="3" spans="1:22">
      <c r="C3">
        <v>5101</v>
      </c>
      <c r="H3" t="s">
        <v>1667</v>
      </c>
      <c r="I3" t="s">
        <v>660</v>
      </c>
      <c r="N3">
        <v>1</v>
      </c>
      <c r="T3" t="s">
        <v>1668</v>
      </c>
      <c r="U3" t="str">
        <f>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{dwID=5101,szNote="红包",col={0,255,255,},[17]={bScreenHead=true,},[18]={},aFocus={{dwMapID=-1,szDisplay="红包",nMaxDistance=120,tRelation={bAll=true,bEnemy=false,bAlly=false,},tLife={bEnable=false,szOperator="&gt;",nValue=0,},},},},</v>
      </c>
    </row>
    <row r="4" spans="1:22">
      <c r="U4" t="str">
        <f>IF(ISBLANK(B4)=FALSE,IF(ISBLANK(B3),"},["&amp;B4&amp;"]={","["&amp;B4&amp;"]={"),IF(AND(ISBLANK(B4),ISBLANK(C4),OR(ISBLANK(B3)=FALSE,ISBLANK(C3)=FALSE)),"},},}",IF(ISBLANK(C4),"","{dwID="&amp;C4&amp;","&amp;IF(D4&gt;0,"nCount="&amp;D4&amp;",","")&amp;IF(E4&gt;0,"bAllLeave=true,","")&amp;IF(F4&lt;&gt;"","szName="""&amp;F4&amp;""",","")&amp;IF(G4&lt;&gt;"","tKungFu={"&amp;G4&amp;"},","")&amp;IF(H4&lt;&gt;"","szNote="""&amp;H4&amp;""",","")&amp;IF(I4&lt;&gt;"","col={"&amp;I4&amp;"},","")&amp;"[17]={"&amp;IF(J4&lt;&gt;"","szVoice="""&amp;J4&amp;""",","")&amp;IF(K4&gt;0,"bTeamChannel=true,","")&amp;IF(L4&gt;0,"bWhisperChannel=true,","")&amp;IF(M4&gt;0,"bCenterAlarm=true,","")&amp;IF(N4&gt;0,"bScreenHead=true,","")&amp;IF(O4&gt;0,"bFullScreen=true,","")&amp;"},"&amp;"[18]={"&amp;IF(P4&lt;&gt;"","szVoice="""&amp;P4&amp;""",","")&amp;IF(Q4&gt;0,"bTeamChannel=true,","")&amp;IF(R4&gt;0,"bWhisperChannel=true,","")&amp;IF(S4&gt;0,"bCenterAlarm=true,","")&amp;"},"&amp;IF(T4&lt;&gt;"","aFocus={"&amp;T4&amp;"},","")&amp;IF(V4&lt;&gt;"","tCountdown={"&amp;_xlfn.TEXTJOIN("",TRUE,V4:AAA4)&amp;"},","")&amp;"},")))</f>
        <v>},},}</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workbookViewId="0">
      <pane ySplit="1" topLeftCell="A23" activePane="bottomLeft" state="frozen"/>
      <selection/>
      <selection pane="bottomLeft" activeCell="A34" sqref="$A34:$XFD34"/>
    </sheetView>
  </sheetViews>
  <sheetFormatPr defaultColWidth="9" defaultRowHeight="13.5"/>
  <sheetData>
    <row r="1" spans="1:16">
      <c r="A1" t="s">
        <v>1579</v>
      </c>
      <c r="B1" t="s">
        <v>1580</v>
      </c>
      <c r="C1" t="s">
        <v>110</v>
      </c>
      <c r="D1" t="s">
        <v>1669</v>
      </c>
      <c r="E1" t="s">
        <v>49</v>
      </c>
      <c r="F1" t="s">
        <v>1587</v>
      </c>
      <c r="G1" t="s">
        <v>1670</v>
      </c>
      <c r="H1" t="s">
        <v>1671</v>
      </c>
      <c r="I1" t="s">
        <v>1672</v>
      </c>
      <c r="J1" t="s">
        <v>1673</v>
      </c>
      <c r="K1" t="s">
        <v>1674</v>
      </c>
      <c r="L1" t="s">
        <v>1675</v>
      </c>
      <c r="M1" t="s">
        <v>1676</v>
      </c>
      <c r="N1" t="s">
        <v>1677</v>
      </c>
      <c r="O1" t="s">
        <v>1678</v>
      </c>
      <c r="P1" t="s">
        <v>316</v>
      </c>
    </row>
    <row r="2" spans="1:16">
      <c r="A2" t="s">
        <v>1679</v>
      </c>
      <c r="B2">
        <v>-21</v>
      </c>
      <c r="O2" t="str">
        <f>IF(ISBLANK(B2)=FALSE,IF(ISBLANK(B1),"},["&amp;B2&amp;"]={","["&amp;B2&amp;"]={"),IF(AND(ISBLANK(B2),ISBLANK(D2),ISBLANK(G2),ISBLANK(H2),OR(ISBLANK(B1)=FALSE,ISBLANK(D1)=FALSE,ISBLANK(G1)=FALSE,ISBLANK(H1)=FALSE)),"},},}",IF(ISBLANK(D2),"","{szContent="""&amp;D2&amp;""","&amp;IF(C2&lt;&gt;"","szTarget="""&amp;C2&amp;""",","")&amp;IF(E2&lt;&gt;"","szNote="""&amp;E2&amp;""",","")&amp;IF(F2&lt;&gt;"","col={"&amp;F2&amp;"},","")&amp;IF(G2&gt;0,"bSearch=true,","")&amp;IF(H2&gt;0,"bReg=true,","")&amp;"[14]={"&amp;IF(I2&gt;0,"szVoice="""&amp;I2&amp;""",","")&amp;IF(J2&gt;0,"bTeamChannel=true,","")&amp;IF(K2&gt;0,"bWhisperChannel=true,","")&amp;IF(L2&gt;0,"bCenterAlarm=true,","")&amp;IF(M2&gt;0,"bScreenHead=true,","")&amp;IF(N2&gt;0,"bFullScreen=true,","")&amp;"},"&amp;IF(P2&lt;&gt;"","tCountdown={"&amp;_xlfn.TEXTJOIN("",TRUE,P2:AAA2)&amp;"},","")&amp;"},")))</f>
        <v>[-21]={</v>
      </c>
    </row>
    <row r="3" spans="1:16">
      <c r="D3" t="s">
        <v>1680</v>
      </c>
      <c r="O3" t="str">
        <f t="shared" ref="O3:O34" si="0">IF(ISBLANK(B3)=FALSE,IF(ISBLANK(B2),"},["&amp;B3&amp;"]={","["&amp;B3&amp;"]={"),IF(AND(ISBLANK(B3),ISBLANK(D3),ISBLANK(G3),ISBLANK(H3),OR(ISBLANK(B2)=FALSE,ISBLANK(D2)=FALSE,ISBLANK(G2)=FALSE,ISBLANK(H2)=FALSE)),"},},}",IF(ISBLANK(D3),"","{szContent="""&amp;D3&amp;""","&amp;IF(C3&lt;&gt;"","szTarget="""&amp;C3&amp;""",","")&amp;IF(E3&lt;&gt;"","szNote="""&amp;E3&amp;""",","")&amp;IF(F3&lt;&gt;"","col={"&amp;F3&amp;"},","")&amp;IF(G3&gt;0,"bSearch=true,","")&amp;IF(H3&gt;0,"bReg=true,","")&amp;"[14]={"&amp;IF(I3&gt;0,"szVoice="""&amp;I3&amp;""",","")&amp;IF(J3&gt;0,"bTeamChannel=true,","")&amp;IF(K3&gt;0,"bWhisperChannel=true,","")&amp;IF(L3&gt;0,"bCenterAlarm=true,","")&amp;IF(M3&gt;0,"bScreenHead=true,","")&amp;IF(N3&gt;0,"bFullScreen=true,","")&amp;"},"&amp;IF(P3&lt;&gt;"","tCountdown={"&amp;_xlfn.TEXTJOIN("",TRUE,P3:AAA3)&amp;"},","")&amp;"},")))</f>
        <v>{szContent="正在为你寻找玩家，一分钟内对方将与你自动组队，请保持可组队状态。",[14]={},},</v>
      </c>
    </row>
    <row r="4" spans="1:16">
      <c r="D4" t="s">
        <v>1681</v>
      </c>
      <c r="O4" t="str">
        <f t="shared" si="0"/>
        <v>{szContent="未找到前来帮助的侠士，少侠可重新发布援助。",[14]={},},</v>
      </c>
    </row>
    <row r="5" spans="1:16">
      <c r="C5" t="s">
        <v>1682</v>
      </c>
      <c r="D5" t="s">
        <v>1683</v>
      </c>
      <c r="E5" t="s">
        <v>1684</v>
      </c>
      <c r="H5">
        <v>1</v>
      </c>
      <c r="O5" t="str">
        <f t="shared" si="0"/>
        <v>{szContent="^大侠的(.-)运势累计至(%d-)/(%d+)",szTarget="%",szNote="运势·{$1}·{$2}/{$3}",bReg=true,[14]={},},</v>
      </c>
    </row>
    <row r="6" spans="1:16">
      <c r="C6" t="s">
        <v>1682</v>
      </c>
      <c r="D6" t="s">
        <v>1685</v>
      </c>
      <c r="E6" t="s">
        <v>1686</v>
      </c>
      <c r="F6" t="s">
        <v>1687</v>
      </c>
      <c r="H6">
        <v>1</v>
      </c>
      <c r="L6">
        <v>1</v>
      </c>
      <c r="O6" t="str">
        <f t="shared" si="0"/>
        <v>{szContent="(.-)已经登记成为送货首领，物资队已出发，请帮会成员立即集合护送！",szTarget="%",szNote="阴山商路·【{$1}】·送货首领",col={100,255,255,},bReg=true,[14]={bCenterAlarm=true,},},</v>
      </c>
    </row>
    <row r="7" spans="1:16">
      <c r="A7" t="s">
        <v>564</v>
      </c>
      <c r="B7">
        <v>-15</v>
      </c>
      <c r="O7" t="str">
        <f t="shared" si="0"/>
        <v>},[-15]={</v>
      </c>
    </row>
    <row r="8" spans="1:16">
      <c r="C8" t="s">
        <v>1682</v>
      </c>
      <c r="D8" t="s">
        <v>1688</v>
      </c>
      <c r="E8" t="s">
        <v>1689</v>
      </c>
      <c r="O8" t="str">
        <f t="shared" si="0"/>
        <v>{szContent="大侠的今日的许愿次数已用尽，请明日再来。",szTarget="%",szNote="今日用尽·自己园宅·许愿次数",[14]={},},</v>
      </c>
    </row>
    <row r="9" spans="1:16">
      <c r="C9" t="s">
        <v>1682</v>
      </c>
      <c r="D9" t="s">
        <v>1690</v>
      </c>
      <c r="E9" t="s">
        <v>1691</v>
      </c>
      <c r="O9" t="str">
        <f t="shared" si="0"/>
        <v>{szContent="大侠在好友家的今日的许愿次数已用尽，请明日再来。",szTarget="%",szNote="今日用尽·好友园宅·许愿次数",[14]={},},</v>
      </c>
    </row>
    <row r="10" spans="1:16">
      <c r="C10" t="s">
        <v>1682</v>
      </c>
      <c r="D10" t="s">
        <v>1692</v>
      </c>
      <c r="E10" t="s">
        <v>1693</v>
      </c>
      <c r="L10">
        <v>1</v>
      </c>
      <c r="O10" t="str">
        <f t="shared" si="0"/>
        <v>{szContent="转换失败，可能是道具即将超过拥有上限。",szTarget="%",szNote="宝箱·转换失败·可能上限",[14]={bCenterAlarm=true,},},</v>
      </c>
    </row>
    <row r="11" spans="1:16">
      <c r="C11" t="s">
        <v>1682</v>
      </c>
      <c r="D11" t="s">
        <v>1694</v>
      </c>
      <c r="E11" t="s">
        <v>1695</v>
      </c>
      <c r="H11">
        <v>1</v>
      </c>
      <c r="O11" t="str">
        <f t="shared" si="0"/>
        <v>{szContent="(.-)([增加扣除]-)(%d+)个【(.-)】。",szTarget="%",szNote="{$2}【{$2}】{$1}个",bReg=true,[14]={},},</v>
      </c>
    </row>
    <row r="12" spans="1:16">
      <c r="C12" t="s">
        <v>1682</v>
      </c>
      <c r="D12" t="s">
        <v>1683</v>
      </c>
      <c r="E12" t="s">
        <v>1684</v>
      </c>
      <c r="H12">
        <v>1</v>
      </c>
      <c r="O12" t="str">
        <f t="shared" si="0"/>
        <v>{szContent="^大侠的(.-)运势累计至(%d-)/(%d+)",szTarget="%",szNote="运势·{$1}·{$2}/{$3}",bReg=true,[14]={},},</v>
      </c>
    </row>
    <row r="13" spans="1:16">
      <c r="C13" t="s">
        <v>1682</v>
      </c>
      <c r="D13" t="s">
        <v>1696</v>
      </c>
      <c r="H13">
        <v>1</v>
      </c>
      <c r="O13" t="str">
        <f t="shared" si="0"/>
        <v>{szContent="^本周已获得送花奖励次数 (%d-)/(%d+)",szTarget="%",bReg=true,[14]={},},</v>
      </c>
    </row>
    <row r="14" spans="1:16">
      <c r="C14" t="s">
        <v>1682</v>
      </c>
      <c r="D14" t="s">
        <v>1697</v>
      </c>
      <c r="H14">
        <v>1</v>
      </c>
      <c r="O14" t="str">
        <f t="shared" si="0"/>
        <v>{szContent="^本周还可通过配置香膏获得调香经验(%d+)次",szTarget="%",bReg=true,[14]={},},</v>
      </c>
    </row>
    <row r="15" spans="1:16">
      <c r="C15" t="s">
        <v>1682</v>
      </c>
      <c r="D15" t="s">
        <v>1698</v>
      </c>
      <c r="E15" t="s">
        <v>1699</v>
      </c>
      <c r="H15">
        <v>1</v>
      </c>
      <c r="O15" t="str">
        <f t="shared" si="0"/>
        <v>{szContent="^大侠已经触发过%[(.-)%]奇遇，或者拥有该奇遇的概率提升状态，故奖励(%d-)点不占周上限的园宅币。",szTarget="%",szNote="祈福树·[{$1}]转{$2}园宅币",bReg=true,[14]={},},</v>
      </c>
    </row>
    <row r="16" spans="1:16">
      <c r="C16" t="s">
        <v>1682</v>
      </c>
      <c r="D16" t="s">
        <v>1700</v>
      </c>
      <c r="E16" t="s">
        <v>1701</v>
      </c>
      <c r="H16">
        <v>1</v>
      </c>
      <c r="L16">
        <v>1</v>
      </c>
      <c r="O16" t="str">
        <f t="shared" si="0"/>
        <v>{szContent="^恭喜侠士获得“(.-)”增益！",szTarget="%",szNote="祈福树·增益·{$1}",bReg=true,[14]={bCenterAlarm=true,},},</v>
      </c>
    </row>
    <row r="17" spans="1:15">
      <c r="D17" t="s">
        <v>1702</v>
      </c>
      <c r="O17" t="str">
        <f t="shared" si="0"/>
        <v>{szContent="侠士成功种下了绣球花种子·一级。",[14]={},},</v>
      </c>
    </row>
    <row r="18" spans="1:15">
      <c r="D18" t="s">
        <v>1703</v>
      </c>
      <c r="O18" t="str">
        <f t="shared" si="0"/>
        <v>{szContent="侠士成功种下了郁金香种子·一级。",[14]={},},</v>
      </c>
    </row>
    <row r="19" spans="1:15">
      <c r="D19" t="s">
        <v>1704</v>
      </c>
      <c r="O19" t="str">
        <f t="shared" si="0"/>
        <v>{szContent="侠士成功种下了牵牛花种子·一级。",[14]={},},</v>
      </c>
    </row>
    <row r="20" spans="1:15">
      <c r="D20" t="s">
        <v>1705</v>
      </c>
      <c r="O20" t="str">
        <f t="shared" si="0"/>
        <v>{szContent="侠士成功种下了玫瑰种子·一级。",[14]={},},</v>
      </c>
    </row>
    <row r="21" spans="1:15">
      <c r="D21" t="s">
        <v>1706</v>
      </c>
      <c r="O21" t="str">
        <f t="shared" si="0"/>
        <v>{szContent="侠士成功种下了百合种子·一级。",[14]={},},</v>
      </c>
    </row>
    <row r="22" spans="1:15">
      <c r="D22" t="s">
        <v>1707</v>
      </c>
      <c r="O22" t="str">
        <f t="shared" si="0"/>
        <v>{szContent="阿甘开心的对你扭了扭！",[14]={},},</v>
      </c>
    </row>
    <row r="23" spans="1:15">
      <c r="D23" t="s">
        <v>1708</v>
      </c>
      <c r="E23" t="s">
        <v>1708</v>
      </c>
      <c r="J23">
        <v>1</v>
      </c>
      <c r="O23" t="str">
        <f t="shared" si="0"/>
        <v>{szContent="成功重置原野奇踪进度",szNote="成功重置原野奇踪进度",[14]={bTeamChannel=true,},},</v>
      </c>
    </row>
    <row r="24" spans="1:15">
      <c r="D24" t="s">
        <v>1709</v>
      </c>
      <c r="O24" t="str">
        <f t="shared" si="0"/>
        <v>{szContent="协助订单已被完成！",[14]={},},</v>
      </c>
    </row>
    <row r="25" spans="1:15">
      <c r="D25" t="s">
        <v>1710</v>
      </c>
      <c r="E25" t="s">
        <v>1711</v>
      </c>
      <c r="H25">
        <v>1</v>
      </c>
      <c r="L25">
        <v>1</v>
      </c>
      <c r="O25" t="str">
        <f t="shared" si="0"/>
        <v>{szContent="^请将这单货物送往(.-)号宅邸的管家阿甘处。",szNote="送信·{$1}",bReg=true,[14]={bCenterAlarm=true,},},</v>
      </c>
    </row>
    <row r="26" spans="1:15">
      <c r="A26" t="s">
        <v>634</v>
      </c>
      <c r="B26">
        <v>-7</v>
      </c>
      <c r="O26" t="str">
        <f t="shared" si="0"/>
        <v>},[-7]={</v>
      </c>
    </row>
    <row r="27" spans="1:15">
      <c r="C27" t="s">
        <v>1682</v>
      </c>
      <c r="D27" t="s">
        <v>1712</v>
      </c>
      <c r="E27" t="s">
        <v>1713</v>
      </c>
      <c r="F27" t="s">
        <v>1687</v>
      </c>
      <c r="L27">
        <v>1</v>
      </c>
      <c r="O27" t="str">
        <f t="shared" si="0"/>
        <v>{szContent="运货首领被击杀，损失了10份镖银……",szTarget="%",szNote="阴山商路·首领重伤·损失10镖银",col={100,255,255,},[14]={bCenterAlarm=true,},},</v>
      </c>
    </row>
    <row r="28" spans="1:15">
      <c r="C28" t="s">
        <v>1682</v>
      </c>
      <c r="D28" t="s">
        <v>1714</v>
      </c>
      <c r="E28" t="s">
        <v>1715</v>
      </c>
      <c r="F28" t="s">
        <v>1687</v>
      </c>
      <c r="L28">
        <v>1</v>
      </c>
      <c r="O28" t="str">
        <f t="shared" si="0"/>
        <v>{szContent="运货首领离线了，损失了20份镖银……",szTarget="%",szNote="阴山商路·首领离线·损失20镖银",col={100,255,255,},[14]={bCenterAlarm=true,},},</v>
      </c>
    </row>
    <row r="29" spans="1:15">
      <c r="C29" t="s">
        <v>1682</v>
      </c>
      <c r="D29" t="s">
        <v>1716</v>
      </c>
      <c r="E29" t="s">
        <v>1717</v>
      </c>
      <c r="F29" t="s">
        <v>1687</v>
      </c>
      <c r="L29">
        <v>1</v>
      </c>
      <c r="O29" t="str">
        <f t="shared" si="0"/>
        <v>{szContent="运货首领花费5000两帮会资金成功补货50份！",szTarget="%",szNote="阴山商路·补货·50份",col={100,255,255,},[14]={bCenterAlarm=true,},},</v>
      </c>
    </row>
    <row r="30" spans="1:15">
      <c r="C30" t="s">
        <v>1682</v>
      </c>
      <c r="D30" t="s">
        <v>1718</v>
      </c>
      <c r="E30" t="s">
        <v>1719</v>
      </c>
      <c r="F30" t="s">
        <v>1687</v>
      </c>
      <c r="L30">
        <v>1</v>
      </c>
      <c r="O30" t="str">
        <f t="shared" si="0"/>
        <v>{szContent="运货首领身份已重置，请各位尽快认领物资队将其运抵目的地！",szTarget="%",szNote="阴山商路·首领重置·损失30镖银",col={100,255,255,},[14]={bCenterAlarm=true,},},</v>
      </c>
    </row>
    <row r="31" spans="1:15">
      <c r="C31" t="s">
        <v>1682</v>
      </c>
      <c r="D31" t="s">
        <v>1685</v>
      </c>
      <c r="E31" t="s">
        <v>1686</v>
      </c>
      <c r="F31" t="s">
        <v>1687</v>
      </c>
      <c r="H31">
        <v>1</v>
      </c>
      <c r="L31">
        <v>1</v>
      </c>
      <c r="O31" t="str">
        <f t="shared" si="0"/>
        <v>{szContent="(.-)已经登记成为送货首领，物资队已出发，请帮会成员立即集合护送！",szTarget="%",szNote="阴山商路·【{$1}】·送货首领",col={100,255,255,},bReg=true,[14]={bCenterAlarm=true,},},</v>
      </c>
    </row>
    <row r="32" spans="1:15">
      <c r="D32" t="s">
        <v>1680</v>
      </c>
      <c r="O32" t="str">
        <f t="shared" si="0"/>
        <v>{szContent="正在为你寻找玩家，一分钟内对方将与你自动组队，请保持可组队状态。",[14]={},},</v>
      </c>
    </row>
    <row r="33" spans="1:15">
      <c r="D33" t="s">
        <v>1681</v>
      </c>
      <c r="O33" t="str">
        <f t="shared" si="0"/>
        <v>{szContent="未找到前来帮助的侠士，少侠可重新发布援助。",[14]={},},</v>
      </c>
    </row>
    <row r="34" spans="1:15">
      <c r="A34" t="s">
        <v>677</v>
      </c>
      <c r="B34">
        <v>-3</v>
      </c>
      <c r="O34" t="str">
        <f t="shared" si="0"/>
        <v>},[-3]={</v>
      </c>
    </row>
    <row r="35" spans="1:15">
      <c r="C35" t="s">
        <v>1682</v>
      </c>
      <c r="D35" t="s">
        <v>1720</v>
      </c>
      <c r="O35" t="str">
        <f t="shared" ref="O35:O65" si="1">IF(ISBLANK(B35)=FALSE,IF(ISBLANK(B34),"},["&amp;B35&amp;"]={","["&amp;B35&amp;"]={"),IF(AND(ISBLANK(B35),ISBLANK(D35),ISBLANK(G35),ISBLANK(H35),OR(ISBLANK(B34)=FALSE,ISBLANK(D34)=FALSE,ISBLANK(G34)=FALSE,ISBLANK(H34)=FALSE)),"},},}",IF(ISBLANK(D35),"","{szContent="""&amp;D35&amp;""","&amp;IF(C35&lt;&gt;"","szTarget="""&amp;C35&amp;""",","")&amp;IF(E35&lt;&gt;"","szNote="""&amp;E35&amp;""",","")&amp;IF(F35&lt;&gt;"","col={"&amp;F35&amp;"},","")&amp;IF(G35&gt;0,"bSearch=true,","")&amp;IF(H35&gt;0,"bReg=true,","")&amp;"[14]={"&amp;IF(I35&gt;0,"szVoice="""&amp;I35&amp;""",","")&amp;IF(J35&gt;0,"bTeamChannel=true,","")&amp;IF(K35&gt;0,"bWhisperChannel=true,","")&amp;IF(L35&gt;0,"bCenterAlarm=true,","")&amp;IF(M35&gt;0,"bScreenHead=true,","")&amp;IF(N35&gt;0,"bFullScreen=true,","")&amp;"},"&amp;IF(P35&lt;&gt;"","tCountdown={"&amp;_xlfn.TEXTJOIN("",TRUE,P35:AAA35)&amp;"},","")&amp;"},")))</f>
        <v>{szContent="当前秘境侠客和侠士的总人数已经超过秘境上限，无法再召唤。",szTarget="%",[14]={},},</v>
      </c>
    </row>
    <row r="36" spans="1:15">
      <c r="C36" t="s">
        <v>1682</v>
      </c>
      <c r="D36" t="s">
        <v>1721</v>
      </c>
      <c r="E36" t="s">
        <v>1722</v>
      </c>
      <c r="L36">
        <v>1</v>
      </c>
      <c r="O36" t="str">
        <f t="shared" si="1"/>
        <v>{szContent="祈愿未触发，当前已尝试次数为： 1",szTarget="%",szNote="祈愿台·尝试·1次",[14]={bCenterAlarm=true,},},</v>
      </c>
    </row>
    <row r="37" spans="1:15">
      <c r="C37" t="s">
        <v>1682</v>
      </c>
      <c r="D37" t="s">
        <v>1723</v>
      </c>
      <c r="E37" t="s">
        <v>1724</v>
      </c>
      <c r="L37">
        <v>1</v>
      </c>
      <c r="O37" t="str">
        <f t="shared" si="1"/>
        <v>{szContent="祈愿未触发，当前已尝试次数为： 2",szTarget="%",szNote="祈愿台·尝试·2次",[14]={bCenterAlarm=true,},},</v>
      </c>
    </row>
    <row r="38" spans="1:15">
      <c r="C38" t="s">
        <v>1682</v>
      </c>
      <c r="D38" t="s">
        <v>1725</v>
      </c>
      <c r="E38" t="s">
        <v>1726</v>
      </c>
      <c r="L38">
        <v>1</v>
      </c>
      <c r="O38" t="str">
        <f t="shared" si="1"/>
        <v>{szContent="宝光闪闪，祈愿触发！",szTarget="%",szNote="祈愿台·祈愿触发",[14]={bCenterAlarm=true,},},</v>
      </c>
    </row>
    <row r="39" spans="1:15">
      <c r="A39" t="s">
        <v>688</v>
      </c>
      <c r="B39">
        <v>-2</v>
      </c>
      <c r="O39" t="str">
        <f t="shared" si="1"/>
        <v>},[-2]={</v>
      </c>
    </row>
    <row r="40" spans="1:15">
      <c r="C40" t="s">
        <v>1682</v>
      </c>
      <c r="D40" t="s">
        <v>1683</v>
      </c>
      <c r="E40" t="s">
        <v>1684</v>
      </c>
      <c r="H40">
        <v>1</v>
      </c>
      <c r="O40" t="str">
        <f t="shared" si="1"/>
        <v>{szContent="^大侠的(.-)运势累计至(%d-)/(%d+)",szTarget="%",szNote="运势·{$1}·{$2}/{$3}",bReg=true,[14]={},},</v>
      </c>
    </row>
    <row r="41" spans="1:15">
      <c r="C41" t="s">
        <v>1682</v>
      </c>
      <c r="D41" t="s">
        <v>1685</v>
      </c>
      <c r="E41" t="s">
        <v>1686</v>
      </c>
      <c r="F41" t="s">
        <v>1687</v>
      </c>
      <c r="H41">
        <v>1</v>
      </c>
      <c r="L41">
        <v>1</v>
      </c>
      <c r="O41" t="str">
        <f t="shared" si="1"/>
        <v>{szContent="(.-)已经登记成为送货首领，物资队已出发，请帮会成员立即集合护送！",szTarget="%",szNote="阴山商路·【{$1}】·送货首领",col={100,255,255,},bReg=true,[14]={bCenterAlarm=true,},},</v>
      </c>
    </row>
    <row r="42" spans="1:15">
      <c r="C42" t="s">
        <v>1682</v>
      </c>
      <c r="D42" t="s">
        <v>1727</v>
      </c>
      <c r="G42">
        <v>1</v>
      </c>
      <c r="O42" t="str">
        <f t="shared" si="1"/>
        <v>{szContent="{$me}这是什么乱七八糟的水沏的，白白浪费了上好的",szTarget="%",bSearch=true,[14]={},},</v>
      </c>
    </row>
    <row r="43" spans="1:15">
      <c r="D43" t="s">
        <v>1680</v>
      </c>
      <c r="O43" t="str">
        <f t="shared" si="1"/>
        <v>{szContent="正在为你寻找玩家，一分钟内对方将与你自动组队，请保持可组队状态。",[14]={},},</v>
      </c>
    </row>
    <row r="44" spans="1:15">
      <c r="D44" t="s">
        <v>1681</v>
      </c>
      <c r="O44" t="str">
        <f t="shared" si="1"/>
        <v>{szContent="未找到前来帮助的侠士，少侠可重新发布援助。",[14]={},},</v>
      </c>
    </row>
    <row r="45" spans="1:15">
      <c r="C45" t="s">
        <v>1728</v>
      </c>
      <c r="D45" t="s">
        <v>1729</v>
      </c>
      <c r="F45" t="s">
        <v>1730</v>
      </c>
      <c r="H45">
        <v>1</v>
      </c>
      <c r="O45" t="str">
        <f t="shared" si="1"/>
        <v>{szContent="因(.-)交通阻塞，镖局临时开启【(.-)】秘境镖路，各位侠士可寻我直接进入秘境。",szTarget="秘境镖局接引人",col={255,255,100,},bReg=true,[14]={},},</v>
      </c>
    </row>
    <row r="46" spans="1:15">
      <c r="A46" t="s">
        <v>696</v>
      </c>
      <c r="B46">
        <v>-1</v>
      </c>
      <c r="O46" t="str">
        <f t="shared" si="1"/>
        <v>},[-1]={</v>
      </c>
    </row>
    <row r="47" spans="1:15">
      <c r="C47" t="s">
        <v>1682</v>
      </c>
      <c r="D47" t="s">
        <v>1731</v>
      </c>
      <c r="E47" t="s">
        <v>1732</v>
      </c>
      <c r="L47">
        <v>1</v>
      </c>
      <c r="O47" t="str">
        <f t="shared" si="1"/>
        <v>{szContent="好像有鱼咬钩了，快收杆！",szTarget="%",szNote="有鱼咬钩",[14]={bCenterAlarm=true,},},</v>
      </c>
    </row>
    <row r="48" spans="1:15">
      <c r="C48" t="s">
        <v>1682</v>
      </c>
      <c r="D48" t="s">
        <v>1733</v>
      </c>
      <c r="E48" t="s">
        <v>1734</v>
      </c>
      <c r="F48" t="s">
        <v>1687</v>
      </c>
      <c r="G48">
        <v>1</v>
      </c>
      <c r="O48" t="str">
        <f t="shared" si="1"/>
        <v>{szContent="此次帮会通过阴山商路成功运抵",szTarget="%",szNote="阴山商路·成功运抵",col={100,255,255,},bSearch=true,[14]={},},</v>
      </c>
    </row>
    <row r="49" spans="3:15">
      <c r="C49" t="s">
        <v>1682</v>
      </c>
      <c r="D49" t="s">
        <v>1735</v>
      </c>
      <c r="E49" t="s">
        <v>1736</v>
      </c>
      <c r="F49" t="s">
        <v>1687</v>
      </c>
      <c r="O49" t="str">
        <f t="shared" si="1"/>
        <v>{szContent="阴山商路运输物资已成功开启，请有权限的侠士速到黑戈壁帮会物资主簿处申请成为运货首领开始运送！",szTarget="%",szNote="阴山商路·开启",col={100,255,255,},[14]={},},</v>
      </c>
    </row>
    <row r="50" spans="3:15">
      <c r="C50" t="s">
        <v>1682</v>
      </c>
      <c r="D50" t="s">
        <v>1737</v>
      </c>
      <c r="E50" t="s">
        <v>1738</v>
      </c>
      <c r="O50" t="str">
        <f t="shared" si="1"/>
        <v>{szContent="本周帮会菜园保卫战完满达成，增加了70000点不占周上限的帮会资金。",szTarget="%",szNote="帮会领地·菜园保卫战·完满达成",[14]={},},</v>
      </c>
    </row>
    <row r="51" spans="3:15">
      <c r="C51" t="s">
        <v>1682</v>
      </c>
      <c r="D51" t="s">
        <v>1739</v>
      </c>
      <c r="E51" t="s">
        <v>1740</v>
      </c>
      <c r="O51" t="str">
        <f t="shared" si="1"/>
        <v>{szContent="猪九戒出现祝融山，请大家速去阻止它破坏农田。",szTarget="%",szNote="菜园保卫战·祝融山·猪九戒·出现",[14]={},},</v>
      </c>
    </row>
    <row r="52" spans="3:15">
      <c r="C52" t="s">
        <v>1682</v>
      </c>
      <c r="D52" t="s">
        <v>1741</v>
      </c>
      <c r="E52" t="s">
        <v>1742</v>
      </c>
      <c r="O52" t="str">
        <f t="shared" si="1"/>
        <v>{szContent="据韩非子最新消息，唱晚池将于20分钟后归于平静。在此之前于唱晚池钓到稀有物品的概率将大幅增长，机不可失失不再来啊。",szTarget="%",szNote="帮会领地·钓鱼活动·已经开启",[14]={},},</v>
      </c>
    </row>
    <row r="53" spans="3:15">
      <c r="C53" t="s">
        <v>1682</v>
      </c>
      <c r="D53" t="s">
        <v>1743</v>
      </c>
      <c r="E53" t="s">
        <v>1744</v>
      </c>
      <c r="O53" t="str">
        <f t="shared" si="1"/>
        <v>{szContent="天上掉馅饼，鱼池落珍宝！刚得到可靠消息，韩非子夜观天象算准了在接下来的40分钟内，于唱晚池钓到稀有物品的概率将大幅增长，机不可失失不再来啊，速回帮会寻珍觅宝钓大鱼吧！",szTarget="%",szNote="帮会领地·钓鱼活动·正式开启",[14]={},},</v>
      </c>
    </row>
    <row r="54" spans="3:15">
      <c r="C54" t="s">
        <v>1682</v>
      </c>
      <c r="D54" t="s">
        <v>1745</v>
      </c>
      <c r="E54" t="s">
        <v>1746</v>
      </c>
      <c r="O54" t="str">
        <f t="shared" si="1"/>
        <v>{szContent="【小猪快跑】活动正式开启，请众位侠士速回帮会协助三石叔赶回窜逃的小猪。若帮会总积分达到500分，则帮会和个人均会获得大量奖励！",szTarget="%",szNote="帮会领地·小猪快跑·活动开启",[14]={},},</v>
      </c>
    </row>
    <row r="55" spans="3:15">
      <c r="C55" t="s">
        <v>1682</v>
      </c>
      <c r="D55" t="s">
        <v>1747</v>
      </c>
      <c r="E55" t="s">
        <v>1748</v>
      </c>
      <c r="G55">
        <v>1</v>
      </c>
      <c r="O55" t="str">
        <f t="shared" si="1"/>
        <v>{szContent="你在挖掘宝藏时消耗了",szTarget="%",szNote="挖宝·CD",bSearch=true,[14]={},},</v>
      </c>
    </row>
    <row r="56" spans="3:15">
      <c r="C56" t="s">
        <v>1682</v>
      </c>
      <c r="D56" t="s">
        <v>1749</v>
      </c>
      <c r="F56" t="s">
        <v>1730</v>
      </c>
      <c r="H56">
        <v>1</v>
      </c>
      <c r="O56" t="str">
        <f t="shared" si="1"/>
        <v>{szContent="^你已累计翻阅了(%d-)次《(.-)传》。",szTarget="%",col={255,255,100,},bReg=true,[14]={},},</v>
      </c>
    </row>
    <row r="57" spans="3:15">
      <c r="C57" t="s">
        <v>1682</v>
      </c>
      <c r="D57" t="s">
        <v>1750</v>
      </c>
      <c r="E57" t="s">
        <v>1751</v>
      </c>
      <c r="F57" t="s">
        <v>1730</v>
      </c>
      <c r="H57">
        <v>1</v>
      </c>
      <c r="O57" t="str">
        <f t="shared" si="1"/>
        <v>{szContent="^你不能在%[(.-)%]附近(%d-)尺内执行此操作。",szTarget="%",szNote="注意·[{$1}]·限制{$2}尺",col={255,255,100,},bReg=true,[14]={},},</v>
      </c>
    </row>
    <row r="58" spans="3:15">
      <c r="C58" t="s">
        <v>1682</v>
      </c>
      <c r="D58" t="s">
        <v>1752</v>
      </c>
      <c r="E58" t="s">
        <v>1753</v>
      </c>
      <c r="L58">
        <v>1</v>
      </c>
      <c r="O58" t="str">
        <f t="shared" si="1"/>
        <v>{szContent="少侠奇穴重置，特补偿九花玉露散200个已通过邮件发送，请注意查收。",szTarget="%",szNote="奇穴重置",[14]={bCenterAlarm=true,},},</v>
      </c>
    </row>
    <row r="59" spans="3:15">
      <c r="D59" t="s">
        <v>1754</v>
      </c>
      <c r="O59" t="str">
        <f t="shared" si="1"/>
        <v>{szContent="分配者正发起收入分配，不在相同场景者无法投票，倒计时结束后默认反对",[14]={},},</v>
      </c>
    </row>
    <row r="60" spans="3:15">
      <c r="D60" t="s">
        <v>1755</v>
      </c>
      <c r="E60" t="s">
        <v>1756</v>
      </c>
      <c r="L60">
        <v>1</v>
      </c>
      <c r="O60" t="str">
        <f t="shared" si="1"/>
        <v>{szContent="你发现了一个藏宝洞！藏宝洞只存在两刻钟，务必速速前往挖掘宝藏！",szNote="发现·藏宝洞",[14]={bCenterAlarm=true,},},</v>
      </c>
    </row>
    <row r="61" spans="3:15">
      <c r="D61" t="s">
        <v>1757</v>
      </c>
      <c r="E61" t="s">
        <v>1758</v>
      </c>
      <c r="L61">
        <v>1</v>
      </c>
      <c r="O61" t="str">
        <f t="shared" si="1"/>
        <v>{szContent="团队宝藏点出现！只存在一刻钟，速去寻找！",szNote="团点出现",[14]={bCenterAlarm=true,},},</v>
      </c>
    </row>
    <row r="62" spans="3:15">
      <c r="D62" t="s">
        <v>1759</v>
      </c>
      <c r="E62" t="s">
        <v>1760</v>
      </c>
      <c r="L62">
        <v>1</v>
      </c>
      <c r="O62" t="str">
        <f t="shared" si="1"/>
        <v>{szContent="你在探寻魂墟宝物时不小心惊动了魂墟看守宝物的魂灵！",szNote="方士寻宝·魂灵宝物",[14]={bCenterAlarm=true,},},</v>
      </c>
    </row>
    <row r="63" spans="3:15">
      <c r="D63" t="s">
        <v>1761</v>
      </c>
      <c r="E63" t="s">
        <v>1762</v>
      </c>
      <c r="F63" t="s">
        <v>718</v>
      </c>
      <c r="O63" t="str">
        <f t="shared" si="1"/>
        <v>{szContent="注意，你已被发布决斗挑战，10秒后决斗挑战正式生效！",szNote="你被发布·决斗挑战",col={255,50,255,},[14]={},},</v>
      </c>
    </row>
    <row r="64" spans="3:15">
      <c r="D64" t="s">
        <v>1763</v>
      </c>
      <c r="E64" t="s">
        <v>1764</v>
      </c>
      <c r="F64" t="s">
        <v>718</v>
      </c>
      <c r="L64">
        <v>1</v>
      </c>
      <c r="N64">
        <v>1</v>
      </c>
      <c r="O64" t="str">
        <f t="shared" si="1"/>
        <v>{szContent="注意，你已被发布决斗挑战，决斗挑战正式生效！",szNote="决斗挑战·正式生效",col={255,50,255,},[14]={bCenterAlarm=true,bFullScreen=true,},},</v>
      </c>
    </row>
    <row r="65" spans="15:15">
      <c r="O65" t="str">
        <f t="shared" si="1"/>
        <v>},},}</v>
      </c>
    </row>
  </sheetData>
  <sortState ref="A47:P64">
    <sortCondition ref="A47:A64" descending="1"/>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03"/>
  <sheetViews>
    <sheetView tabSelected="1" workbookViewId="0">
      <pane ySplit="1" topLeftCell="A29" activePane="bottomLeft" state="frozen"/>
      <selection/>
      <selection pane="bottomLeft" activeCell="N69" sqref="N69"/>
    </sheetView>
  </sheetViews>
  <sheetFormatPr defaultColWidth="9" defaultRowHeight="13.5"/>
  <cols>
    <col min="3" max="3" width="23.125" customWidth="1"/>
  </cols>
  <sheetData>
    <row r="1" spans="1:14">
      <c r="A1" t="s">
        <v>1579</v>
      </c>
      <c r="B1" t="s">
        <v>1580</v>
      </c>
      <c r="C1" t="s">
        <v>1669</v>
      </c>
      <c r="D1" t="s">
        <v>49</v>
      </c>
      <c r="E1" t="s">
        <v>1587</v>
      </c>
      <c r="F1" t="s">
        <v>1670</v>
      </c>
      <c r="G1" t="s">
        <v>1671</v>
      </c>
      <c r="H1" t="s">
        <v>1672</v>
      </c>
      <c r="I1" t="s">
        <v>1673</v>
      </c>
      <c r="J1" t="s">
        <v>1674</v>
      </c>
      <c r="K1" t="s">
        <v>1675</v>
      </c>
      <c r="L1" t="s">
        <v>1676</v>
      </c>
      <c r="M1" t="s">
        <v>1677</v>
      </c>
      <c r="N1" t="s">
        <v>1765</v>
      </c>
    </row>
    <row r="2" spans="1:14">
      <c r="A2" t="s">
        <v>1679</v>
      </c>
      <c r="B2">
        <v>-21</v>
      </c>
      <c r="N2" t="str">
        <f>IF(ISBLANK(B2)=FALSE,IF(ISBLANK(B1),"},["&amp;B2&amp;"]={","["&amp;B2&amp;"]={"),IF(AND(ISBLANK(B2),ISBLANK(C2),ISBLANK(F2),ISBLANK(G2),OR(ISBLANK(B1)=FALSE,ISBLANK(C1)=FALSE,ISBLANK(F1)=FALSE,ISBLANK(G1)=FALSE)),"},},}",IF(ISBLANK(C2),"","{szContent="""&amp;C2&amp;""","&amp;IF(D2&lt;&gt;"","szNote="""&amp;D2&amp;""",","")&amp;IF(E2&lt;&gt;"","col={"&amp;E2&amp;"},","")&amp;IF(F2&gt;0,"bSearch=true,","")&amp;IF(G2&gt;0,"bReg=true,","")&amp;"[20]={"&amp;IF(H2&gt;0,"szVoice="""&amp;H2&amp;""",","")&amp;IF(I2&gt;0,"bTeamChannel=true,","")&amp;IF(J2&gt;0,"bWhisperChannel=true,","")&amp;IF(K2&gt;0,"bCenterAlarm=true,","")&amp;IF(L2&gt;0,"bScreenHead=true,","")&amp;IF(M2&gt;0,"bFullScreen=true,","")&amp;"},"&amp;IF(O2&lt;&gt;"","tCountdown={"&amp;_xlfn.TEXTJOIN("",TRUE,O2:AAA2)&amp;"},","")&amp;"},")))</f>
        <v>[-21]={</v>
      </c>
    </row>
    <row r="3" spans="1:14">
      <c r="C3" t="s">
        <v>1766</v>
      </c>
      <c r="F3">
        <v>1</v>
      </c>
      <c r="N3" t="str">
        <f t="shared" ref="N3:N34" si="0">IF(ISBLANK(B3)=FALSE,IF(ISBLANK(B2),"},["&amp;B3&amp;"]={","["&amp;B3&amp;"]={"),IF(AND(ISBLANK(B3),ISBLANK(C3),ISBLANK(F3),ISBLANK(G3),OR(ISBLANK(B2)=FALSE,ISBLANK(C2)=FALSE,ISBLANK(F2)=FALSE,ISBLANK(G2)=FALSE)),"},},}",IF(ISBLANK(C3),"","{szContent="""&amp;C3&amp;""","&amp;IF(D3&lt;&gt;"","szNote="""&amp;D3&amp;""",","")&amp;IF(E3&lt;&gt;"","col={"&amp;E3&amp;"},","")&amp;IF(F3&gt;0,"bSearch=true,","")&amp;IF(G3&gt;0,"bReg=true,","")&amp;"[20]={"&amp;IF(H3&gt;0,"szVoice="""&amp;H3&amp;""",","")&amp;IF(I3&gt;0,"bTeamChannel=true,","")&amp;IF(J3&gt;0,"bWhisperChannel=true,","")&amp;IF(K3&gt;0,"bCenterAlarm=true,","")&amp;IF(L3&gt;0,"bScreenHead=true,","")&amp;IF(M3&gt;0,"bFullScreen=true,","")&amp;"},"&amp;IF(O3&lt;&gt;"","tCountdown={"&amp;_xlfn.TEXTJOIN("",TRUE,O3:AAA3)&amp;"},","")&amp;"},")))</f>
        <v>{szContent="你已进入地图",bSearch=true,[20]={},},</v>
      </c>
    </row>
    <row r="4" spans="1:14">
      <c r="C4" t="s">
        <v>1767</v>
      </c>
      <c r="N4" t="str">
        <f t="shared" si="0"/>
        <v>{szContent="您已经加入战场等待队列。\n",[20]={},},</v>
      </c>
    </row>
    <row r="5" spans="1:14">
      <c r="C5" t="s">
        <v>1768</v>
      </c>
      <c r="N5" t="str">
        <f t="shared" si="0"/>
        <v>{szContent="您离开了战场的等待队列。\n",[20]={},},</v>
      </c>
    </row>
    <row r="6" spans="1:14">
      <c r="C6" t="s">
        <v>1769</v>
      </c>
      <c r="D6" t="s">
        <v>1770</v>
      </c>
      <c r="K6">
        <v>1</v>
      </c>
      <c r="N6" t="str">
        <f t="shared" si="0"/>
        <v>{szContent="您的宠物已消除忧虑，变得活泼欢快。\n",szNote="宠物已消除忧虑",[20]={bCenterAlarm=true,},},</v>
      </c>
    </row>
    <row r="7" spans="1:14">
      <c r="C7" t="s">
        <v>1771</v>
      </c>
      <c r="D7" t="s">
        <v>1772</v>
      </c>
      <c r="K7">
        <v>1</v>
      </c>
      <c r="N7" t="str">
        <f t="shared" si="0"/>
        <v>{szContent="援助关系绑定成功，退队可主动解除，但会受到一定惩罚。若对方离线，主动退队解除关系将不受惩罚。\n",szNote="援助·已绑定",[20]={bCenterAlarm=true,},},</v>
      </c>
    </row>
    <row r="8" spans="1:14">
      <c r="C8" t="s">
        <v>1773</v>
      </c>
      <c r="D8" t="s">
        <v>1774</v>
      </c>
      <c r="E8" t="s">
        <v>1687</v>
      </c>
      <c r="N8" t="str">
        <f t="shared" si="0"/>
        <v>{szContent="南宫麒：随着暮色降临，扬州、五毒、明教、苍云、战乱天策魂虚场景中的魂灵变得活跃起来，各位方士不妨出魂一探究竟，说不定有意外收获！\n",szNote="方士活动·已经开启",col={100,255,255,},[20]={},},</v>
      </c>
    </row>
    <row r="9" spans="1:14">
      <c r="C9" t="s">
        <v>1775</v>
      </c>
      <c r="E9" t="s">
        <v>1687</v>
      </c>
      <c r="N9" t="str">
        <f t="shared" si="0"/>
        <v>{szContent="帮会领地唱晚池突现异常，各类鱼儿异常活跃，鱼儿上钩时间大大缩短！各路已满80级的侠士可前往一试，定能收获不菲。\n",col={100,255,255,},[20]={},},</v>
      </c>
    </row>
    <row r="10" spans="1:14">
      <c r="C10" t="s">
        <v>1776</v>
      </c>
      <c r="D10" t="s">
        <v>1736</v>
      </c>
      <c r="E10" t="s">
        <v>1687</v>
      </c>
      <c r="N10" t="str">
        <f t="shared" si="0"/>
        <v>{szContent="阴山商路运输物资成功开启！请帮会有权限的侠士到黑戈壁帮会物资主簿处申请成为运货首领开始运送！\n",szNote="阴山商路·开启",col={100,255,255,},[20]={},},</v>
      </c>
    </row>
    <row r="11" spans="1:14">
      <c r="C11" t="s">
        <v>1777</v>
      </c>
      <c r="D11" t="s">
        <v>1778</v>
      </c>
      <c r="E11" t="s">
        <v>1687</v>
      </c>
      <c r="N11" t="str">
        <f t="shared" si="0"/>
        <v>{szContent="江湖急报：巴陵县出现罕见异兽，请深通驭兽秘术之侠客前往收服，以解百姓之忧。\n",szNote="巴陵御兽·开启",col={100,255,255,},[20]={},},</v>
      </c>
    </row>
    <row r="12" spans="1:14">
      <c r="C12" t="s">
        <v>1779</v>
      </c>
      <c r="D12" t="s">
        <v>1780</v>
      </c>
      <c r="E12" t="s">
        <v>1687</v>
      </c>
      <c r="K12">
        <v>1</v>
      </c>
      <c r="N12" t="str">
        <f t="shared" si="0"/>
        <v>{szContent="江湖快报！卫栖梧正在寻找绝世轻功之人，其友[唐文羽]已在少林举办梅花桩试炼大赛，望广大轻功能人速来少林参赛！\n",szNote="扶摇九天·开启",col={100,255,255,},[20]={bCenterAlarm=true,},},</v>
      </c>
    </row>
    <row r="13" spans="1:14">
      <c r="C13" t="s">
        <v>1781</v>
      </c>
      <c r="N13" t="str">
        <f t="shared" si="0"/>
        <v>{szContent="交易行私货正在拍卖广陵邑7200平【园宅置业·天苑】，侠士们切勿错过！\n",[20]={},},</v>
      </c>
    </row>
    <row r="14" spans="1:14">
      <c r="C14" t="s">
        <v>1782</v>
      </c>
      <c r="N14" t="str">
        <f t="shared" si="0"/>
        <v>{szContent="交易行私货正在拍卖九寨沟·镜海7200平【万年金券】，侠士们切勿错过！\n",[20]={},},</v>
      </c>
    </row>
    <row r="15" customFormat="1" spans="1:14">
      <c r="C15" t="s">
        <v>1783</v>
      </c>
      <c r="E15" t="s">
        <v>1730</v>
      </c>
      <c r="G15">
        <v>1</v>
      </c>
      <c r="N15" t="str">
        <f t="shared" si="0"/>
        <v>{szContent="^%[(.-)%]：(%d+)/(1?%d%d)\n",col={255,255,100,},bReg=true,[20]={},},</v>
      </c>
    </row>
    <row r="16" spans="1:14">
      <c r="C16" t="s">
        <v>1784</v>
      </c>
      <c r="E16" t="s">
        <v>1730</v>
      </c>
      <c r="G16">
        <v>1</v>
      </c>
      <c r="N16" t="str">
        <f t="shared" si="0"/>
        <v>{szContent="^你驯养的(.-)[触发]-事件“(.-)”([消除了]-)。",col={255,255,100,},bReg=true,[20]={},},</v>
      </c>
    </row>
    <row r="17" spans="1:14">
      <c r="C17" t="s">
        <v>1785</v>
      </c>
      <c r="D17" t="s">
        <v>1786</v>
      </c>
      <c r="E17" t="s">
        <v>1730</v>
      </c>
      <c r="G17">
        <v>1</v>
      </c>
      <c r="N17" t="str">
        <f t="shared" si="0"/>
        <v>{szContent="^密探来报：%\"(.-)%\"(.-)出现在(.-)[前尘影事]-[“]-([峥嵘振武]-)[”]-([主分线]-)，",szNote="世界首领·出现",col={255,255,100,},bReg=true,[20]={},},</v>
      </c>
    </row>
    <row r="18" spans="1:14">
      <c r="A18" t="s">
        <v>634</v>
      </c>
      <c r="B18">
        <v>-7</v>
      </c>
      <c r="N18" t="str">
        <f t="shared" si="0"/>
        <v>},[-7]={</v>
      </c>
    </row>
    <row r="19" spans="1:14">
      <c r="C19" t="s">
        <v>1766</v>
      </c>
      <c r="F19">
        <v>1</v>
      </c>
      <c r="N19" t="str">
        <f t="shared" si="0"/>
        <v>{szContent="你已进入地图",bSearch=true,[20]={},},</v>
      </c>
    </row>
    <row r="20" spans="1:14">
      <c r="C20" t="s">
        <v>1787</v>
      </c>
      <c r="N20" t="str">
        <f t="shared" si="0"/>
        <v>{szContent="关闭阵营模式剩余时间：5分钟。\n",[20]={},},</v>
      </c>
    </row>
    <row r="21" spans="1:14">
      <c r="C21" t="s">
        <v>1788</v>
      </c>
      <c r="N21" t="str">
        <f t="shared" si="0"/>
        <v>{szContent="关闭阵营模式剩余时间：4分钟。\n",[20]={},},</v>
      </c>
    </row>
    <row r="22" spans="1:14">
      <c r="C22" t="s">
        <v>1789</v>
      </c>
      <c r="N22" t="str">
        <f t="shared" si="0"/>
        <v>{szContent="关闭阵营模式剩余时间：3分钟。\n",[20]={},},</v>
      </c>
    </row>
    <row r="23" spans="1:14">
      <c r="C23" t="s">
        <v>1790</v>
      </c>
      <c r="N23" t="str">
        <f t="shared" si="0"/>
        <v>{szContent="关闭阵营模式剩余时间：2分钟。\n",[20]={},},</v>
      </c>
    </row>
    <row r="24" spans="1:14">
      <c r="C24" t="s">
        <v>1791</v>
      </c>
      <c r="N24" t="str">
        <f t="shared" si="0"/>
        <v>{szContent="关闭阵营模式剩余时间：1分钟。\n",[20]={},},</v>
      </c>
    </row>
    <row r="25" spans="1:14">
      <c r="C25" t="s">
        <v>1792</v>
      </c>
      <c r="N25" t="str">
        <f t="shared" si="0"/>
        <v>{szContent="你成功关闭了阵营模式。\n",[20]={},},</v>
      </c>
    </row>
    <row r="26" spans="1:14">
      <c r="C26" t="s">
        <v>1793</v>
      </c>
      <c r="N26" t="str">
        <f t="shared" si="0"/>
        <v>{szContent="关闭阵营模式失败。\n",[20]={},},</v>
      </c>
    </row>
    <row r="27" spans="1:14">
      <c r="C27" t="s">
        <v>1775</v>
      </c>
      <c r="E27" t="s">
        <v>1687</v>
      </c>
      <c r="N27" t="str">
        <f t="shared" si="0"/>
        <v>{szContent="帮会领地唱晚池突现异常，各类鱼儿异常活跃，鱼儿上钩时间大大缩短！各路已满80级的侠士可前往一试，定能收获不菲。\n",col={100,255,255,},[20]={},},</v>
      </c>
    </row>
    <row r="28" spans="1:14">
      <c r="C28" t="s">
        <v>1773</v>
      </c>
      <c r="D28" t="s">
        <v>1774</v>
      </c>
      <c r="E28" t="s">
        <v>1687</v>
      </c>
      <c r="N28" t="str">
        <f t="shared" si="0"/>
        <v>{szContent="南宫麒：随着暮色降临，扬州、五毒、明教、苍云、战乱天策魂虚场景中的魂灵变得活跃起来，各位方士不妨出魂一探究竟，说不定有意外收获！\n",szNote="方士活动·已经开启",col={100,255,255,},[20]={},},</v>
      </c>
    </row>
    <row r="29" spans="1:14">
      <c r="C29" t="s">
        <v>1776</v>
      </c>
      <c r="D29" t="s">
        <v>1736</v>
      </c>
      <c r="E29" t="s">
        <v>1687</v>
      </c>
      <c r="N29" t="str">
        <f t="shared" si="0"/>
        <v>{szContent="阴山商路运输物资成功开启！请帮会有权限的侠士到黑戈壁帮会物资主簿处申请成为运货首领开始运送！\n",szNote="阴山商路·开启",col={100,255,255,},[20]={},},</v>
      </c>
    </row>
    <row r="30" spans="1:14">
      <c r="C30" t="s">
        <v>1777</v>
      </c>
      <c r="D30" t="s">
        <v>1778</v>
      </c>
      <c r="E30" t="s">
        <v>1687</v>
      </c>
      <c r="N30" t="str">
        <f t="shared" si="0"/>
        <v>{szContent="江湖急报：巴陵县出现罕见异兽，请深通驭兽秘术之侠客前往收服，以解百姓之忧。\n",szNote="巴陵御兽·开启",col={100,255,255,},[20]={},},</v>
      </c>
    </row>
    <row r="31" spans="1:14">
      <c r="C31" t="s">
        <v>1779</v>
      </c>
      <c r="D31" t="s">
        <v>1780</v>
      </c>
      <c r="E31" t="s">
        <v>1687</v>
      </c>
      <c r="K31">
        <v>1</v>
      </c>
      <c r="N31" t="str">
        <f t="shared" si="0"/>
        <v>{szContent="江湖快报！卫栖梧正在寻找绝世轻功之人，其友[唐文羽]已在少林举办梅花桩试炼大赛，望广大轻功能人速来少林参赛！\n",szNote="扶摇九天·开启",col={100,255,255,},[20]={bCenterAlarm=true,},},</v>
      </c>
    </row>
    <row r="32" spans="1:14">
      <c r="C32" t="s">
        <v>1794</v>
      </c>
      <c r="N32" t="str">
        <f t="shared" si="0"/>
        <v>{szContent="对方不在线。\n",[20]={},},</v>
      </c>
    </row>
    <row r="33" spans="1:35">
      <c r="C33" t="s">
        <v>1795</v>
      </c>
      <c r="D33" t="s">
        <v>1796</v>
      </c>
      <c r="F33">
        <v>1</v>
      </c>
      <c r="K33">
        <v>1</v>
      </c>
      <c r="N33" t="str">
        <f t="shared" si="0"/>
        <v>{szContent="已切换到“摁键发言”模式，",szNote="麦克风·摁键发言",bSearch=true,[20]={bCenterAlarm=true,},},</v>
      </c>
    </row>
    <row r="34" spans="1:35">
      <c r="C34" t="s">
        <v>1771</v>
      </c>
      <c r="D34" t="s">
        <v>1772</v>
      </c>
      <c r="K34">
        <v>1</v>
      </c>
      <c r="N34" t="str">
        <f t="shared" si="0"/>
        <v>{szContent="援助关系绑定成功，退队可主动解除，但会受到一定惩罚。若对方离线，主动退队解除关系将不受惩罚。\n",szNote="援助·已绑定",[20]={bCenterAlarm=true,},},</v>
      </c>
    </row>
    <row r="35" spans="1:35">
      <c r="C35" t="s">
        <v>1769</v>
      </c>
      <c r="D35" t="s">
        <v>1770</v>
      </c>
      <c r="K35">
        <v>1</v>
      </c>
      <c r="N35" t="str">
        <f t="shared" ref="N35:N66" si="1">IF(ISBLANK(B35)=FALSE,IF(ISBLANK(B34),"},["&amp;B35&amp;"]={","["&amp;B35&amp;"]={"),IF(AND(ISBLANK(B35),ISBLANK(C35),ISBLANK(F35),ISBLANK(G35),OR(ISBLANK(B34)=FALSE,ISBLANK(C34)=FALSE,ISBLANK(F34)=FALSE,ISBLANK(G34)=FALSE)),"},},}",IF(ISBLANK(C35),"","{szContent="""&amp;C35&amp;""","&amp;IF(D35&lt;&gt;"","szNote="""&amp;D35&amp;""",","")&amp;IF(E35&lt;&gt;"","col={"&amp;E35&amp;"},","")&amp;IF(F35&gt;0,"bSearch=true,","")&amp;IF(G35&gt;0,"bReg=true,","")&amp;"[20]={"&amp;IF(H35&gt;0,"szVoice="""&amp;H35&amp;""",","")&amp;IF(I35&gt;0,"bTeamChannel=true,","")&amp;IF(J35&gt;0,"bWhisperChannel=true,","")&amp;IF(K35&gt;0,"bCenterAlarm=true,","")&amp;IF(L35&gt;0,"bScreenHead=true,","")&amp;IF(M35&gt;0,"bFullScreen=true,","")&amp;"},"&amp;IF(O35&lt;&gt;"","tCountdown={"&amp;_xlfn.TEXTJOIN("",TRUE,O35:AAA35)&amp;"},","")&amp;"},")))</f>
        <v>{szContent="您的宠物已消除忧虑，变得活泼欢快。\n",szNote="宠物已消除忧虑",[20]={bCenterAlarm=true,},},</v>
      </c>
    </row>
    <row r="36" spans="1:35">
      <c r="C36" t="s">
        <v>1797</v>
      </c>
      <c r="N36" t="str">
        <f t="shared" si="1"/>
        <v>{szContent="你的武斗值增加了20点。\n",[20]={},},</v>
      </c>
    </row>
    <row r="37" spans="1:35">
      <c r="C37" t="s">
        <v>1798</v>
      </c>
      <c r="N37" t="str">
        <f t="shared" si="1"/>
        <v>{szContent="你的武斗值增加了30点。\n",[20]={},},</v>
      </c>
    </row>
    <row r="38" spans="1:35">
      <c r="C38" t="s">
        <v>1784</v>
      </c>
      <c r="E38" t="s">
        <v>1730</v>
      </c>
      <c r="G38">
        <v>1</v>
      </c>
      <c r="N38" t="str">
        <f t="shared" si="1"/>
        <v>{szContent="^你驯养的(.-)[触发]-事件“(.-)”([消除了]-)。",col={255,255,100,},bReg=true,[20]={},},</v>
      </c>
    </row>
    <row r="39" spans="1:35">
      <c r="C39" t="s">
        <v>1783</v>
      </c>
      <c r="E39" t="s">
        <v>1730</v>
      </c>
      <c r="G39">
        <v>1</v>
      </c>
      <c r="N39" t="str">
        <f t="shared" si="1"/>
        <v>{szContent="^%[(.-)%]：(%d+)/(1?%d%d)\n",col={255,255,100,},bReg=true,[20]={},},</v>
      </c>
    </row>
    <row r="40" spans="1:35">
      <c r="C40" t="s">
        <v>1799</v>
      </c>
      <c r="E40" t="s">
        <v>1730</v>
      </c>
      <c r="G40">
        <v>1</v>
      </c>
      <c r="N40" t="str">
        <f t="shared" si="1"/>
        <v>{szContent="^本日还能从本事件获得(%d-)贡献度的奖励。",col={255,255,100,},bReg=true,[20]={},},</v>
      </c>
    </row>
    <row r="41" spans="1:35">
      <c r="C41" t="s">
        <v>1785</v>
      </c>
      <c r="D41" t="s">
        <v>1786</v>
      </c>
      <c r="E41" t="s">
        <v>1730</v>
      </c>
      <c r="G41">
        <v>1</v>
      </c>
      <c r="N41" t="str">
        <f t="shared" si="1"/>
        <v>{szContent="^密探来报：%\"(.-)%\"(.-)出现在(.-)[前尘影事]-[“]-([峥嵘振武]-)[”]-([主分线]-)，",szNote="世界首领·出现",col={255,255,100,},bReg=true,[20]={},},</v>
      </c>
    </row>
    <row r="42" spans="1:35">
      <c r="C42" t="s">
        <v>1800</v>
      </c>
      <c r="D42" t="s">
        <v>1801</v>
      </c>
      <c r="E42" t="s">
        <v>730</v>
      </c>
      <c r="G42">
        <v>1</v>
      </c>
      <c r="K42">
        <v>1</v>
      </c>
      <c r="N42" t="str">
        <f t="shared" si="1"/>
        <v>{szContent="(.-)已经添加(.-)为(.-)，将在(%d-)秒后对(.-)开启(.-)战斗。",szNote="{$1}·添加·{$2}·{$3}",col={255,50,50,},bReg=true,[20]={bCenterAlarm=true,},},</v>
      </c>
    </row>
    <row r="43" spans="1:35">
      <c r="C43" t="s">
        <v>1802</v>
      </c>
      <c r="D43" t="s">
        <v>1803</v>
      </c>
      <c r="E43" t="s">
        <v>730</v>
      </c>
      <c r="G43">
        <v>1</v>
      </c>
      <c r="N43" t="str">
        <f t="shared" si="1"/>
        <v>{szContent="(.-)对你使用了截元丹，你的原地复活时间被延长了。",szNote="截元丹·【{$1}】",col={255,50,50,},bReg=true,[20]={},},</v>
      </c>
    </row>
    <row r="44" customFormat="1" spans="1:35">
      <c r="A44" t="s">
        <v>677</v>
      </c>
      <c r="B44">
        <v>-3</v>
      </c>
      <c r="N44" t="str">
        <f t="shared" si="1"/>
        <v>},[-3]={</v>
      </c>
    </row>
    <row r="45" customFormat="1" spans="1:35">
      <c r="C45" t="s">
        <v>1804</v>
      </c>
      <c r="D45" t="s">
        <v>1805</v>
      </c>
      <c r="F45">
        <v>1</v>
      </c>
      <c r="N45" t="str">
        <f t="shared" si="1"/>
        <v>{szContent="财神降临！慷慨之士 {$team} 正在",szNote="【{$receiver}】·正在发红包",bSearch=true,[20]={},},</v>
      </c>
    </row>
    <row r="46" customFormat="1" spans="1:35">
      <c r="C46" t="s">
        <v>1806</v>
      </c>
      <c r="D46" t="s">
        <v>1807</v>
      </c>
      <c r="F46">
        <v>1</v>
      </c>
      <c r="N46" t="str">
        <f t="shared" si="1"/>
        <v>{szContent="侠士",szNote="屏蔽·的卢·诛恶·攻防·刷马",bSearch=true,[20]={},},</v>
      </c>
    </row>
    <row r="47" spans="1:35">
      <c r="A47" t="s">
        <v>688</v>
      </c>
      <c r="B47">
        <v>-2</v>
      </c>
      <c r="N47" t="str">
        <f t="shared" si="1"/>
        <v>},[-2]={</v>
      </c>
    </row>
    <row r="48" spans="1:35">
      <c r="C48" t="s">
        <v>1766</v>
      </c>
      <c r="F48">
        <v>1</v>
      </c>
      <c r="N48" t="str">
        <f t="shared" si="1"/>
        <v>{szContent="你已进入地图",bSearch=true,[20]={},},</v>
      </c>
      <c r="Z48" t="s">
        <v>1808</v>
      </c>
      <c r="AA48" t="s">
        <v>1809</v>
      </c>
      <c r="AB48" t="s">
        <v>1810</v>
      </c>
      <c r="AC48" t="s">
        <v>1811</v>
      </c>
      <c r="AD48" t="s">
        <v>1812</v>
      </c>
      <c r="AE48" t="s">
        <v>1813</v>
      </c>
      <c r="AF48" t="s">
        <v>1814</v>
      </c>
      <c r="AG48" t="s">
        <v>1815</v>
      </c>
      <c r="AH48" t="s">
        <v>1816</v>
      </c>
      <c r="AI48" t="s">
        <v>1817</v>
      </c>
    </row>
    <row r="49" spans="3:29">
      <c r="C49" t="s">
        <v>1818</v>
      </c>
      <c r="E49" t="s">
        <v>1730</v>
      </c>
      <c r="G49">
        <v>1</v>
      </c>
      <c r="N49" t="str">
        <f t="shared" si="1"/>
        <v>{szContent="^%[(.-)%]服务器：%[(.-)%]大侠，率领%[([浩气盟恶人谷]-)%]阵营侠士们，成功夺得【(.-)】",col={255,255,100,},bReg=true,[20]={},},</v>
      </c>
    </row>
    <row r="50" spans="3:29">
      <c r="C50" t="s">
        <v>1785</v>
      </c>
      <c r="D50" t="s">
        <v>1786</v>
      </c>
      <c r="E50" t="s">
        <v>1730</v>
      </c>
      <c r="G50">
        <v>1</v>
      </c>
      <c r="N50" t="str">
        <f t="shared" si="1"/>
        <v>{szContent="^密探来报：%\"(.-)%\"(.-)出现在(.-)[前尘影事]-[“]-([峥嵘振武]-)[”]-([主分线]-)，",szNote="世界首领·出现",col={255,255,100,},bReg=true,[20]={},},</v>
      </c>
    </row>
    <row r="51" spans="3:29">
      <c r="C51" t="s">
        <v>1784</v>
      </c>
      <c r="E51" t="s">
        <v>1730</v>
      </c>
      <c r="G51">
        <v>1</v>
      </c>
      <c r="N51" t="str">
        <f t="shared" si="1"/>
        <v>{szContent="^你驯养的(.-)[触发]-事件“(.-)”([消除了]-)。",col={255,255,100,},bReg=true,[20]={},},</v>
      </c>
      <c r="Z51" t="s">
        <v>1819</v>
      </c>
      <c r="AA51" t="s">
        <v>1820</v>
      </c>
    </row>
    <row r="52" spans="3:29">
      <c r="C52" t="s">
        <v>1794</v>
      </c>
      <c r="N52" t="str">
        <f t="shared" si="1"/>
        <v>{szContent="对方不在线。\n",[20]={},},</v>
      </c>
    </row>
    <row r="53" spans="3:29">
      <c r="C53" t="s">
        <v>1795</v>
      </c>
      <c r="D53" t="s">
        <v>1796</v>
      </c>
      <c r="F53">
        <v>1</v>
      </c>
      <c r="K53">
        <v>1</v>
      </c>
      <c r="N53" t="str">
        <f t="shared" si="1"/>
        <v>{szContent="已切换到“摁键发言”模式，",szNote="麦克风·摁键发言",bSearch=true,[20]={bCenterAlarm=true,},},</v>
      </c>
    </row>
    <row r="54" spans="3:29">
      <c r="C54" t="s">
        <v>1821</v>
      </c>
      <c r="N54" t="str">
        <f t="shared" si="1"/>
        <v>{szContent="你无法携带更多的任务奖励道具\n",[20]={},},</v>
      </c>
    </row>
    <row r="55" spans="3:29">
      <c r="C55" t="s">
        <v>1768</v>
      </c>
      <c r="N55" t="str">
        <f t="shared" si="1"/>
        <v>{szContent="您离开了战场的等待队列。\n",[20]={},},</v>
      </c>
      <c r="Z55" t="s">
        <v>1822</v>
      </c>
      <c r="AA55" t="s">
        <v>1823</v>
      </c>
      <c r="AB55" t="s">
        <v>1824</v>
      </c>
      <c r="AC55" t="s">
        <v>1825</v>
      </c>
    </row>
    <row r="56" spans="3:29">
      <c r="C56" t="s">
        <v>1767</v>
      </c>
      <c r="N56" t="str">
        <f t="shared" si="1"/>
        <v>{szContent="您已经加入战场等待队列。\n",[20]={},},</v>
      </c>
    </row>
    <row r="57" spans="3:29">
      <c r="C57" t="s">
        <v>1775</v>
      </c>
      <c r="E57" t="s">
        <v>1687</v>
      </c>
      <c r="N57" t="str">
        <f t="shared" si="1"/>
        <v>{szContent="帮会领地唱晚池突现异常，各类鱼儿异常活跃，鱼儿上钩时间大大缩短！各路已满80级的侠士可前往一试，定能收获不菲。\n",col={100,255,255,},[20]={},},</v>
      </c>
    </row>
    <row r="58" spans="3:29">
      <c r="C58" t="s">
        <v>1773</v>
      </c>
      <c r="D58" t="s">
        <v>1774</v>
      </c>
      <c r="E58" t="s">
        <v>1687</v>
      </c>
      <c r="N58" t="str">
        <f t="shared" si="1"/>
        <v>{szContent="南宫麒：随着暮色降临，扬州、五毒、明教、苍云、战乱天策魂虚场景中的魂灵变得活跃起来，各位方士不妨出魂一探究竟，说不定有意外收获！\n",szNote="方士活动·已经开启",col={100,255,255,},[20]={},},</v>
      </c>
    </row>
    <row r="59" spans="3:29">
      <c r="C59" t="s">
        <v>1776</v>
      </c>
      <c r="D59" t="s">
        <v>1736</v>
      </c>
      <c r="E59" t="s">
        <v>1687</v>
      </c>
      <c r="N59" t="str">
        <f t="shared" si="1"/>
        <v>{szContent="阴山商路运输物资成功开启！请帮会有权限的侠士到黑戈壁帮会物资主簿处申请成为运货首领开始运送！\n",szNote="阴山商路·开启",col={100,255,255,},[20]={},},</v>
      </c>
    </row>
    <row r="60" spans="3:29">
      <c r="C60" t="s">
        <v>1777</v>
      </c>
      <c r="D60" t="s">
        <v>1778</v>
      </c>
      <c r="E60" t="s">
        <v>1687</v>
      </c>
      <c r="N60" t="str">
        <f t="shared" si="1"/>
        <v>{szContent="江湖急报：巴陵县出现罕见异兽，请深通驭兽秘术之侠客前往收服，以解百姓之忧。\n",szNote="巴陵御兽·开启",col={100,255,255,},[20]={},},</v>
      </c>
    </row>
    <row r="61" spans="3:29">
      <c r="C61" t="s">
        <v>1779</v>
      </c>
      <c r="D61" t="s">
        <v>1780</v>
      </c>
      <c r="E61" t="s">
        <v>1687</v>
      </c>
      <c r="K61">
        <v>1</v>
      </c>
      <c r="N61" t="str">
        <f t="shared" si="1"/>
        <v>{szContent="江湖快报！卫栖梧正在寻找绝世轻功之人，其友[唐文羽]已在少林举办梅花桩试炼大赛，望广大轻功能人速来少林参赛！\n",szNote="扶摇九天·开启",col={100,255,255,},[20]={bCenterAlarm=true,},},</v>
      </c>
    </row>
    <row r="62" spans="3:29">
      <c r="C62" t="s">
        <v>1771</v>
      </c>
      <c r="D62" t="s">
        <v>1772</v>
      </c>
      <c r="K62">
        <v>1</v>
      </c>
      <c r="N62" t="str">
        <f t="shared" si="1"/>
        <v>{szContent="援助关系绑定成功，退队可主动解除，但会受到一定惩罚。若对方离线，主动退队解除关系将不受惩罚。\n",szNote="援助·已绑定",[20]={bCenterAlarm=true,},},</v>
      </c>
    </row>
    <row r="63" spans="3:29">
      <c r="C63" t="s">
        <v>1769</v>
      </c>
      <c r="D63" t="s">
        <v>1770</v>
      </c>
      <c r="K63">
        <v>1</v>
      </c>
      <c r="N63" t="str">
        <f t="shared" si="1"/>
        <v>{szContent="您的宠物已消除忧虑，变得活泼欢快。\n",szNote="宠物已消除忧虑",[20]={bCenterAlarm=true,},},</v>
      </c>
    </row>
    <row r="64" spans="3:29">
      <c r="C64" t="s">
        <v>1782</v>
      </c>
      <c r="N64" t="str">
        <f t="shared" si="1"/>
        <v>{szContent="交易行私货正在拍卖九寨沟·镜海7200平【万年金券】，侠士们切勿错过！\n",[20]={},},</v>
      </c>
    </row>
    <row r="65" spans="1:14">
      <c r="C65" t="s">
        <v>1781</v>
      </c>
      <c r="N65" t="str">
        <f t="shared" si="1"/>
        <v>{szContent="交易行私货正在拍卖广陵邑7200平【园宅置业·天苑】，侠士们切勿错过！\n",[20]={},},</v>
      </c>
    </row>
    <row r="66" spans="1:14">
      <c r="C66" t="s">
        <v>1826</v>
      </c>
      <c r="F66">
        <v>1</v>
      </c>
      <c r="N66" t="str">
        <f t="shared" si="1"/>
        <v>{szContent="你已接受了[大战！",bSearch=true,[20]={},},</v>
      </c>
    </row>
    <row r="67" spans="1:14">
      <c r="C67" t="s">
        <v>1827</v>
      </c>
      <c r="N67" t="str">
        <f t="shared" ref="N67:N98" si="2">IF(ISBLANK(B67)=FALSE,IF(ISBLANK(B66),"},["&amp;B67&amp;"]={","["&amp;B67&amp;"]={"),IF(AND(ISBLANK(B67),ISBLANK(C67),ISBLANK(F67),ISBLANK(G67),OR(ISBLANK(B66)=FALSE,ISBLANK(C66)=FALSE,ISBLANK(F66)=FALSE,ISBLANK(G66)=FALSE)),"},},}",IF(ISBLANK(C67),"","{szContent="""&amp;C67&amp;""","&amp;IF(D67&lt;&gt;"","szNote="""&amp;D67&amp;""",","")&amp;IF(E67&lt;&gt;"","col={"&amp;E67&amp;"},","")&amp;IF(F67&gt;0,"bSearch=true,","")&amp;IF(G67&gt;0,"bReg=true,","")&amp;"[20]={"&amp;IF(H67&gt;0,"szVoice="""&amp;H67&amp;""",","")&amp;IF(I67&gt;0,"bTeamChannel=true,","")&amp;IF(J67&gt;0,"bWhisperChannel=true,","")&amp;IF(K67&gt;0,"bCenterAlarm=true,","")&amp;IF(L67&gt;0,"bScreenHead=true,","")&amp;IF(M67&gt;0,"bFullScreen=true,","")&amp;"},"&amp;IF(O67&lt;&gt;"","tCountdown={"&amp;_xlfn.TEXTJOIN("",TRUE,O67:AAA67)&amp;"},","")&amp;"},")))</f>
        <v>{szContent="你已接受了[江湖秘闻]。\n",[20]={},},</v>
      </c>
    </row>
    <row r="68" spans="1:14">
      <c r="C68" t="s">
        <v>1828</v>
      </c>
      <c r="N68" t="str">
        <f t="shared" si="2"/>
        <v>{szContent="你已接受了[潜行狙击]。\n",[20]={},},</v>
      </c>
    </row>
    <row r="69" spans="1:14">
      <c r="C69" t="s">
        <v>1829</v>
      </c>
      <c r="N69" t="str">
        <f t="shared" si="2"/>
        <v>{szContent="你已接受了[品茶鉴水·顾渚紫笋]。\n",[20]={},},</v>
      </c>
    </row>
    <row r="70" spans="1:14">
      <c r="C70" t="s">
        <v>1830</v>
      </c>
      <c r="N70" t="str">
        <f t="shared" si="2"/>
        <v>{szContent="你已接受了[品茶鉴水·仙崖石花]。\n",[20]={},},</v>
      </c>
    </row>
    <row r="71" spans="1:14">
      <c r="C71" t="s">
        <v>1831</v>
      </c>
      <c r="N71" t="str">
        <f t="shared" si="2"/>
        <v>{szContent="你已接受了[品茶鉴水·峨眉白芽]。\n",[20]={},},</v>
      </c>
    </row>
    <row r="72" spans="1:14">
      <c r="C72" t="s">
        <v>1832</v>
      </c>
      <c r="N72" t="str">
        <f t="shared" si="2"/>
        <v>{szContent="你已接受了[品茶鉴水·蒙顶石花]。\n",[20]={},},</v>
      </c>
    </row>
    <row r="73" spans="1:14">
      <c r="C73" t="s">
        <v>1833</v>
      </c>
      <c r="N73" t="str">
        <f t="shared" si="2"/>
        <v>{szContent="你已接受了[品茶鉴水·西山白露]。\n",[20]={},},</v>
      </c>
    </row>
    <row r="74" spans="1:14">
      <c r="C74" t="s">
        <v>1834</v>
      </c>
      <c r="N74" t="str">
        <f t="shared" si="2"/>
        <v>{szContent="你已接受了[公平交易·庐山云雾茶]。\n",[20]={},},</v>
      </c>
    </row>
    <row r="75" spans="1:14">
      <c r="C75" t="s">
        <v>1835</v>
      </c>
      <c r="N75" t="str">
        <f t="shared" si="2"/>
        <v>{szContent="你已接受了[公平交易·仙人掌茶]。\n",[20]={},},</v>
      </c>
    </row>
    <row r="76" spans="1:14">
      <c r="C76" t="s">
        <v>1836</v>
      </c>
      <c r="N76" t="str">
        <f t="shared" si="2"/>
        <v>{szContent="你已接受了[公平交易·阳羡茶]。\n",[20]={},},</v>
      </c>
    </row>
    <row r="77" spans="1:14">
      <c r="C77" t="s">
        <v>1837</v>
      </c>
      <c r="N77" t="str">
        <f t="shared" si="2"/>
        <v>{szContent="你已接受了[公平交易·霍山黄芽]。\n",[20]={},},</v>
      </c>
    </row>
    <row r="78" spans="1:14">
      <c r="C78" t="s">
        <v>1838</v>
      </c>
      <c r="N78" t="str">
        <f t="shared" si="2"/>
        <v>{szContent="你已接受了[公平交易·方山露芽]。\n",[20]={},},</v>
      </c>
    </row>
    <row r="79" spans="1:14">
      <c r="A79" t="s">
        <v>696</v>
      </c>
      <c r="B79">
        <v>-1</v>
      </c>
      <c r="N79" t="str">
        <f t="shared" si="2"/>
        <v>},[-1]={</v>
      </c>
    </row>
    <row r="80" spans="1:14">
      <c r="C80" t="s">
        <v>1839</v>
      </c>
      <c r="D80" t="s">
        <v>1840</v>
      </c>
      <c r="F80">
        <v>1</v>
      </c>
      <c r="K80">
        <v>1</v>
      </c>
      <c r="N80" t="str">
        <f t="shared" si="2"/>
        <v>{szContent="已开启自动连放，再次按下可取消\n",szNote="自动连放·已经开启",bSearch=true,[20]={bCenterAlarm=true,},},</v>
      </c>
    </row>
    <row r="81" spans="3:34">
      <c r="C81" t="s">
        <v>1841</v>
      </c>
      <c r="D81" t="s">
        <v>1842</v>
      </c>
      <c r="F81">
        <v>1</v>
      </c>
      <c r="K81">
        <v>1</v>
      </c>
      <c r="N81" t="str">
        <f t="shared" si="2"/>
        <v>{szContent="小队的 {$team} 率先攻击了",szNote="【{$receiver}】开怪了！",bSearch=true,[20]={bCenterAlarm=true,},},</v>
      </c>
    </row>
    <row r="82" spans="3:34">
      <c r="C82" t="s">
        <v>1843</v>
      </c>
      <c r="D82" t="s">
        <v>1844</v>
      </c>
      <c r="K82">
        <v>1</v>
      </c>
      <c r="N82" t="str">
        <f t="shared" si="2"/>
        <v>{szContent="目前队伍分配模式为：自由拾取。\n",szNote="分配模式：自由拾取",[20]={bCenterAlarm=true,},},</v>
      </c>
    </row>
    <row r="83" spans="3:34">
      <c r="C83" t="s">
        <v>1845</v>
      </c>
      <c r="D83" t="s">
        <v>1846</v>
      </c>
      <c r="K83">
        <v>1</v>
      </c>
      <c r="N83" t="str">
        <f t="shared" si="2"/>
        <v>{szContent="目前队伍分配模式为：队伍拾取。\n",szNote="分配模式：队伍拾取",[20]={bCenterAlarm=true,},},</v>
      </c>
    </row>
    <row r="84" spans="3:34">
      <c r="C84" t="s">
        <v>1847</v>
      </c>
      <c r="D84" t="s">
        <v>1848</v>
      </c>
      <c r="K84">
        <v>1</v>
      </c>
      <c r="N84" t="str">
        <f t="shared" si="2"/>
        <v>{szContent="目前队伍分配模式为：拍团分配。\n",szNote="分配模式：拍团分配",[20]={bCenterAlarm=true,},},</v>
      </c>
    </row>
    <row r="85" spans="3:34">
      <c r="C85" t="s">
        <v>1849</v>
      </c>
      <c r="D85" t="s">
        <v>1850</v>
      </c>
      <c r="K85">
        <v>1</v>
      </c>
      <c r="N85" t="str">
        <f t="shared" si="2"/>
        <v>{szContent="目前队伍分配模式为：分配者分配。\n",szNote="分配模式：分配者分配",[20]={bCenterAlarm=true,},},</v>
      </c>
    </row>
    <row r="86" spans="3:34">
      <c r="C86" t="s">
        <v>1766</v>
      </c>
      <c r="F86">
        <v>1</v>
      </c>
      <c r="N86" t="str">
        <f t="shared" si="2"/>
        <v>{szContent="你已进入地图",bSearch=true,[20]={},},</v>
      </c>
      <c r="Z86" t="s">
        <v>1809</v>
      </c>
      <c r="AA86" t="s">
        <v>1810</v>
      </c>
      <c r="AB86" t="s">
        <v>1811</v>
      </c>
      <c r="AC86" t="s">
        <v>1812</v>
      </c>
      <c r="AD86" t="s">
        <v>1813</v>
      </c>
      <c r="AE86" t="s">
        <v>1814</v>
      </c>
      <c r="AF86" t="s">
        <v>1815</v>
      </c>
      <c r="AG86" t="s">
        <v>1816</v>
      </c>
      <c r="AH86" t="s">
        <v>1817</v>
      </c>
    </row>
    <row r="87" spans="3:34">
      <c r="C87" t="s">
        <v>1851</v>
      </c>
      <c r="D87" t="s">
        <v>1852</v>
      </c>
      <c r="K87">
        <v>1</v>
      </c>
      <c r="N87" t="str">
        <f t="shared" si="2"/>
        <v>{szContent="已关闭麦克风\n",szNote="麦克风·已关闭",[20]={bCenterAlarm=true,},},</v>
      </c>
    </row>
    <row r="88" spans="3:34">
      <c r="C88" t="s">
        <v>1853</v>
      </c>
      <c r="D88" t="s">
        <v>1854</v>
      </c>
      <c r="K88">
        <v>1</v>
      </c>
      <c r="N88" t="str">
        <f t="shared" si="2"/>
        <v>{szContent="已切换到“自由发言”模式\n",szNote="麦克风·自由发言",[20]={bCenterAlarm=true,},},</v>
      </c>
    </row>
    <row r="89" spans="3:34">
      <c r="C89" t="s">
        <v>1855</v>
      </c>
      <c r="D89" t="s">
        <v>1856</v>
      </c>
      <c r="N89" t="str">
        <f t="shared" si="2"/>
        <v>{szContent="您离开了名剑大会的等待队列。\n",szNote="离开排队·名剑大会",[20]={},},</v>
      </c>
    </row>
    <row r="90" spans="3:34">
      <c r="C90" t="s">
        <v>1857</v>
      </c>
      <c r="D90" t="s">
        <v>1858</v>
      </c>
      <c r="K90">
        <v>1</v>
      </c>
      <c r="N90" t="str">
        <f t="shared" si="2"/>
        <v>{szContent="您已经加入2对2的名剑大会等待队列中。\n",szNote="排队·名剑大会·2v2",[20]={bCenterAlarm=true,},},</v>
      </c>
    </row>
    <row r="91" spans="3:34">
      <c r="C91" t="s">
        <v>1859</v>
      </c>
      <c r="D91" t="s">
        <v>1860</v>
      </c>
      <c r="K91">
        <v>1</v>
      </c>
      <c r="N91" t="str">
        <f t="shared" si="2"/>
        <v>{szContent="您已经加入3对3的名剑大会等待队列中。\n",szNote="排队·名剑大会·3v3",[20]={bCenterAlarm=true,},},</v>
      </c>
    </row>
    <row r="92" spans="3:34">
      <c r="C92" t="s">
        <v>1861</v>
      </c>
      <c r="D92" t="s">
        <v>1862</v>
      </c>
      <c r="K92">
        <v>1</v>
      </c>
      <c r="N92" t="str">
        <f t="shared" si="2"/>
        <v>{szContent="您已经加入5对5的名剑大会等待队列中。\n",szNote="排队·名剑大会·5v5",[20]={bCenterAlarm=true,},},</v>
      </c>
    </row>
    <row r="93" spans="3:34">
      <c r="C93" t="s">
        <v>1863</v>
      </c>
      <c r="D93" t="s">
        <v>1864</v>
      </c>
      <c r="K93">
        <v>1</v>
      </c>
      <c r="N93" t="str">
        <f t="shared" si="2"/>
        <v>{szContent="该时间段不能参加名剑大会！\n",szNote="名剑大会·非开启时段",[20]={bCenterAlarm=true,},},</v>
      </c>
    </row>
    <row r="94" spans="3:34">
      <c r="C94" t="s">
        <v>1865</v>
      </c>
      <c r="D94" t="s">
        <v>1866</v>
      </c>
      <c r="K94">
        <v>1</v>
      </c>
      <c r="N94" t="str">
        <f t="shared" si="2"/>
        <v>{szContent="当前时间不能进入战场。\n",szNote="战场·非开启时段",[20]={bCenterAlarm=true,},},</v>
      </c>
    </row>
    <row r="95" spans="3:34">
      <c r="C95" t="s">
        <v>1867</v>
      </c>
      <c r="N95" t="str">
        <f t="shared" si="2"/>
        <v>{szContent="已屏蔽所有玩家\n",[20]={},},</v>
      </c>
    </row>
    <row r="96" spans="3:34">
      <c r="C96" t="s">
        <v>1868</v>
      </c>
      <c r="N96" t="str">
        <f t="shared" si="2"/>
        <v>{szContent="已显示所有玩家\n",[20]={},},</v>
      </c>
    </row>
    <row r="97" spans="3:14">
      <c r="C97" t="s">
        <v>1869</v>
      </c>
      <c r="N97" t="str">
        <f t="shared" si="2"/>
        <v>{szContent="已屏蔽其他玩家，仅显示队友\n",[20]={},},</v>
      </c>
    </row>
    <row r="98" spans="3:14">
      <c r="C98" t="s">
        <v>1870</v>
      </c>
      <c r="N98" t="str">
        <f t="shared" si="2"/>
        <v>{szContent="请注意用语和谐，有序发言，切勿发表违规话题。\n",[20]={},},</v>
      </c>
    </row>
    <row r="99" spans="3:14">
      <c r="C99" t="s">
        <v>1871</v>
      </c>
      <c r="D99" t="s">
        <v>1872</v>
      </c>
      <c r="I99">
        <v>1</v>
      </c>
      <c r="N99" t="str">
        <f>IF(ISBLANK(B99)=FALSE,IF(ISBLANK(B98),"},["&amp;B99&amp;"]={","["&amp;B99&amp;"]={"),IF(AND(ISBLANK(B99),ISBLANK(C99),ISBLANK(F99),ISBLANK(G99),OR(ISBLANK(B98)=FALSE,ISBLANK(C98)=FALSE,ISBLANK(F98)=FALSE,ISBLANK(G98)=FALSE)),"},},}",IF(ISBLANK(C99),"","{szContent="""&amp;C99&amp;""","&amp;IF(D99&lt;&gt;"","szNote="""&amp;D99&amp;""",","")&amp;IF(E99&lt;&gt;"","col={"&amp;E99&amp;"},","")&amp;IF(F99&gt;0,"bSearch=true,","")&amp;IF(G99&gt;0,"bReg=true,","")&amp;"[20]={"&amp;IF(H99&gt;0,"szVoice="""&amp;H99&amp;""",","")&amp;IF(I99&gt;0,"bTeamChannel=true,","")&amp;IF(J99&gt;0,"bWhisperChannel=true,","")&amp;IF(K99&gt;0,"bCenterAlarm=true,","")&amp;IF(L99&gt;0,"bScreenHead=true,","")&amp;IF(M99&gt;0,"bFullScreen=true,","")&amp;"},"&amp;IF(O99&lt;&gt;"","tCountdown={"&amp;_xlfn.TEXTJOIN("",TRUE,O99:AAA99)&amp;"},","")&amp;"},")))</f>
        <v>{szContent="重置自身秘境成功。\n",szNote="重置自身秘境成功",[20]={bTeamChannel=true,},},</v>
      </c>
    </row>
    <row r="100" spans="3:14">
      <c r="C100" t="s">
        <v>1873</v>
      </c>
      <c r="N100" t="str">
        <f>IF(ISBLANK(B100)=FALSE,IF(ISBLANK(B99),"},["&amp;B100&amp;"]={","["&amp;B100&amp;"]={"),IF(AND(ISBLANK(B100),ISBLANK(C100),ISBLANK(F100),ISBLANK(G100),OR(ISBLANK(B99)=FALSE,ISBLANK(C99)=FALSE,ISBLANK(F99)=FALSE,ISBLANK(G99)=FALSE)),"},},}",IF(ISBLANK(C100),"","{szContent="""&amp;C100&amp;""","&amp;IF(D100&lt;&gt;"","szNote="""&amp;D100&amp;""",","")&amp;IF(E100&lt;&gt;"","col={"&amp;E100&amp;"},","")&amp;IF(F100&gt;0,"bSearch=true,","")&amp;IF(G100&gt;0,"bReg=true,","")&amp;"[20]={"&amp;IF(H100&gt;0,"szVoice="""&amp;H100&amp;""",","")&amp;IF(I100&gt;0,"bTeamChannel=true,","")&amp;IF(J100&gt;0,"bWhisperChannel=true,","")&amp;IF(K100&gt;0,"bCenterAlarm=true,","")&amp;IF(L100&gt;0,"bScreenHead=true,","")&amp;IF(M100&gt;0,"bFullScreen=true,","")&amp;"},"&amp;IF(O100&lt;&gt;"","tCountdown={"&amp;_xlfn.TEXTJOIN("",TRUE,O100:AAA100)&amp;"},","")&amp;"},")))</f>
        <v>{szContent="本日已不能从本事件获得奖励。\n",[20]={},},</v>
      </c>
    </row>
    <row r="101" spans="3:14">
      <c r="C101" t="s">
        <v>1874</v>
      </c>
      <c r="N101" t="str">
        <f>IF(ISBLANK(B101)=FALSE,IF(ISBLANK(B100),"},["&amp;B101&amp;"]={","["&amp;B101&amp;"]={"),IF(AND(ISBLANK(B101),ISBLANK(C101),ISBLANK(F101),ISBLANK(G101),OR(ISBLANK(B100)=FALSE,ISBLANK(C100)=FALSE,ISBLANK(F100)=FALSE,ISBLANK(G100)=FALSE)),"},},}",IF(ISBLANK(C101),"","{szContent="""&amp;C101&amp;""","&amp;IF(D101&lt;&gt;"","szNote="""&amp;D101&amp;""",","")&amp;IF(E101&lt;&gt;"","col={"&amp;E101&amp;"},","")&amp;IF(F101&gt;0,"bSearch=true,","")&amp;IF(G101&gt;0,"bReg=true,","")&amp;"[20]={"&amp;IF(H101&gt;0,"szVoice="""&amp;H101&amp;""",","")&amp;IF(I101&gt;0,"bTeamChannel=true,","")&amp;IF(J101&gt;0,"bWhisperChannel=true,","")&amp;IF(K101&gt;0,"bCenterAlarm=true,","")&amp;IF(L101&gt;0,"bScreenHead=true,","")&amp;IF(M101&gt;0,"bFullScreen=true,","")&amp;"},"&amp;IF(O101&lt;&gt;"","tCountdown={"&amp;_xlfn.TEXTJOIN("",TRUE,O101:AAA101)&amp;"},","")&amp;"},")))</f>
        <v>{szContent="本周已不能从本事件获得奖励。\n",[20]={},},</v>
      </c>
    </row>
    <row r="102" spans="3:14">
      <c r="C102" t="s">
        <v>1804</v>
      </c>
      <c r="D102" t="s">
        <v>1805</v>
      </c>
      <c r="E102" t="s">
        <v>718</v>
      </c>
      <c r="F102">
        <v>1</v>
      </c>
      <c r="N102" t="str">
        <f>IF(ISBLANK(B102)=FALSE,IF(ISBLANK(B101),"},["&amp;B102&amp;"]={","["&amp;B102&amp;"]={"),IF(AND(ISBLANK(B102),ISBLANK(C102),ISBLANK(F102),ISBLANK(G102),OR(ISBLANK(B101)=FALSE,ISBLANK(C101)=FALSE,ISBLANK(F101)=FALSE,ISBLANK(G101)=FALSE)),"},},}",IF(ISBLANK(C102),"","{szContent="""&amp;C102&amp;""","&amp;IF(D102&lt;&gt;"","szNote="""&amp;D102&amp;""",","")&amp;IF(E102&lt;&gt;"","col={"&amp;E102&amp;"},","")&amp;IF(F102&gt;0,"bSearch=true,","")&amp;IF(G102&gt;0,"bReg=true,","")&amp;"[20]={"&amp;IF(H102&gt;0,"szVoice="""&amp;H102&amp;""",","")&amp;IF(I102&gt;0,"bTeamChannel=true,","")&amp;IF(J102&gt;0,"bWhisperChannel=true,","")&amp;IF(K102&gt;0,"bCenterAlarm=true,","")&amp;IF(L102&gt;0,"bScreenHead=true,","")&amp;IF(M102&gt;0,"bFullScreen=true,","")&amp;"},"&amp;IF(O102&lt;&gt;"","tCountdown={"&amp;_xlfn.TEXTJOIN("",TRUE,O102:AAA102)&amp;"},","")&amp;"},")))</f>
        <v>{szContent="财神降临！慷慨之士 {$team} 正在",szNote="【{$receiver}】·正在发红包",col={255,50,255,},bSearch=true,[20]={},},</v>
      </c>
    </row>
    <row r="103" spans="3:14">
      <c r="N103" t="str">
        <f>IF(ISBLANK(B103)=FALSE,IF(ISBLANK(B102),"},["&amp;B103&amp;"]={","["&amp;B103&amp;"]={"),IF(AND(ISBLANK(B103),ISBLANK(C103),ISBLANK(F103),ISBLANK(G103),OR(ISBLANK(B102)=FALSE,ISBLANK(C102)=FALSE,ISBLANK(F102)=FALSE,ISBLANK(G102)=FALSE)),"},},}",IF(ISBLANK(C103),"","{szContent="""&amp;C103&amp;""","&amp;IF(D103&lt;&gt;"","szNote="""&amp;D103&amp;""",","")&amp;IF(E103&lt;&gt;"","col={"&amp;E103&amp;"},","")&amp;IF(F103&gt;0,"bSearch=true,","")&amp;IF(G103&gt;0,"bReg=true,","")&amp;"[20]={"&amp;IF(H103&gt;0,"szVoice="""&amp;H103&amp;""",","")&amp;IF(I103&gt;0,"bTeamChannel=true,","")&amp;IF(J103&gt;0,"bWhisperChannel=true,","")&amp;IF(K103&gt;0,"bCenterAlarm=true,","")&amp;IF(L103&gt;0,"bScreenHead=true,","")&amp;IF(M103&gt;0,"bFullScreen=true,","")&amp;"},"&amp;IF(O103&lt;&gt;"","tCountdown={"&amp;_xlfn.TEXTJOIN("",TRUE,O103:AAA103)&amp;"},","")&amp;"},")))</f>
        <v>},},}</v>
      </c>
    </row>
  </sheetData>
  <sortState ref="A76:AI98">
    <sortCondition ref="A76:A98" descending="1"/>
  </sortState>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茗伊团队监控数据手册</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2026-08-14T13:02:49Z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035B44AA1AAE47669603CF8A0F648924_13</vt:lpwstr>
  </property>
  <property fmtid="{D5CDD505-2E9C-101B-9397-08002B2CF9AE}" pid="3" name="KSOProductBuildVer">
    <vt:lpwstr>2052-12.1.0.25860</vt:lpwstr>
  </property>
  <property fmtid="{D5CDD505-2E9C-101B-9397-08002B2CF9AE}" pid="4" name="CalculationRule">
    <vt:i4>0</vt:i4>
  </property>
</Properties>
</file>