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交互物件" sheetId="2" r:id="rId1"/>
  </sheets>
  <definedNames>
    <definedName name="JunSun1">DATE(日历年份,6,1)-WEEKDAY(DATE(日历年份,6,1))</definedName>
    <definedName name="日历年份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<sst xmlns="http://schemas.openxmlformats.org/spreadsheetml/2006/main" count="25" uniqueCount="25">
  <si>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标识</t>
  </si>
  <si>
    <t>地图id</t>
  </si>
  <si>
    <t>dwID</t>
  </si>
  <si>
    <t>数量</t>
  </si>
  <si>
    <t>全部消失</t>
  </si>
  <si>
    <t>名称</t>
  </si>
  <si>
    <t>心法要求</t>
  </si>
  <si>
    <t>备注信息</t>
  </si>
  <si>
    <t>通用颜色</t>
  </si>
  <si>
    <t>语音报警.物件进入</t>
  </si>
  <si>
    <t>团队报警.物件进入</t>
  </si>
  <si>
    <t>密聊报警.物件进入</t>
  </si>
  <si>
    <t>中央报警.物件进入</t>
  </si>
  <si>
    <t>头顶警报.物件进入</t>
  </si>
  <si>
    <t>全屏泛光.物件进入</t>
  </si>
  <si>
    <t>语音报警.物件离开</t>
  </si>
  <si>
    <t>团队报警.物件离开</t>
  </si>
  <si>
    <t>密聊报警.物件离开</t>
  </si>
  <si>
    <t>中央报警.物件离开</t>
  </si>
  <si>
    <t>焦点列表</t>
  </si>
  <si>
    <t>return {DOODAD={</t>
  </si>
  <si>
    <t>倒计时条</t>
  </si>
  <si>
    <t>门派地图</t>
  </si>
  <si>
    <t>茶几</t>
  </si>
  <si>
    <t>{szDisplay="",tRelation={bAlly=false,bAll=true,bEnemy=false,},dwMapID=-1,nMaxDistance=60,tLife={szOperator="&gt;",nValue=0,bEnable=false,},tType={[3]=false,bAll=true,[4]=false,[5]=false,},},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</si>
</sst>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4"/>
  <sheetViews>
    <sheetView tabSelected="1" workbookViewId="0">
      <selection activeCell="U3" sqref="U3"/>
    </sheetView>
  </sheetViews>
  <sheetFormatPr defaultColWidth="9" defaultRowHeight="13.5" outlineLevelRow="3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>
        <v>-21</v>
      </c>
      <c r="U2" t="str">
        <f>IF(ISBLANK(B2)=FALSE,IF(ISBLANK(B1),"},["&amp;B2&amp;"]={","["&amp;B2&amp;"]={"),IF(AND(ISBLANK(B2),ISBLANK(C2),OR(ISBLANK(B1)=FALSE,ISBLANK(C1)=FALSE)),"},},}",IF(ISBLANK(C2),"","{dwID="&amp;C2&amp;","&amp;IF(D2&gt;0,"nCount="&amp;D2&amp;",","")&amp;IF(E2&gt;0,"bAllLeave=true,","")&amp;IF(F2&lt;&gt;"","szName="""&amp;F2&amp;""",","")&amp;IF(G2&lt;&gt;"","tKungFu={"&amp;G2&amp;"},","")&amp;IF(H2&lt;&gt;"","szNote="""&amp;H2&amp;""",","")&amp;IF(I2&lt;&gt;"","col={"&amp;I2&amp;"},","")&amp;"[17]={"&amp;IF(J2&lt;&gt;"","szVoice="""&amp;J2&amp;""",","")&amp;IF(K2&gt;0,"bTeamChannel=true,","")&amp;IF(L2&gt;0,"bWhisperChannel=true,","")&amp;IF(M2&gt;0,"bCenterAlarm=true,","")&amp;IF(N2&gt;0,"bScreenHead=true,","")&amp;IF(O2&gt;0,"bFullScreen=true,","")&amp;"},"&amp;"[18]={"&amp;IF(P2&lt;&gt;"","szVoice="""&amp;P2&amp;""",","")&amp;IF(Q2&gt;0,"bTeamChannel=true,","")&amp;IF(R2&gt;0,"bWhisperChannel=true,","")&amp;IF(S2&gt;0,"bCenterAlarm=true,","")&amp;"},"&amp;IF(T2&lt;&gt;"","aFocus={"&amp;T2&amp;"},","")&amp;IF(V2&lt;&gt;"","tCountdown={"&amp;_xlfn.TEXTJOIN("",TRUE,V2:AAA2)&amp;"},","")&amp;"},")))</f>
        <v>[-21]={</v>
      </c>
    </row>
    <row r="3" spans="1:22">
      <c r="C3">
        <v>3254</v>
      </c>
      <c r="H3" t="s">
        <v>23</v>
      </c>
      <c r="T3" t="s">
        <v>24</v>
      </c>
      <c r="U3" t="str">
        <f>IF(ISBLANK(B3)=FALSE,IF(ISBLANK(B2),"},["&amp;B3&amp;"]={","["&amp;B3&amp;"]={"),IF(AND(ISBLANK(B3),ISBLANK(C3),OR(ISBLANK(B2)=FALSE,ISBLANK(C2)=FALSE)),"},},}",IF(ISBLANK(C3),"","{dwID="&amp;C3&amp;","&amp;IF(D3&gt;0,"nCount="&amp;D3&amp;",","")&amp;IF(E3&gt;0,"bAllLeave=true,","")&amp;IF(F3&lt;&gt;"","szName="""&amp;F3&amp;""",","")&amp;IF(G3&lt;&gt;"","tKungFu={"&amp;G3&amp;"},","")&amp;IF(H3&lt;&gt;"","szNote="""&amp;H3&amp;""",","")&amp;IF(I3&lt;&gt;"","col={"&amp;I3&amp;"},","")&amp;"[17]={"&amp;IF(J3&lt;&gt;"","szVoice="""&amp;J3&amp;""",","")&amp;IF(K3&gt;0,"bTeamChannel=true,","")&amp;IF(L3&gt;0,"bWhisperChannel=true,","")&amp;IF(M3&gt;0,"bCenterAlarm=true,","")&amp;IF(N3&gt;0,"bScreenHead=true,","")&amp;IF(O3&gt;0,"bFullScreen=true,","")&amp;"},"&amp;"[18]={"&amp;IF(P3&lt;&gt;"","szVoice="""&amp;P3&amp;""",","")&amp;IF(Q3&gt;0,"bTeamChannel=true,","")&amp;IF(R3&gt;0,"bWhisperChannel=true,","")&amp;IF(S3&gt;0,"bCenterAlarm=true,","")&amp;"},"&amp;IF(T3&lt;&gt;"","aFocus={"&amp;T3&amp;"},","")&amp;IF(V3&lt;&gt;"","tCountdown={"&amp;_xlfn.TEXTJOIN("",TRUE,V3:AAA3)&amp;"},","")&amp;"},")))</f>
        <v>{dwID=3254,szNote="茶几",[17]={},[18]={},aFocus={{szDisplay="",tRelation={bAlly=false,bAll=true,bEnemy=false,},dwMapID=-1,nMaxDistance=60,tLife={szOperator="&gt;",nValue=0,bEnable=false,},tType={[3]=false,bAll=true,[4]=false,[5]=false,},},},},</v>
      </c>
    </row>
    <row r="4" spans="1:22">
      <c r="U4" t="str">
        <f>IF(ISBLANK(B4)=FALSE,IF(ISBLANK(B3),"},["&amp;B4&amp;"]={","["&amp;B4&amp;"]={"),IF(AND(ISBLANK(B4),ISBLANK(C4),OR(ISBLANK(B3)=FALSE,ISBLANK(C3)=FALSE)),"},},}",IF(ISBLANK(C4),"","{dwID="&amp;C4&amp;","&amp;IF(D4&gt;0,"nCount="&amp;D4&amp;",","")&amp;IF(E4&gt;0,"bAllLeave=true,","")&amp;IF(F4&lt;&gt;"","szName="""&amp;F4&amp;""",","")&amp;IF(G4&lt;&gt;"","tKungFu={"&amp;G4&amp;"},","")&amp;IF(H4&lt;&gt;"","szNote="""&amp;H4&amp;""",","")&amp;IF(I4&lt;&gt;"","col={"&amp;I4&amp;"},","")&amp;"[17]={"&amp;IF(J4&lt;&gt;"","szVoice="""&amp;J4&amp;""",","")&amp;IF(K4&gt;0,"bTeamChannel=true,","")&amp;IF(L4&gt;0,"bWhisperChannel=true,","")&amp;IF(M4&gt;0,"bCenterAlarm=true,","")&amp;IF(N4&gt;0,"bScreenHead=true,","")&amp;IF(O4&gt;0,"bFullScreen=true,","")&amp;"},"&amp;"[18]={"&amp;IF(P4&lt;&gt;"","szVoice="""&amp;P4&amp;""",","")&amp;IF(Q4&gt;0,"bTeamChannel=true,","")&amp;IF(R4&gt;0,"bWhisperChannel=true,","")&amp;IF(S4&gt;0,"bCenterAlarm=true,","")&amp;"},"&amp;IF(T4&lt;&gt;"","aFocus={"&amp;T4&amp;"},","")&amp;IF(V4&lt;&gt;"","tCountdown={"&amp;_xlfn.TEXTJOIN("",TRUE,V4:AAA4)&amp;"},","")&amp;"},")))</f>
        <v>},},}</v>
      </c>
    </row>
  </sheetData>
  <pageMargins left="0.7" right="0.7" top="0.75" bottom="0.75" header="0.3" footer="0.3"/>
  <pageSetup paperSize="9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交互物件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2024-08-31T14:30:00Z</dcterms:created>
  <dcterms:modified xsi:type="dcterms:W3CDTF">2026-09-24T17:53:34Z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5191C6854E624944886893C3B8317393_12</vt:lpwstr>
  </property>
  <property fmtid="{D5CDD505-2E9C-101B-9397-08002B2CF9AE}" pid="3" name="KSOProductBuildVer">
    <vt:lpwstr>2052-12.1.0.25860</vt:lpwstr>
  </property>
  <property fmtid="{D5CDD505-2E9C-101B-9397-08002B2CF9AE}" pid="4" name="CalculationRule">
    <vt:i4>0</vt:i4>
  </property>
</Properties>
</file>