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5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6" hidden="1">交互物件!$A$1:$V$185</definedName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<sst xmlns="http://schemas.openxmlformats.org/spreadsheetml/2006/main" count="2819" uniqueCount="1992">
  <si>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</si>
  <si>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</si>
  <si>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</si>
  <si>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</si>
  <si>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</si>
  <si>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</si>
  <si>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</si>
  <si>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</si>
  <si>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</si>
  <si>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</si>
  <si>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</si>
  <si>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</si>
  <si>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</si>
  <si>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</si>
  <si>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</si>
  <si>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</si>
  <si>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</si>
  <si>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</si>
  <si>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</si>
  <si>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</si>
  <si>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</si>
  <si>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</si>
  <si>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</si>
  <si>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</si>
  <si>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</si>
  <si>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</si>
  <si>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</si>
  <si>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</si>
  <si>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</si>
  <si>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</si>
  <si>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</si>
  <si>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</si>
  <si>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</si>
  <si>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</si>
  <si>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</si>
  <si>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</si>
  <si>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</si>
  <si>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</si>
  <si>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</si>
  <si>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</si>
  <si>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</si>
  <si>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</si>
  <si>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</si>
  <si>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</si>
  <si>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</si>
  <si>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</si>
  <si>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</si>
  <si>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</si>
  <si>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</si>
  <si>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</si>
  <si>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</si>
  <si>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</si>
  <si>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</si>
  <si>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</si>
  <si>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</si>
  <si>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</si>
  <si>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</si>
  <si>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</si>
  <si>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</si>
  <si>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</si>
  <si>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</si>
  <si>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</si>
  <si>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</si>
  <si>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</si>
  <si>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</si>
  <si>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</si>
  <si>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</si>
  <si>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</si>
  <si>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</si>
  <si>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</si>
  <si>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</si>
  <si>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</si>
  <si>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</si>
  <si>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</si>
  <si>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</si>
  <si>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</si>
  <si>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</si>
  <si>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</si>
  <si>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</si>
  <si>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</si>
  <si>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</si>
  <si>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</si>
  <si>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</si>
  <si>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</si>
  <si>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</si>
  <si>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</si>
  <si>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</si>
  <si>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</si>
  <si>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</si>
  <si>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</si>
  <si>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</si>
  <si>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</si>
  <si>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</si>
  <si>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</si>
  <si>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</si>
  <si>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</si>
  <si>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</si>
  <si>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</si>
  <si>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</si>
  <si>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</si>
  <si>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</si>
  <si>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</si>
  <si>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</si>
  <si>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</si>
  <si>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</si>
  <si>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</si>
  <si>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</si>
  <si>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</si>
  <si>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</si>
  <si>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</si>
  <si>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</si>
  <si>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</si>
  <si>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</si>
  <si>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</si>
  <si>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</si>
  <si>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</si>
  <si>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</si>
  <si>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</si>
  <si>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</si>
  <si>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</si>
  <si>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</si>
  <si>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</si>
  <si>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</si>
  <si>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</si>
  <si>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</si>
  <si>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</si>
  <si>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</si>
  <si>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</si>
  <si>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</si>
  <si>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</si>
  <si>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</si>
  <si>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</si>
  <si>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</si>
  <si>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</si>
  <si>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</si>
  <si>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</si>
  <si>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</si>
  <si>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</si>
  <si>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</si>
  <si>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</si>
  <si>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</si>
  <si>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</si>
  <si>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</si>
  <si>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</si>
  <si>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</si>
  <si>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</si>
  <si>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</si>
  <si>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</si>
  <si>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</si>
  <si>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</si>
  <si>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</si>
  <si>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</si>
  <si>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</si>
  <si>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</si>
  <si>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</si>
  <si>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</si>
  <si>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</si>
  <si>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</si>
  <si>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</si>
  <si>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</si>
  <si>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</si>
  <si>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</si>
  <si>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</si>
  <si>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</si>
  <si>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</si>
  <si>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</si>
  <si>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</si>
  <si>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</si>
  <si>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</si>
  <si>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</si>
  <si>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</si>
  <si>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</si>
  <si>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</si>
  <si>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</si>
  <si>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</si>
  <si>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</si>
  <si>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</si>
  <si>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</si>
  <si>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</si>
  <si>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</si>
  <si>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</si>
  <si>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</si>
  <si>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</si>
  <si>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</si>
  <si>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</si>
  <si>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</si>
  <si>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</si>
  <si>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</si>
  <si>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</si>
  <si>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</si>
  <si>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</si>
  <si>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</si>
  <si>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</si>
  <si>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</si>
  <si>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</si>
  <si>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</si>
  <si>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</si>
  <si>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</si>
  <si>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</si>
  <si>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</si>
  <si>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</si>
  <si>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</si>
  <si>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</si>
  <si>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</si>
  <si>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</si>
  <si>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</si>
  <si>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</si>
  <si>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</si>
  <si>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</si>
  <si>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</si>
  <si>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</si>
  <si>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</si>
  <si>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</si>
  <si>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</si>
  <si>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</si>
  <si>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</si>
  <si>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</si>
  <si>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</si>
  <si>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</si>
  <si>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</si>
  <si>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</si>
  <si>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</si>
  <si>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</si>
  <si>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</si>
  <si>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</si>
  <si>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</si>
  <si>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</si>
  <si>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</si>
  <si>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</si>
  <si>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</si>
  <si>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</si>
  <si>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</si>
  <si>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</si>
  <si>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</si>
  <si>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</si>
  <si>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</si>
  <si>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</si>
  <si>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</si>
  <si>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</si>
  <si>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</si>
  <si>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</si>
  <si>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</si>
  <si>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</si>
  <si>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</si>
  <si>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</si>
  <si>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</si>
  <si>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</si>
  <si>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</si>
  <si>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</si>
  <si>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</si>
  <si>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</si>
  <si>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</si>
  <si>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</si>
  <si>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</si>
  <si>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</si>
  <si>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</si>
  <si>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</si>
  <si>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</si>
  <si>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</si>
  <si>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</si>
  <si>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</si>
  <si>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</si>
  <si>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</si>
  <si>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</si>
  <si>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</si>
  <si>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</si>
  <si>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</si>
  <si>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</si>
  <si>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</si>
  <si>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</si>
  <si>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</si>
  <si>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</si>
  <si>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</si>
  <si>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</si>
  <si>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</si>
  <si>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</si>
  <si>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</si>
  <si>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</si>
  <si>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</si>
  <si>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</si>
  <si>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</si>
  <si>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</si>
  <si>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</si>
  <si>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</si>
  <si>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</si>
  <si>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</si>
  <si>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</si>
  <si>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</si>
  <si>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</si>
  <si>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</si>
  <si>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</si>
  <si>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</si>
  <si>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</si>
  <si>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</si>
  <si>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</si>
  <si>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</si>
  <si>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</si>
  <si>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</si>
  <si>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</si>
  <si>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</si>
  <si>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</si>
  <si>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</si>
  <si>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</si>
  <si>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</si>
  <si>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</si>
  <si>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</si>
  <si>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</si>
  <si>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</si>
  <si>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</si>
  <si>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</si>
  <si>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</si>
  <si>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</si>
  <si>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</si>
  <si>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</si>
  <si>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</si>
  <si>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</si>
  <si>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</si>
  <si>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</si>
  <si>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</si>
  <si>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</si>
  <si>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</si>
  <si>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</si>
  <si>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</si>
  <si>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</si>
  <si>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</si>
  <si>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</si>
  <si>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</si>
  <si>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</si>
  <si>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</si>
  <si>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</si>
  <si>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</si>
  <si>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</si>
  <si>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</si>
  <si>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</si>
  <si>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</si>
  <si>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</si>
  <si>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</si>
  <si>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</si>
  <si>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</si>
  <si>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</si>
  <si>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</si>
  <si>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</si>
  <si>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</si>
  <si>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</si>
  <si>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</si>
  <si>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</si>
  <si>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</si>
  <si>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</si>
  <si>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</si>
  <si>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</si>
  <si>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</si>
  <si>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</si>
  <si>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</si>
  <si>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</si>
  <si>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</si>
  <si>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</si>
  <si>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</si>
  <si>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</si>
  <si>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</si>
  <si>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</si>
  <si>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</si>
  <si>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</si>
  <si>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</si>
  <si>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</si>
  <si>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</si>
  <si>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</si>
  <si>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</si>
  <si>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</si>
  <si>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</si>
  <si>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</si>
  <si>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</si>
  <si>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</si>
  <si>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</si>
  <si>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</si>
  <si>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</si>
  <si>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</si>
  <si>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</si>
  <si>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</si>
  <si>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</si>
  <si>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</si>
  <si>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</si>
  <si>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</si>
  <si>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</si>
  <si>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</si>
  <si>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</si>
  <si>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</si>
  <si>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</si>
  <si>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</si>
  <si>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</si>
  <si>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</si>
  <si>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</si>
  <si>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</si>
  <si>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</si>
  <si>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</si>
  <si>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</si>
  <si>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</si>
  <si>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</si>
  <si>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</si>
  <si>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</si>
  <si>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</si>
  <si>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</si>
  <si>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</si>
  <si>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</si>
  <si>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</si>
  <si>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</si>
  <si>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</si>
  <si>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</si>
  <si>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</si>
  <si>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</si>
  <si>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</si>
  <si>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</si>
  <si>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</si>
  <si>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</si>
  <si>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</si>
  <si>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</si>
  <si>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</si>
  <si>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</si>
  <si>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</si>
  <si>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</si>
  <si>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</si>
  <si>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</si>
  <si>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</si>
  <si>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</si>
  <si>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</si>
  <si>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</si>
  <si>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</si>
  <si>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</si>
  <si>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</si>
  <si>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</si>
  <si>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</si>
  <si>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</si>
  <si>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</si>
  <si>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</si>
  <si>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</si>
  <si>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</si>
  <si>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</si>
  <si>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</si>
  <si>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</si>
  <si>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</si>
  <si>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</si>
  <si>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</si>
  <si>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</si>
  <si>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</si>
  <si>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</si>
  <si>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</si>
  <si>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</si>
  <si>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</si>
  <si>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</si>
  <si>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</si>
  <si>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</si>
  <si>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</si>
  <si>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</si>
  <si>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</si>
  <si>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</si>
  <si>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</si>
  <si>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</si>
  <si>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</si>
  <si>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</si>
  <si>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</si>
  <si>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</si>
  <si>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</si>
  <si>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</si>
  <si>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</si>
  <si>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</si>
  <si>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</si>
  <si>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</si>
  <si>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</si>
  <si>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</si>
  <si>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</si>
  <si>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</si>
  <si>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</si>
  <si>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</si>
  <si>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</si>
  <si>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</si>
  <si>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</si>
  <si>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</si>
  <si>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</si>
  <si>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</si>
  <si>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</si>
  <si>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</si>
  <si>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</si>
  <si>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</si>
  <si>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</si>
  <si>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</si>
  <si>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</si>
  <si>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</si>
  <si>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</si>
  <si>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</si>
  <si>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</si>
  <si>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</si>
  <si>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</si>
  <si>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</si>
  <si>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</si>
  <si>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</si>
  <si>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</si>
  <si>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</si>
  <si>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</si>
  <si>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</si>
  <si>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</si>
  <si>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</si>
  <si>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</si>
  <si>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</si>
  <si>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</si>
  <si>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</si>
  <si>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</si>
  <si>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</si>
  <si>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</si>
  <si>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</si>
  <si>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</si>
  <si>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</si>
  <si>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</si>
  <si>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</si>
  <si>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</si>
  <si>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</si>
  <si>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</si>
  <si>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</si>
  <si>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</si>
  <si>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</si>
  <si>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</si>
  <si>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</si>
  <si>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</si>
  <si>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</si>
  <si>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</si>
  <si>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</si>
  <si>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</si>
  <si>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</si>
  <si>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</si>
  <si>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</si>
  <si>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</si>
  <si>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</si>
  <si>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</si>
  <si>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</si>
  <si>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</si>
  <si>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</si>
  <si>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</si>
  <si>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</si>
  <si>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</si>
  <si>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</si>
  <si>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</si>
  <si>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</si>
  <si>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</si>
  <si>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</si>
  <si>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</si>
  <si>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</si>
  <si>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</si>
  <si>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</si>
  <si>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</si>
  <si>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</si>
  <si>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</si>
  <si>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</si>
  <si>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</si>
  <si>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</si>
  <si>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</si>
  <si>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</si>
  <si>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</si>
  <si>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</si>
  <si>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</si>
  <si>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</si>
  <si>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</si>
  <si>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</si>
  <si>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</si>
  <si>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</si>
  <si>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</si>
  <si>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</si>
  <si>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</si>
  <si>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</si>
  <si>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</si>
  <si>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</si>
  <si>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</si>
  <si>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</si>
  <si>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</si>
  <si>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</si>
  <si>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</si>
  <si>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</si>
  <si>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</si>
  <si>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</si>
  <si>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</si>
  <si>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</si>
  <si>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</si>
  <si>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</si>
  <si>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</si>
  <si>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</si>
  <si>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</si>
  <si>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</si>
  <si>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</si>
  <si>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</si>
  <si>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</si>
  <si>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</si>
  <si>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</si>
  <si>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</si>
  <si>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</si>
  <si>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</si>
  <si>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</si>
  <si>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</si>
  <si>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</si>
  <si>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</si>
  <si>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</si>
  <si>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</si>
  <si>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</si>
  <si>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</si>
  <si>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</si>
  <si>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</si>
  <si>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</si>
  <si>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</si>
  <si>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</si>
  <si>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</si>
  <si>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</si>
  <si>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</si>
  <si>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</si>
  <si>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</si>
  <si>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</si>
  <si>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</si>
  <si>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</si>
  <si>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</si>
  <si>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</si>
  <si>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</si>
  <si>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</si>
  <si>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</si>
  <si>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</si>
  <si>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</si>
  <si>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</si>
  <si>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</si>
  <si>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</si>
  <si>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</si>
  <si>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</si>
  <si>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</si>
  <si>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</si>
  <si>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</si>
  <si>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</si>
  <si>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</si>
  <si>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</si>
  <si>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</si>
  <si>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</si>
  <si>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</si>
  <si>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</si>
  <si>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</si>
  <si>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</si>
  <si>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</si>
  <si>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</si>
  <si>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</si>
  <si>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</si>
  <si>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</si>
  <si>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</si>
  <si>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</si>
  <si>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</si>
  <si>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</si>
  <si>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</si>
  <si>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</si>
  <si>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</si>
  <si>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</si>
  <si>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</si>
  <si>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</si>
  <si>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</si>
  <si>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</si>
  <si>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</si>
  <si>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</si>
  <si>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</si>
  <si>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</si>
  <si>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</si>
  <si>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</si>
  <si>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</si>
  <si>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</si>
  <si>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</si>
  <si>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</si>
  <si>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</si>
  <si>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</si>
  <si>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</si>
  <si>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</si>
  <si>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</si>
  <si>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</si>
  <si>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</si>
  <si>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</si>
  <si>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</si>
  <si>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</si>
  <si>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</si>
  <si>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</si>
  <si>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</si>
  <si>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</si>
  <si>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</si>
  <si>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</si>
  <si>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</si>
  <si>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</si>
  <si>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</si>
  <si>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</si>
  <si>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</si>
  <si>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</si>
  <si>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</si>
  <si>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</si>
  <si>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</si>
  <si>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</si>
  <si>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</si>
  <si>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</si>
  <si>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</si>
  <si>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</si>
  <si>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</si>
  <si>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</si>
  <si>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</si>
  <si>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</si>
  <si>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</si>
  <si>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</si>
  <si>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</si>
  <si>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</si>
  <si>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</si>
  <si>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</si>
  <si>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</si>
  <si>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</si>
  <si>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</si>
  <si>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</si>
  <si>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</si>
  <si>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</si>
  <si>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</si>
  <si>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</si>
  <si>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</si>
  <si>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</si>
  <si>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</si>
  <si>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</si>
  <si>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</si>
  <si>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</si>
  <si>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</si>
  <si>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</si>
  <si>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</si>
  <si>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</si>
  <si>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</si>
  <si>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</si>
  <si>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</si>
  <si>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</si>
  <si>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</si>
  <si>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</si>
  <si>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</si>
  <si>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</si>
  <si>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</si>
  <si>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</si>
  <si>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</si>
  <si>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</si>
  <si>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</si>
  <si>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</si>
  <si>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</si>
  <si>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</si>
  <si>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</si>
  <si>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</si>
  <si>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</si>
  <si>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</si>
  <si>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</si>
  <si>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</si>
  <si>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</si>
  <si>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</si>
  <si>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</si>
  <si>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</si>
  <si>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</si>
  <si>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</si>
  <si>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</si>
  <si>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</si>
  <si>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</si>
  <si>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</si>
  <si>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</si>
  <si>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</si>
  <si>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</si>
  <si>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</si>
  <si>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</si>
  <si>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</si>
  <si>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</si>
  <si>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</si>
  <si>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</si>
  <si>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</si>
  <si>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</si>
  <si>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</si>
  <si>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</si>
  <si>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</si>
  <si>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</si>
  <si>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</si>
  <si>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</si>
  <si>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</si>
  <si>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</si>
  <si>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</si>
  <si>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</si>
  <si>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</si>
  <si>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</si>
  <si>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</si>
  <si>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</si>
  <si>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</si>
  <si>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</si>
  <si>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</si>
  <si>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</si>
  <si>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</si>
  <si>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</si>
  <si>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</si>
  <si>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</si>
  <si>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</si>
  <si>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</si>
  <si>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</si>
  <si>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</si>
  <si>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</si>
  <si>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</si>
  <si>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</si>
  <si>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</si>
  <si>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</si>
  <si>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</si>
  <si>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</si>
  <si>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</si>
  <si>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</si>
  <si>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</si>
  <si>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</si>
  <si>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</si>
  <si>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</si>
  <si>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</si>
  <si>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</si>
  <si>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</si>
  <si>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</si>
  <si>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</si>
  <si>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</si>
  <si>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</si>
  <si>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</si>
  <si>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</si>
  <si>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</si>
  <si>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</si>
  <si>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</si>
  <si>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</si>
  <si>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</si>
  <si>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</si>
  <si>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</si>
  <si>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</si>
  <si>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</si>
  <si>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</si>
  <si>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</si>
  <si>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</si>
  <si>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</si>
  <si>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</si>
  <si>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</si>
  <si>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</si>
  <si>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</si>
  <si>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</si>
  <si>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</si>
  <si>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</si>
  <si>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</si>
  <si>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</si>
  <si>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</si>
  <si>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</si>
  <si>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</si>
  <si>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</si>
  <si>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</si>
  <si>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</si>
  <si>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</si>
  <si>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</si>
  <si>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</si>
  <si>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</si>
  <si>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</si>
  <si>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</si>
  <si>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</si>
  <si>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</si>
  <si>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</si>
  <si>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</si>
  <si>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</si>
  <si>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</si>
  <si>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</si>
  <si>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</si>
  <si>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</si>
  <si>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</si>
  <si>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</si>
  <si>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</si>
  <si>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</si>
  <si>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</si>
  <si>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</si>
  <si>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</si>
  <si>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</si>
  <si>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</si>
  <si>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</si>
  <si>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</si>
  <si>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</si>
  <si>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</si>
  <si>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</si>
  <si>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</si>
  <si>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</si>
  <si>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</si>
  <si>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</si>
  <si>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</si>
  <si>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</si>
  <si>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</si>
  <si>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</si>
  <si>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</si>
  <si>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</si>
  <si>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</si>
  <si>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</si>
  <si>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</si>
  <si>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</si>
  <si>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</si>
  <si>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</si>
  <si>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</si>
  <si>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</si>
  <si>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</si>
  <si>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</si>
  <si>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</si>
  <si>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</si>
  <si>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</si>
  <si>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</si>
  <si>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</si>
  <si>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</si>
  <si>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</si>
  <si>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</si>
  <si>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</si>
  <si>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</si>
  <si>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</si>
  <si>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</si>
  <si>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</si>
  <si>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</si>
  <si>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</si>
  <si>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</si>
  <si>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</si>
  <si>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</si>
  <si>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</si>
  <si>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</si>
  <si>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</si>
  <si>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</si>
  <si>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</si>
  <si>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</si>
  <si>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</si>
  <si>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</si>
  <si>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</si>
  <si>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</si>
  <si>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</si>
  <si>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</si>
  <si>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</si>
  <si>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</si>
  <si>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</si>
  <si>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</si>
  <si>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</si>
  <si>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</si>
  <si>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</si>
  <si>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</si>
  <si>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</si>
  <si>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</si>
  <si>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</si>
  <si>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</si>
  <si>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</si>
  <si>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</si>
  <si>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</si>
  <si>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</si>
  <si>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</si>
  <si>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</si>
  <si>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</si>
  <si>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</si>
  <si>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</si>
  <si>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</si>
  <si>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</si>
  <si>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</si>
  <si>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</si>
  <si>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</si>
  <si>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</si>
  <si>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</si>
  <si>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</si>
  <si>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</si>
  <si>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</si>
  <si>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</si>
  <si>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</si>
  <si>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</si>
  <si>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</si>
  <si>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</si>
  <si>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</si>
  <si>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</si>
  <si>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</si>
  <si>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</si>
  <si>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</si>
  <si>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</si>
  <si>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</si>
  <si>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</si>
  <si>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</si>
  <si>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</si>
  <si>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</si>
  <si>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</si>
  <si>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</si>
  <si>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</si>
  <si>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</si>
  <si>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</si>
  <si>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</si>
  <si>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</si>
  <si>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</si>
  <si>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</si>
  <si>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</si>
  <si>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</si>
  <si>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</si>
  <si>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</si>
  <si>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</si>
  <si>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</si>
  <si>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</si>
  <si>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</si>
  <si>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</si>
  <si>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</si>
  <si>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</si>
  <si>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</si>
  <si>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</si>
  <si>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</si>
  <si>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</si>
  <si>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</si>
  <si>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</si>
  <si>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</si>
  <si>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</si>
  <si>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</si>
  <si>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</si>
  <si>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</si>
  <si>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</si>
  <si>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</si>
  <si>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</si>
  <si>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</si>
  <si>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</si>
  <si>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</si>
  <si>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</si>
  <si>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</si>
  <si>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</si>
  <si>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</si>
  <si>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</si>
  <si>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</si>
  <si>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</si>
  <si>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</si>
  <si>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</si>
  <si>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</si>
  <si>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</si>
  <si>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</si>
  <si>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</si>
  <si>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</si>
  <si>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</si>
  <si>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</si>
  <si>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</si>
  <si>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</si>
  <si>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</si>
  <si>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</si>
  <si>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</si>
  <si>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</si>
  <si>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</si>
  <si>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</si>
  <si>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</si>
  <si>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</si>
  <si>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</si>
  <si>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</si>
  <si>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</si>
  <si>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</si>
  <si>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</si>
  <si>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</si>
  <si>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</si>
  <si>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</si>
  <si>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</si>
  <si>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</si>
  <si>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</si>
  <si>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</si>
  <si>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</si>
  <si>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</si>
  <si>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</si>
  <si>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</si>
  <si>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</si>
  <si>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</si>
  <si>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</si>
  <si>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</si>
  <si>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</si>
  <si>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</si>
  <si>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</si>
  <si>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</si>
  <si>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</si>
  <si>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</si>
  <si>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</si>
  <si>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</si>
  <si>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</si>
  <si>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</si>
  <si>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</si>
  <si>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</si>
  <si>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</si>
  <si>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</si>
  <si>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</si>
  <si>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</si>
  <si>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</si>
  <si>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</si>
  <si>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</si>
  <si>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</si>
  <si>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</si>
  <si>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</si>
  <si>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</si>
  <si>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</si>
  <si>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</si>
  <si>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</si>
  <si>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</si>
  <si>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</si>
  <si>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</si>
  <si>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</si>
  <si>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</si>
  <si>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</si>
  <si>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</si>
  <si>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</si>
  <si>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</si>
  <si>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</si>
  <si>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</si>
  <si>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</si>
  <si>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</si>
  <si>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</si>
  <si>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</si>
  <si>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</si>
  <si>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</si>
  <si>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</si>
  <si>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</si>
  <si>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</si>
  <si>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</si>
  <si>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</si>
  <si>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</si>
  <si>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</si>
  <si>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</si>
  <si>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</si>
  <si>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</si>
  <si>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</si>
  <si>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</si>
  <si>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</si>
  <si>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</si>
  <si>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</si>
  <si>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</si>
  <si>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</si>
  <si>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</si>
  <si>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</si>
  <si>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</si>
  <si>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</si>
  <si>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</si>
  <si>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</si>
  <si>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</si>
  <si>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</si>
  <si>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</si>
  <si>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</si>
  <si>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</si>
  <si>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</si>
  <si>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</si>
  <si>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</si>
  <si>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</si>
  <si>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</si>
  <si>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</si>
  <si>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</si>
  <si>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</si>
  <si>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</si>
  <si>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</si>
  <si>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</si>
  <si>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</si>
  <si>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</si>
  <si>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</si>
  <si>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</si>
  <si>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</si>
  <si>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</si>
  <si>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</si>
  <si>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</si>
  <si>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</si>
  <si>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</si>
  <si>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</si>
  <si>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</si>
  <si>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</si>
  <si>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</si>
  <si>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</si>
  <si>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</si>
  <si>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</si>
  <si>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</si>
  <si>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</si>
  <si>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</si>
  <si>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</si>
  <si>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</si>
  <si>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</si>
  <si>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</si>
  <si>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</si>
  <si>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</si>
  <si>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</si>
  <si>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</si>
  <si>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</si>
  <si>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</si>
  <si>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</si>
  <si>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</si>
  <si>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</si>
  <si>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</si>
  <si>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</si>
  <si>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</si>
  <si>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</si>
  <si>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</si>
  <si>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</si>
  <si>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</si>
  <si>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</si>
  <si>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</si>
  <si>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</si>
  <si>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</si>
  <si>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</si>
  <si>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</si>
  <si>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</si>
  <si>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</si>
  <si>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</si>
  <si>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</si>
  <si>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</si>
  <si>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</si>
  <si>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</si>
  <si>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</si>
  <si>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</si>
  <si>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</si>
  <si>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</si>
  <si>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</si>
  <si>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</si>
  <si>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</si>
  <si>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</si>
  <si>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</si>
  <si>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</si>
  <si>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</si>
  <si>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</si>
  <si>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</si>
  <si>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</si>
  <si>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</si>
  <si>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</si>
  <si>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</si>
  <si>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</si>
  <si>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</si>
  <si>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</si>
  <si>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</si>
  <si>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</si>
  <si>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</si>
  <si>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</si>
  <si>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</si>
  <si>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</si>
  <si>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</si>
  <si>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</si>
  <si>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</si>
  <si>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</si>
  <si>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</si>
  <si>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</si>
  <si>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</si>
  <si>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</si>
  <si>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</si>
  <si>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</si>
  <si>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</si>
  <si>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</si>
  <si>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</si>
  <si>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</si>
  <si>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</si>
  <si>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</si>
  <si>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</si>
  <si>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</si>
  <si>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</si>
  <si>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</si>
  <si>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</si>
  <si>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</si>
  <si>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</si>
  <si>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</si>
  <si>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</si>
  <si>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</si>
  <si>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</si>
  <si>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</si>
  <si>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</si>
  <si>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</si>
  <si>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</si>
  <si>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</si>
  <si>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</si>
  <si>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</si>
  <si>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</si>
  <si>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</si>
  <si>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</si>
  <si>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</si>
  <si>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</si>
  <si>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</si>
  <si>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</si>
  <si>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</si>
  <si>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</si>
  <si>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</si>
  <si>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</si>
  <si>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</si>
  <si>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</si>
  <si>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</si>
  <si>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</si>
  <si>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</si>
  <si>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</si>
  <si>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</si>
  <si>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</si>
  <si>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</si>
  <si>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</si>
  <si>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</si>
  <si>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</si>
  <si>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</si>
  <si>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</si>
  <si>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</si>
  <si>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</si>
  <si>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</si>
  <si>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</si>
  <si>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</si>
  <si>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</si>
  <si>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</si>
  <si>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</si>
  <si>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</si>
  <si>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</si>
  <si>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</si>
  <si>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</si>
  <si>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</si>
  <si>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</si>
  <si>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</si>
  <si>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</si>
  <si>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</si>
  <si>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</si>
  <si>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</si>
  <si>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</si>
  <si>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</si>
  <si>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</si>
  <si>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</si>
  <si>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</si>
  <si>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</si>
  <si>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</si>
  <si>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</si>
  <si>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</si>
  <si>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</si>
  <si>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</si>
  <si>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</si>
  <si>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</si>
  <si>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</si>
  <si>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</si>
  <si>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</si>
  <si>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</si>
  <si>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</si>
  <si>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</si>
  <si>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</si>
  <si>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</si>
  <si>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</si>
  <si>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</si>
  <si>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</si>
  <si>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</si>
  <si>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</si>
  <si>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</si>
  <si>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</si>
  <si>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</si>
  <si>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</si>
  <si>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</si>
  <si>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</si>
  <si>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</si>
  <si>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</si>
  <si>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</si>
  <si>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</si>
  <si>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</si>
  <si>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</si>
  <si>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</si>
  <si>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</si>
  <si>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</si>
  <si>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</si>
  <si>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</si>
  <si>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</si>
  <si>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</si>
  <si>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</si>
  <si>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</si>
  <si>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</si>
  <si>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</si>
  <si>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</si>
  <si>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</si>
  <si>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</si>
  <si>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</si>
  <si>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</si>
  <si>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</si>
  <si>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</si>
  <si>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</si>
  <si>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</si>
  <si>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</si>
  <si>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</si>
  <si>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</si>
  <si>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</si>
  <si>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</si>
  <si>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</si>
  <si>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</si>
  <si>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</si>
  <si>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</si>
  <si>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</si>
  <si>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</si>
  <si>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</si>
  <si>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</si>
  <si>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</si>
  <si>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</si>
  <si>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</si>
  <si>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</si>
  <si>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</si>
  <si>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</si>
  <si>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</si>
  <si>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</si>
  <si>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</si>
  <si>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</si>
  <si>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</si>
  <si>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</si>
  <si>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</si>
  <si>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</si>
  <si>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</si>
  <si>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</si>
  <si>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</si>
  <si>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</si>
  <si>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</si>
  <si>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</si>
  <si>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</si>
  <si>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</si>
  <si>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</si>
  <si>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</si>
  <si>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</si>
  <si>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</si>
  <si>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</si>
  <si>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</si>
  <si>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</si>
  <si>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</si>
  <si>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</si>
  <si>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</si>
  <si>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</si>
  <si>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</si>
  <si>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</si>
  <si>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</si>
  <si>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</si>
  <si>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</si>
  <si>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</si>
  <si>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</si>
  <si>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</si>
  <si>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</si>
  <si>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</si>
  <si>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</si>
  <si>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</si>
  <si>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</si>
  <si>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</si>
  <si>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</si>
  <si>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</si>
  <si>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</si>
  <si>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</si>
  <si>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</si>
  <si>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</si>
  <si>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</si>
  <si>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</si>
  <si>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</si>
  <si>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</si>
  <si>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</si>
  <si>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</si>
  <si>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</si>
  <si>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</si>
  <si>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</si>
  <si>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</si>
  <si>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</si>
  <si>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</si>
  <si>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</si>
  <si>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</si>
  <si>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</si>
  <si>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</si>
  <si>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</si>
  <si>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</si>
  <si>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</si>
  <si>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</si>
  <si>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</si>
  <si>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</si>
  <si>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</si>
  <si>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</si>
  <si>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</si>
  <si>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</si>
  <si>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</si>
  <si>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</si>
  <si>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</si>
  <si>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</si>
  <si>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</si>
  <si>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</si>
  <si>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</si>
  <si>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</si>
  <si>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</si>
  <si>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</si>
  <si>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</si>
  <si>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</si>
  <si>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</si>
  <si>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</si>
  <si>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</si>
  <si>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</si>
  <si>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</si>
  <si>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</si>
  <si>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</si>
  <si>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</si>
  <si>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</si>
  <si>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</si>
  <si>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</si>
  <si>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</si>
  <si>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</si>
  <si>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</si>
  <si>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</si>
  <si>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</si>
  <si>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</si>
  <si>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</si>
  <si>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</si>
  <si>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</si>
  <si>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</si>
  <si>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</si>
  <si>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</si>
  <si>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</si>
  <si>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</si>
  <si>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</si>
  <si>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</si>
  <si>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</si>
  <si>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</si>
  <si>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</si>
  <si>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</si>
  <si>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</si>
  <si>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</si>
  <si>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</si>
  <si>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</si>
  <si>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</si>
  <si>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</si>
  <si>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</si>
  <si>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</si>
  <si>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</si>
  <si>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</si>
  <si>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</si>
  <si>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</si>
  <si>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</si>
  <si>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</si>
  <si>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</si>
  <si>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</si>
  <si>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</si>
  <si>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</si>
  <si>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</si>
  <si>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</si>
  <si>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</si>
  <si>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</si>
  <si>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</si>
  <si>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</si>
  <si>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</si>
  <si>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</si>
  <si>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</si>
  <si>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</si>
  <si>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</si>
  <si>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</si>
  <si>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</si>
  <si>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</si>
  <si>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</si>
  <si>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</si>
  <si>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</si>
  <si>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</si>
  <si>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</si>
  <si>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</si>
  <si>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</si>
  <si>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</si>
  <si>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</si>
  <si>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</si>
  <si>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</si>
  <si>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</si>
  <si>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</si>
  <si>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</si>
  <si>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</si>
  <si>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</si>
  <si>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</si>
  <si>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</si>
  <si>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</si>
  <si>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</si>
  <si>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</si>
  <si>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</si>
  <si>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</si>
  <si>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</si>
  <si>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</si>
  <si>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</si>
  <si>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</si>
  <si>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</si>
  <si>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</si>
  <si>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</si>
  <si>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家园的数据</t>
  </si>
  <si>
    <t>猹</t>
  </si>
  <si>
    <t>{dwMapID=-1,nMaxDistance=0,tRelation={bAll=true,bEnemy=false,bAlly=false,},tLife={bEnable=false,szOperator="&gt;",nValue=0,},},</t>
  </si>
  <si>
    <t>豪猪</t>
  </si>
  <si>
    <t>赵小凯·孩童书</t>
  </si>
  <si>
    <t>{dwMapID=-1,szDisplay="赵小凯·孩童书",nMaxDistance=60,tRelation={bAll=true,bEnemy=false,bAlly=false,},tLife={bEnable=false,szOperator="&gt;",nValue=0,},},</t>
  </si>
  <si>
    <t>道知·烹调法</t>
  </si>
  <si>
    <t>{dwMapID=-1,szDisplay="道知·烹调法",nMaxDistance=60,tRelation={bAll=true,bEnemy=false,bAlly=false,},tLife={bEnable=false,szOperator="&gt;",nValue=0,},},</t>
  </si>
  <si>
    <t>闰水·缘来会</t>
  </si>
  <si>
    <t>{dwMapID=-1,szDisplay="闰水·缘来会",nMaxDistance=60,tRelation={bAll=true,bEnemy=false,bAlly=false,},tLife={bEnable=false,szOperator="&gt;",nValue=0,},},</t>
  </si>
  <si>
    <t>查小娘·缘来会</t>
  </si>
  <si>
    <t>{dwMapID=-1,szDisplay="查小娘·缘来会",nMaxDistance=60,tRelation={bAll=true,bEnemy=false,bAlly=false,},tLife={bEnable=false,szOperator="&gt;",nValue=0,},},</t>
  </si>
  <si>
    <t>横小五·蟹卒</t>
  </si>
  <si>
    <t>{dwMapID=-1,szDisplay="横小五·蟹卒",nMaxDistance=0,tRelation={bAll=true,bEnemy=false,bAlly=false,},tLife={bEnable=false,szOperator="&gt;",nValue=0,},},</t>
  </si>
  <si>
    <t>幼小的蛤蟆·大哈</t>
  </si>
  <si>
    <t>{dwMapID=-1,szDisplay="幼小的蛤蟆·大哈",nMaxDistance=0,tRelation={bAll=true,bEnemy=false,bAlly=false,},tLife={bEnable=false,szOperator="&gt;",nValue=0,},},</t>
  </si>
  <si>
    <t>毛丝鼠·谜书生</t>
  </si>
  <si>
    <t>{dwMapID=-1,szDisplay="毛丝鼠·谜书生",nMaxDistance=60,tRelation={bAll=true,bEnemy=false,bAlly=false,},tLife={bEnable=false,szOperator="&gt;",nValue=0,},},</t>
  </si>
  <si>
    <t>公页少风·兽王佩</t>
  </si>
  <si>
    <t>{dwMapID=-1,szDisplay="公页少风·兽王佩",nMaxDistance=0,tRelation={bAll=true,bEnemy=false,bAlly=false,},tLife={bEnable=false,szOperator="&gt;",nValue=0,},},</t>
  </si>
  <si>
    <t>苏拂衣·江湖录</t>
  </si>
  <si>
    <t>{dwMapID=-1,szDisplay="苏拂衣·江湖录",nMaxDistance=60,tRelation={bAll=true,bEnemy=false,bAlly=false,},tLife={bEnable=false,szOperator="&gt;",nValue=0,},},</t>
  </si>
  <si>
    <t>步虚尘·白雪忆</t>
  </si>
  <si>
    <t>{dwMapID=-1,szDisplay="步虚尘·白雪忆",nMaxDistance=60,tRelation={bAll=true,bEnemy=false,bAlly=false,},tLife={bEnable=false,szOperator="&gt;",nValue=0,},},</t>
  </si>
  <si>
    <t>果子狸·稻稻</t>
  </si>
  <si>
    <t>{dwMapID=-1,szDisplay="果子狸·稻稻",nMaxDistance=0,tRelation={bAll=true,bEnemy=false,bAlly=false,},tLife={bEnable=false,szOperator="&gt;",nValue=0,},},</t>
  </si>
  <si>
    <t>老不知·红衣歌</t>
  </si>
  <si>
    <t>{dwMapID=-1,szDisplay="老不知·红衣歌",nMaxDistance=60,tRelation={bAll=true,bEnemy=false,bAlly=false,},tLife={bEnable=false,szOperator="&gt;",nValue=0,},},</t>
  </si>
  <si>
    <t>红师农·尘网中</t>
  </si>
  <si>
    <t>{dwMapID=-1,szDisplay="红师农·尘网中",nMaxDistance=60,tRelation={bAll=true,bEnemy=false,bAlly=false,},tLife={bEnable=false,szOperator="&gt;",nValue=0,},},</t>
  </si>
  <si>
    <t>喜小乐·蟹兵</t>
  </si>
  <si>
    <t>{dwMapID=-1,szDisplay="喜小乐·蟹兵",nMaxDistance=0,tRelation={bAll=true,bEnemy=false,bAlly=false,},tLife={bEnable=false,szOperator="&gt;",nValue=0,},},</t>
  </si>
  <si>
    <t>{nClass=3,nIcon=6110,nFrame=7,szName="蟹兵·三十二·八·四",nTime=20,key="蹲宠提示0",},</t>
  </si>
  <si>
    <t>寄居蟹·蟹仔</t>
  </si>
  <si>
    <t>{dwMapID=-1,szDisplay="寄居蟹·蟹仔",nMaxDistance=0,tRelation={bAll=true,bEnemy=false,bAlly=false,},tLife={bEnable=false,szOperator="&gt;",nValue=0,},},</t>
  </si>
  <si>
    <t>猫猫·破晓鸣</t>
  </si>
  <si>
    <t>{dwMapID=-1,szDisplay="猫猫·破晓鸣",nMaxDistance=60,tRelation={bAll=true,bEnemy=false,bAlly=false,},tLife={bEnable=false,szOperator="&gt;",nValue=0,},},</t>
  </si>
  <si>
    <t>秦邑·破晓鸣</t>
  </si>
  <si>
    <t>{dwMapID=-1,szDisplay="秦邑·破晓鸣",nMaxDistance=60,tRelation={bAll=true,bEnemy=false,bAlly=false,},tLife={bEnable=false,szOperator="&gt;",nValue=0,},},</t>
  </si>
  <si>
    <t>马四·枫林酒</t>
  </si>
  <si>
    <t>{dwMapID=-1,szDisplay="马四·枫林酒",nMaxDistance=60,tRelation={bAll=true,bEnemy=false,bAlly=false,},tLife={bEnable=false,szOperator="&gt;",nValue=0,},},</t>
  </si>
  <si>
    <t>阮染·锻剑女</t>
  </si>
  <si>
    <t>{dwMapID=-1,szDisplay="阮染·锻剑女",nMaxDistance=60,tRelation={bAll=true,bEnemy=false,bAlly=false,},tLife={bEnable=false,szOperator="&gt;",nValue=0,},},</t>
  </si>
  <si>
    <t>亭十四·归安志</t>
  </si>
  <si>
    <t>{dwMapID=-1,szDisplay="亭十四·归安志",nMaxDistance=60,tRelation={bAll=true,bEnemy=false,bAlly=false,},tLife={bEnable=false,szOperator="&gt;",nValue=0,},},</t>
  </si>
  <si>
    <t>刘理阳·归安志</t>
  </si>
  <si>
    <t>{dwMapID=-1,szDisplay="刘理阳·归安志",nMaxDistance=60,tRelation={bAll=true,bEnemy=false,bAlly=false,},tLife={bEnable=false,szOperator="&gt;",nValue=0,},},</t>
  </si>
  <si>
    <t>小花·鸠雀记</t>
  </si>
  <si>
    <t>{dwMapID=-1,szDisplay="小花·鸠雀记",nMaxDistance=60,tRelation={bAll=true,bEnemy=false,bAlly=false,},tLife={bEnable=false,szOperator="&gt;",nValue=0,},},</t>
  </si>
  <si>
    <t>林小明·大头鹅</t>
  </si>
  <si>
    <t>{dwMapID=-1,szDisplay="林小明·大头鹅",nMaxDistance=0,tRelation={bAll=true,bEnemy=false,bAlly=false,},tLife={bEnable=false,szOperator="&gt;",nValue=0,},},</t>
  </si>
  <si>
    <t>杨悦·一念间</t>
  </si>
  <si>
    <t>{dwMapID=-1,szDisplay="杨悦·一念间",nMaxDistance=60,tRelation={bAll=true,bEnemy=false,bAlly=false,},tLife={bEnable=false,szOperator="&gt;",nValue=0,},},</t>
  </si>
  <si>
    <t>陶九翁·捉妖记</t>
  </si>
  <si>
    <t>{dwMapID=-1,szDisplay="陶九翁·捉妖记",nMaxDistance=60,tRelation={bAll=true,bEnemy=false,bAlly=false,},tLife={bEnable=false,szOperator="&gt;",nValue=0,},},</t>
  </si>
  <si>
    <t>卢蓉·烟花戏</t>
  </si>
  <si>
    <t>{dwMapID=-1,szDisplay="卢蓉·烟花戏",nMaxDistance=60,tRelation={bAll=true,bEnemy=false,bAlly=false,},tLife={bEnable=false,szOperator="&gt;",nValue=0,},},</t>
  </si>
  <si>
    <t>皮皮·白鹅</t>
  </si>
  <si>
    <t>{dwMapID=-1,szDisplay="皮皮·白鹅",nMaxDistance=0,tRelation={bAll=true,bEnemy=false,bAlly=false,},tLife={bEnable=false,szOperator="&gt;",nValue=0,},},</t>
  </si>
  <si>
    <t>车山果·嘟嘟</t>
  </si>
  <si>
    <t>{dwMapID=-1,szDisplay="车山果·嘟嘟",nMaxDistance=60,tRelation={bAll=true,bEnemy=false,bAlly=false,},tLife={bEnable=false,szOperator="&gt;",nValue=0,},},</t>
  </si>
  <si>
    <t>康永浩·东海客</t>
  </si>
  <si>
    <t>{dwMapID=-1,szDisplay="康永浩·东海客",nMaxDistance=60,tRelation={bAll=true,bEnemy=false,bAlly=false,},tLife={bEnable=false,szOperator="&gt;",nValue=0,},},</t>
  </si>
  <si>
    <t>桩桩·沙海谣</t>
  </si>
  <si>
    <t>{dwMapID=-1,szDisplay="桩桩·沙海谣",nMaxDistance=60,tRelation={bAll=true,bEnemy=false,bAlly=false,},tLife={bEnable=false,szOperator="&gt;",nValue=0,},},</t>
  </si>
  <si>
    <t>田语夕·锋芒展</t>
  </si>
  <si>
    <t>{dwMapID=-1,szDisplay="田语夕·锋芒展",nMaxDistance=60,tRelation={bAll=true,bEnemy=false,bAlly=false,},tLife={bEnable=false,szOperator="&gt;",nValue=0,},},</t>
  </si>
  <si>
    <t>铸剑大师·归乡路</t>
  </si>
  <si>
    <t>{dwMapID=-1,szDisplay="铸剑大师·归乡路",nMaxDistance=60,tRelation={bAll=true,bEnemy=false,bAlly=false,},tLife={bEnable=false,szOperator="&gt;",nValue=0,},},</t>
  </si>
  <si>
    <t>王厨娘·莫贪杯</t>
  </si>
  <si>
    <t>{dwMapID=-1,szDisplay="王厨娘·莫贪杯",nMaxDistance=60,tRelation={bAll=true,bEnemy=false,bAlly=false,},tLife={bEnable=false,szOperator="&gt;",nValue=0,},},</t>
  </si>
  <si>
    <t>沈笑颜·竹马情</t>
  </si>
  <si>
    <t>{dwMapID=-1,szDisplay="沈笑颜·竹马情",nMaxDistance=60,tRelation={bAll=true,bEnemy=false,bAlly=false,},tLife={bEnable=false,szOperator="&gt;",nValue=0,},},</t>
  </si>
  <si>
    <t>螃蟹·青蟹</t>
  </si>
  <si>
    <t>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</t>
  </si>
  <si>
    <t>苗淼尔·滇南行</t>
  </si>
  <si>
    <t>{dwMapID=-1,szDisplay="苗淼尔·滇南行",nMaxDistance=60,tRelation={bAll=true,bEnemy=false,bAlly=false,},tLife={bEnable=false,szOperator="&gt;",nValue=0,},},</t>
  </si>
  <si>
    <t>查飞天·至尊宝</t>
  </si>
  <si>
    <t>{dwMapID=-1,szDisplay="查飞天·至尊宝",nMaxDistance=60,tRelation={bAll=true,bEnemy=false,bAlly=false,},tLife={bEnable=false,szOperator="&gt;",nValue=0,},},</t>
  </si>
  <si>
    <t>虚弱的小狗·哈皮</t>
  </si>
  <si>
    <t>{dwMapID=-1,szDisplay="虚弱的小狗·哈皮",nMaxDistance=0,tRelation={bAll=true,bEnemy=false,bAlly=false,},tLife={bEnable=false,szOperator="&gt;",nValue=0,},},</t>
  </si>
  <si>
    <t>吴为有·石敢当</t>
  </si>
  <si>
    <t>{dwMapID=-1,szDisplay="吴为有·石敢当",nMaxDistance=120,tRelation={bAll=true,bEnemy=false,bAlly=false,},tLife={bEnable=false,szOperator="&gt;",nValue=0,},},</t>
  </si>
  <si>
    <t>唐御御·烟花戏</t>
  </si>
  <si>
    <t>{dwMapID=-1,szDisplay="唐御御·烟花戏",nMaxDistance=60,tRelation={bAll=true,bEnemy=false,bAlly=false,},tLife={bEnable=false,szOperator="&gt;",nValue=0,},},</t>
  </si>
  <si>
    <t>唐素娘·龟影锋</t>
  </si>
  <si>
    <t>{dwMapID=-1,szDisplay="唐素娘·龟影锋",nMaxDistance=30,tRelation={bAll=true,bEnemy=false,bAlly=false,},tLife={bEnable=false,szOperator="&gt;",nValue=0,},},</t>
  </si>
  <si>
    <t>密探·蟹将·蟹帅</t>
  </si>
  <si>
    <t>{dwMapID=-1,szDisplay="密探·蟹将·蟹帅",nMaxDistance=0,tRelation={bAll=true,bEnemy=false,bAlly=false,},tLife={bEnable=false,szOperator="&gt;",nValue=0,},},</t>
  </si>
  <si>
    <t>阿貘·烟花戏</t>
  </si>
  <si>
    <t>{dwMapID=-1,szDisplay="阿貘·烟花戏",nMaxDistance=60,tRelation={bAll=true,bEnemy=false,bAlly=false,},tLife={bEnable=false,szOperator="&gt;",nValue=0,},},</t>
  </si>
  <si>
    <t>雨芒·烟花戏</t>
  </si>
  <si>
    <t>{dwMapID=-1,szDisplay="雨芒·烟花戏",nMaxDistance=60,tRelation={bAll=true,bEnemy=false,bAlly=false,},tLife={bEnable=false,szOperator="&gt;",nValue=0,},},</t>
  </si>
  <si>
    <t>惊恐的灰鹅·小灰</t>
  </si>
  <si>
    <t>{dwMapID=-1,szDisplay="惊恐的灰鹅·小灰",nMaxDistance=0,tRelation={bAll=true,bEnemy=false,bAlly=false,},tLife={bEnable=false,szOperator="&gt;",nValue=0,},},</t>
  </si>
  <si>
    <t>错错·枉叹恨</t>
  </si>
  <si>
    <t>{dwMapID=-1,szDisplay="错错·枉叹恨",nMaxDistance=60,tRelation={bAll=true,bEnemy=false,bAlly=false,},tLife={bEnable=false,szOperator="&gt;",nValue=0,},},</t>
  </si>
  <si>
    <t>苏临渊·稚子心</t>
  </si>
  <si>
    <t>{dwMapID=-1,szDisplay="苏临渊·稚子心",nMaxDistance=60,tRelation={bAll=true,bEnemy=false,bAlly=false,},tLife={bEnable=false,szOperator="&gt;",nValue=0,},},</t>
  </si>
  <si>
    <t>李嫂·稚子心</t>
  </si>
  <si>
    <t>{dwMapID=-1,szDisplay="李嫂·稚子心",nMaxDistance=60,tRelation={bAll=true,bEnemy=false,bAlly=false,},tLife={bEnable=false,szOperator="&gt;",nValue=0,},},</t>
  </si>
  <si>
    <t>连九醉·烟花戏</t>
  </si>
  <si>
    <t>{dwMapID=-1,szDisplay="连九醉·烟花戏",nMaxDistance=60,tRelation={bAll=true,bEnemy=false,bAlly=false,},tLife={bEnable=false,szOperator="&gt;",nValue=0,},},</t>
  </si>
  <si>
    <t>小静静</t>
  </si>
  <si>
    <t>九隆神丐·荆轲刺</t>
  </si>
  <si>
    <t>{dwMapID=-1,szDisplay="九隆神丐·荆轲刺",nMaxDistance=60,tRelation={bAll=true,bEnemy=false,bAlly=false,},tLife={bEnable=false,szOperator="&gt;",nValue=0,},},</t>
  </si>
  <si>
    <t>孟乌·瀛洲梦</t>
  </si>
  <si>
    <t>{dwMapID=-1,szDisplay="孟乌·瀛洲梦",nMaxDistance=60,tRelation={bAll=true,bEnemy=false,bAlly=false,},tLife={bEnable=false,szOperator="&gt;",nValue=0,},},</t>
  </si>
  <si>
    <t>南静·关外商</t>
  </si>
  <si>
    <t>{dwMapID=-1,szDisplay="南静·关外商",nMaxDistance=60,tRelation={bAll=true,bEnemy=false,bAlly=false,},tLife={bEnable=false,szOperator="&gt;",nValue=0,},},</t>
  </si>
  <si>
    <t>白芷沅·戎马边</t>
  </si>
  <si>
    <t>{dwMapID=-1,szDisplay="白芷沅·戎马边",nMaxDistance=60,tRelation={bAll=true,bEnemy=false,bAlly=false,},tLife={bEnable=false,szOperator="&gt;",nValue=0,},},</t>
  </si>
  <si>
    <t>庞以松·童蒙志</t>
  </si>
  <si>
    <t>{dwMapID=-1,szDisplay="庞以松·童蒙志",nMaxDistance=30,tRelation={bAll=true,bEnemy=false,bAlly=false,},tLife={bEnable=false,szOperator="&gt;",nValue=0,},},</t>
  </si>
  <si>
    <t>流民老奶奶·燕难归</t>
  </si>
  <si>
    <t>{dwMapID=-1,szDisplay="流民老奶奶·燕难归",nMaxDistance=30,tRelation={bAll=true,bEnemy=false,bAlly=false,},tLife={bEnable=false,szOperator="&gt;",nValue=0,},},</t>
  </si>
  <si>
    <t>阿秋·儿女事</t>
  </si>
  <si>
    <t>{dwMapID=-1,szDisplay="阿秋·儿女事",nMaxDistance=60,tRelation={bAll=true,bEnemy=false,bAlly=false,},tLife={bEnable=false,szOperator="&gt;",nValue=0,},},</t>
  </si>
  <si>
    <t>王老道·碎片五·清茗经</t>
  </si>
  <si>
    <t>{dwMapID=-1,szDisplay="王老道·碎片五·清茗经",nMaxDistance=60,tRelation={bAll=true,bEnemy=false,bAlly=false,},tLife={bEnable=false,szOperator="&gt;",nValue=0,},},</t>
  </si>
  <si>
    <t>李尘缘·碎片八·清茗经</t>
  </si>
  <si>
    <t>{dwMapID=-1,szDisplay="李尘缘·碎片八·清茗经",nMaxDistance=90,tRelation={bAll=true,bEnemy=false,bAlly=false,},tLife={bEnable=false,szOperator="&gt;",nValue=0,},},</t>
  </si>
  <si>
    <t>航小婷·胜负局</t>
  </si>
  <si>
    <t>{dwMapID=-1,szDisplay="航小婷·胜负局",nMaxDistance=60,tRelation={bAll=true,bEnemy=false,bAlly=false,},tLife={bEnable=false,szOperator="&gt;",nValue=0,},},</t>
  </si>
  <si>
    <t>刘安·风雨意</t>
  </si>
  <si>
    <t>{dwMapID=-1,szDisplay="刘安·风雨意",nMaxDistance=60,tRelation={bAll=true,bEnemy=false,bAlly=false,},tLife={bEnable=false,szOperator="&gt;",nValue=0,},},</t>
  </si>
  <si>
    <t>曙曙·风雨意</t>
  </si>
  <si>
    <t>{dwMapID=-1,szDisplay="曙曙·风雨意",nMaxDistance=60,tRelation={bAll=true,bEnemy=false,bAlly=false,},tLife={bEnable=false,szOperator="&gt;",nValue=0,},},</t>
  </si>
  <si>
    <t>野马烈风·青草歌</t>
  </si>
  <si>
    <t>{dwMapID=-1,szDisplay="野马烈风·青草歌",nMaxDistance=60,tRelation={bAll=true,bEnemy=false,bAlly=false,},tLife={bEnable=false,szOperator="&gt;",nValue=0,},},</t>
  </si>
  <si>
    <t>神秘商人·沧海笛</t>
  </si>
  <si>
    <t>{dwMapID=-1,szDisplay="神秘商人·沧海笛",nMaxDistance=60,tRelation={bAll=true,bEnemy=false,bAlly=false,},tLife={bEnable=false,szOperator="&gt;",nValue=0,},},</t>
  </si>
  <si>
    <t>沙木沙克·幽海牧</t>
  </si>
  <si>
    <t>{dwMapID=-1,szDisplay="沙木沙克·幽海牧",nMaxDistance=60,tRelation={bAll=true,bEnemy=false,bAlly=false,},tLife={bEnable=false,szOperator="&gt;",nValue=0,},},</t>
  </si>
  <si>
    <t>小叮当·北行镖</t>
  </si>
  <si>
    <t>{dwMapID=-1,szDisplay="小叮当·北行镖",nMaxDistance=0,tRelation={bAll=true,bEnemy=false,bAlly=false,},tLife={bEnable=false,szOperator="&gt;",nValue=0,},},</t>
  </si>
  <si>
    <t>边澈·太行道</t>
  </si>
  <si>
    <t>{dwMapID=-1,szDisplay="边澈·太行道",nMaxDistance=60,tRelation={bAll=true,bEnemy=false,bAlly=false,},tLife={bEnable=false,szOperator="&gt;",nValue=0,},},</t>
  </si>
  <si>
    <t>林云飞·露园事</t>
  </si>
  <si>
    <t>{dwMapID=-1,szDisplay="林云飞·露园事",nMaxDistance=60,tRelation={bAll=true,bEnemy=false,bAlly=false,},tLife={bEnable=false,szOperator="&gt;",nValue=0,},},</t>
  </si>
  <si>
    <t>火头僧·客江干</t>
  </si>
  <si>
    <t>{dwMapID=-1,szDisplay="火头僧·客江干",nMaxDistance=60,tRelation={bAll=true,bEnemy=false,bAlly=false,},tLife={bEnable=false,szOperator="&gt;",nValue=0,},},</t>
  </si>
  <si>
    <t>焦福贵·秘宝图</t>
  </si>
  <si>
    <t>{dwMapID=-1,szDisplay="焦福贵·秘宝图",nMaxDistance=60,tRelation={bAll=true,bEnemy=false,bAlly=false,},tLife={bEnable=false,szOperator="&gt;",nValue=0,},},</t>
  </si>
  <si>
    <t>落单少侠·瀛洲梦</t>
  </si>
  <si>
    <t>{dwMapID=-1,szDisplay="落单少侠·瀛洲梦",nMaxDistance=60,tRelation={bAll=true,bEnemy=false,bAlly=false,},tLife={bEnable=false,szOperator="&gt;",nValue=0,},},</t>
  </si>
  <si>
    <t>算命先生·话玄虚</t>
  </si>
  <si>
    <t>{dwMapID=-1,szDisplay="算命先生·话玄虚",nMaxDistance=60,tRelation={bAll=true,bEnemy=false,bAlly=false,},tLife={bEnable=false,szOperator="&gt;",nValue=0,},},</t>
  </si>
  <si>
    <t>绿头鸭·滴水恩</t>
  </si>
  <si>
    <t>{dwMapID=-1,szDisplay="绿头鸭·滴水恩",nMaxDistance=60,tRelation={bAll=true,bEnemy=false,bAlly=false,},tLife={bEnable=false,szOperator="&gt;",nValue=0,},},</t>
  </si>
  <si>
    <t>宋旅·路投石</t>
  </si>
  <si>
    <t>{dwMapID=-1,szDisplay="宋旅·路投石",nMaxDistance=60,tRelation={bAll=true,bEnemy=false,bAlly=false,},tLife={bEnable=false,szOperator="&gt;",nValue=0,},},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</si>
  <si>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</si>
  <si>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</si>
  <si>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</si>
  <si>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{dwMapID=-1,szDisplay="泥鳅·一枝栖",nMaxDistance=60,tRelation={bAll=true,bEnemy=false,bAlly=false,},tLife={bEnable=false,szOperator="&gt;",nValue=0,},},</t>
  </si>
  <si>
    <t>刘山夕·念旧林</t>
  </si>
  <si>
    <t>{dwMapID=-1,szDisplay="刘山夕·念旧林",nMaxDistance=120,tRelation={bAll=true,bEnemy=false,bAlly=false,},tLife={bEnable=false,szOperator="&gt;",nValue=0,},},</t>
  </si>
  <si>
    <t>小肥花·重洋客</t>
  </si>
  <si>
    <t>{dwMapID=-1,szDisplay="小肥花·重洋客",nMaxDistance=60,tRelation={bAll=true,bEnemy=false,bAlly=false,},tLife={bEnable=false,szOperator="&gt;",nValue=0,},},</t>
  </si>
  <si>
    <t>礼礼·乱红鸾</t>
  </si>
  <si>
    <t>{dwMapID=-1,szDisplay="礼礼·乱红鸾",nMaxDistance=60,tRelation={bAll=true,bEnemy=false,bAlly=false,},tLife={bEnable=false,szOperator="&gt;",nValue=0,},},</t>
  </si>
  <si>
    <t>晒太阳·寓天涯</t>
  </si>
  <si>
    <t>{dwMapID=-1,szDisplay="晒太阳·寓天涯",nMaxDistance=60,tRelation={bAll=true,bEnemy=false,bAlly=false,},tLife={bEnable=false,szOperator="&gt;",nValue=0,},},</t>
  </si>
  <si>
    <t>崔有恒·子夜歌</t>
  </si>
  <si>
    <t>{dwMapID=-1,szDisplay="崔有恒·子夜歌",nMaxDistance=60,tRelation={bAll=true,bEnemy=false,bAlly=false,},tLife={bEnable=false,szOperator="&gt;",nValue=0,},},</t>
  </si>
  <si>
    <t>姜堰·授太平</t>
  </si>
  <si>
    <t>{dwMapID=-1,szDisplay="姜堰·授太平",nMaxDistance=60,tRelation={bAll=true,bEnemy=false,bAlly=false,},tLife={bEnable=false,szOperator="&gt;",nValue=0,},},</t>
  </si>
  <si>
    <t>逗逗·夜哀鸣</t>
  </si>
  <si>
    <t>{dwMapID=-1,szDisplay="逗逗·夜哀鸣",nMaxDistance=60,tRelation={bAll=true,bEnemy=false,bAlly=false,},tLife={bEnable=false,szOperator="&gt;",nValue=0,},},</t>
  </si>
  <si>
    <t>槲生·故岁辞</t>
  </si>
  <si>
    <t>{dwMapID=-1,szDisplay="槲生·故岁辞",nMaxDistance=60,tRelation={bAll=true,bEnemy=false,bAlly=false,},tLife={bEnable=false,szOperator="&gt;",nValue=0,},},</t>
  </si>
  <si>
    <t>伊丽川</t>
  </si>
  <si>
    <t>米迦尔·追光记</t>
  </si>
  <si>
    <t>{dwMapID=-1,szDisplay="米迦尔·追光记",nMaxDistance=60,tRelation={bAll=true,bEnemy=false,bAlly=false,},tLife={bEnable=false,szOperator="&gt;",nValue=0,},},</t>
  </si>
  <si>
    <t>永宁湾</t>
  </si>
  <si>
    <t>刘一竿·碗中仙</t>
  </si>
  <si>
    <t>{dwMapID=-1,szDisplay="刘一竿·碗中仙",nMaxDistance=60,tRelation={bAll=true,bEnemy=false,bAlly=false,},tLife={bEnable=false,szOperator="&gt;",nValue=0,},},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</si>
  <si>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</si>
  <si>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</si>
  <si>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</si>
  <si>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</si>
  <si>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</si>
  <si>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</si>
  <si>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</si>
  <si>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</si>
  <si>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</si>
  <si>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</si>
  <si>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</si>
  <si>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</si>
  <si>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{dwMapID=-1,szDisplay="盆栽·燕啼松",nMaxDistance=60,tRelation={bAll=true,bEnemy=false,bAlly=false,},tLife={bEnable=false,szOperator="&gt;",nValue=0,},},</t>
  </si>
  <si>
    <t>散落的书页·孩童书</t>
  </si>
  <si>
    <t>{dwMapID=-1,szDisplay="散落的书页·孩童书",nMaxDistance=60,tRelation={bAll=true,bEnemy=false,bAlly=false,},tLife={bEnable=false,szOperator="&gt;",nValue=0,},},</t>
  </si>
  <si>
    <t>酒葫芦·小果</t>
  </si>
  <si>
    <t>{dwMapID=-1,szDisplay="酒葫芦·小果",nMaxDistance=0,tRelation={bAll=true,bEnemy=false,bAlly=false,},tLife={bEnable=false,szOperator="&gt;",nValue=0,},},</t>
  </si>
  <si>
    <t>一本书·蟹马蓝</t>
  </si>
  <si>
    <t>{dwMapID=-1,szDisplay="一本书·蟹马蓝",nMaxDistance=0,tRelation={bAll=true,bEnemy=false,bAlly=false,},tLife={bEnable=false,szOperator="&gt;",nValue=0,},},</t>
  </si>
  <si>
    <t>埋东西的痕迹·烟花戏</t>
  </si>
  <si>
    <t>{dwMapID=-1,szDisplay="埋东西的痕迹·烟花戏",nMaxDistance=60,tRelation={bAll=true,bEnemy=false,bAlly=false,},tLife={bEnable=false,szOperator="&gt;",nValue=0,},},</t>
  </si>
  <si>
    <t>奇怪的土堆·归安志</t>
  </si>
  <si>
    <t>{dwMapID=-1,szDisplay="奇怪的土堆·归安志",nMaxDistance=60,tRelation={bAll=true,bEnemy=false,bAlly=false,},tLife={bEnable=false,szOperator="&gt;",nValue=0,},},</t>
  </si>
  <si>
    <t>苜蓿草·谜书生</t>
  </si>
  <si>
    <t>{dwMapID=-1,szDisplay="苜蓿草·谜书生",nMaxDistance=60,tRelation={bAll=true,bEnemy=false,bAlly=false,},tLife={bEnable=false,szOperator="&gt;",nValue=0,},},</t>
  </si>
  <si>
    <t>带血的金钗·谜书生</t>
  </si>
  <si>
    <t>{dwMapID=-1,szDisplay="带血的金钗·谜书生",nMaxDistance=60,tRelation={bAll=true,bEnemy=false,bAlly=false,},tLife={bEnable=false,szOperator="&gt;",nValue=0,},},</t>
  </si>
  <si>
    <t>几页书稿·江湖录</t>
  </si>
  <si>
    <t>{dwMapID=-1,szDisplay="几页书稿·江湖录",nMaxDistance=60,tRelation={bAll=true,bEnemy=false,bAlly=false,},tLife={bEnable=false,szOperator="&gt;",nValue=0,},},</t>
  </si>
  <si>
    <t>小土堆·小花</t>
  </si>
  <si>
    <t>{dwMapID=-1,szDisplay="小土堆·小花",nMaxDistance=120,tRelation={bAll=true,bEnemy=false,bAlly=false,},tLife={bEnable=false,szOperator="&gt;",nValue=0,},},</t>
  </si>
  <si>
    <t>遗失的包裹·归安志</t>
  </si>
  <si>
    <t>{dwMapID=-1,szDisplay="遗失的包裹·归安志",nMaxDistance=60,tRelation={bAll=true,bEnemy=false,bAlly=false,},tLife={bEnable=false,szOperator="&gt;",nValue=0,},},</t>
  </si>
  <si>
    <t>招牌菜·义千金</t>
  </si>
  <si>
    <t>{dwMapID=-1,szDisplay="招牌菜·义千金",nMaxDistance=60,tRelation={bAll=true,bEnemy=false,bAlly=false,},tLife={bEnable=false,szOperator="&gt;",nValue=0,},},</t>
  </si>
  <si>
    <t>秘方·义千金</t>
  </si>
  <si>
    <t>{dwMapID=-1,szDisplay="秘方·义千金",nMaxDistance=60,tRelation={bAll=true,bEnemy=false,bAlly=false,},tLife={bEnable=false,szOperator="&gt;",nValue=0,},},</t>
  </si>
  <si>
    <t>小泥娃娃·红衣歌</t>
  </si>
  <si>
    <t>{dwMapID=-1,szDisplay="小泥娃娃·红衣歌",nMaxDistance=60,tRelation={bAll=true,bEnemy=false,bAlly=false,},tLife={bEnable=false,szOperator="&gt;",nValue=0,},},</t>
  </si>
  <si>
    <t>古旧的卷轴·归安志</t>
  </si>
  <si>
    <t>{dwMapID=-1,szDisplay="古旧的卷轴·归安志",nMaxDistance=60,tRelation={bAll=true,bEnemy=false,bAlly=false,},tLife={bEnable=false,szOperator="&gt;",nValue=0,},},</t>
  </si>
  <si>
    <t>诱捕的笼子·破晓鸣</t>
  </si>
  <si>
    <t>{dwMapID=-1,szDisplay="诱捕的笼子·破晓鸣",nMaxDistance=60,tRelation={bAll=true,bEnemy=false,bAlly=false,},tLife={bEnable=false,szOperator="&gt;",nValue=0,},},</t>
  </si>
  <si>
    <t>一本书·蟹相</t>
  </si>
  <si>
    <t>{dwMapID=-1,szDisplay="一本书·蟹相",nMaxDistance=0,tRelation={bAll=true,bEnemy=false,bAlly=false,},tLife={bEnable=false,szOperator="&gt;",nValue=0,},},</t>
  </si>
  <si>
    <t>沙土堆·枫林酒</t>
  </si>
  <si>
    <t>{dwMapID=-1,szDisplay="沙土堆·枫林酒",nMaxDistance=60,tRelation={bAll=true,bEnemy=false,bAlly=false,},tLife={bEnable=false,szOperator="&gt;",nValue=0,},},</t>
  </si>
  <si>
    <t>陈旧的宝盒·三山四海</t>
  </si>
  <si>
    <t>{dwMapID=-1,szDisplay="陈旧的宝盒·三山",nMaxDistance=60,tRelation={bAll=true,bEnemy=false,bAlly=false,},tLife={bEnable=false,szOperator="&gt;",nValue=0,},},</t>
  </si>
  <si>
    <t>一本书·蟹士</t>
  </si>
  <si>
    <t>{dwMapID=-1,szDisplay="一本书·蟹士",nMaxDistance=0,tRelation={bAll=true,bEnemy=false,bAlly=false,},tLife={bEnable=false,szOperator="&gt;",nValue=0,},},</t>
  </si>
  <si>
    <t>张老头的竹筐·归安志</t>
  </si>
  <si>
    <t>{dwMapID=-1,szDisplay="张老头的竹筐·归安志",nMaxDistance=60,tRelation={bAll=true,bEnemy=false,bAlly=false,},tLife={bEnable=false,szOperator="&gt;",nValue=0,},},</t>
  </si>
  <si>
    <t>落叶堆·鸠雀记</t>
  </si>
  <si>
    <t>{dwMapID=-1,szDisplay="落叶堆·鸠雀记",nMaxDistance=60,tRelation={bAll=true,bEnemy=false,bAlly=false,},tLife={bEnable=false,szOperator="&gt;",nValue=0,},},</t>
  </si>
  <si>
    <t>酒坛·捉妖记</t>
  </si>
  <si>
    <t>{dwMapID=-1,szDisplay="酒坛·捉妖记",nMaxDistance=60,tRelation={bAll=true,bEnemy=false,bAlly=false,},tLife={bEnable=false,szOperator="&gt;",nValue=0,},},</t>
  </si>
  <si>
    <t>藏着木头鱼的鱼篓·捉妖记</t>
  </si>
  <si>
    <t>{dwMapID=-1,szDisplay="藏木头鱼的鱼篓·捉妖记",nMaxDistance=60,tRelation={bAll=true,bEnemy=false,bAlly=false,},tLife={bEnable=false,szOperator="&gt;",nValue=0,},},</t>
  </si>
  <si>
    <t>风筝·捉妖记</t>
  </si>
  <si>
    <t>{dwMapID=-1,szDisplay="风筝·捉妖记",nMaxDistance=60,tRelation={bAll=true,bEnemy=false,bAlly=false,},tLife={bEnable=false,szOperator="&gt;",nValue=0,},},</t>
  </si>
  <si>
    <t>川芎·烟花戏</t>
  </si>
  <si>
    <t>{dwMapID=-1,szDisplay="川芎·烟花戏",nMaxDistance=60,tRelation={bAll=true,bEnemy=false,bAlly=false,},tLife={bEnable=false,szOperator="&gt;",nValue=0,},},</t>
  </si>
  <si>
    <t>一本书·蟹车蓝</t>
  </si>
  <si>
    <t>{dwMapID=-1,szDisplay="一本书·蟹车蓝",nMaxDistance=0,tRelation={bAll=true,bEnemy=false,bAlly=false,},tLife={bEnable=false,szOperator="&gt;",nValue=0,},},</t>
  </si>
  <si>
    <t>一盏青头草·嘟嘟</t>
  </si>
  <si>
    <t>{dwMapID=-1,szDisplay="一盏青头草·嘟嘟",nMaxDistance=60,tRelation={bAll=true,bEnemy=false,bAlly=false,},tLife={bEnable=false,szOperator="&gt;",nValue=0,},},</t>
  </si>
  <si>
    <t>夏枯草·东海客</t>
  </si>
  <si>
    <t>{dwMapID=-1,szDisplay="夏枯草·东海客",nMaxDistance=60,tRelation={bAll=true,bEnemy=false,bAlly=false,},tLife={bEnable=false,szOperator="&gt;",nValue=0,},},</t>
  </si>
  <si>
    <t>半本秘诀·尘网中</t>
  </si>
  <si>
    <t>{dwMapID=-1,szDisplay="半本秘诀·尘网中",nMaxDistance=60,tRelation={bAll=true,bEnemy=false,bAlly=false,},tLife={bEnable=false,szOperator="&gt;",nValue=0,},},</t>
  </si>
  <si>
    <t>遗失的画纸·沙海谣</t>
  </si>
  <si>
    <t>{dwMapID=-1,szDisplay="遗失的画纸·沙海谣",nMaxDistance=60,tRelation={bAll=true,bEnemy=false,bAlly=false,},tLife={bEnable=false,szOperator="&gt;",nValue=0,},},</t>
  </si>
  <si>
    <t>深色的沙土堆·锋芒展</t>
  </si>
  <si>
    <t>{dwMapID=-1,szDisplay="深色的沙土堆·锋芒展",nMaxDistance=60,tRelation={bAll=true,bEnemy=false,bAlly=false,},tLife={bEnable=false,szOperator="&gt;",nValue=0,},},</t>
  </si>
  <si>
    <t>四散的弩箭·锋芒展</t>
  </si>
  <si>
    <t>{dwMapID=-1,szDisplay="四散的弩箭·锋芒展",nMaxDistance=60,tRelation={bAll=true,bEnemy=false,bAlly=false,},tLife={bEnable=false,szOperator="&gt;",nValue=0,},},</t>
  </si>
  <si>
    <t>篝火残骸·锋芒展</t>
  </si>
  <si>
    <t>{dwMapID=-1,szDisplay="篝火残骸·锋芒展",nMaxDistance=60,tRelation={bAll=true,bEnemy=false,bAlly=false,},tLife={bEnable=false,szOperator="&gt;",nValue=0,},},</t>
  </si>
  <si>
    <t>散落的刀兵·锋芒展</t>
  </si>
  <si>
    <t>{dwMapID=-1,szDisplay="散落的刀兵·锋芒展",nMaxDistance=60,tRelation={bAll=true,bEnemy=false,bAlly=false,},tLife={bEnable=false,szOperator="&gt;",nValue=0,},},</t>
  </si>
  <si>
    <t>商队货物·锋芒展</t>
  </si>
  <si>
    <t>{dwMapID=-1,szDisplay="商队货物·锋芒展",nMaxDistance=60,tRelation={bAll=true,bEnemy=false,bAlly=false,},tLife={bEnable=false,szOperator="&gt;",nValue=0,},},</t>
  </si>
  <si>
    <t>冰凌雪莲·冰蓝花客</t>
  </si>
  <si>
    <t>{dwMapID=-1,szDisplay="冰凌雪莲·冰蓝花客",nMaxDistance=120,tRelation={bAll=true,bEnemy=false,bAlly=false,},tLife={bEnable=false,szOperator="&gt;",nValue=0,},},</t>
  </si>
  <si>
    <t>一本书·蟹仕</t>
  </si>
  <si>
    <t>{dwMapID=-1,szDisplay="一本书·蟹仕",nMaxDistance=0,tRelation={bAll=true,bEnemy=false,bAlly=false,},tLife={bEnable=false,szOperator="&gt;",nValue=0,},},</t>
  </si>
  <si>
    <t>一本书·蟹车红</t>
  </si>
  <si>
    <t>{dwMapID=-1,szDisplay="一本书·蟹车红",nMaxDistance=0,tRelation={bAll=true,bEnemy=false,bAlly=false,},tLife={bEnable=false,szOperator="&gt;",nValue=0,},},</t>
  </si>
  <si>
    <t>破旧的纸卷·小诺</t>
  </si>
  <si>
    <t>{dwMapID=-1,szDisplay="破旧的纸卷·小诺",nMaxDistance=0,tRelation={bAll=true,bEnemy=false,bAlly=false,},tLife={bEnable=false,szOperator="&gt;",nValue=0,},},</t>
  </si>
  <si>
    <t>泥沙堆·红羽大将军</t>
  </si>
  <si>
    <t>{dwMapID=-1,szDisplay="泥沙堆·红羽大将军",nMaxDistance=0,tRelation={bAll=true,bEnemy=false,bAlly=false,},tLife={bEnable=false,szOperator="&gt;",nValue=0,},},</t>
  </si>
  <si>
    <t>一个闪闪发光的物件·竹马情</t>
  </si>
  <si>
    <t>{dwMapID=-1,szDisplay="闪闪发光的物件·竹马情",nMaxDistance=60,tRelation={bAll=true,bEnemy=false,bAlly=false,},tLife={bEnable=false,szOperator="&gt;",nValue=0,},},</t>
  </si>
  <si>
    <t>小土堆·滇南行</t>
  </si>
  <si>
    <t>{dwMapID=-1,szDisplay="小土堆·滇南行",nMaxDistance=60,tRelation={bAll=true,bEnemy=false,bAlly=false,},tLife={bEnable=false,szOperator="&gt;",nValue=0,},},</t>
  </si>
  <si>
    <t>换颜草·滇南行</t>
  </si>
  <si>
    <t>{dwMapID=-1,szDisplay="换颜草·滇南行",nMaxDistance=60,tRelation={bAll=true,bEnemy=false,bAlly=false,},tLife={bEnable=false,szOperator="&gt;",nValue=0,},},</t>
  </si>
  <si>
    <t>日记1·东海客</t>
  </si>
  <si>
    <t>{dwMapID=-1,szDisplay="日记1·东海客",nMaxDistance=60,tRelation={bAll=true,bEnemy=false,bAlly=false,},tLife={bEnable=false,szOperator="&gt;",nValue=0,},},</t>
  </si>
  <si>
    <t>日记2·东海客</t>
  </si>
  <si>
    <t>{dwMapID=-1,szDisplay="日记2·东海客",nMaxDistance=60,tRelation={bAll=true,bEnemy=false,bAlly=false,},tLife={bEnable=false,szOperator="&gt;",nValue=0,},},</t>
  </si>
  <si>
    <t>日记3·东海客</t>
  </si>
  <si>
    <t>{dwMapID=-1,szDisplay="日记3·东海客",nMaxDistance=60,tRelation={bAll=true,bEnemy=false,bAlly=false,},tLife={bEnable=false,szOperator="&gt;",nValue=0,},},</t>
  </si>
  <si>
    <t>日记4·东海客</t>
  </si>
  <si>
    <t>{dwMapID=-1,szDisplay="日记4·东海客",nMaxDistance=60,tRelation={bAll=true,bEnemy=false,bAlly=false,},tLife={bEnable=false,szOperator="&gt;",nValue=0,},},</t>
  </si>
  <si>
    <t>日记5·东海客</t>
  </si>
  <si>
    <t>{dwMapID=-1,szDisplay="日记5·东海客",nMaxDistance=60,tRelation={bAll=true,bEnemy=false,bAlly=false,},tLife={bEnable=false,szOperator="&gt;",nValue=0,},},</t>
  </si>
  <si>
    <t>一本书·蟹砲</t>
  </si>
  <si>
    <t>{dwMapID=-1,szDisplay="一本书·蟹砲",nMaxDistance=0,tRelation={bAll=true,bEnemy=false,bAlly=false,},tLife={bEnable=false,szOperator="&gt;",nValue=0,},},</t>
  </si>
  <si>
    <t>小土堆·商周客</t>
  </si>
  <si>
    <t>{dwMapID=-1,szDisplay="小土堆·商周客",nMaxDistance=0,tRelation={bAll=true,bEnemy=false,bAlly=false,},tLife={bEnable=false,szOperator="&gt;",nValue=0,},},</t>
  </si>
  <si>
    <t>一本书·蟹马红</t>
  </si>
  <si>
    <t>{dwMapID=-1,szDisplay="一本书·蟹马红",nMaxDistance=0,tRelation={bAll=true,bEnemy=false,bAlly=false,},tLife={bEnable=false,szOperator="&gt;",nValue=0,},},</t>
  </si>
  <si>
    <t>一本书·蟹象</t>
  </si>
  <si>
    <t>{dwMapID=-1,szDisplay="一本书·蟹象",nMaxDistance=0,tRelation={bAll=true,bEnemy=false,bAlly=false,},tLife={bEnable=false,szOperator="&gt;",nValue=0,},},</t>
  </si>
  <si>
    <t>神秘书籍·至尊宝</t>
  </si>
  <si>
    <t>{dwMapID=-1,szDisplay="神秘书籍·至尊宝",nMaxDistance=60,tRelation={bAll=true,bEnemy=false,bAlly=false,},tLife={bEnable=false,szOperator="&gt;",nValue=0,},},</t>
  </si>
  <si>
    <t>空酒坛子·至尊宝</t>
  </si>
  <si>
    <t>{dwMapID=-1,szDisplay="空酒坛子·至尊宝",nMaxDistance=60,tRelation={bAll=true,bEnemy=false,bAlly=false,},tLife={bEnable=false,szOperator="&gt;",nValue=0,},},</t>
  </si>
  <si>
    <t>不起眼的小土堆·至尊宝</t>
  </si>
  <si>
    <t>{dwMapID=-1,szDisplay="不起眼的小土堆·至尊宝",nMaxDistance=60,tRelation={bAll=true,bEnemy=false,bAlly=false,},tLife={bEnable=false,szOperator="&gt;",nValue=0,},},</t>
  </si>
  <si>
    <t>一本书·蟹炮</t>
  </si>
  <si>
    <t>{dwMapID=-1,szDisplay="一本书·蟹炮",nMaxDistance=0,tRelation={bAll=true,bEnemy=false,bAlly=false,},tLife={bEnable=false,szOperator="&gt;",nValue=0,},},</t>
  </si>
  <si>
    <t>小土堆·石敢当</t>
  </si>
  <si>
    <t>{dwMapID=-1,szDisplay="小土堆·石敢当",nMaxDistance=60,tRelation={bAll=true,bEnemy=false,bAlly=false,},tLife={bEnable=false,szOperator="&gt;",nValue=0,},},</t>
  </si>
  <si>
    <t>竹叶青·烟花戏</t>
  </si>
  <si>
    <t>{dwMapID=-1,szDisplay="竹叶青·烟花戏",nMaxDistance=60,tRelation={bAll=true,bEnemy=false,bAlly=false,},tLife={bEnable=false,szOperator="&gt;",nValue=0,},},</t>
  </si>
  <si>
    <t>道旁墓碑·沧海笛</t>
  </si>
  <si>
    <t>{dwMapID=-1,szDisplay="道旁墓碑·沧海笛",nMaxDistance=60,tRelation={bAll=true,bEnemy=false,bAlly=false,},tLife={bEnable=false,szOperator="&gt;",nValue=0,},},</t>
  </si>
  <si>
    <t>奇怪的包袱·阿里</t>
  </si>
  <si>
    <t>{dwMapID=-1,szDisplay="奇怪的包袱·阿里",nMaxDistance=0,tRelation={bAll=true,bEnemy=false,bAlly=false,},tLife={bEnable=false,szOperator="&gt;",nValue=0,},},</t>
  </si>
  <si>
    <t>情报箱·兽王佩</t>
  </si>
  <si>
    <t>{dwMapID=-1,szDisplay="情报箱·兽王佩",nMaxDistance=60,tRelation={bAll=true,bEnemy=false,bAlly=false,},tLife={bEnable=false,szOperator="&gt;",nValue=0,},},</t>
  </si>
  <si>
    <t>一个小包裹·小锦</t>
  </si>
  <si>
    <t>{dwMapID=-1,szDisplay="一个小包裹·小锦",nMaxDistance=0,tRelation={bAll=true,bEnemy=false,bAlly=false,},tLife={bEnable=false,szOperator="&gt;",nValue=0,},},</t>
  </si>
  <si>
    <t>士兵的包裹·阿飞</t>
  </si>
  <si>
    <t>{dwMapID=-1,szDisplay="士兵的包裹·阿飞",nMaxDistance=0,tRelation={bAll=true,bEnemy=false,bAlly=false,},tLife={bEnable=false,szOperator="&gt;",nValue=0,},},</t>
  </si>
  <si>
    <t>桃花枝·稚子心</t>
  </si>
  <si>
    <t>{dwMapID=-1,szDisplay="桃花枝·稚子心",nMaxDistance=60,tRelation={bAll=true,bEnemy=false,bAlly=false,},tLife={bEnable=false,szOperator="&gt;",nValue=0,},},</t>
  </si>
  <si>
    <t>银鱼·稚子心</t>
  </si>
  <si>
    <t>{dwMapID=-1,szDisplay="银鱼·稚子心",nMaxDistance=60,tRelation={bAll=true,bEnemy=false,bAlly=false,},tLife={bEnable=false,szOperator="&gt;",nValue=0,},},</t>
  </si>
  <si>
    <t>猴儿酒·稚子心</t>
  </si>
  <si>
    <t>{dwMapID=-1,szDisplay="猴儿酒·稚子心",nMaxDistance=60,tRelation={bAll=true,bEnemy=false,bAlly=false,},tLife={bEnable=false,szOperator="&gt;",nValue=0,},},</t>
  </si>
  <si>
    <t>春风酿·烟花戏</t>
  </si>
  <si>
    <t>{dwMapID=-1,szDisplay="春风酿·烟花戏",nMaxDistance=60,tRelation={bAll=true,bEnemy=false,bAlly=false,},tLife={bEnable=false,szOperator="&gt;",nValue=0,},},</t>
  </si>
  <si>
    <t>鱼篓·醉烟波</t>
  </si>
  <si>
    <t>{dwMapID=-1,szDisplay="鱼篓·醉烟波",nMaxDistance=60,tRelation={bAll=true,bEnemy=false,bAlly=false,},tLife={bEnable=false,szOperator="&gt;",nValue=0,},},</t>
  </si>
  <si>
    <t>酒·醉烟波</t>
  </si>
  <si>
    <t>{dwMapID=-1,szDisplay="酒·醉烟波",nMaxDistance=60,tRelation={bAll=true,bEnemy=false,bAlly=false,},tLife={bEnable=false,szOperator="&gt;",nValue=0,},},</t>
  </si>
  <si>
    <t>元和的弩弓·乱世舞姬</t>
  </si>
  <si>
    <t>{dwMapID=-1,szDisplay="元和的弩弓·乱世",nMaxDistance=60,tRelation={bAll=true,bEnemy=false,bAlly=false,},tLife={bEnable=false,szOperator="&gt;",nValue=0,},},</t>
  </si>
  <si>
    <t>紫金匣·乱世舞姬</t>
  </si>
  <si>
    <t>{dwMapID=-1,szDisplay="紫金匣·乱世",nMaxDistance=50,tRelation={bAll=true,bEnemy=false,bAlly=false,},tLife={bEnable=false,szOperator="&gt;",nValue=0,},},</t>
  </si>
  <si>
    <t>坚果·果果</t>
  </si>
  <si>
    <t>{dwMapID=-1,szDisplay="坚果·果果",nMaxDistance=0,tRelation={bAll=true,bEnemy=false,bAlly=false,},tLife={bEnable=false,szOperator="&gt;",nValue=0,},},</t>
  </si>
  <si>
    <t>被抢夺的矿石箱·太行道</t>
  </si>
  <si>
    <t>{dwMapID=-1,szDisplay="被抢夺的矿石箱·太行道",nMaxDistance=60,tRelation={bAll=true,bEnemy=false,bAlly=false,},tLife={bEnable=false,szOperator="&gt;",nValue=0,},},</t>
  </si>
  <si>
    <t>边澈的辎重箱·太行道</t>
  </si>
  <si>
    <t>{dwMapID=-1,szDisplay="边澈的辎重箱·太行道",nMaxDistance=60,tRelation={bAll=true,bEnemy=false,bAlly=false,},tLife={bEnable=false,szOperator="&gt;",nValue=0,},},</t>
  </si>
  <si>
    <t>奇怪的土堆·碎片一·清茗经</t>
  </si>
  <si>
    <t>{dwMapID=-1,szDisplay="土堆·碎片一·清茗经",nMaxDistance=60,tRelation={bAll=true,bEnemy=false,bAlly=false,},tLife={bEnable=false,szOperator="&gt;",nValue=0,},},</t>
  </si>
  <si>
    <t>密宗宝图碎片·四·清茗经</t>
  </si>
  <si>
    <t>{dwMapID=-1,szDisplay="密宗宝图碎片四·清茗经",nMaxDistance=0,tRelation={bAll=true,bEnemy=false,bAlly=false,},tLife={bEnable=false,szOperator="&gt;",nValue=0,},},</t>
  </si>
  <si>
    <t>拜火教箱子·青草歌</t>
  </si>
  <si>
    <t>{dwMapID=-1,szDisplay="拜火教箱子·青草歌",nMaxDistance=60,tRelation={bAll=true,bEnemy=false,bAlly=false,},tLife={bEnable=false,szOperator="&gt;",nValue=0,},},</t>
  </si>
  <si>
    <t>寒泉岩·太行道</t>
  </si>
  <si>
    <t>{dwMapID=-1,szDisplay="寒泉岩·太行道",nMaxDistance=60,tRelation={bAll=true,bEnemy=false,bAlly=false,},tLife={bEnable=false,szOperator="&gt;",nValue=0,},},</t>
  </si>
  <si>
    <t>武器箱·露园事</t>
  </si>
  <si>
    <t>{dwMapID=-1,szDisplay="武器箱·露园事",nMaxDistance=60,tRelation={bAll=true,bEnemy=false,bAlly=false,},tLife={bEnable=false,szOperator="&gt;",nValue=0,},},</t>
  </si>
  <si>
    <t>陷阱·露园事</t>
  </si>
  <si>
    <t>{dwMapID=-1,szDisplay="陷阱·露园事",nMaxDistance=60,tRelation={bAll=true,bEnemy=false,bAlly=false,},tLife={bEnable=false,szOperator="&gt;",nValue=0,},},</t>
  </si>
  <si>
    <t>坑洞·露园事</t>
  </si>
  <si>
    <t>{dwMapID=-1,szDisplay="坑洞·露园事",nMaxDistance=60,tRelation={bAll=true,bEnemy=false,bAlly=false,},tLife={bEnable=false,szOperator="&gt;",nValue=0,},},</t>
  </si>
  <si>
    <t>野菜·客江干</t>
  </si>
  <si>
    <t>{dwMapID=-1,szDisplay="野菜·客江干",nMaxDistance=60,tRelation={bAll=true,bEnemy=false,bAlly=false,},tLife={bEnable=false,szOperator="&gt;",nValue=0,},},</t>
  </si>
  <si>
    <t>无名侠士之墓·客江干</t>
  </si>
  <si>
    <t>{dwMapID=-1,szDisplay="无名侠士之墓·客江干",nMaxDistance=60,tRelation={bAll=true,bEnemy=false,bAlly=false,},tLife={bEnable=false,szOperator="&gt;",nValue=0,},},</t>
  </si>
  <si>
    <t>奇怪的雪堆·客江干</t>
  </si>
  <si>
    <t>{dwMapID=-1,szDisplay="奇怪的雪堆·客江干",nMaxDistance=60,tRelation={bAll=true,bEnemy=false,bAlly=false,},tLife={bEnable=false,szOperator="&gt;",nValue=0,},},</t>
  </si>
  <si>
    <t>一桌酒席·风雨意</t>
  </si>
  <si>
    <t>{dwMapID=-1,szDisplay="一桌酒席·风雨意",nMaxDistance=60,tRelation={bAll=true,bEnemy=false,bAlly=false,},tLife={bEnable=false,szOperator="&gt;",nValue=0,},},</t>
  </si>
  <si>
    <t>特地留的书信·风雨意</t>
  </si>
  <si>
    <t>{dwMapID=-1,szDisplay="特地留的书信·风雨意",nMaxDistance=60,tRelation={bAll=true,bEnemy=false,bAlly=false,},tLife={bEnable=false,szOperator="&gt;",nValue=0,},},</t>
  </si>
  <si>
    <t>沉甸甸的木桶·秘宝图</t>
  </si>
  <si>
    <t>{dwMapID=-1,szDisplay="沉甸甸的木桶·秘宝图",nMaxDistance=60,tRelation={bAll=true,bEnemy=false,bAlly=false,},tLife={bEnable=false,szOperator="&gt;",nValue=0,},},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</si>
  <si>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</si>
  <si>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</si>
  <si>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</si>
  <si>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{dwMapID=-1,szDisplay="水缸·滴水恩",nMaxDistance=60,tRelation={bAll=true,bEnemy=false,bAlly=false,},tLife={bEnable=false,szOperator="&gt;",nValue=0,},},</t>
  </si>
  <si>
    <t>死去的鱼虾·滴水恩</t>
  </si>
  <si>
    <t>{dwMapID=-1,szDisplay="死去的鱼虾·滴水恩",nMaxDistance=60,tRelation={bAll=true,bEnemy=false,bAlly=false,},tLife={bEnable=false,szOperator="&gt;",nValue=0,},},</t>
  </si>
  <si>
    <t>小土堆·话玄虚</t>
  </si>
  <si>
    <t>{dwMapID=-1,szDisplay="小土堆·话玄虚",nMaxDistance=60,tRelation={bAll=true,bEnemy=false,bAlly=false,},tLife={bEnable=false,szOperator="&gt;",nValue=0,},},</t>
  </si>
  <si>
    <t>功夫·路投石</t>
  </si>
  <si>
    <t>{dwMapID=-1,szDisplay="功夫·路投石",nMaxDistance=60,tRelation={bAll=true,bEnemy=false,bAlly=false,},tLife={bEnable=false,szOperator="&gt;",nValue=0,},},</t>
  </si>
  <si>
    <t>白六娘的樱桃树·丹青记</t>
  </si>
  <si>
    <t>{dwMapID=-1,szDisplay="白六娘的樱桃树·丹青记",nMaxDistance=60,tRelation={bAll=true,bEnemy=false,bAlly=false,},tLife={bEnable=false,szOperator="&gt;",nValue=0,},},</t>
  </si>
  <si>
    <t>妙妙椅·侠行</t>
  </si>
  <si>
    <t>{dwMapID=-1,szDisplay="妙妙椅·侠行",nMaxDistance=60,tRelation={bAll=true,bEnemy=false,bAlly=false,},tLife={bEnable=false,szOperator="&gt;",nValue=0,},},</t>
  </si>
  <si>
    <t>千丝绸·侠行</t>
  </si>
  <si>
    <t>{dwMapID=-1,szDisplay="千丝绸·侠行",nMaxDistance=60,tRelation={bAll=true,bEnemy=false,bAlly=false,},tLife={bEnable=false,szOperator="&gt;",nValue=0,},},</t>
  </si>
  <si>
    <t>神机轮·侠行</t>
  </si>
  <si>
    <t>{dwMapID=-1,szDisplay="神机轮·侠行",nMaxDistance=60,tRelation={bAll=true,bEnemy=false,bAlly=false,},tLife={bEnable=false,szOperator="&gt;",nValue=0,},},</t>
  </si>
  <si>
    <t>货物堆·觅知音</t>
  </si>
  <si>
    <t>{dwMapID=-1,szDisplay="货物堆·觅知音",nMaxDistance=60,tRelation={bAll=true,bEnemy=false,bAlly=false,},tLife={bEnable=false,szOperator="&gt;",nValue=0,},},</t>
  </si>
  <si>
    <t>兔子窝1·白月皎</t>
  </si>
  <si>
    <t>{dwMapID=-1,szDisplay="兔子窝1·白月皎",nMaxDistance=60,tRelation={bAll=true,bEnemy=false,bAlly=false,},tLife={bEnable=false,szOperator="&gt;",nValue=0,},},</t>
  </si>
  <si>
    <t>兔子窝2·白月皎</t>
  </si>
  <si>
    <t>{dwMapID=-1,szDisplay="兔子窝2·白月皎",nMaxDistance=60,tRelation={bAll=true,bEnemy=false,bAlly=false,},tLife={bEnable=false,szOperator="&gt;",nValue=0,},},</t>
  </si>
  <si>
    <t>兔子窝3·白月皎</t>
  </si>
  <si>
    <t>{dwMapID=-1,szDisplay="兔子窝3·白月皎",nMaxDistance=60,tRelation={bAll=true,bEnemy=false,bAlly=false,},tLife={bEnable=false,szOperator="&gt;",nValue=0,},},</t>
  </si>
  <si>
    <t>散落的画作·白月皎</t>
  </si>
  <si>
    <t>{dwMapID=-1,szDisplay="散落的画作·白月皎",nMaxDistance=60,tRelation={bAll=true,bEnemy=false,bAlly=false,},tLife={bEnable=false,szOperator="&gt;",nValue=0,},},</t>
  </si>
  <si>
    <t>散落的日记·白月皎</t>
  </si>
  <si>
    <t>{dwMapID=-1,szDisplay="散落的日记·白月皎",nMaxDistance=60,tRelation={bAll=true,bEnemy=false,bAlly=false,},tLife={bEnable=false,szOperator="&gt;",nValue=0,},},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</si>
  <si>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</si>
  <si>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</si>
  <si>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</si>
  <si>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{dwMapID=-1,szDisplay="渔具·重洋客",nMaxDistance=60,tRelation={bAll=true,bEnemy=false,bAlly=false,},tLife={bEnable=false,szOperator="&gt;",nValue=0,},},</t>
  </si>
  <si>
    <t>光圈·乱红鸾</t>
  </si>
  <si>
    <t>{dwMapID=-1,szDisplay="光圈·乱红鸾",nMaxDistance=60,tRelation={bAll=true,bEnemy=false,bAlly=false,},tLife={bEnable=false,szOperator="&gt;",nValue=0,},},</t>
  </si>
  <si>
    <t>海螺壳·寓天涯</t>
  </si>
  <si>
    <t>{dwMapID=-1,szDisplay="海螺壳·寓天涯",nMaxDistance=60,tRelation={bAll=true,bEnemy=false,bAlly=false,},tLife={bEnable=false,szOperator="&gt;",nValue=0,},},</t>
  </si>
  <si>
    <t>莓莓·寓天涯</t>
  </si>
  <si>
    <t>{dwMapID=-1,szDisplay="莓莓·寓天涯",nMaxDistance=60,tRelation={bAll=true,bEnemy=false,bAlly=false,},tLife={bEnable=false,szOperator="&gt;",nValue=0,},},</t>
  </si>
  <si>
    <t>虹下之泉·子夜歌</t>
  </si>
  <si>
    <t>{dwMapID=-1,szDisplay="虹下之泉·子夜歌",nMaxDistance=60,tRelation={bAll=true,bEnemy=false,bAlly=false,},tLife={bEnable=false,szOperator="&gt;",nValue=0,},},</t>
  </si>
  <si>
    <t>光圈·夜哀鸣</t>
  </si>
  <si>
    <t>{dwMapID=-1,szDisplay="光圈·夜哀鸣",nMaxDistance=60,tRelation={bAll=true,bEnemy=false,bAlly=false,},tLife={bEnable=false,szOperator="&gt;",nValue=0,},},</t>
  </si>
  <si>
    <t>止血草·夜哀鸣</t>
  </si>
  <si>
    <t>{dwMapID=-1,szDisplay="止血草·夜哀鸣",nMaxDistance=60,tRelation={bAll=true,bEnemy=false,bAlly=false,},tLife={bEnable=false,szOperator="&gt;",nValue=0,},},</t>
  </si>
  <si>
    <t>甜果·夜哀鸣</t>
  </si>
  <si>
    <t>{dwMapID=-1,szDisplay="甜果·夜哀鸣",nMaxDistance=60,tRelation={bAll=true,bEnemy=false,bAlly=false,},tLife={bEnable=false,szOperator="&gt;",nValue=0,},},</t>
  </si>
  <si>
    <t>槲果·故岁辞</t>
  </si>
  <si>
    <t>{dwMapID=-1,szDisplay="槲果·故岁辞",nMaxDistance=30,tRelation={bAll=true,bEnemy=false,bAlly=false,},tLife={bEnable=false,szOperator="&gt;",nValue=0,},},</t>
  </si>
  <si>
    <t>散落的羽毛·故岁辞</t>
  </si>
  <si>
    <t>{dwMapID=-1,szDisplay="散落的羽毛·故岁辞",nMaxDistance=60,tRelation={bAll=true,bEnemy=false,bAlly=false,},tLife={bEnable=false,szOperator="&gt;",nValue=0,},},</t>
  </si>
  <si>
    <t>光圈·故岁辞</t>
  </si>
  <si>
    <t>{dwMapID=-1,szDisplay="光圈·故岁辞",nMaxDistance=60,tRelation={bAll=true,bEnemy=false,bAlly=false,},tLife={bEnable=false,szOperator="&gt;",nValue=0,},},</t>
  </si>
  <si>
    <t>鸟笼·故岁辞</t>
  </si>
  <si>
    <t>{dwMapID=-1,szDisplay="鸟笼·故岁辞",nMaxDistance=60,tRelation={bAll=true,bEnemy=false,bAlly=false,},tLife={bEnable=false,szOperator="&gt;",nValue=0,},},</t>
  </si>
  <si>
    <t>树叶堆·解心语</t>
  </si>
  <si>
    <t>{dwMapID=-1,szDisplay="树叶堆·解心语",nMaxDistance=30,tRelation={bAll=true,bEnemy=false,bAlly=false,},tLife={bEnable=false,szOperator="&gt;",nValue=0,},},</t>
  </si>
  <si>
    <t>光圈·解心语</t>
  </si>
  <si>
    <t>{dwMapID=-1,szDisplay="光圈·解心语",nMaxDistance=60,tRelation={bAll=true,bEnemy=false,bAlly=false,},tLife={bEnable=false,szOperator="&gt;",nValue=0,},},</t>
  </si>
  <si>
    <t>酒杯·破巧言</t>
  </si>
  <si>
    <t>{dwMapID=-1,szDisplay="酒杯·破巧言",nMaxDistance=60,tRelation={bAll=true,bEnemy=false,bAlly=false,},tLife={bEnable=false,szOperator="&gt;",nValue=0,},},</t>
  </si>
  <si>
    <t>包袱·破巧言</t>
  </si>
  <si>
    <t>{dwMapID=-1,szDisplay="包袱·破巧言",nMaxDistance=60,tRelation={bAll=true,bEnemy=false,bAlly=false,},tLife={bEnable=false,szOperator="&gt;",nValue=0,},},</t>
  </si>
  <si>
    <t>河西瀚漠</t>
  </si>
  <si>
    <t>洞口·匿沙影</t>
  </si>
  <si>
    <t>{dwMapID=-1,szDisplay="洞口·匿沙影",nMaxDistance=60,tRelation={bAll=true,bEnemy=false,bAlly=false,},tLife={bEnable=false,szOperator="&gt;",nValue=0,},},</t>
  </si>
  <si>
    <t>皇城</t>
  </si>
  <si>
    <t>饲料堆·妖与狸</t>
  </si>
  <si>
    <t>{dwMapID=-1,szDisplay="饲料堆·妖与狸",nMaxDistance=60,tRelation={bAll=true,bEnemy=false,bAlly=false,},tLife={bEnable=false,szOperator="&gt;",nValue=0,},},</t>
  </si>
  <si>
    <t>听潮·换房记</t>
  </si>
  <si>
    <t>{dwMapID=-1,szDisplay="听潮·换房记",nMaxDistance=60,tRelation={bAll=true,bEnemy=false,bAlly=false,},tLife={bEnable=false,szOperator="&gt;",nValue=0,},},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</si>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</sst>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6" t="s">
        <v>0</v>
      </c>
      <c r="B1" s="17" t="s">
        <v>1</v>
      </c>
      <c r="C1" s="18" t="s">
        <v>2</v>
      </c>
    </row>
    <row r="2" spans="1:7">
      <c r="A2" s="16" t="s">
        <v>3</v>
      </c>
      <c r="B2" s="19" t="s">
        <v>4</v>
      </c>
      <c r="C2" s="18" t="s">
        <v>2</v>
      </c>
      <c r="D2" s="19" t="s">
        <v>5</v>
      </c>
      <c r="E2" s="20" t="s">
        <v>6</v>
      </c>
    </row>
    <row r="3" spans="1:7">
      <c r="A3" s="16" t="s">
        <v>7</v>
      </c>
      <c r="B3" s="19" t="s">
        <v>8</v>
      </c>
      <c r="C3" s="18" t="s">
        <v>2</v>
      </c>
      <c r="D3" s="19" t="s">
        <v>9</v>
      </c>
      <c r="E3" s="20" t="s">
        <v>10</v>
      </c>
    </row>
    <row r="4" spans="1:7">
      <c r="A4" s="16" t="str">
        <f ca="1">"nTimeStamp = "&amp;((NOW()-70*365-19)*86400-8*3600)*1000&amp;","</f>
        <v>nTimeStamp = 1782993541000,</v>
      </c>
      <c r="B4" s="19" t="s">
        <v>11</v>
      </c>
      <c r="C4" s="18" t="s">
        <v>2</v>
      </c>
      <c r="D4" s="17" t="s">
        <v>12</v>
      </c>
      <c r="E4" s="17"/>
    </row>
    <row r="5" spans="1:7">
      <c r="A5" s="16" t="s">
        <v>13</v>
      </c>
      <c r="B5" s="19" t="s">
        <v>14</v>
      </c>
      <c r="C5" s="18" t="s">
        <v>2</v>
      </c>
      <c r="D5" s="17" t="s">
        <v>15</v>
      </c>
      <c r="E5" s="17"/>
    </row>
    <row r="6" spans="1:7">
      <c r="A6" s="16" t="s">
        <v>16</v>
      </c>
      <c r="B6" s="19" t="s">
        <v>17</v>
      </c>
      <c r="C6" s="18" t="s">
        <v>2</v>
      </c>
      <c r="D6" s="17" t="s">
        <v>18</v>
      </c>
      <c r="E6" s="17"/>
    </row>
    <row r="7" spans="1:7">
      <c r="A7" s="16" t="s">
        <v>19</v>
      </c>
      <c r="B7" s="19" t="s">
        <v>20</v>
      </c>
      <c r="C7" s="18" t="s">
        <v>2</v>
      </c>
      <c r="D7" s="17" t="s">
        <v>21</v>
      </c>
      <c r="E7" s="17"/>
    </row>
    <row r="8" spans="1:7">
      <c r="A8" s="16" t="s">
        <v>22</v>
      </c>
      <c r="B8" s="19"/>
      <c r="C8" s="18" t="s">
        <v>2</v>
      </c>
      <c r="D8" s="17" t="s">
        <v>23</v>
      </c>
      <c r="E8" s="17"/>
    </row>
    <row r="9" spans="1:7">
      <c r="C9" s="18" t="s">
        <v>2</v>
      </c>
    </row>
    <row r="10" spans="1:7">
      <c r="A10" s="19" t="s">
        <v>24</v>
      </c>
      <c r="B10" s="19"/>
      <c r="C10" s="18" t="s">
        <v>2</v>
      </c>
      <c r="D10" s="19"/>
    </row>
    <row r="11" spans="1:7">
      <c r="A11" s="21" t="s">
        <v>25</v>
      </c>
      <c r="B11" s="21" t="s">
        <v>26</v>
      </c>
      <c r="C11" s="18" t="s">
        <v>2</v>
      </c>
      <c r="D11" s="21" t="s">
        <v>25</v>
      </c>
      <c r="E11" s="22"/>
      <c r="F11" s="22"/>
      <c r="G11" s="22"/>
    </row>
    <row r="12" spans="1:7">
      <c r="A12" s="21" t="s">
        <v>27</v>
      </c>
      <c r="B12" s="21" t="s">
        <v>28</v>
      </c>
      <c r="C12" s="18" t="s">
        <v>2</v>
      </c>
      <c r="D12" s="21" t="s">
        <v>27</v>
      </c>
      <c r="E12" s="22"/>
      <c r="F12" s="22"/>
      <c r="G12" s="22"/>
    </row>
    <row r="13" spans="1:7">
      <c r="A13" s="21" t="s">
        <v>29</v>
      </c>
      <c r="B13" s="21" t="s">
        <v>30</v>
      </c>
      <c r="C13" s="18" t="s">
        <v>2</v>
      </c>
      <c r="D13" s="21" t="s">
        <v>29</v>
      </c>
      <c r="E13" s="22"/>
      <c r="F13" s="22"/>
      <c r="G13" s="22"/>
    </row>
    <row r="14" spans="1:7">
      <c r="A14" s="21" t="s">
        <v>31</v>
      </c>
      <c r="B14" s="21" t="s">
        <v>32</v>
      </c>
      <c r="C14" s="18" t="s">
        <v>2</v>
      </c>
      <c r="D14" s="21" t="s">
        <v>31</v>
      </c>
      <c r="E14" s="22"/>
      <c r="F14" s="22"/>
      <c r="G14" s="22"/>
    </row>
    <row r="15" spans="1:7">
      <c r="A15" s="21" t="s">
        <v>33</v>
      </c>
      <c r="B15" s="21" t="s">
        <v>34</v>
      </c>
      <c r="C15" s="18" t="s">
        <v>2</v>
      </c>
      <c r="D15" s="21" t="s">
        <v>33</v>
      </c>
      <c r="E15" s="22"/>
      <c r="F15" s="22"/>
      <c r="G15" s="22"/>
    </row>
    <row r="16" spans="1:7">
      <c r="A16" s="21" t="s">
        <v>35</v>
      </c>
      <c r="B16" s="21" t="s">
        <v>36</v>
      </c>
      <c r="C16" s="18" t="s">
        <v>2</v>
      </c>
      <c r="D16" s="21" t="s">
        <v>35</v>
      </c>
      <c r="E16" s="22"/>
      <c r="F16" s="22"/>
      <c r="G16" s="22"/>
    </row>
    <row r="17" spans="1:7">
      <c r="A17" s="21" t="s">
        <v>37</v>
      </c>
      <c r="B17" s="21" t="s">
        <v>38</v>
      </c>
      <c r="C17" s="18" t="s">
        <v>2</v>
      </c>
      <c r="D17" s="21" t="s">
        <v>37</v>
      </c>
      <c r="E17" s="22"/>
      <c r="F17" s="22"/>
      <c r="G17" s="22"/>
    </row>
    <row r="18" spans="1:7">
      <c r="A18" s="22"/>
      <c r="B18" s="22"/>
      <c r="C18" s="18" t="s">
        <v>2</v>
      </c>
      <c r="D18" s="22"/>
      <c r="E18" s="22"/>
      <c r="F18" s="22"/>
      <c r="G18" s="22"/>
    </row>
    <row r="19" spans="1:7">
      <c r="F19" s="22"/>
      <c r="G19" s="22"/>
    </row>
    <row r="20" spans="1:7">
      <c r="A20" s="23" t="s">
        <v>39</v>
      </c>
      <c r="B20" s="23"/>
      <c r="C20" s="23"/>
      <c r="D20" s="23"/>
      <c r="E20" s="23"/>
      <c r="F20" s="23"/>
      <c r="G20" s="23"/>
    </row>
    <row r="21" spans="1:7">
      <c r="A21" s="21" t="s">
        <v>40</v>
      </c>
      <c r="B21" s="21" t="s">
        <v>41</v>
      </c>
      <c r="C21" s="21" t="s">
        <v>42</v>
      </c>
      <c r="D21" s="21" t="s">
        <v>43</v>
      </c>
      <c r="E21" s="21" t="s">
        <v>44</v>
      </c>
      <c r="F21" s="21" t="s">
        <v>45</v>
      </c>
      <c r="G21" s="21" t="s">
        <v>46</v>
      </c>
    </row>
    <row r="22" spans="1:7">
      <c r="A22" s="21" t="s">
        <v>47</v>
      </c>
      <c r="B22" s="21" t="s">
        <v>48</v>
      </c>
      <c r="C22" s="21" t="s">
        <v>49</v>
      </c>
      <c r="D22" s="21" t="s">
        <v>50</v>
      </c>
      <c r="E22" s="21" t="s">
        <v>51</v>
      </c>
      <c r="F22" s="21" t="s">
        <v>52</v>
      </c>
      <c r="G22" s="21" t="s">
        <v>53</v>
      </c>
    </row>
    <row r="23" spans="1:7">
      <c r="A23" s="21" t="s">
        <v>54</v>
      </c>
      <c r="B23" s="21" t="s">
        <v>55</v>
      </c>
      <c r="C23" s="21" t="s">
        <v>56</v>
      </c>
      <c r="D23" s="24" t="s">
        <v>57</v>
      </c>
      <c r="E23" s="21" t="s">
        <v>51</v>
      </c>
      <c r="F23" s="21" t="s">
        <v>52</v>
      </c>
      <c r="G23" s="21" t="s">
        <v>53</v>
      </c>
    </row>
    <row r="24" spans="1:7">
      <c r="A24" s="21" t="s">
        <v>58</v>
      </c>
      <c r="B24" s="21" t="s">
        <v>55</v>
      </c>
      <c r="C24" s="21" t="s">
        <v>59</v>
      </c>
      <c r="D24" s="21" t="s">
        <v>60</v>
      </c>
      <c r="E24" s="21" t="s">
        <v>51</v>
      </c>
      <c r="F24" s="21" t="s">
        <v>52</v>
      </c>
      <c r="G24" s="21" t="s">
        <v>53</v>
      </c>
    </row>
    <row r="25" spans="1:7">
      <c r="A25" s="21" t="s">
        <v>61</v>
      </c>
      <c r="B25" s="21"/>
      <c r="C25" s="21"/>
      <c r="D25" s="21"/>
      <c r="E25" s="21"/>
      <c r="F25" s="21"/>
      <c r="G25" s="21"/>
    </row>
    <row r="26" spans="1:7">
      <c r="A26" s="21" t="s">
        <v>40</v>
      </c>
      <c r="B26" s="21" t="s">
        <v>41</v>
      </c>
      <c r="C26" s="21" t="s">
        <v>42</v>
      </c>
      <c r="D26" s="21" t="s">
        <v>43</v>
      </c>
      <c r="E26" s="21" t="s">
        <v>44</v>
      </c>
      <c r="F26" s="21" t="s">
        <v>45</v>
      </c>
      <c r="G26" s="21" t="s">
        <v>46</v>
      </c>
    </row>
    <row r="27" spans="1:7">
      <c r="A27" s="21" t="s">
        <v>62</v>
      </c>
      <c r="B27" s="21" t="s">
        <v>63</v>
      </c>
      <c r="C27" s="21" t="s">
        <v>64</v>
      </c>
      <c r="D27" s="21" t="s">
        <v>65</v>
      </c>
      <c r="E27" s="21" t="s">
        <v>66</v>
      </c>
      <c r="F27" s="21" t="s">
        <v>53</v>
      </c>
      <c r="G27" s="21" t="s">
        <v>52</v>
      </c>
    </row>
    <row r="28" spans="1:7">
      <c r="A28" s="21" t="s">
        <v>67</v>
      </c>
      <c r="B28" s="21" t="s">
        <v>63</v>
      </c>
      <c r="C28" s="21" t="s">
        <v>68</v>
      </c>
      <c r="D28" s="21" t="s">
        <v>69</v>
      </c>
      <c r="E28" s="21" t="s">
        <v>70</v>
      </c>
      <c r="F28" s="21" t="s">
        <v>53</v>
      </c>
      <c r="G28" s="21" t="s">
        <v>52</v>
      </c>
    </row>
    <row r="29" spans="1:7">
      <c r="A29" s="21" t="s">
        <v>71</v>
      </c>
      <c r="B29" s="21" t="s">
        <v>72</v>
      </c>
      <c r="C29" s="21" t="s">
        <v>73</v>
      </c>
      <c r="D29" s="21" t="s">
        <v>74</v>
      </c>
      <c r="E29" s="21" t="s">
        <v>70</v>
      </c>
      <c r="F29" s="21" t="s">
        <v>52</v>
      </c>
      <c r="G29" s="21" t="s">
        <v>53</v>
      </c>
    </row>
    <row r="30" spans="1:7">
      <c r="A30" s="21" t="s">
        <v>75</v>
      </c>
      <c r="B30" s="21" t="s">
        <v>63</v>
      </c>
      <c r="C30" s="21" t="s">
        <v>76</v>
      </c>
      <c r="D30" s="21" t="s">
        <v>77</v>
      </c>
      <c r="E30" s="21" t="s">
        <v>78</v>
      </c>
      <c r="F30" s="21" t="s">
        <v>52</v>
      </c>
      <c r="G30" s="21" t="s">
        <v>53</v>
      </c>
    </row>
    <row r="31" spans="1:7">
      <c r="A31" s="21" t="s">
        <v>79</v>
      </c>
      <c r="B31" s="21" t="s">
        <v>48</v>
      </c>
      <c r="C31" s="21" t="s">
        <v>80</v>
      </c>
      <c r="D31" s="21" t="s">
        <v>81</v>
      </c>
      <c r="E31" s="21" t="s">
        <v>66</v>
      </c>
      <c r="F31" s="21" t="s">
        <v>52</v>
      </c>
      <c r="G31" s="21" t="s">
        <v>53</v>
      </c>
    </row>
    <row r="32" spans="1:7">
      <c r="A32" s="21" t="s">
        <v>82</v>
      </c>
      <c r="B32" s="21" t="s">
        <v>63</v>
      </c>
      <c r="C32" s="21" t="s">
        <v>83</v>
      </c>
      <c r="D32" s="21" t="s">
        <v>84</v>
      </c>
      <c r="E32" s="21" t="s">
        <v>66</v>
      </c>
      <c r="F32" s="21" t="s">
        <v>52</v>
      </c>
      <c r="G32" s="21" t="s">
        <v>53</v>
      </c>
    </row>
    <row r="33" spans="1:7">
      <c r="A33" s="21" t="s">
        <v>85</v>
      </c>
      <c r="B33" s="21" t="s">
        <v>63</v>
      </c>
      <c r="C33" s="21" t="s">
        <v>86</v>
      </c>
      <c r="D33" s="21" t="s">
        <v>87</v>
      </c>
      <c r="E33" s="21" t="s">
        <v>70</v>
      </c>
      <c r="F33" s="21" t="s">
        <v>52</v>
      </c>
      <c r="G33" s="21" t="s">
        <v>53</v>
      </c>
    </row>
    <row r="34" spans="1:7">
      <c r="A34" s="21" t="s">
        <v>88</v>
      </c>
      <c r="B34" s="21" t="s">
        <v>89</v>
      </c>
      <c r="C34" s="21" t="s">
        <v>90</v>
      </c>
      <c r="D34" s="21" t="s">
        <v>91</v>
      </c>
      <c r="E34" s="21" t="s">
        <v>66</v>
      </c>
      <c r="F34" s="21" t="s">
        <v>52</v>
      </c>
      <c r="G34" s="21" t="s">
        <v>53</v>
      </c>
    </row>
    <row r="35" spans="1:7">
      <c r="A35" s="21" t="s">
        <v>92</v>
      </c>
      <c r="B35" s="21" t="s">
        <v>55</v>
      </c>
      <c r="C35" s="21" t="s">
        <v>93</v>
      </c>
      <c r="D35" s="21" t="s">
        <v>94</v>
      </c>
      <c r="E35" s="21" t="s">
        <v>95</v>
      </c>
      <c r="F35" s="21" t="s">
        <v>52</v>
      </c>
      <c r="G35" s="21" t="s">
        <v>53</v>
      </c>
    </row>
    <row r="36" spans="1:7">
      <c r="A36" s="21" t="s">
        <v>96</v>
      </c>
      <c r="B36" s="21" t="s">
        <v>72</v>
      </c>
      <c r="C36" s="21" t="s">
        <v>97</v>
      </c>
      <c r="D36" s="21" t="s">
        <v>98</v>
      </c>
      <c r="E36" s="21" t="s">
        <v>29</v>
      </c>
      <c r="F36" s="21" t="s">
        <v>52</v>
      </c>
      <c r="G36" s="21" t="s">
        <v>53</v>
      </c>
    </row>
    <row r="37" spans="1:7">
      <c r="A37" s="21" t="s">
        <v>99</v>
      </c>
      <c r="B37" s="21" t="s">
        <v>63</v>
      </c>
      <c r="C37" s="21" t="s">
        <v>100</v>
      </c>
      <c r="D37" s="21" t="s">
        <v>101</v>
      </c>
      <c r="E37" s="21" t="s">
        <v>31</v>
      </c>
      <c r="F37" s="21" t="s">
        <v>53</v>
      </c>
      <c r="G37" s="21" t="s">
        <v>52</v>
      </c>
    </row>
    <row r="38" spans="1:7">
      <c r="A38" s="21" t="s">
        <v>102</v>
      </c>
      <c r="B38" s="21" t="s">
        <v>72</v>
      </c>
      <c r="C38" s="21" t="s">
        <v>103</v>
      </c>
      <c r="D38" s="21" t="s">
        <v>104</v>
      </c>
      <c r="E38" s="21" t="s">
        <v>105</v>
      </c>
      <c r="F38" s="21" t="s">
        <v>52</v>
      </c>
      <c r="G38" s="21" t="s">
        <v>53</v>
      </c>
    </row>
    <row r="39" spans="1:7">
      <c r="A39" s="21" t="s">
        <v>106</v>
      </c>
      <c r="B39" s="21" t="s">
        <v>55</v>
      </c>
      <c r="C39" s="21" t="s">
        <v>107</v>
      </c>
      <c r="D39" s="21" t="s">
        <v>108</v>
      </c>
      <c r="E39" s="21" t="s">
        <v>105</v>
      </c>
      <c r="F39" s="21" t="s">
        <v>52</v>
      </c>
      <c r="G39" s="21" t="s">
        <v>53</v>
      </c>
    </row>
    <row r="40" spans="1:7">
      <c r="A40" s="21" t="s">
        <v>109</v>
      </c>
      <c r="B40" s="21" t="s">
        <v>48</v>
      </c>
      <c r="C40" s="21" t="s">
        <v>110</v>
      </c>
      <c r="D40" s="21" t="s">
        <v>111</v>
      </c>
      <c r="E40" s="21" t="s">
        <v>35</v>
      </c>
      <c r="F40" s="21" t="s">
        <v>52</v>
      </c>
      <c r="G40" s="21" t="s">
        <v>53</v>
      </c>
    </row>
    <row r="41" spans="1:7">
      <c r="A41" s="25" t="s">
        <v>112</v>
      </c>
      <c r="B41" s="25" t="s">
        <v>48</v>
      </c>
      <c r="C41" s="25" t="s">
        <v>113</v>
      </c>
      <c r="D41" s="25" t="s">
        <v>114</v>
      </c>
      <c r="E41" s="26" t="s">
        <v>115</v>
      </c>
      <c r="F41" s="25" t="s">
        <v>52</v>
      </c>
      <c r="G41" s="25" t="s">
        <v>53</v>
      </c>
    </row>
    <row r="42" spans="1:7">
      <c r="A42" s="21" t="s">
        <v>116</v>
      </c>
      <c r="B42" s="21" t="s">
        <v>72</v>
      </c>
      <c r="C42" s="21" t="s">
        <v>117</v>
      </c>
      <c r="D42" s="21" t="s">
        <v>118</v>
      </c>
      <c r="E42" s="21" t="s">
        <v>119</v>
      </c>
      <c r="F42" s="21" t="s">
        <v>52</v>
      </c>
      <c r="G42" s="21" t="s">
        <v>52</v>
      </c>
    </row>
    <row r="43" spans="1:7">
      <c r="A43" s="21" t="s">
        <v>120</v>
      </c>
      <c r="B43" s="21" t="s">
        <v>72</v>
      </c>
      <c r="C43" s="21" t="s">
        <v>121</v>
      </c>
      <c r="D43" s="21" t="s">
        <v>122</v>
      </c>
      <c r="E43" s="21" t="s">
        <v>119</v>
      </c>
      <c r="F43" s="21" t="s">
        <v>52</v>
      </c>
      <c r="G43" s="21" t="s">
        <v>52</v>
      </c>
    </row>
    <row r="45" spans="1:7">
      <c r="A45" s="27" t="s">
        <v>123</v>
      </c>
      <c r="B45" s="27"/>
      <c r="C45" s="27"/>
      <c r="D45" s="28"/>
      <c r="E45" s="28"/>
      <c r="F45" s="28"/>
      <c r="G45" s="28"/>
    </row>
    <row r="46" spans="1:7">
      <c r="A46" s="21" t="s">
        <v>124</v>
      </c>
      <c r="B46" s="21" t="s">
        <v>41</v>
      </c>
      <c r="C46" s="21" t="s">
        <v>42</v>
      </c>
      <c r="D46" s="21" t="s">
        <v>43</v>
      </c>
      <c r="E46" s="21" t="s">
        <v>44</v>
      </c>
      <c r="F46" s="21"/>
      <c r="G46" s="21"/>
    </row>
    <row r="47" spans="1:7">
      <c r="A47" s="21" t="s">
        <v>125</v>
      </c>
      <c r="B47" s="21" t="s">
        <v>55</v>
      </c>
      <c r="C47" s="21" t="s">
        <v>126</v>
      </c>
      <c r="D47" s="21" t="s">
        <v>127</v>
      </c>
      <c r="E47" s="21" t="s">
        <v>70</v>
      </c>
      <c r="F47" s="21"/>
      <c r="G47" s="21"/>
    </row>
    <row r="48" spans="1:7">
      <c r="A48" s="21" t="s">
        <v>128</v>
      </c>
      <c r="B48" s="21" t="s">
        <v>72</v>
      </c>
      <c r="C48" s="21" t="s">
        <v>129</v>
      </c>
      <c r="D48" s="21" t="s">
        <v>130</v>
      </c>
      <c r="E48" s="21" t="s">
        <v>51</v>
      </c>
      <c r="F48" s="21"/>
      <c r="G48" s="21"/>
    </row>
    <row r="49" spans="1:7">
      <c r="A49" s="21" t="s">
        <v>131</v>
      </c>
      <c r="B49" s="21" t="s">
        <v>72</v>
      </c>
      <c r="C49" s="21" t="s">
        <v>132</v>
      </c>
      <c r="D49" s="21" t="s">
        <v>133</v>
      </c>
      <c r="E49" s="21" t="s">
        <v>51</v>
      </c>
      <c r="F49" s="21"/>
      <c r="G49" s="21"/>
    </row>
    <row r="50" spans="1:7">
      <c r="A50" s="21" t="s">
        <v>134</v>
      </c>
      <c r="B50" s="21" t="s">
        <v>72</v>
      </c>
      <c r="C50" s="21" t="s">
        <v>135</v>
      </c>
      <c r="D50" s="21" t="s">
        <v>136</v>
      </c>
      <c r="E50" s="21" t="s">
        <v>51</v>
      </c>
      <c r="F50" s="21"/>
      <c r="G50" s="21"/>
    </row>
    <row r="51" spans="1:7">
      <c r="A51" s="21" t="s">
        <v>137</v>
      </c>
      <c r="B51" s="21" t="s">
        <v>72</v>
      </c>
      <c r="C51" s="21" t="s">
        <v>138</v>
      </c>
      <c r="D51" s="21" t="s">
        <v>139</v>
      </c>
      <c r="E51" s="21" t="s">
        <v>140</v>
      </c>
      <c r="F51" s="21"/>
      <c r="G51" s="21"/>
    </row>
    <row r="52" spans="1:7">
      <c r="A52" s="21" t="s">
        <v>141</v>
      </c>
      <c r="B52" s="21" t="s">
        <v>72</v>
      </c>
      <c r="C52" s="21" t="s">
        <v>142</v>
      </c>
      <c r="D52" s="21" t="s">
        <v>143</v>
      </c>
      <c r="E52" s="21" t="s">
        <v>95</v>
      </c>
      <c r="F52" s="21"/>
      <c r="G52" s="21"/>
    </row>
    <row r="53" spans="1:7">
      <c r="A53" s="21" t="s">
        <v>144</v>
      </c>
      <c r="B53" s="21" t="s">
        <v>72</v>
      </c>
      <c r="C53" s="21" t="s">
        <v>145</v>
      </c>
      <c r="D53" s="21" t="s">
        <v>146</v>
      </c>
      <c r="E53" s="21" t="s">
        <v>95</v>
      </c>
      <c r="F53" s="21"/>
      <c r="G53" s="21"/>
    </row>
    <row r="54" spans="1:7">
      <c r="A54" s="21" t="s">
        <v>147</v>
      </c>
      <c r="B54" s="21" t="s">
        <v>72</v>
      </c>
      <c r="C54" s="21" t="s">
        <v>148</v>
      </c>
      <c r="D54" s="21" t="s">
        <v>149</v>
      </c>
      <c r="E54" s="21" t="s">
        <v>95</v>
      </c>
      <c r="F54" s="21"/>
      <c r="G54" s="21"/>
    </row>
    <row r="55" spans="1:7">
      <c r="A55" s="21" t="s">
        <v>150</v>
      </c>
      <c r="B55" s="21" t="s">
        <v>72</v>
      </c>
      <c r="C55" s="21" t="s">
        <v>151</v>
      </c>
      <c r="D55" s="21" t="s">
        <v>152</v>
      </c>
      <c r="E55" s="21" t="s">
        <v>95</v>
      </c>
      <c r="F55" s="21"/>
      <c r="G55" s="21"/>
    </row>
    <row r="56" spans="1:7">
      <c r="A56" s="21" t="s">
        <v>153</v>
      </c>
      <c r="B56" s="21" t="s">
        <v>48</v>
      </c>
      <c r="C56" s="21" t="s">
        <v>154</v>
      </c>
      <c r="D56" s="21" t="s">
        <v>155</v>
      </c>
      <c r="E56" s="21" t="s">
        <v>70</v>
      </c>
      <c r="F56" s="21" t="s">
        <v>52</v>
      </c>
      <c r="G56" s="21" t="s">
        <v>53</v>
      </c>
    </row>
    <row r="57" spans="1:7">
      <c r="A57" s="21" t="s">
        <v>156</v>
      </c>
      <c r="B57" s="21" t="s">
        <v>72</v>
      </c>
      <c r="C57" s="21" t="s">
        <v>157</v>
      </c>
      <c r="D57" s="21" t="s">
        <v>158</v>
      </c>
      <c r="E57" s="21" t="s">
        <v>70</v>
      </c>
      <c r="F57" s="21" t="s">
        <v>52</v>
      </c>
      <c r="G57" s="21" t="s">
        <v>53</v>
      </c>
    </row>
    <row r="58" spans="1:7">
      <c r="A58" s="21" t="s">
        <v>159</v>
      </c>
      <c r="B58" s="21" t="s">
        <v>72</v>
      </c>
      <c r="C58" s="21" t="s">
        <v>160</v>
      </c>
      <c r="D58" s="21" t="s">
        <v>161</v>
      </c>
      <c r="E58" s="21" t="s">
        <v>70</v>
      </c>
      <c r="F58" s="21" t="s">
        <v>52</v>
      </c>
      <c r="G58" s="21" t="s">
        <v>53</v>
      </c>
    </row>
    <row r="61" spans="1:7">
      <c r="A61" s="27" t="s">
        <v>162</v>
      </c>
      <c r="B61" s="27" t="s">
        <v>40</v>
      </c>
      <c r="C61" s="27" t="s">
        <v>42</v>
      </c>
      <c r="D61" s="29" t="s">
        <v>163</v>
      </c>
      <c r="E61" s="30" t="s">
        <v>164</v>
      </c>
      <c r="F61" s="27" t="s">
        <v>165</v>
      </c>
      <c r="G61" s="27" t="s">
        <v>166</v>
      </c>
    </row>
    <row r="62" spans="1:7">
      <c r="A62" s="31">
        <v>0</v>
      </c>
      <c r="B62" s="31" t="s">
        <v>167</v>
      </c>
      <c r="C62" s="31" t="s">
        <v>168</v>
      </c>
      <c r="D62" s="19" t="s">
        <v>169</v>
      </c>
      <c r="E62" s="32" t="s">
        <v>170</v>
      </c>
      <c r="F62" s="32" t="s">
        <v>171</v>
      </c>
      <c r="G62" s="19"/>
    </row>
    <row r="63" spans="1:7">
      <c r="A63" s="33">
        <v>1</v>
      </c>
      <c r="B63" s="33" t="s">
        <v>172</v>
      </c>
      <c r="C63" s="33" t="s">
        <v>173</v>
      </c>
      <c r="D63" s="19" t="s">
        <v>174</v>
      </c>
      <c r="E63" s="32" t="s">
        <v>175</v>
      </c>
      <c r="F63" s="19" t="s">
        <v>176</v>
      </c>
      <c r="G63" s="19" t="s">
        <v>177</v>
      </c>
    </row>
    <row r="64" spans="1:7">
      <c r="A64" s="33">
        <v>2</v>
      </c>
      <c r="B64" s="33" t="s">
        <v>178</v>
      </c>
      <c r="C64" s="33" t="s">
        <v>179</v>
      </c>
      <c r="D64" s="19" t="s">
        <v>180</v>
      </c>
      <c r="E64" s="32" t="s">
        <v>181</v>
      </c>
      <c r="F64" s="19" t="s">
        <v>182</v>
      </c>
      <c r="G64" s="19" t="s">
        <v>183</v>
      </c>
    </row>
    <row r="65" spans="1:7">
      <c r="A65" s="33">
        <v>3</v>
      </c>
      <c r="B65" s="33" t="s">
        <v>184</v>
      </c>
      <c r="C65" s="33" t="s">
        <v>185</v>
      </c>
      <c r="D65" s="19" t="s">
        <v>186</v>
      </c>
      <c r="E65" s="32" t="s">
        <v>187</v>
      </c>
      <c r="F65" s="19" t="s">
        <v>188</v>
      </c>
      <c r="G65" s="19" t="s">
        <v>189</v>
      </c>
    </row>
    <row r="66" ht="15" customHeight="1" spans="1:7">
      <c r="A66" s="33">
        <v>4</v>
      </c>
      <c r="B66" s="33" t="s">
        <v>190</v>
      </c>
      <c r="C66" s="33" t="s">
        <v>191</v>
      </c>
      <c r="D66" s="19" t="s">
        <v>192</v>
      </c>
      <c r="E66" s="32" t="s">
        <v>193</v>
      </c>
      <c r="F66" s="19" t="s">
        <v>194</v>
      </c>
      <c r="G66" s="19" t="s">
        <v>195</v>
      </c>
    </row>
    <row r="67" spans="1:7">
      <c r="A67" s="33">
        <v>5</v>
      </c>
      <c r="B67" s="33" t="s">
        <v>196</v>
      </c>
      <c r="C67" s="33" t="s">
        <v>197</v>
      </c>
      <c r="D67" s="19" t="s">
        <v>198</v>
      </c>
      <c r="E67" s="32" t="s">
        <v>199</v>
      </c>
      <c r="F67" s="19" t="s">
        <v>200</v>
      </c>
      <c r="G67" s="19" t="s">
        <v>201</v>
      </c>
    </row>
    <row r="68" spans="1:7">
      <c r="A68" s="33">
        <v>6</v>
      </c>
      <c r="B68" s="33" t="s">
        <v>202</v>
      </c>
      <c r="C68" s="33" t="s">
        <v>203</v>
      </c>
      <c r="D68" s="19" t="s">
        <v>204</v>
      </c>
      <c r="E68" s="32" t="s">
        <v>205</v>
      </c>
      <c r="F68" s="19" t="s">
        <v>206</v>
      </c>
      <c r="G68" s="19" t="s">
        <v>207</v>
      </c>
    </row>
    <row r="69" spans="1:7">
      <c r="A69" s="33">
        <v>7</v>
      </c>
      <c r="B69" s="33" t="s">
        <v>208</v>
      </c>
      <c r="C69" s="33" t="s">
        <v>209</v>
      </c>
      <c r="D69" s="19" t="s">
        <v>210</v>
      </c>
      <c r="E69" s="32" t="s">
        <v>211</v>
      </c>
      <c r="F69" s="19" t="s">
        <v>212</v>
      </c>
      <c r="G69" s="19" t="s">
        <v>213</v>
      </c>
    </row>
    <row r="70" spans="1:7">
      <c r="A70" s="33">
        <v>8</v>
      </c>
      <c r="B70" s="33" t="s">
        <v>214</v>
      </c>
      <c r="C70" s="33" t="s">
        <v>215</v>
      </c>
      <c r="D70" s="19" t="s">
        <v>216</v>
      </c>
      <c r="E70" s="32" t="s">
        <v>217</v>
      </c>
      <c r="F70" s="19" t="s">
        <v>218</v>
      </c>
      <c r="G70" s="19" t="s">
        <v>219</v>
      </c>
    </row>
    <row r="71" spans="1:7">
      <c r="A71" s="33">
        <v>9</v>
      </c>
      <c r="B71" s="33" t="s">
        <v>220</v>
      </c>
      <c r="C71" s="33" t="s">
        <v>221</v>
      </c>
      <c r="D71" s="19" t="s">
        <v>222</v>
      </c>
      <c r="E71" s="32" t="s">
        <v>223</v>
      </c>
      <c r="F71" s="19" t="s">
        <v>224</v>
      </c>
      <c r="G71" s="19" t="s">
        <v>225</v>
      </c>
    </row>
    <row r="72" spans="1:7">
      <c r="A72" s="33">
        <v>10</v>
      </c>
      <c r="B72" s="33" t="s">
        <v>226</v>
      </c>
      <c r="C72" s="33" t="s">
        <v>227</v>
      </c>
      <c r="D72" s="19" t="s">
        <v>228</v>
      </c>
      <c r="E72" s="32" t="s">
        <v>229</v>
      </c>
      <c r="F72" s="19" t="s">
        <v>230</v>
      </c>
      <c r="G72" s="19" t="s">
        <v>231</v>
      </c>
    </row>
    <row r="73" spans="1:7">
      <c r="A73" s="33">
        <v>11</v>
      </c>
      <c r="B73" s="33" t="s">
        <v>232</v>
      </c>
      <c r="C73" s="33" t="s">
        <v>233</v>
      </c>
      <c r="F73" s="19" t="s">
        <v>22</v>
      </c>
      <c r="G73" s="19"/>
    </row>
    <row r="74" spans="1:7">
      <c r="A74" s="33">
        <v>12</v>
      </c>
      <c r="B74" s="33" t="s">
        <v>234</v>
      </c>
      <c r="C74" s="33" t="s">
        <v>235</v>
      </c>
      <c r="F74" s="31" t="s">
        <v>236</v>
      </c>
      <c r="G74" s="17"/>
    </row>
    <row r="75" spans="1:7">
      <c r="A75" s="33">
        <v>13</v>
      </c>
      <c r="B75" s="33" t="s">
        <v>237</v>
      </c>
      <c r="C75" s="33" t="s">
        <v>238</v>
      </c>
      <c r="F75" s="17" t="s">
        <v>239</v>
      </c>
      <c r="G75" s="31" t="s">
        <v>240</v>
      </c>
    </row>
    <row r="76" spans="1:7">
      <c r="A76" s="33">
        <v>14</v>
      </c>
      <c r="B76" s="33" t="s">
        <v>241</v>
      </c>
      <c r="C76" s="33" t="s">
        <v>242</v>
      </c>
    </row>
    <row r="77" spans="1:7">
      <c r="A77" s="33">
        <v>15</v>
      </c>
      <c r="B77" s="33" t="s">
        <v>243</v>
      </c>
      <c r="C77" s="33"/>
    </row>
    <row r="78" spans="1:7">
      <c r="A78" s="33">
        <v>16</v>
      </c>
      <c r="B78" s="33" t="s">
        <v>244</v>
      </c>
      <c r="C78" s="33" t="s">
        <v>245</v>
      </c>
    </row>
    <row r="79" spans="1:7">
      <c r="A79" s="33">
        <v>17</v>
      </c>
      <c r="B79" s="33" t="s">
        <v>246</v>
      </c>
      <c r="C79" s="33" t="s">
        <v>247</v>
      </c>
    </row>
    <row r="80" spans="1:7">
      <c r="A80" s="33">
        <v>18</v>
      </c>
      <c r="B80" s="33" t="s">
        <v>248</v>
      </c>
      <c r="C80" s="33" t="s">
        <v>249</v>
      </c>
    </row>
    <row r="81" spans="1:5">
      <c r="A81" s="33">
        <v>19</v>
      </c>
      <c r="B81" s="33" t="s">
        <v>250</v>
      </c>
      <c r="C81" s="33" t="s">
        <v>251</v>
      </c>
    </row>
    <row r="82" spans="1:5">
      <c r="A82" s="33">
        <v>20</v>
      </c>
      <c r="B82" s="33" t="s">
        <v>252</v>
      </c>
      <c r="C82" s="33" t="s">
        <v>253</v>
      </c>
    </row>
    <row r="84" spans="1:5">
      <c r="A84" s="23" t="s">
        <v>40</v>
      </c>
      <c r="B84" s="23" t="s">
        <v>41</v>
      </c>
      <c r="C84" s="23" t="s">
        <v>42</v>
      </c>
      <c r="D84" s="23" t="s">
        <v>43</v>
      </c>
      <c r="E84" s="23"/>
    </row>
    <row r="85" spans="1:5">
      <c r="A85" s="25" t="s">
        <v>254</v>
      </c>
      <c r="B85" s="25"/>
      <c r="C85" s="25"/>
      <c r="D85" s="25"/>
      <c r="E85" s="25" t="s">
        <v>255</v>
      </c>
    </row>
    <row r="86" customHeight="1" spans="1:5">
      <c r="A86" s="21" t="s">
        <v>256</v>
      </c>
      <c r="B86" s="21" t="s">
        <v>63</v>
      </c>
      <c r="C86" s="21" t="s">
        <v>257</v>
      </c>
      <c r="D86" s="21" t="s">
        <v>258</v>
      </c>
      <c r="E86" s="21" t="s">
        <v>259</v>
      </c>
    </row>
    <row r="87" customHeight="1" spans="1:5">
      <c r="A87" s="21" t="s">
        <v>260</v>
      </c>
      <c r="B87" s="21" t="s">
        <v>48</v>
      </c>
      <c r="C87" s="21" t="s">
        <v>261</v>
      </c>
      <c r="D87" s="21" t="s">
        <v>262</v>
      </c>
      <c r="E87" s="21"/>
    </row>
    <row r="88" customHeight="1" spans="1:5">
      <c r="A88" s="21" t="s">
        <v>263</v>
      </c>
      <c r="B88" s="21" t="s">
        <v>72</v>
      </c>
      <c r="C88" s="21" t="s">
        <v>264</v>
      </c>
      <c r="D88" s="21" t="s">
        <v>265</v>
      </c>
      <c r="E88" s="21" t="s">
        <v>266</v>
      </c>
    </row>
    <row r="89" customHeight="1" spans="1:5">
      <c r="A89" s="21" t="s">
        <v>267</v>
      </c>
      <c r="B89" s="21" t="s">
        <v>72</v>
      </c>
      <c r="C89" s="21" t="s">
        <v>268</v>
      </c>
      <c r="D89" s="21" t="s">
        <v>269</v>
      </c>
      <c r="E89" s="21"/>
    </row>
    <row r="90" customHeight="1" spans="1:5">
      <c r="A90" s="21" t="s">
        <v>270</v>
      </c>
      <c r="B90" s="21" t="s">
        <v>48</v>
      </c>
      <c r="C90" s="21" t="s">
        <v>271</v>
      </c>
      <c r="D90" s="21" t="s">
        <v>272</v>
      </c>
      <c r="E90" s="21" t="s">
        <v>273</v>
      </c>
    </row>
    <row r="91" customHeight="1" spans="1:5">
      <c r="A91" s="25" t="s">
        <v>274</v>
      </c>
      <c r="B91" s="25" t="s">
        <v>63</v>
      </c>
      <c r="C91" s="25" t="s">
        <v>275</v>
      </c>
      <c r="D91" s="25" t="s">
        <v>276</v>
      </c>
      <c r="E91" s="25" t="s">
        <v>277</v>
      </c>
    </row>
    <row r="92" spans="1:5">
      <c r="A92" s="21" t="s">
        <v>58</v>
      </c>
      <c r="B92" s="21" t="s">
        <v>48</v>
      </c>
      <c r="C92" s="21" t="s">
        <v>278</v>
      </c>
      <c r="D92" s="21" t="s">
        <v>279</v>
      </c>
      <c r="E92" s="21" t="s">
        <v>280</v>
      </c>
    </row>
    <row r="93" spans="1:5">
      <c r="A93" s="21" t="s">
        <v>281</v>
      </c>
      <c r="B93" s="21" t="s">
        <v>282</v>
      </c>
      <c r="C93" s="21" t="s">
        <v>283</v>
      </c>
      <c r="D93" s="21" t="s">
        <v>284</v>
      </c>
      <c r="E93" s="21" t="s">
        <v>285</v>
      </c>
    </row>
    <row r="94" spans="1:5">
      <c r="A94" s="21" t="s">
        <v>286</v>
      </c>
      <c r="B94" s="21" t="s">
        <v>72</v>
      </c>
      <c r="C94" s="21" t="s">
        <v>287</v>
      </c>
      <c r="D94" s="21" t="s">
        <v>288</v>
      </c>
      <c r="E94" s="21"/>
    </row>
    <row r="95" spans="1:5">
      <c r="A95" s="21" t="s">
        <v>137</v>
      </c>
      <c r="B95" s="21" t="s">
        <v>72</v>
      </c>
      <c r="C95" s="21" t="s">
        <v>289</v>
      </c>
      <c r="D95" s="21" t="s">
        <v>139</v>
      </c>
      <c r="E95" s="21"/>
    </row>
    <row r="96" spans="1:5">
      <c r="A96" s="21" t="s">
        <v>290</v>
      </c>
      <c r="B96" s="21" t="s">
        <v>48</v>
      </c>
      <c r="C96" s="21" t="s">
        <v>291</v>
      </c>
      <c r="D96" s="21" t="s">
        <v>292</v>
      </c>
      <c r="E96" s="21"/>
    </row>
    <row r="97" spans="1:5">
      <c r="A97" s="21" t="s">
        <v>293</v>
      </c>
      <c r="B97" s="21" t="s">
        <v>72</v>
      </c>
      <c r="C97" s="21" t="s">
        <v>294</v>
      </c>
      <c r="D97" s="21" t="s">
        <v>295</v>
      </c>
      <c r="E97" s="21"/>
    </row>
    <row r="98" spans="1:5">
      <c r="A98" s="22"/>
      <c r="B98" s="22"/>
      <c r="C98" s="22"/>
      <c r="D98" s="22"/>
      <c r="E98" s="22"/>
    </row>
    <row r="99" spans="1:5">
      <c r="A99" s="25" t="s">
        <v>296</v>
      </c>
      <c r="B99" s="25"/>
      <c r="C99" s="25"/>
      <c r="D99" s="25"/>
      <c r="E99" s="25" t="s">
        <v>297</v>
      </c>
    </row>
    <row r="100" spans="1:5">
      <c r="A100" s="21" t="s">
        <v>298</v>
      </c>
      <c r="B100" s="21" t="s">
        <v>89</v>
      </c>
      <c r="C100" s="21" t="s">
        <v>299</v>
      </c>
      <c r="D100" s="21" t="s">
        <v>300</v>
      </c>
      <c r="E100" s="25" t="s">
        <v>301</v>
      </c>
    </row>
    <row r="101" spans="1:5">
      <c r="A101" s="21" t="s">
        <v>302</v>
      </c>
      <c r="B101" s="21" t="s">
        <v>89</v>
      </c>
      <c r="C101" s="21" t="s">
        <v>303</v>
      </c>
      <c r="D101" s="21" t="s">
        <v>304</v>
      </c>
      <c r="E101" s="25" t="s">
        <v>305</v>
      </c>
    </row>
    <row r="102" spans="1:5">
      <c r="A102" s="21" t="s">
        <v>306</v>
      </c>
      <c r="B102" s="21" t="s">
        <v>307</v>
      </c>
      <c r="C102" s="21" t="s">
        <v>308</v>
      </c>
      <c r="D102" s="21" t="s">
        <v>309</v>
      </c>
      <c r="E102" s="21"/>
    </row>
    <row r="103" spans="1:5">
      <c r="A103" s="21" t="s">
        <v>310</v>
      </c>
      <c r="B103" s="21" t="s">
        <v>48</v>
      </c>
      <c r="C103" s="21" t="s">
        <v>311</v>
      </c>
      <c r="D103" s="21" t="s">
        <v>312</v>
      </c>
      <c r="E103" s="21"/>
    </row>
    <row r="104" spans="1:5">
      <c r="A104" s="21" t="s">
        <v>313</v>
      </c>
      <c r="B104" s="21" t="s">
        <v>63</v>
      </c>
      <c r="C104" s="21" t="s">
        <v>314</v>
      </c>
      <c r="D104" s="21" t="s">
        <v>315</v>
      </c>
      <c r="E104" s="21"/>
    </row>
    <row r="105" spans="1:5">
      <c r="A105" s="22"/>
      <c r="B105" s="22"/>
      <c r="C105" s="22"/>
      <c r="D105" s="22"/>
      <c r="E105" s="22"/>
    </row>
    <row r="106" spans="1:5">
      <c r="A106" s="25" t="s">
        <v>316</v>
      </c>
      <c r="B106" s="25"/>
      <c r="C106" s="25"/>
      <c r="D106" s="25"/>
      <c r="E106" s="25" t="s">
        <v>317</v>
      </c>
    </row>
    <row r="107" spans="1:5">
      <c r="A107" s="21" t="s">
        <v>318</v>
      </c>
      <c r="B107" s="21" t="s">
        <v>63</v>
      </c>
      <c r="C107" s="21" t="s">
        <v>319</v>
      </c>
      <c r="D107" s="21" t="s">
        <v>320</v>
      </c>
      <c r="E107" s="21"/>
    </row>
    <row r="108" spans="1:5">
      <c r="A108" s="21" t="s">
        <v>82</v>
      </c>
      <c r="B108" s="21" t="s">
        <v>63</v>
      </c>
      <c r="C108" s="21" t="s">
        <v>321</v>
      </c>
      <c r="D108" s="21" t="s">
        <v>322</v>
      </c>
      <c r="E108" s="21"/>
    </row>
    <row r="109" spans="1:5">
      <c r="A109" s="25" t="s">
        <v>99</v>
      </c>
      <c r="B109" s="25" t="s">
        <v>63</v>
      </c>
      <c r="C109" s="25" t="s">
        <v>323</v>
      </c>
      <c r="D109" s="25" t="s">
        <v>324</v>
      </c>
      <c r="E109" s="25" t="s">
        <v>325</v>
      </c>
    </row>
    <row r="110" spans="1:5">
      <c r="A110" s="21" t="s">
        <v>326</v>
      </c>
      <c r="B110" s="21" t="s">
        <v>72</v>
      </c>
      <c r="C110" s="21" t="s">
        <v>327</v>
      </c>
      <c r="D110" s="21" t="s">
        <v>328</v>
      </c>
      <c r="E110" s="21"/>
    </row>
    <row r="111" spans="1:5">
      <c r="A111" s="21" t="s">
        <v>79</v>
      </c>
      <c r="B111" s="21" t="s">
        <v>48</v>
      </c>
      <c r="C111" s="21" t="s">
        <v>329</v>
      </c>
      <c r="D111" s="21" t="s">
        <v>330</v>
      </c>
      <c r="E111" s="21"/>
    </row>
    <row r="112" spans="1:5">
      <c r="A112" s="21" t="s">
        <v>128</v>
      </c>
      <c r="B112" s="21" t="s">
        <v>72</v>
      </c>
      <c r="C112" s="21" t="s">
        <v>331</v>
      </c>
      <c r="D112" s="21" t="s">
        <v>130</v>
      </c>
      <c r="E112" s="21"/>
    </row>
    <row r="113" spans="1:5">
      <c r="A113" s="21" t="s">
        <v>332</v>
      </c>
      <c r="B113" s="21" t="s">
        <v>333</v>
      </c>
      <c r="C113" s="21" t="s">
        <v>334</v>
      </c>
      <c r="D113" s="21" t="s">
        <v>335</v>
      </c>
      <c r="E113" s="36" t="s">
        <v>336</v>
      </c>
    </row>
    <row r="114" spans="1:5">
      <c r="A114" s="21" t="s">
        <v>337</v>
      </c>
      <c r="B114" s="21" t="s">
        <v>307</v>
      </c>
      <c r="C114" s="21" t="s">
        <v>338</v>
      </c>
      <c r="D114" s="21" t="s">
        <v>339</v>
      </c>
      <c r="E114" s="21"/>
    </row>
    <row r="115" spans="1:5">
      <c r="A115" s="25" t="s">
        <v>340</v>
      </c>
      <c r="B115" s="25" t="s">
        <v>48</v>
      </c>
      <c r="C115" s="25" t="s">
        <v>341</v>
      </c>
      <c r="D115" s="34" t="s">
        <v>342</v>
      </c>
      <c r="E115" s="26" t="s">
        <v>343</v>
      </c>
    </row>
    <row r="116" spans="1:5">
      <c r="E116" s="35" t="s">
        <v>344</v>
      </c>
    </row>
    <row r="117" spans="1:5">
      <c r="E117" s="35" t="s">
        <v>345</v>
      </c>
    </row>
    <row r="118" spans="1:5">
      <c r="E118" s="35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1" customWidth="1"/>
    <col min="2" max="2" width="24.625" style="1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3" t="s">
        <v>347</v>
      </c>
      <c r="B1" s="3" t="s">
        <v>348</v>
      </c>
      <c r="C1" s="3" t="s">
        <v>349</v>
      </c>
      <c r="D1" s="3" t="s">
        <v>350</v>
      </c>
      <c r="E1" s="3" t="s">
        <v>351</v>
      </c>
      <c r="F1" s="4" t="s">
        <v>352</v>
      </c>
      <c r="G1" s="4" t="s">
        <v>353</v>
      </c>
      <c r="H1" s="4" t="s">
        <v>354</v>
      </c>
      <c r="I1" s="4" t="s">
        <v>355</v>
      </c>
      <c r="J1" s="3" t="s">
        <v>356</v>
      </c>
      <c r="K1" s="3" t="s">
        <v>357</v>
      </c>
      <c r="L1" s="3" t="s">
        <v>358</v>
      </c>
      <c r="M1" s="3" t="s">
        <v>359</v>
      </c>
      <c r="N1" s="3" t="s">
        <v>360</v>
      </c>
      <c r="O1" s="3" t="s">
        <v>361</v>
      </c>
      <c r="P1" s="3" t="s">
        <v>362</v>
      </c>
      <c r="Q1" s="3"/>
      <c r="R1" s="3" t="s">
        <v>351</v>
      </c>
      <c r="S1" s="3" t="s">
        <v>363</v>
      </c>
      <c r="T1" s="3" t="s">
        <v>364</v>
      </c>
      <c r="U1" s="3"/>
      <c r="V1" s="3" t="s">
        <v>365</v>
      </c>
      <c r="W1" s="3"/>
      <c r="X1" s="5" t="s">
        <v>366</v>
      </c>
      <c r="Y1" s="4"/>
      <c r="Z1" s="5" t="s">
        <v>367</v>
      </c>
      <c r="AA1" s="4"/>
    </row>
    <row r="2" spans="1:29">
      <c r="A2" s="6">
        <v>-31</v>
      </c>
      <c r="B2" s="6"/>
      <c r="C2" s="6" t="s">
        <v>368</v>
      </c>
      <c r="D2" s="6">
        <v>0</v>
      </c>
      <c r="E2" s="6">
        <v>0</v>
      </c>
      <c r="F2" s="6" t="s">
        <v>368</v>
      </c>
      <c r="G2" s="6">
        <v>0</v>
      </c>
      <c r="H2" s="6" t="s">
        <v>369</v>
      </c>
      <c r="I2" s="6" t="s">
        <v>370</v>
      </c>
      <c r="J2" s="6" t="s">
        <v>371</v>
      </c>
      <c r="K2" s="37" t="s">
        <v>372</v>
      </c>
      <c r="L2" s="37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6" t="s">
        <v>373</v>
      </c>
      <c r="N2" s="6" t="s">
        <v>374</v>
      </c>
      <c r="O2" s="6" t="s">
        <v>375</v>
      </c>
      <c r="P2" s="6" t="s">
        <v>376</v>
      </c>
      <c r="Q2" s="6" t="s">
        <v>377</v>
      </c>
      <c r="R2" s="6">
        <v>0</v>
      </c>
      <c r="S2" s="6" t="str">
        <f>""</f>
        <v/>
      </c>
      <c r="T2" s="6">
        <v>0</v>
      </c>
      <c r="U2" s="6" t="str">
        <f>""</f>
        <v/>
      </c>
      <c r="V2" s="6" t="s">
        <v>378</v>
      </c>
      <c r="W2" s="8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</row>
    <row r="3" spans="1:29">
      <c r="A3" s="6">
        <v>-30</v>
      </c>
      <c r="B3" s="6"/>
      <c r="C3" s="6" t="s">
        <v>384</v>
      </c>
      <c r="D3" s="6">
        <v>1</v>
      </c>
      <c r="E3" s="6">
        <v>3</v>
      </c>
      <c r="F3" s="6" t="s">
        <v>385</v>
      </c>
      <c r="G3" s="6">
        <v>10003</v>
      </c>
      <c r="H3" s="6" t="s">
        <v>386</v>
      </c>
      <c r="I3" s="6" t="s">
        <v>387</v>
      </c>
      <c r="J3" s="6" t="s">
        <v>388</v>
      </c>
      <c r="K3" s="6" t="s">
        <v>389</v>
      </c>
      <c r="L3" s="37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6" t="s">
        <v>390</v>
      </c>
      <c r="N3" s="6" t="s">
        <v>391</v>
      </c>
      <c r="O3" s="6" t="s">
        <v>392</v>
      </c>
      <c r="P3" s="6" t="s">
        <v>393</v>
      </c>
      <c r="Q3" s="6" t="s">
        <v>394</v>
      </c>
      <c r="R3" s="6">
        <v>1</v>
      </c>
      <c r="S3" s="6" t="s">
        <v>395</v>
      </c>
      <c r="T3" s="6">
        <v>1</v>
      </c>
      <c r="U3" s="6" t="s">
        <v>396</v>
      </c>
      <c r="V3" s="6" t="s">
        <v>397</v>
      </c>
      <c r="W3" s="8" t="s">
        <v>381</v>
      </c>
      <c r="X3" s="6" t="s">
        <v>395</v>
      </c>
      <c r="Y3" s="6" t="s">
        <v>379</v>
      </c>
      <c r="Z3" s="6" t="s">
        <v>398</v>
      </c>
      <c r="AA3" s="6" t="s">
        <v>383</v>
      </c>
    </row>
    <row r="4" spans="1:29">
      <c r="A4" s="6">
        <v>-29</v>
      </c>
      <c r="B4" s="6"/>
      <c r="C4" s="6" t="s">
        <v>399</v>
      </c>
      <c r="D4" s="6">
        <v>2</v>
      </c>
      <c r="E4" s="6">
        <v>2</v>
      </c>
      <c r="F4" s="6" t="s">
        <v>400</v>
      </c>
      <c r="G4" s="6">
        <v>10002</v>
      </c>
      <c r="H4" s="6" t="s">
        <v>386</v>
      </c>
      <c r="I4" s="6" t="s">
        <v>387</v>
      </c>
      <c r="J4" s="6" t="s">
        <v>401</v>
      </c>
      <c r="K4" s="6" t="s">
        <v>402</v>
      </c>
      <c r="L4" s="37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6" t="s">
        <v>403</v>
      </c>
      <c r="N4" s="6" t="s">
        <v>404</v>
      </c>
      <c r="O4" s="6" t="s">
        <v>405</v>
      </c>
      <c r="P4" s="6" t="s">
        <v>406</v>
      </c>
      <c r="Q4" s="6" t="s">
        <v>394</v>
      </c>
      <c r="R4" s="6">
        <v>2</v>
      </c>
      <c r="S4" s="6" t="s">
        <v>380</v>
      </c>
      <c r="T4" s="6">
        <v>2</v>
      </c>
      <c r="U4" s="6" t="s">
        <v>407</v>
      </c>
      <c r="V4" s="6" t="s">
        <v>408</v>
      </c>
      <c r="W4" s="8" t="s">
        <v>409</v>
      </c>
      <c r="X4" s="6" t="s">
        <v>383</v>
      </c>
      <c r="Y4" s="6" t="s">
        <v>410</v>
      </c>
      <c r="Z4" s="6" t="s">
        <v>411</v>
      </c>
      <c r="AA4" s="6" t="s">
        <v>383</v>
      </c>
    </row>
    <row r="5" spans="1:29">
      <c r="A5" s="6">
        <v>-28</v>
      </c>
      <c r="B5" s="6"/>
      <c r="C5" s="6" t="s">
        <v>412</v>
      </c>
      <c r="D5" s="6">
        <v>3</v>
      </c>
      <c r="E5" s="6">
        <v>4</v>
      </c>
      <c r="F5" s="6" t="s">
        <v>413</v>
      </c>
      <c r="G5" s="6">
        <v>10015</v>
      </c>
      <c r="H5" s="6" t="s">
        <v>414</v>
      </c>
      <c r="I5" s="6" t="s">
        <v>415</v>
      </c>
      <c r="J5" s="6" t="s">
        <v>399</v>
      </c>
      <c r="K5" s="37" t="s">
        <v>416</v>
      </c>
      <c r="L5" s="37" t="str">
        <f t="shared" si="0"/>
        <v>C498FF</v>
      </c>
      <c r="M5" s="6" t="s">
        <v>417</v>
      </c>
      <c r="N5" s="6" t="s">
        <v>418</v>
      </c>
      <c r="O5" s="6" t="s">
        <v>417</v>
      </c>
      <c r="P5" s="6" t="s">
        <v>419</v>
      </c>
      <c r="Q5" s="6" t="s">
        <v>394</v>
      </c>
      <c r="R5" s="6">
        <v>3</v>
      </c>
      <c r="S5" s="6" t="s">
        <v>420</v>
      </c>
      <c r="T5" s="6">
        <v>3</v>
      </c>
      <c r="U5" s="6" t="s">
        <v>421</v>
      </c>
      <c r="V5" s="6" t="s">
        <v>422</v>
      </c>
      <c r="W5" s="8" t="s">
        <v>422</v>
      </c>
      <c r="X5" s="6" t="s">
        <v>423</v>
      </c>
      <c r="Y5" s="8" t="s">
        <v>409</v>
      </c>
      <c r="Z5" s="9"/>
      <c r="AA5" s="10"/>
      <c r="AB5" s="11"/>
      <c r="AC5" s="11"/>
    </row>
    <row r="6" spans="1:29">
      <c r="A6" s="6">
        <v>-27</v>
      </c>
      <c r="B6" s="6"/>
      <c r="C6" s="6" t="s">
        <v>424</v>
      </c>
      <c r="D6" s="6">
        <v>4</v>
      </c>
      <c r="E6" s="6">
        <v>5</v>
      </c>
      <c r="F6" s="6" t="s">
        <v>425</v>
      </c>
      <c r="G6" s="6">
        <v>10014</v>
      </c>
      <c r="H6" s="6" t="s">
        <v>414</v>
      </c>
      <c r="I6" s="6" t="s">
        <v>415</v>
      </c>
      <c r="J6" s="6" t="s">
        <v>384</v>
      </c>
      <c r="K6" s="6" t="s">
        <v>426</v>
      </c>
      <c r="L6" s="37" t="str">
        <f t="shared" si="0"/>
        <v>FF6F53</v>
      </c>
      <c r="M6" s="6" t="s">
        <v>427</v>
      </c>
      <c r="N6" s="6" t="s">
        <v>428</v>
      </c>
      <c r="O6" s="6" t="s">
        <v>429</v>
      </c>
      <c r="P6" s="6" t="s">
        <v>430</v>
      </c>
      <c r="Q6" s="6" t="s">
        <v>394</v>
      </c>
      <c r="R6" s="6">
        <v>4</v>
      </c>
      <c r="S6" s="6" t="s">
        <v>431</v>
      </c>
      <c r="T6" s="6">
        <v>4</v>
      </c>
      <c r="U6" s="6" t="s">
        <v>432</v>
      </c>
      <c r="V6" s="6" t="s">
        <v>433</v>
      </c>
      <c r="W6" s="8" t="s">
        <v>434</v>
      </c>
      <c r="X6" s="6" t="s">
        <v>435</v>
      </c>
      <c r="Y6" s="8" t="s">
        <v>409</v>
      </c>
      <c r="Z6" s="12"/>
      <c r="AA6" s="1"/>
      <c r="AB6" s="11"/>
      <c r="AC6" s="11"/>
    </row>
    <row r="7" spans="1:29">
      <c r="A7" s="6">
        <v>-26</v>
      </c>
      <c r="B7" s="6"/>
      <c r="C7" s="6" t="s">
        <v>401</v>
      </c>
      <c r="D7" s="6">
        <v>5</v>
      </c>
      <c r="E7" s="6">
        <v>1</v>
      </c>
      <c r="F7" s="6" t="s">
        <v>436</v>
      </c>
      <c r="G7" s="6">
        <v>10021</v>
      </c>
      <c r="H7" s="6" t="s">
        <v>437</v>
      </c>
      <c r="I7" s="6" t="s">
        <v>438</v>
      </c>
      <c r="J7" s="6" t="s">
        <v>412</v>
      </c>
      <c r="K7" s="37" t="s">
        <v>439</v>
      </c>
      <c r="L7" s="37" t="str">
        <f t="shared" si="0"/>
        <v>16D8D8</v>
      </c>
      <c r="M7" s="6" t="s">
        <v>440</v>
      </c>
      <c r="N7" s="6" t="s">
        <v>441</v>
      </c>
      <c r="O7" s="6" t="s">
        <v>440</v>
      </c>
      <c r="P7" s="6" t="s">
        <v>442</v>
      </c>
      <c r="Q7" s="6" t="s">
        <v>394</v>
      </c>
      <c r="T7" s="6">
        <v>5</v>
      </c>
      <c r="U7" s="6" t="s">
        <v>443</v>
      </c>
      <c r="V7" s="13" t="s">
        <v>444</v>
      </c>
      <c r="W7" s="9" t="s">
        <v>445</v>
      </c>
      <c r="X7" s="6" t="s">
        <v>446</v>
      </c>
      <c r="Y7" s="8" t="s">
        <v>434</v>
      </c>
      <c r="Z7" s="12"/>
      <c r="AA7" s="1"/>
      <c r="AB7" s="11"/>
      <c r="AC7" s="11"/>
    </row>
    <row r="8" spans="1:29">
      <c r="A8" s="6">
        <v>-25</v>
      </c>
      <c r="B8" s="6"/>
      <c r="C8" s="6" t="s">
        <v>447</v>
      </c>
      <c r="D8" s="6">
        <v>6</v>
      </c>
      <c r="E8" s="6">
        <v>8</v>
      </c>
      <c r="F8" s="6" t="s">
        <v>448</v>
      </c>
      <c r="G8" s="6">
        <v>10028</v>
      </c>
      <c r="H8" s="6" t="s">
        <v>437</v>
      </c>
      <c r="I8" s="6" t="s">
        <v>438</v>
      </c>
      <c r="J8" s="6" t="s">
        <v>424</v>
      </c>
      <c r="K8" s="37" t="s">
        <v>449</v>
      </c>
      <c r="L8" s="37" t="str">
        <f t="shared" si="0"/>
        <v>FF81B0</v>
      </c>
      <c r="M8" s="6" t="s">
        <v>450</v>
      </c>
      <c r="N8" s="6" t="s">
        <v>451</v>
      </c>
      <c r="O8" s="6" t="s">
        <v>450</v>
      </c>
      <c r="P8" s="6" t="s">
        <v>452</v>
      </c>
      <c r="Q8" s="6" t="s">
        <v>394</v>
      </c>
      <c r="T8" s="6">
        <v>6</v>
      </c>
      <c r="U8" s="8" t="s">
        <v>453</v>
      </c>
      <c r="V8" s="6" t="s">
        <v>454</v>
      </c>
      <c r="W8" s="6" t="s">
        <v>410</v>
      </c>
      <c r="X8" s="6" t="s">
        <v>431</v>
      </c>
      <c r="Y8" s="8" t="s">
        <v>422</v>
      </c>
      <c r="Z8" s="12"/>
      <c r="AA8" s="1"/>
      <c r="AB8" s="11"/>
      <c r="AC8" s="11"/>
    </row>
    <row r="9" spans="1:29">
      <c r="A9" s="6">
        <v>-24</v>
      </c>
      <c r="B9" s="6"/>
      <c r="C9" s="6" t="s">
        <v>455</v>
      </c>
      <c r="D9" s="6">
        <v>7</v>
      </c>
      <c r="E9" s="6">
        <v>9</v>
      </c>
      <c r="F9" s="6" t="s">
        <v>456</v>
      </c>
      <c r="G9" s="6">
        <v>10026</v>
      </c>
      <c r="H9" s="6" t="s">
        <v>457</v>
      </c>
      <c r="I9" s="6" t="s">
        <v>458</v>
      </c>
      <c r="J9" s="6" t="s">
        <v>459</v>
      </c>
      <c r="K9" s="37" t="s">
        <v>460</v>
      </c>
      <c r="L9" s="37" t="str">
        <f t="shared" si="0"/>
        <v>3793FF</v>
      </c>
      <c r="M9" s="6" t="s">
        <v>461</v>
      </c>
      <c r="N9" s="6" t="s">
        <v>462</v>
      </c>
      <c r="O9" s="6" t="s">
        <v>463</v>
      </c>
      <c r="P9" s="6" t="s">
        <v>464</v>
      </c>
      <c r="Q9" s="6" t="s">
        <v>394</v>
      </c>
      <c r="T9" s="6">
        <v>7</v>
      </c>
      <c r="U9" s="8" t="s">
        <v>465</v>
      </c>
      <c r="V9" s="12"/>
      <c r="W9" s="14"/>
      <c r="X9" s="6" t="s">
        <v>466</v>
      </c>
      <c r="Y9" s="6" t="s">
        <v>445</v>
      </c>
      <c r="Z9" s="2"/>
      <c r="AA9" s="1"/>
      <c r="AB9" s="11"/>
      <c r="AC9" s="11"/>
    </row>
    <row r="10" spans="1:29">
      <c r="A10" s="6">
        <v>-23</v>
      </c>
      <c r="B10" s="6"/>
      <c r="C10" s="6" t="s">
        <v>467</v>
      </c>
      <c r="D10" s="6">
        <v>8</v>
      </c>
      <c r="E10" s="6">
        <v>10</v>
      </c>
      <c r="F10" s="6" t="s">
        <v>468</v>
      </c>
      <c r="G10" s="6">
        <v>10062</v>
      </c>
      <c r="H10" s="6" t="s">
        <v>457</v>
      </c>
      <c r="I10" s="6" t="s">
        <v>458</v>
      </c>
      <c r="J10" s="6" t="s">
        <v>469</v>
      </c>
      <c r="K10" s="6" t="s">
        <v>470</v>
      </c>
      <c r="L10" s="37" t="str">
        <f t="shared" si="0"/>
        <v>79B736</v>
      </c>
      <c r="M10" s="6" t="s">
        <v>471</v>
      </c>
      <c r="N10" s="6" t="s">
        <v>472</v>
      </c>
      <c r="O10" s="6" t="s">
        <v>473</v>
      </c>
      <c r="P10" s="6" t="s">
        <v>474</v>
      </c>
      <c r="Q10" s="6" t="s">
        <v>394</v>
      </c>
      <c r="T10" s="6">
        <v>8</v>
      </c>
      <c r="U10" s="8" t="s">
        <v>475</v>
      </c>
      <c r="V10" s="12"/>
      <c r="W10" s="14"/>
      <c r="X10" s="6" t="s">
        <v>476</v>
      </c>
      <c r="Y10" s="6" t="s">
        <v>477</v>
      </c>
      <c r="Z10" s="2"/>
      <c r="AA10" s="2"/>
      <c r="AB10" s="11"/>
      <c r="AC10" s="11"/>
    </row>
    <row r="11" spans="1:29">
      <c r="A11" s="6">
        <v>-22</v>
      </c>
      <c r="B11" s="6"/>
      <c r="C11" s="6" t="s">
        <v>459</v>
      </c>
      <c r="D11" s="6">
        <v>9</v>
      </c>
      <c r="E11" s="6">
        <v>6</v>
      </c>
      <c r="F11" s="6" t="s">
        <v>478</v>
      </c>
      <c r="G11" s="6">
        <v>10081</v>
      </c>
      <c r="H11" s="6" t="s">
        <v>479</v>
      </c>
      <c r="I11" s="6" t="s">
        <v>480</v>
      </c>
      <c r="J11" s="6" t="s">
        <v>447</v>
      </c>
      <c r="K11" s="6" t="s">
        <v>481</v>
      </c>
      <c r="L11" s="37" t="str">
        <f t="shared" si="0"/>
        <v>D6F95D</v>
      </c>
      <c r="M11" s="6" t="s">
        <v>482</v>
      </c>
      <c r="N11" s="6" t="s">
        <v>483</v>
      </c>
      <c r="O11" s="6" t="s">
        <v>484</v>
      </c>
      <c r="P11" s="6" t="s">
        <v>485</v>
      </c>
      <c r="Q11" s="6" t="s">
        <v>486</v>
      </c>
      <c r="T11" s="6">
        <v>9</v>
      </c>
      <c r="U11" s="8" t="s">
        <v>487</v>
      </c>
      <c r="V11" s="12"/>
      <c r="W11" s="2"/>
      <c r="X11" s="2"/>
      <c r="Y11" s="2"/>
      <c r="Z11" s="2"/>
      <c r="AA11" s="2"/>
      <c r="AB11" s="11"/>
      <c r="AC11" s="11"/>
    </row>
    <row r="12" spans="1:29">
      <c r="A12" s="6">
        <v>-21</v>
      </c>
      <c r="B12" s="6"/>
      <c r="C12" s="6" t="s">
        <v>469</v>
      </c>
      <c r="D12" s="6">
        <v>10</v>
      </c>
      <c r="E12" s="6">
        <v>7</v>
      </c>
      <c r="F12" s="6" t="s">
        <v>488</v>
      </c>
      <c r="G12" s="6">
        <v>10080</v>
      </c>
      <c r="H12" s="6" t="s">
        <v>479</v>
      </c>
      <c r="I12" s="6" t="s">
        <v>480</v>
      </c>
      <c r="J12" s="6" t="s">
        <v>455</v>
      </c>
      <c r="K12" s="6" t="s">
        <v>489</v>
      </c>
      <c r="L12" s="37" t="str">
        <f t="shared" si="0"/>
        <v>CD853F</v>
      </c>
      <c r="M12" s="6" t="s">
        <v>490</v>
      </c>
      <c r="N12" s="6" t="s">
        <v>491</v>
      </c>
      <c r="O12" s="6" t="s">
        <v>492</v>
      </c>
      <c r="P12" s="6" t="s">
        <v>493</v>
      </c>
      <c r="Q12" s="6" t="s">
        <v>494</v>
      </c>
      <c r="T12" s="6">
        <v>10</v>
      </c>
      <c r="U12" s="8" t="s">
        <v>495</v>
      </c>
      <c r="V12" s="12"/>
      <c r="W12" s="2"/>
      <c r="X12" s="2"/>
      <c r="AA12" s="2"/>
    </row>
    <row r="13" spans="1:29">
      <c r="A13" s="6">
        <v>-20</v>
      </c>
      <c r="B13" s="6"/>
      <c r="C13" s="6" t="s">
        <v>496</v>
      </c>
      <c r="D13" s="6">
        <v>18</v>
      </c>
      <c r="E13" s="6">
        <v>21</v>
      </c>
      <c r="F13" s="6" t="s">
        <v>497</v>
      </c>
      <c r="G13" s="6">
        <v>10175</v>
      </c>
      <c r="H13" s="6" t="s">
        <v>498</v>
      </c>
      <c r="I13" s="6" t="s">
        <v>499</v>
      </c>
      <c r="J13" s="6" t="s">
        <v>467</v>
      </c>
      <c r="K13" s="6" t="s">
        <v>500</v>
      </c>
      <c r="L13" s="37" t="str">
        <f t="shared" si="0"/>
        <v>F04660</v>
      </c>
      <c r="M13" s="6" t="s">
        <v>501</v>
      </c>
      <c r="N13" s="6" t="s">
        <v>502</v>
      </c>
      <c r="O13" s="6" t="s">
        <v>501</v>
      </c>
      <c r="P13" s="6" t="s">
        <v>503</v>
      </c>
      <c r="Q13" s="6" t="s">
        <v>494</v>
      </c>
      <c r="T13" s="6">
        <v>11</v>
      </c>
      <c r="U13" s="8" t="s">
        <v>504</v>
      </c>
      <c r="V13" s="15"/>
    </row>
    <row r="14" spans="1:29">
      <c r="A14" s="6">
        <v>-19</v>
      </c>
      <c r="B14" s="6"/>
      <c r="C14" s="6" t="s">
        <v>505</v>
      </c>
      <c r="D14" s="6">
        <v>19</v>
      </c>
      <c r="E14" s="6">
        <v>22</v>
      </c>
      <c r="F14" s="6" t="s">
        <v>506</v>
      </c>
      <c r="G14" s="6">
        <v>10176</v>
      </c>
      <c r="H14" s="6" t="s">
        <v>498</v>
      </c>
      <c r="I14" s="6" t="s">
        <v>499</v>
      </c>
      <c r="J14" s="6" t="s">
        <v>496</v>
      </c>
      <c r="K14" s="6" t="s">
        <v>507</v>
      </c>
      <c r="L14" s="37" t="str">
        <f t="shared" si="0"/>
        <v>B43C00</v>
      </c>
      <c r="M14" s="6" t="s">
        <v>508</v>
      </c>
      <c r="N14" s="6" t="s">
        <v>509</v>
      </c>
      <c r="O14" s="6" t="s">
        <v>508</v>
      </c>
      <c r="P14" s="6" t="s">
        <v>510</v>
      </c>
      <c r="Q14" s="6" t="s">
        <v>511</v>
      </c>
    </row>
    <row r="15" spans="1:29">
      <c r="A15" s="6">
        <v>-18</v>
      </c>
      <c r="B15" s="6"/>
      <c r="C15" s="6" t="s">
        <v>512</v>
      </c>
      <c r="D15" s="6">
        <v>20</v>
      </c>
      <c r="E15" s="6">
        <v>23</v>
      </c>
      <c r="F15" s="6" t="s">
        <v>513</v>
      </c>
      <c r="G15" s="6">
        <v>10224</v>
      </c>
      <c r="H15" s="6" t="s">
        <v>514</v>
      </c>
      <c r="I15" s="6" t="s">
        <v>515</v>
      </c>
      <c r="J15" s="6" t="s">
        <v>505</v>
      </c>
      <c r="K15" s="37" t="s">
        <v>516</v>
      </c>
      <c r="L15" s="37" t="str">
        <f t="shared" si="0"/>
        <v>64FAB4</v>
      </c>
      <c r="M15" s="6" t="s">
        <v>517</v>
      </c>
      <c r="N15" s="6" t="s">
        <v>518</v>
      </c>
      <c r="O15" s="6" t="s">
        <v>519</v>
      </c>
      <c r="P15" s="6" t="s">
        <v>520</v>
      </c>
      <c r="Q15" s="6" t="s">
        <v>511</v>
      </c>
    </row>
    <row r="16" spans="1:29">
      <c r="A16" s="6">
        <v>-17</v>
      </c>
      <c r="B16" s="6" t="s">
        <v>521</v>
      </c>
      <c r="C16" s="6" t="s">
        <v>522</v>
      </c>
      <c r="D16" s="6">
        <v>21</v>
      </c>
      <c r="E16" s="6">
        <v>24</v>
      </c>
      <c r="F16" s="6" t="s">
        <v>523</v>
      </c>
      <c r="G16" s="6">
        <v>10225</v>
      </c>
      <c r="H16" s="6" t="s">
        <v>514</v>
      </c>
      <c r="I16" s="6" t="s">
        <v>515</v>
      </c>
      <c r="J16" s="6" t="s">
        <v>512</v>
      </c>
      <c r="K16" s="37" t="s">
        <v>524</v>
      </c>
      <c r="L16" s="37" t="str">
        <f t="shared" si="0"/>
        <v>6A6CBD</v>
      </c>
      <c r="M16" s="6" t="s">
        <v>525</v>
      </c>
      <c r="N16" s="6" t="s">
        <v>526</v>
      </c>
      <c r="O16" s="6" t="s">
        <v>525</v>
      </c>
      <c r="P16" s="6" t="s">
        <v>527</v>
      </c>
      <c r="Q16" s="6" t="s">
        <v>511</v>
      </c>
    </row>
    <row r="17" spans="1:17">
      <c r="A17" s="6">
        <v>-16</v>
      </c>
      <c r="B17" s="6" t="s">
        <v>528</v>
      </c>
      <c r="C17" s="6" t="s">
        <v>529</v>
      </c>
      <c r="D17" s="6">
        <v>22</v>
      </c>
      <c r="E17" s="6">
        <v>25</v>
      </c>
      <c r="F17" s="6" t="s">
        <v>530</v>
      </c>
      <c r="G17" s="6">
        <v>10144</v>
      </c>
      <c r="H17" s="6" t="s">
        <v>531</v>
      </c>
      <c r="I17" s="6" t="s">
        <v>532</v>
      </c>
      <c r="J17" s="6" t="s">
        <v>522</v>
      </c>
      <c r="K17" s="37" t="s">
        <v>533</v>
      </c>
      <c r="L17" s="37" t="str">
        <f t="shared" si="0"/>
        <v>ABE3FA</v>
      </c>
      <c r="M17" s="6" t="s">
        <v>534</v>
      </c>
      <c r="N17" s="6" t="s">
        <v>535</v>
      </c>
      <c r="O17" s="6" t="s">
        <v>534</v>
      </c>
      <c r="P17" s="6" t="s">
        <v>536</v>
      </c>
      <c r="Q17" s="6" t="s">
        <v>537</v>
      </c>
    </row>
    <row r="18" spans="1:17">
      <c r="A18" s="6">
        <v>-15</v>
      </c>
      <c r="B18" s="6" t="s">
        <v>538</v>
      </c>
      <c r="C18" s="6" t="s">
        <v>539</v>
      </c>
      <c r="D18" s="6">
        <v>23</v>
      </c>
      <c r="E18" s="6">
        <v>211</v>
      </c>
      <c r="F18" s="6" t="s">
        <v>540</v>
      </c>
      <c r="G18" s="6">
        <v>10145</v>
      </c>
      <c r="H18" s="6" t="s">
        <v>531</v>
      </c>
      <c r="I18" s="6" t="s">
        <v>532</v>
      </c>
      <c r="J18" s="6" t="s">
        <v>529</v>
      </c>
      <c r="K18" s="6" t="s">
        <v>541</v>
      </c>
      <c r="L18" s="37" t="str">
        <f t="shared" si="0"/>
        <v>A10922</v>
      </c>
      <c r="M18" s="6" t="s">
        <v>542</v>
      </c>
      <c r="N18" s="6" t="s">
        <v>543</v>
      </c>
      <c r="O18" s="6" t="s">
        <v>544</v>
      </c>
      <c r="P18" s="6" t="s">
        <v>545</v>
      </c>
      <c r="Q18" s="6" t="s">
        <v>537</v>
      </c>
    </row>
    <row r="19" spans="1:17">
      <c r="A19" s="6">
        <v>-14</v>
      </c>
      <c r="B19" s="6" t="s">
        <v>546</v>
      </c>
      <c r="C19" s="6" t="s">
        <v>547</v>
      </c>
      <c r="D19" s="6">
        <v>24</v>
      </c>
      <c r="E19" s="6">
        <v>212</v>
      </c>
      <c r="F19" s="6" t="s">
        <v>548</v>
      </c>
      <c r="G19" s="6">
        <v>10268</v>
      </c>
      <c r="H19" s="6" t="s">
        <v>549</v>
      </c>
      <c r="I19" s="6" t="s">
        <v>550</v>
      </c>
      <c r="J19" s="6" t="s">
        <v>539</v>
      </c>
      <c r="K19" s="6" t="s">
        <v>551</v>
      </c>
      <c r="L19" s="37" t="str">
        <f t="shared" si="0"/>
        <v>A653FB</v>
      </c>
      <c r="M19" s="6" t="s">
        <v>552</v>
      </c>
      <c r="N19" s="6" t="s">
        <v>553</v>
      </c>
      <c r="O19" s="6" t="s">
        <v>554</v>
      </c>
    </row>
    <row r="20" spans="1:17">
      <c r="A20" s="6">
        <v>-13</v>
      </c>
      <c r="B20" s="6" t="s">
        <v>555</v>
      </c>
      <c r="C20" s="6" t="s">
        <v>556</v>
      </c>
      <c r="D20" s="6">
        <v>26</v>
      </c>
      <c r="E20" s="6">
        <v>213</v>
      </c>
      <c r="F20" s="6" t="s">
        <v>557</v>
      </c>
      <c r="G20" s="6">
        <v>10242</v>
      </c>
      <c r="H20" s="6" t="s">
        <v>558</v>
      </c>
      <c r="I20" s="6" t="s">
        <v>559</v>
      </c>
      <c r="J20" s="6" t="s">
        <v>547</v>
      </c>
      <c r="K20" s="6" t="s">
        <v>560</v>
      </c>
      <c r="L20" s="37" t="str">
        <f t="shared" si="0"/>
        <v>00AC99</v>
      </c>
      <c r="M20" s="6" t="s">
        <v>561</v>
      </c>
      <c r="N20" s="6" t="s">
        <v>562</v>
      </c>
      <c r="O20" s="6" t="s">
        <v>563</v>
      </c>
    </row>
    <row r="21" spans="1:17">
      <c r="A21" s="6">
        <v>-12</v>
      </c>
      <c r="B21" s="6" t="s">
        <v>564</v>
      </c>
      <c r="F21" s="6" t="s">
        <v>565</v>
      </c>
      <c r="G21" s="6">
        <v>10243</v>
      </c>
      <c r="H21" s="6" t="s">
        <v>558</v>
      </c>
      <c r="I21" s="6" t="s">
        <v>559</v>
      </c>
      <c r="J21" s="6" t="s">
        <v>556</v>
      </c>
      <c r="K21" s="37" t="s">
        <v>566</v>
      </c>
      <c r="L21" s="37" t="str">
        <f t="shared" si="0"/>
        <v>6BB7F2</v>
      </c>
      <c r="M21" s="6" t="s">
        <v>567</v>
      </c>
      <c r="N21" s="6" t="s">
        <v>568</v>
      </c>
      <c r="O21" s="6" t="s">
        <v>569</v>
      </c>
    </row>
    <row r="22" spans="1:17">
      <c r="A22" s="6">
        <v>-11</v>
      </c>
      <c r="B22" s="6" t="s">
        <v>570</v>
      </c>
      <c r="F22" s="6" t="s">
        <v>571</v>
      </c>
      <c r="G22" s="6">
        <v>10389</v>
      </c>
      <c r="H22" s="6" t="s">
        <v>572</v>
      </c>
      <c r="I22" s="6" t="s">
        <v>573</v>
      </c>
      <c r="J22" s="6" t="s">
        <v>574</v>
      </c>
      <c r="K22" s="37" t="s">
        <v>575</v>
      </c>
      <c r="L22" s="37" t="str">
        <f t="shared" si="0"/>
        <v>EBD773</v>
      </c>
      <c r="M22" s="6" t="s">
        <v>576</v>
      </c>
      <c r="N22" s="6" t="s">
        <v>577</v>
      </c>
      <c r="O22" s="6" t="s">
        <v>578</v>
      </c>
    </row>
    <row r="23" spans="1:17">
      <c r="A23" s="6">
        <v>-10</v>
      </c>
      <c r="B23" s="6" t="s">
        <v>579</v>
      </c>
      <c r="F23" s="6" t="s">
        <v>580</v>
      </c>
      <c r="G23" s="6">
        <v>10390</v>
      </c>
      <c r="H23" s="6" t="s">
        <v>572</v>
      </c>
      <c r="I23" s="6" t="s">
        <v>573</v>
      </c>
      <c r="J23" s="6" t="s">
        <v>581</v>
      </c>
      <c r="K23" s="37" t="s">
        <v>582</v>
      </c>
      <c r="L23" s="37" t="str">
        <f t="shared" si="0"/>
        <v>FFFFFF</v>
      </c>
      <c r="M23" s="6" t="s">
        <v>583</v>
      </c>
      <c r="N23" s="6" t="s">
        <v>584</v>
      </c>
      <c r="O23" s="6" t="s">
        <v>585</v>
      </c>
    </row>
    <row r="24" spans="1:17">
      <c r="A24" s="6">
        <v>-9</v>
      </c>
      <c r="B24" s="6" t="s">
        <v>586</v>
      </c>
      <c r="F24" s="6" t="s">
        <v>587</v>
      </c>
      <c r="G24" s="6">
        <v>10447</v>
      </c>
      <c r="H24" s="6" t="s">
        <v>588</v>
      </c>
      <c r="I24" s="6" t="s">
        <v>589</v>
      </c>
      <c r="J24" s="6" t="s">
        <v>590</v>
      </c>
      <c r="K24" s="6" t="s">
        <v>591</v>
      </c>
      <c r="L24" s="37" t="str">
        <f t="shared" si="0"/>
        <v>FF3232</v>
      </c>
      <c r="M24" s="3" t="s">
        <v>592</v>
      </c>
      <c r="N24" s="3" t="s">
        <v>360</v>
      </c>
      <c r="O24" s="3" t="s">
        <v>361</v>
      </c>
    </row>
    <row r="25" spans="1:17">
      <c r="A25" s="6">
        <v>-8</v>
      </c>
      <c r="B25" s="6" t="s">
        <v>593</v>
      </c>
      <c r="F25" s="6" t="s">
        <v>594</v>
      </c>
      <c r="G25" s="6">
        <v>10448</v>
      </c>
      <c r="H25" s="6" t="s">
        <v>588</v>
      </c>
      <c r="I25" s="6" t="s">
        <v>589</v>
      </c>
      <c r="J25" s="6" t="s">
        <v>595</v>
      </c>
      <c r="K25" s="6" t="s">
        <v>596</v>
      </c>
      <c r="L25" s="37" t="str">
        <f t="shared" si="0"/>
        <v>FF9600</v>
      </c>
      <c r="M25" s="6" t="s">
        <v>597</v>
      </c>
      <c r="N25" s="6" t="s">
        <v>598</v>
      </c>
      <c r="O25" s="6" t="s">
        <v>597</v>
      </c>
    </row>
    <row r="26" spans="1:17">
      <c r="A26" s="6">
        <v>-7</v>
      </c>
      <c r="B26" s="6" t="s">
        <v>599</v>
      </c>
      <c r="F26" s="6" t="s">
        <v>600</v>
      </c>
      <c r="G26" s="6">
        <v>10464</v>
      </c>
      <c r="H26" s="6" t="s">
        <v>601</v>
      </c>
      <c r="I26" s="6" t="s">
        <v>602</v>
      </c>
      <c r="J26" s="6" t="s">
        <v>603</v>
      </c>
      <c r="K26" s="6" t="s">
        <v>604</v>
      </c>
      <c r="L26" s="37" t="str">
        <f t="shared" si="0"/>
        <v>FFFF00</v>
      </c>
      <c r="M26" s="6" t="s">
        <v>605</v>
      </c>
      <c r="N26" s="6" t="s">
        <v>606</v>
      </c>
      <c r="O26" s="6" t="s">
        <v>607</v>
      </c>
    </row>
    <row r="27" spans="1:17">
      <c r="A27" s="6">
        <v>-6</v>
      </c>
      <c r="B27" s="6" t="s">
        <v>608</v>
      </c>
      <c r="F27" s="6" t="s">
        <v>609</v>
      </c>
      <c r="G27" s="6">
        <v>10533</v>
      </c>
      <c r="H27" s="6" t="s">
        <v>610</v>
      </c>
      <c r="I27" s="6" t="s">
        <v>611</v>
      </c>
      <c r="J27" s="6" t="s">
        <v>612</v>
      </c>
      <c r="K27" s="6" t="s">
        <v>613</v>
      </c>
      <c r="L27" s="37" t="str">
        <f t="shared" si="0"/>
        <v>00FF00</v>
      </c>
      <c r="M27" s="6" t="s">
        <v>614</v>
      </c>
      <c r="N27" s="6" t="s">
        <v>615</v>
      </c>
      <c r="O27" s="6" t="s">
        <v>616</v>
      </c>
    </row>
    <row r="28" spans="1:17">
      <c r="A28" s="6">
        <v>-5</v>
      </c>
      <c r="B28" s="6" t="s">
        <v>617</v>
      </c>
      <c r="F28" s="6" t="s">
        <v>618</v>
      </c>
      <c r="G28" s="6">
        <v>10585</v>
      </c>
      <c r="H28" s="6" t="s">
        <v>619</v>
      </c>
      <c r="I28" s="6" t="s">
        <v>620</v>
      </c>
      <c r="J28" s="6" t="s">
        <v>621</v>
      </c>
      <c r="K28" s="6" t="s">
        <v>622</v>
      </c>
      <c r="L28" s="37" t="str">
        <f t="shared" si="0"/>
        <v>00FFFF</v>
      </c>
      <c r="M28" s="6" t="s">
        <v>623</v>
      </c>
      <c r="N28" s="6" t="s">
        <v>624</v>
      </c>
      <c r="O28" s="6" t="s">
        <v>625</v>
      </c>
    </row>
    <row r="29" spans="1:17">
      <c r="A29" s="6">
        <v>-4</v>
      </c>
      <c r="B29" s="6" t="s">
        <v>626</v>
      </c>
      <c r="F29" s="6" t="s">
        <v>627</v>
      </c>
      <c r="G29" s="6">
        <v>10615</v>
      </c>
      <c r="H29" s="6" t="s">
        <v>628</v>
      </c>
      <c r="I29" s="6" t="s">
        <v>629</v>
      </c>
      <c r="J29" s="6" t="s">
        <v>630</v>
      </c>
      <c r="K29" s="6" t="s">
        <v>631</v>
      </c>
      <c r="L29" s="37" t="str">
        <f t="shared" si="0"/>
        <v>0032FF</v>
      </c>
      <c r="M29" s="6" t="s">
        <v>632</v>
      </c>
      <c r="N29" s="6" t="s">
        <v>633</v>
      </c>
      <c r="O29" s="6" t="s">
        <v>634</v>
      </c>
    </row>
    <row r="30" spans="1:17">
      <c r="A30" s="6">
        <v>-3</v>
      </c>
      <c r="B30" s="6" t="s">
        <v>635</v>
      </c>
      <c r="F30" s="6" t="s">
        <v>636</v>
      </c>
      <c r="G30" s="6">
        <v>10626</v>
      </c>
      <c r="H30" s="6" t="s">
        <v>637</v>
      </c>
      <c r="I30" s="6" t="s">
        <v>638</v>
      </c>
      <c r="J30" s="6" t="s">
        <v>639</v>
      </c>
      <c r="K30" s="6" t="s">
        <v>640</v>
      </c>
      <c r="L30" s="37" t="str">
        <f t="shared" si="0"/>
        <v>FF32FF</v>
      </c>
      <c r="M30" s="6" t="s">
        <v>641</v>
      </c>
      <c r="N30" s="6" t="s">
        <v>642</v>
      </c>
      <c r="O30" s="6" t="s">
        <v>643</v>
      </c>
    </row>
    <row r="31" spans="1:17">
      <c r="A31" s="6">
        <v>-2</v>
      </c>
      <c r="B31" s="6" t="s">
        <v>644</v>
      </c>
      <c r="F31" s="6" t="s">
        <v>645</v>
      </c>
      <c r="G31" s="6">
        <v>10627</v>
      </c>
      <c r="H31" s="6" t="s">
        <v>637</v>
      </c>
      <c r="I31" s="6" t="s">
        <v>638</v>
      </c>
      <c r="J31" s="6" t="s">
        <v>646</v>
      </c>
      <c r="K31" s="6" t="s">
        <v>647</v>
      </c>
      <c r="L31" s="37" t="str">
        <f t="shared" si="0"/>
        <v>DFBF1F</v>
      </c>
      <c r="M31" s="6" t="s">
        <v>648</v>
      </c>
      <c r="N31" s="6" t="s">
        <v>649</v>
      </c>
      <c r="O31" s="6" t="s">
        <v>650</v>
      </c>
    </row>
    <row r="32" spans="1:17">
      <c r="A32" s="6">
        <v>-1</v>
      </c>
      <c r="B32" s="6" t="s">
        <v>651</v>
      </c>
      <c r="F32" s="6" t="s">
        <v>556</v>
      </c>
      <c r="G32" s="6">
        <v>10698</v>
      </c>
      <c r="H32" s="6" t="s">
        <v>652</v>
      </c>
      <c r="I32" s="6" t="s">
        <v>653</v>
      </c>
      <c r="J32" s="6" t="s">
        <v>654</v>
      </c>
      <c r="K32" s="6" t="s">
        <v>655</v>
      </c>
      <c r="L32" s="37" t="str">
        <f t="shared" si="0"/>
        <v>B3EE4A</v>
      </c>
      <c r="M32" s="3" t="s">
        <v>656</v>
      </c>
      <c r="N32" s="3" t="s">
        <v>360</v>
      </c>
      <c r="O32" s="3" t="s">
        <v>361</v>
      </c>
    </row>
    <row r="33" spans="1:15">
      <c r="A33" s="6">
        <v>0</v>
      </c>
      <c r="B33" s="6" t="str">
        <f>""</f>
        <v/>
      </c>
      <c r="F33" s="6" t="s">
        <v>574</v>
      </c>
      <c r="G33" s="6">
        <v>10756</v>
      </c>
      <c r="J33" s="6" t="s">
        <v>657</v>
      </c>
      <c r="K33" s="37" t="s">
        <v>658</v>
      </c>
      <c r="L33" s="37" t="str">
        <f t="shared" si="0"/>
        <v>FF99CC</v>
      </c>
      <c r="M33" s="6" t="s">
        <v>659</v>
      </c>
      <c r="N33" s="6" t="s">
        <v>660</v>
      </c>
      <c r="O33" s="6" t="s">
        <v>659</v>
      </c>
    </row>
    <row r="34" spans="1:15">
      <c r="A34" s="6">
        <v>1</v>
      </c>
      <c r="B34" s="6" t="s">
        <v>661</v>
      </c>
      <c r="J34" s="6" t="s">
        <v>662</v>
      </c>
      <c r="K34" s="37" t="s">
        <v>663</v>
      </c>
      <c r="L34" s="37" t="str">
        <f t="shared" si="0"/>
        <v>AAAAAA</v>
      </c>
      <c r="M34" s="6" t="s">
        <v>664</v>
      </c>
      <c r="N34" s="6" t="s">
        <v>665</v>
      </c>
      <c r="O34" s="6" t="s">
        <v>666</v>
      </c>
    </row>
    <row r="35" spans="1:15">
      <c r="A35" s="6">
        <v>2</v>
      </c>
      <c r="B35" s="6" t="s">
        <v>399</v>
      </c>
      <c r="J35" s="6" t="s">
        <v>667</v>
      </c>
      <c r="K35" s="6" t="s">
        <v>668</v>
      </c>
      <c r="L35" s="37" t="str">
        <f t="shared" si="0"/>
        <v>FFCC00</v>
      </c>
      <c r="M35" s="6" t="s">
        <v>669</v>
      </c>
      <c r="N35" s="6" t="s">
        <v>670</v>
      </c>
      <c r="O35" s="6" t="s">
        <v>669</v>
      </c>
    </row>
    <row r="36" spans="1:15">
      <c r="A36" s="6">
        <v>3</v>
      </c>
      <c r="B36" s="6" t="s">
        <v>671</v>
      </c>
      <c r="J36" s="6" t="s">
        <v>672</v>
      </c>
      <c r="K36" s="6" t="s">
        <v>673</v>
      </c>
      <c r="L36" s="37" t="str">
        <f t="shared" si="0"/>
        <v>A560E8</v>
      </c>
      <c r="M36" s="6" t="s">
        <v>674</v>
      </c>
      <c r="N36" s="6" t="s">
        <v>675</v>
      </c>
      <c r="O36" s="6" t="s">
        <v>674</v>
      </c>
    </row>
    <row r="37" spans="1:15">
      <c r="A37" s="6">
        <v>5</v>
      </c>
      <c r="B37" s="6" t="s">
        <v>401</v>
      </c>
      <c r="J37" s="6" t="s">
        <v>676</v>
      </c>
      <c r="K37" s="6" t="s">
        <v>677</v>
      </c>
      <c r="L37" s="37" t="str">
        <f t="shared" si="0"/>
        <v>00EE00</v>
      </c>
      <c r="M37" s="6" t="s">
        <v>678</v>
      </c>
      <c r="N37" s="6" t="s">
        <v>679</v>
      </c>
      <c r="O37" s="6" t="s">
        <v>678</v>
      </c>
    </row>
    <row r="38" spans="1:15">
      <c r="A38" s="6">
        <v>6</v>
      </c>
      <c r="B38" s="6" t="s">
        <v>680</v>
      </c>
      <c r="L38" s="7"/>
      <c r="M38" s="6" t="s">
        <v>681</v>
      </c>
      <c r="N38" s="6" t="s">
        <v>682</v>
      </c>
      <c r="O38" s="6" t="s">
        <v>683</v>
      </c>
    </row>
    <row r="39" spans="1:15">
      <c r="A39" s="6">
        <v>7</v>
      </c>
      <c r="B39" s="6" t="s">
        <v>412</v>
      </c>
      <c r="L39" s="7"/>
      <c r="M39" s="6" t="s">
        <v>684</v>
      </c>
      <c r="N39" s="6" t="s">
        <v>685</v>
      </c>
      <c r="O39" s="6" t="s">
        <v>684</v>
      </c>
    </row>
    <row r="40" spans="1:15">
      <c r="A40" s="6">
        <v>8</v>
      </c>
      <c r="B40" s="6" t="s">
        <v>686</v>
      </c>
      <c r="L40" s="7"/>
      <c r="M40" s="6" t="s">
        <v>687</v>
      </c>
      <c r="N40" s="6" t="s">
        <v>688</v>
      </c>
      <c r="O40" s="6" t="s">
        <v>689</v>
      </c>
    </row>
    <row r="41" spans="1:15">
      <c r="A41" s="6">
        <v>9</v>
      </c>
      <c r="B41" s="6" t="s">
        <v>690</v>
      </c>
      <c r="M41" s="6" t="s">
        <v>691</v>
      </c>
      <c r="N41" s="6" t="s">
        <v>692</v>
      </c>
      <c r="O41" s="6" t="s">
        <v>693</v>
      </c>
    </row>
    <row r="42" spans="1:15">
      <c r="A42" s="6">
        <v>10</v>
      </c>
      <c r="B42" s="6" t="s">
        <v>694</v>
      </c>
      <c r="M42" s="6" t="s">
        <v>695</v>
      </c>
      <c r="N42" s="6" t="s">
        <v>696</v>
      </c>
      <c r="O42" s="6" t="s">
        <v>695</v>
      </c>
    </row>
    <row r="43" spans="1:15">
      <c r="A43" s="6">
        <v>11</v>
      </c>
      <c r="B43" s="6" t="s">
        <v>384</v>
      </c>
      <c r="M43" s="6" t="s">
        <v>697</v>
      </c>
      <c r="N43" s="6" t="s">
        <v>698</v>
      </c>
      <c r="O43" s="6" t="s">
        <v>699</v>
      </c>
    </row>
    <row r="44" spans="1:15">
      <c r="A44" s="6">
        <v>12</v>
      </c>
      <c r="B44" s="6" t="s">
        <v>700</v>
      </c>
      <c r="M44" s="6" t="s">
        <v>701</v>
      </c>
      <c r="N44" s="6" t="s">
        <v>702</v>
      </c>
      <c r="O44" s="6" t="s">
        <v>703</v>
      </c>
    </row>
    <row r="45" spans="1:15">
      <c r="A45" s="6">
        <v>13</v>
      </c>
      <c r="B45" s="6" t="s">
        <v>704</v>
      </c>
      <c r="M45" s="6" t="s">
        <v>705</v>
      </c>
      <c r="N45" s="6" t="s">
        <v>706</v>
      </c>
      <c r="O45" s="6" t="s">
        <v>707</v>
      </c>
    </row>
    <row r="46" spans="1:15">
      <c r="A46" s="6">
        <v>14</v>
      </c>
      <c r="B46" s="6" t="s">
        <v>708</v>
      </c>
      <c r="M46" s="6" t="s">
        <v>709</v>
      </c>
      <c r="N46" s="6" t="s">
        <v>710</v>
      </c>
      <c r="O46" s="6" t="s">
        <v>711</v>
      </c>
    </row>
    <row r="47" spans="1:15">
      <c r="A47" s="6">
        <v>15</v>
      </c>
      <c r="B47" s="6" t="s">
        <v>712</v>
      </c>
      <c r="M47" s="6" t="s">
        <v>713</v>
      </c>
      <c r="N47" s="6" t="s">
        <v>714</v>
      </c>
      <c r="O47" s="6" t="s">
        <v>715</v>
      </c>
    </row>
    <row r="48" spans="1:15">
      <c r="A48" s="6">
        <v>16</v>
      </c>
      <c r="B48" s="6" t="s">
        <v>424</v>
      </c>
      <c r="M48" s="6" t="s">
        <v>716</v>
      </c>
      <c r="N48" s="6" t="s">
        <v>717</v>
      </c>
      <c r="O48" s="6" t="s">
        <v>718</v>
      </c>
    </row>
    <row r="49" spans="1:15">
      <c r="A49" s="6">
        <v>17</v>
      </c>
      <c r="B49" s="6" t="s">
        <v>719</v>
      </c>
      <c r="M49" s="6" t="s">
        <v>720</v>
      </c>
      <c r="N49" s="6" t="s">
        <v>721</v>
      </c>
      <c r="O49" s="6" t="s">
        <v>720</v>
      </c>
    </row>
    <row r="50" spans="1:15">
      <c r="A50" s="6">
        <v>18</v>
      </c>
      <c r="B50" s="6" t="s">
        <v>722</v>
      </c>
      <c r="M50" s="6" t="s">
        <v>723</v>
      </c>
      <c r="N50" s="6" t="s">
        <v>724</v>
      </c>
      <c r="O50" s="6" t="s">
        <v>725</v>
      </c>
    </row>
    <row r="51" spans="1:15">
      <c r="A51" s="6">
        <v>19</v>
      </c>
      <c r="B51" s="6" t="s">
        <v>726</v>
      </c>
      <c r="M51" s="6" t="s">
        <v>727</v>
      </c>
      <c r="N51" s="6" t="s">
        <v>728</v>
      </c>
      <c r="O51" s="6" t="s">
        <v>729</v>
      </c>
    </row>
    <row r="52" spans="1:15">
      <c r="A52" s="6">
        <v>20</v>
      </c>
      <c r="B52" s="6" t="s">
        <v>730</v>
      </c>
      <c r="M52" s="3" t="s">
        <v>731</v>
      </c>
      <c r="N52" s="3" t="s">
        <v>360</v>
      </c>
      <c r="O52" s="3" t="s">
        <v>361</v>
      </c>
    </row>
    <row r="53" spans="1:15">
      <c r="A53" s="6">
        <v>21</v>
      </c>
      <c r="B53" s="6" t="s">
        <v>732</v>
      </c>
      <c r="M53" s="6" t="s">
        <v>733</v>
      </c>
      <c r="N53" s="6" t="s">
        <v>734</v>
      </c>
      <c r="O53" s="6" t="s">
        <v>733</v>
      </c>
    </row>
    <row r="54" spans="1:15">
      <c r="A54" s="6">
        <v>22</v>
      </c>
      <c r="B54" s="6" t="s">
        <v>735</v>
      </c>
      <c r="M54" s="6" t="s">
        <v>736</v>
      </c>
      <c r="N54" s="6" t="s">
        <v>737</v>
      </c>
      <c r="O54" s="6" t="s">
        <v>736</v>
      </c>
    </row>
    <row r="55" spans="1:15">
      <c r="A55" s="6">
        <v>23</v>
      </c>
      <c r="B55" s="6" t="s">
        <v>738</v>
      </c>
      <c r="M55" s="6" t="s">
        <v>739</v>
      </c>
      <c r="N55" s="6" t="s">
        <v>740</v>
      </c>
      <c r="O55" s="6" t="s">
        <v>741</v>
      </c>
    </row>
    <row r="56" spans="1:15">
      <c r="A56" s="6">
        <v>25</v>
      </c>
      <c r="B56" s="6" t="s">
        <v>371</v>
      </c>
      <c r="M56" s="6" t="s">
        <v>742</v>
      </c>
      <c r="N56" s="6" t="s">
        <v>743</v>
      </c>
      <c r="O56" s="6" t="s">
        <v>744</v>
      </c>
    </row>
    <row r="57" spans="1:15">
      <c r="A57" s="6">
        <v>26</v>
      </c>
      <c r="B57" s="6" t="s">
        <v>745</v>
      </c>
      <c r="M57" s="6" t="s">
        <v>746</v>
      </c>
      <c r="N57" s="6" t="s">
        <v>747</v>
      </c>
      <c r="O57" s="6" t="s">
        <v>748</v>
      </c>
    </row>
    <row r="58" spans="1:15">
      <c r="A58" s="6">
        <v>27</v>
      </c>
      <c r="B58" s="6" t="s">
        <v>388</v>
      </c>
      <c r="M58" s="6" t="s">
        <v>749</v>
      </c>
      <c r="N58" s="6" t="s">
        <v>750</v>
      </c>
      <c r="O58" s="6" t="s">
        <v>751</v>
      </c>
    </row>
    <row r="59" spans="1:15">
      <c r="A59" s="6">
        <v>28</v>
      </c>
      <c r="B59" s="6" t="s">
        <v>752</v>
      </c>
      <c r="M59" s="6" t="s">
        <v>753</v>
      </c>
      <c r="N59" s="6" t="s">
        <v>754</v>
      </c>
      <c r="O59" s="6" t="s">
        <v>755</v>
      </c>
    </row>
    <row r="60" spans="1:15">
      <c r="A60" s="6">
        <v>29</v>
      </c>
      <c r="B60" s="6" t="s">
        <v>756</v>
      </c>
      <c r="M60" s="3" t="s">
        <v>757</v>
      </c>
      <c r="N60" s="3" t="s">
        <v>360</v>
      </c>
      <c r="O60" s="3" t="s">
        <v>361</v>
      </c>
    </row>
    <row r="61" spans="1:15">
      <c r="A61" s="6">
        <v>30</v>
      </c>
      <c r="B61" s="6" t="s">
        <v>758</v>
      </c>
      <c r="M61" s="6" t="s">
        <v>759</v>
      </c>
      <c r="N61" s="6" t="s">
        <v>760</v>
      </c>
      <c r="O61" s="6" t="s">
        <v>759</v>
      </c>
    </row>
    <row r="62" spans="1:15">
      <c r="A62" s="6">
        <v>31</v>
      </c>
      <c r="B62" s="6" t="s">
        <v>761</v>
      </c>
      <c r="M62" s="6" t="s">
        <v>762</v>
      </c>
      <c r="N62" s="6" t="s">
        <v>763</v>
      </c>
      <c r="O62" s="6" t="s">
        <v>762</v>
      </c>
    </row>
    <row r="63" spans="1:15">
      <c r="A63" s="6">
        <v>32</v>
      </c>
      <c r="B63" s="6" t="s">
        <v>764</v>
      </c>
      <c r="M63" s="6" t="s">
        <v>765</v>
      </c>
      <c r="N63" s="6" t="s">
        <v>766</v>
      </c>
      <c r="O63" s="6" t="s">
        <v>767</v>
      </c>
    </row>
    <row r="64" spans="1:15">
      <c r="A64" s="6">
        <v>33</v>
      </c>
      <c r="B64" s="6" t="s">
        <v>768</v>
      </c>
      <c r="M64" s="6" t="s">
        <v>769</v>
      </c>
      <c r="N64" s="6" t="s">
        <v>770</v>
      </c>
      <c r="O64" s="6" t="s">
        <v>769</v>
      </c>
    </row>
    <row r="65" spans="1:15">
      <c r="A65" s="6">
        <v>34</v>
      </c>
      <c r="B65" s="6" t="s">
        <v>771</v>
      </c>
      <c r="M65" s="3" t="s">
        <v>772</v>
      </c>
      <c r="N65" s="3" t="s">
        <v>360</v>
      </c>
      <c r="O65" s="3" t="s">
        <v>361</v>
      </c>
    </row>
    <row r="66" spans="1:15">
      <c r="A66" s="6">
        <v>35</v>
      </c>
      <c r="B66" s="6" t="s">
        <v>773</v>
      </c>
      <c r="M66" s="6" t="s">
        <v>774</v>
      </c>
      <c r="N66" s="6" t="s">
        <v>775</v>
      </c>
      <c r="O66" s="6" t="s">
        <v>774</v>
      </c>
    </row>
    <row r="67" spans="1:15">
      <c r="A67" s="6">
        <v>36</v>
      </c>
      <c r="B67" s="6" t="s">
        <v>776</v>
      </c>
      <c r="M67" s="6" t="s">
        <v>777</v>
      </c>
      <c r="N67" s="6" t="s">
        <v>778</v>
      </c>
      <c r="O67" s="6" t="s">
        <v>777</v>
      </c>
    </row>
    <row r="68" spans="1:15">
      <c r="A68" s="6">
        <v>37</v>
      </c>
      <c r="B68" s="6" t="s">
        <v>779</v>
      </c>
      <c r="M68" s="6" t="s">
        <v>780</v>
      </c>
      <c r="N68" s="6" t="s">
        <v>781</v>
      </c>
      <c r="O68" s="6" t="s">
        <v>780</v>
      </c>
    </row>
    <row r="69" spans="1:15">
      <c r="A69" s="6">
        <v>38</v>
      </c>
      <c r="B69" s="6" t="s">
        <v>782</v>
      </c>
      <c r="M69" s="6" t="s">
        <v>783</v>
      </c>
      <c r="N69" s="6" t="s">
        <v>784</v>
      </c>
      <c r="O69" s="6" t="s">
        <v>783</v>
      </c>
    </row>
    <row r="70" spans="1:15">
      <c r="A70" s="6">
        <v>39</v>
      </c>
      <c r="B70" s="6" t="s">
        <v>785</v>
      </c>
      <c r="M70" s="6" t="s">
        <v>786</v>
      </c>
      <c r="N70" s="6" t="s">
        <v>787</v>
      </c>
      <c r="O70" s="6" t="s">
        <v>786</v>
      </c>
    </row>
    <row r="71" spans="1:15">
      <c r="A71" s="6">
        <v>40</v>
      </c>
      <c r="B71" s="6" t="s">
        <v>788</v>
      </c>
      <c r="M71" s="6" t="s">
        <v>789</v>
      </c>
      <c r="N71" s="6" t="s">
        <v>790</v>
      </c>
      <c r="O71" s="6" t="s">
        <v>789</v>
      </c>
    </row>
    <row r="72" spans="1:15">
      <c r="A72" s="6">
        <v>41</v>
      </c>
      <c r="B72" s="6" t="s">
        <v>791</v>
      </c>
      <c r="M72" s="6" t="s">
        <v>792</v>
      </c>
      <c r="N72" s="6" t="s">
        <v>793</v>
      </c>
      <c r="O72" s="6" t="s">
        <v>792</v>
      </c>
    </row>
    <row r="73" spans="1:15">
      <c r="A73" s="6">
        <v>42</v>
      </c>
      <c r="B73" s="6" t="s">
        <v>794</v>
      </c>
      <c r="M73" s="6" t="s">
        <v>795</v>
      </c>
      <c r="N73" s="6" t="s">
        <v>796</v>
      </c>
      <c r="O73" s="6" t="s">
        <v>795</v>
      </c>
    </row>
    <row r="74" spans="1:15">
      <c r="A74" s="6">
        <v>43</v>
      </c>
      <c r="B74" s="6" t="s">
        <v>797</v>
      </c>
      <c r="M74" s="6" t="s">
        <v>798</v>
      </c>
      <c r="N74" s="6" t="s">
        <v>799</v>
      </c>
      <c r="O74" s="6" t="s">
        <v>798</v>
      </c>
    </row>
    <row r="75" spans="1:15">
      <c r="A75" s="6">
        <v>44</v>
      </c>
      <c r="B75" s="6" t="s">
        <v>800</v>
      </c>
      <c r="M75" s="6" t="s">
        <v>801</v>
      </c>
      <c r="N75" s="6" t="s">
        <v>802</v>
      </c>
      <c r="O75" s="6" t="s">
        <v>803</v>
      </c>
    </row>
    <row r="76" spans="1:15">
      <c r="A76" s="6">
        <v>45</v>
      </c>
      <c r="B76" s="6" t="s">
        <v>804</v>
      </c>
      <c r="M76" s="6" t="s">
        <v>805</v>
      </c>
      <c r="N76" s="6" t="s">
        <v>806</v>
      </c>
      <c r="O76" s="6" t="s">
        <v>805</v>
      </c>
    </row>
    <row r="77" spans="1:15">
      <c r="A77" s="6">
        <v>46</v>
      </c>
      <c r="B77" s="6" t="s">
        <v>807</v>
      </c>
      <c r="M77" s="6" t="s">
        <v>808</v>
      </c>
      <c r="N77" s="6" t="s">
        <v>809</v>
      </c>
      <c r="O77" s="6" t="s">
        <v>808</v>
      </c>
    </row>
    <row r="78" spans="1:15">
      <c r="A78" s="6">
        <v>47</v>
      </c>
      <c r="B78" s="6" t="s">
        <v>810</v>
      </c>
      <c r="M78" s="6" t="s">
        <v>811</v>
      </c>
      <c r="N78" s="6" t="s">
        <v>812</v>
      </c>
      <c r="O78" s="6" t="s">
        <v>811</v>
      </c>
    </row>
    <row r="79" spans="1:15">
      <c r="A79" s="6">
        <v>48</v>
      </c>
      <c r="B79" s="6" t="s">
        <v>813</v>
      </c>
      <c r="M79" s="6" t="s">
        <v>814</v>
      </c>
      <c r="N79" s="6" t="s">
        <v>815</v>
      </c>
      <c r="O79" s="6" t="s">
        <v>814</v>
      </c>
    </row>
    <row r="80" spans="1:15">
      <c r="A80" s="6">
        <v>49</v>
      </c>
      <c r="B80" s="6" t="s">
        <v>816</v>
      </c>
      <c r="M80" s="6" t="s">
        <v>817</v>
      </c>
      <c r="N80" s="6" t="s">
        <v>818</v>
      </c>
      <c r="O80" s="6" t="s">
        <v>817</v>
      </c>
    </row>
    <row r="81" spans="1:15">
      <c r="A81" s="6">
        <v>50</v>
      </c>
      <c r="B81" s="6" t="s">
        <v>819</v>
      </c>
      <c r="M81" s="6" t="s">
        <v>820</v>
      </c>
      <c r="N81" s="6" t="s">
        <v>821</v>
      </c>
      <c r="O81" s="6" t="s">
        <v>820</v>
      </c>
    </row>
    <row r="82" spans="1:15">
      <c r="A82" s="6">
        <v>51</v>
      </c>
      <c r="B82" s="6" t="s">
        <v>822</v>
      </c>
      <c r="M82" s="6" t="s">
        <v>823</v>
      </c>
      <c r="N82" s="6" t="s">
        <v>824</v>
      </c>
      <c r="O82" s="6" t="s">
        <v>823</v>
      </c>
    </row>
    <row r="83" spans="1:15">
      <c r="A83" s="6">
        <v>52</v>
      </c>
      <c r="B83" s="6" t="s">
        <v>825</v>
      </c>
      <c r="M83" s="6" t="s">
        <v>826</v>
      </c>
      <c r="N83" s="6" t="s">
        <v>827</v>
      </c>
      <c r="O83" s="6" t="s">
        <v>826</v>
      </c>
    </row>
    <row r="84" spans="1:15">
      <c r="A84" s="6">
        <v>53</v>
      </c>
      <c r="B84" s="6" t="s">
        <v>828</v>
      </c>
      <c r="M84" s="6" t="s">
        <v>829</v>
      </c>
      <c r="N84" s="6" t="s">
        <v>830</v>
      </c>
      <c r="O84" s="6" t="s">
        <v>829</v>
      </c>
    </row>
    <row r="85" spans="1:15">
      <c r="A85" s="6">
        <v>55</v>
      </c>
      <c r="B85" s="6" t="s">
        <v>831</v>
      </c>
      <c r="M85" s="6" t="s">
        <v>832</v>
      </c>
      <c r="N85" s="6" t="s">
        <v>833</v>
      </c>
      <c r="O85" s="6" t="s">
        <v>832</v>
      </c>
    </row>
    <row r="86" spans="1:15">
      <c r="A86" s="6">
        <v>56</v>
      </c>
      <c r="B86" s="6" t="s">
        <v>834</v>
      </c>
      <c r="M86" s="6" t="s">
        <v>835</v>
      </c>
      <c r="N86" s="6" t="s">
        <v>836</v>
      </c>
      <c r="O86" s="6" t="s">
        <v>835</v>
      </c>
    </row>
    <row r="87" spans="1:15">
      <c r="A87" s="6">
        <v>57</v>
      </c>
      <c r="B87" s="6" t="s">
        <v>837</v>
      </c>
      <c r="M87" s="6" t="s">
        <v>838</v>
      </c>
      <c r="N87" s="6" t="s">
        <v>839</v>
      </c>
      <c r="O87" s="6" t="s">
        <v>838</v>
      </c>
    </row>
    <row r="88" spans="1:15">
      <c r="A88" s="6">
        <v>58</v>
      </c>
      <c r="B88" s="6" t="s">
        <v>840</v>
      </c>
      <c r="M88" s="6" t="s">
        <v>841</v>
      </c>
      <c r="N88" s="6" t="s">
        <v>842</v>
      </c>
      <c r="O88" s="6" t="s">
        <v>841</v>
      </c>
    </row>
    <row r="89" spans="1:15">
      <c r="A89" s="6">
        <v>60</v>
      </c>
      <c r="B89" s="6" t="s">
        <v>843</v>
      </c>
      <c r="M89" s="6" t="s">
        <v>844</v>
      </c>
      <c r="N89" s="6" t="s">
        <v>845</v>
      </c>
      <c r="O89" s="6" t="s">
        <v>844</v>
      </c>
    </row>
    <row r="90" spans="1:15">
      <c r="A90" s="6">
        <v>61</v>
      </c>
      <c r="B90" s="6" t="s">
        <v>846</v>
      </c>
      <c r="M90" s="6" t="s">
        <v>847</v>
      </c>
      <c r="N90" s="6" t="s">
        <v>848</v>
      </c>
      <c r="O90" s="6" t="s">
        <v>847</v>
      </c>
    </row>
    <row r="91" spans="1:15">
      <c r="A91" s="6">
        <v>62</v>
      </c>
      <c r="B91" s="6" t="s">
        <v>849</v>
      </c>
      <c r="M91" s="6" t="s">
        <v>850</v>
      </c>
      <c r="N91" s="6" t="s">
        <v>851</v>
      </c>
      <c r="O91" s="6" t="s">
        <v>850</v>
      </c>
    </row>
    <row r="92" spans="1:15">
      <c r="A92" s="6">
        <v>63</v>
      </c>
      <c r="B92" s="6" t="s">
        <v>852</v>
      </c>
      <c r="M92" s="6" t="s">
        <v>853</v>
      </c>
      <c r="N92" s="6" t="s">
        <v>854</v>
      </c>
      <c r="O92" s="6" t="s">
        <v>853</v>
      </c>
    </row>
    <row r="93" spans="1:15">
      <c r="A93" s="6">
        <v>64</v>
      </c>
      <c r="B93" s="6" t="s">
        <v>855</v>
      </c>
      <c r="M93" s="6" t="s">
        <v>856</v>
      </c>
      <c r="N93" s="6" t="s">
        <v>857</v>
      </c>
      <c r="O93" s="6" t="s">
        <v>856</v>
      </c>
    </row>
    <row r="94" spans="1:15">
      <c r="A94" s="6">
        <v>65</v>
      </c>
      <c r="B94" s="6" t="s">
        <v>858</v>
      </c>
      <c r="M94" s="6" t="s">
        <v>859</v>
      </c>
      <c r="N94" s="6" t="s">
        <v>860</v>
      </c>
      <c r="O94" s="6" t="s">
        <v>859</v>
      </c>
    </row>
    <row r="95" spans="1:15">
      <c r="A95" s="6">
        <v>66</v>
      </c>
      <c r="B95" s="6" t="s">
        <v>861</v>
      </c>
      <c r="M95" s="6" t="s">
        <v>862</v>
      </c>
      <c r="N95" s="6" t="s">
        <v>863</v>
      </c>
      <c r="O95" s="6" t="s">
        <v>862</v>
      </c>
    </row>
    <row r="96" spans="1:15">
      <c r="A96" s="6">
        <v>67</v>
      </c>
      <c r="B96" s="6" t="s">
        <v>864</v>
      </c>
      <c r="M96" s="6" t="s">
        <v>865</v>
      </c>
      <c r="N96" s="6" t="s">
        <v>866</v>
      </c>
      <c r="O96" s="6" t="s">
        <v>865</v>
      </c>
    </row>
    <row r="97" spans="1:15">
      <c r="A97" s="6">
        <v>68</v>
      </c>
      <c r="B97" s="6" t="s">
        <v>867</v>
      </c>
      <c r="M97" s="6" t="s">
        <v>868</v>
      </c>
      <c r="N97" s="6" t="s">
        <v>869</v>
      </c>
      <c r="O97" s="6" t="s">
        <v>868</v>
      </c>
    </row>
    <row r="98" spans="1:15">
      <c r="A98" s="6">
        <v>69</v>
      </c>
      <c r="B98" s="6" t="s">
        <v>870</v>
      </c>
      <c r="M98" s="6" t="s">
        <v>871</v>
      </c>
      <c r="N98" s="6" t="s">
        <v>872</v>
      </c>
      <c r="O98" s="6" t="s">
        <v>871</v>
      </c>
    </row>
    <row r="99" spans="1:15">
      <c r="A99" s="6">
        <v>70</v>
      </c>
      <c r="B99" s="6" t="s">
        <v>873</v>
      </c>
      <c r="M99" s="6" t="s">
        <v>874</v>
      </c>
      <c r="N99" s="6" t="s">
        <v>875</v>
      </c>
      <c r="O99" s="6" t="s">
        <v>874</v>
      </c>
    </row>
    <row r="100" spans="1:15">
      <c r="A100" s="6">
        <v>71</v>
      </c>
      <c r="B100" s="6" t="s">
        <v>876</v>
      </c>
      <c r="M100" s="6" t="s">
        <v>877</v>
      </c>
      <c r="N100" s="6" t="s">
        <v>878</v>
      </c>
      <c r="O100" s="6" t="s">
        <v>877</v>
      </c>
    </row>
    <row r="101" spans="1:15">
      <c r="A101" s="6">
        <v>72</v>
      </c>
      <c r="B101" s="6" t="s">
        <v>879</v>
      </c>
      <c r="M101" s="6" t="s">
        <v>880</v>
      </c>
      <c r="N101" s="6" t="s">
        <v>881</v>
      </c>
      <c r="O101" s="6" t="s">
        <v>880</v>
      </c>
    </row>
    <row r="102" spans="1:15">
      <c r="A102" s="6">
        <v>73</v>
      </c>
      <c r="B102" s="6" t="s">
        <v>882</v>
      </c>
      <c r="M102" s="6" t="s">
        <v>883</v>
      </c>
      <c r="N102" s="6" t="s">
        <v>884</v>
      </c>
      <c r="O102" s="6" t="s">
        <v>883</v>
      </c>
    </row>
    <row r="103" spans="1:15">
      <c r="A103" s="6">
        <v>74</v>
      </c>
      <c r="B103" s="6" t="s">
        <v>885</v>
      </c>
      <c r="M103" s="6" t="s">
        <v>886</v>
      </c>
      <c r="N103" s="6" t="s">
        <v>887</v>
      </c>
      <c r="O103" s="6" t="s">
        <v>886</v>
      </c>
    </row>
    <row r="104" spans="1:15">
      <c r="A104" s="6">
        <v>75</v>
      </c>
      <c r="B104" s="6" t="s">
        <v>888</v>
      </c>
      <c r="M104" s="6" t="s">
        <v>889</v>
      </c>
      <c r="N104" s="6" t="s">
        <v>890</v>
      </c>
      <c r="O104" s="6" t="s">
        <v>889</v>
      </c>
    </row>
    <row r="105" spans="1:15">
      <c r="A105" s="6">
        <v>100</v>
      </c>
      <c r="B105" s="6" t="s">
        <v>891</v>
      </c>
      <c r="M105" s="6" t="s">
        <v>892</v>
      </c>
      <c r="N105" s="6" t="s">
        <v>893</v>
      </c>
      <c r="O105" s="6" t="s">
        <v>892</v>
      </c>
    </row>
    <row r="106" spans="1:15">
      <c r="A106" s="6">
        <v>101</v>
      </c>
      <c r="B106" s="6" t="s">
        <v>894</v>
      </c>
      <c r="M106" s="6" t="s">
        <v>895</v>
      </c>
      <c r="N106" s="6" t="s">
        <v>896</v>
      </c>
      <c r="O106" s="6" t="s">
        <v>895</v>
      </c>
    </row>
    <row r="107" spans="1:15">
      <c r="A107" s="6">
        <v>102</v>
      </c>
      <c r="B107" s="6" t="s">
        <v>459</v>
      </c>
      <c r="M107" s="6" t="s">
        <v>897</v>
      </c>
      <c r="N107" s="6" t="s">
        <v>898</v>
      </c>
      <c r="O107" s="6" t="s">
        <v>897</v>
      </c>
    </row>
    <row r="108" spans="1:15">
      <c r="A108" s="6">
        <v>103</v>
      </c>
      <c r="B108" s="6" t="s">
        <v>899</v>
      </c>
      <c r="M108" s="6" t="s">
        <v>900</v>
      </c>
      <c r="N108" s="6" t="s">
        <v>901</v>
      </c>
      <c r="O108" s="6" t="s">
        <v>900</v>
      </c>
    </row>
    <row r="109" spans="1:15">
      <c r="A109" s="6">
        <v>104</v>
      </c>
      <c r="B109" s="6" t="s">
        <v>902</v>
      </c>
      <c r="M109" s="6" t="s">
        <v>903</v>
      </c>
      <c r="N109" s="6" t="s">
        <v>904</v>
      </c>
      <c r="O109" s="6" t="s">
        <v>903</v>
      </c>
    </row>
    <row r="110" spans="1:15">
      <c r="A110" s="6">
        <v>105</v>
      </c>
      <c r="B110" s="6" t="s">
        <v>905</v>
      </c>
      <c r="M110" s="6" t="s">
        <v>906</v>
      </c>
      <c r="N110" s="6" t="s">
        <v>907</v>
      </c>
      <c r="O110" s="6" t="s">
        <v>906</v>
      </c>
    </row>
    <row r="111" spans="1:15">
      <c r="A111" s="6">
        <v>106</v>
      </c>
      <c r="B111" s="6" t="s">
        <v>908</v>
      </c>
      <c r="M111" s="6" t="s">
        <v>909</v>
      </c>
      <c r="N111" s="6" t="s">
        <v>910</v>
      </c>
      <c r="O111" s="6" t="s">
        <v>909</v>
      </c>
    </row>
    <row r="112" spans="1:15">
      <c r="A112" s="6">
        <v>107</v>
      </c>
      <c r="B112" s="6" t="s">
        <v>911</v>
      </c>
      <c r="M112" s="6" t="s">
        <v>912</v>
      </c>
      <c r="N112" s="6" t="s">
        <v>913</v>
      </c>
      <c r="O112" s="6" t="s">
        <v>912</v>
      </c>
    </row>
    <row r="113" spans="1:15">
      <c r="A113" s="6">
        <v>108</v>
      </c>
      <c r="B113" s="6" t="s">
        <v>914</v>
      </c>
      <c r="M113" s="6" t="s">
        <v>915</v>
      </c>
      <c r="N113" s="6" t="s">
        <v>916</v>
      </c>
      <c r="O113" s="6" t="s">
        <v>915</v>
      </c>
    </row>
    <row r="114" spans="1:15">
      <c r="A114" s="6">
        <v>109</v>
      </c>
      <c r="B114" s="6" t="s">
        <v>917</v>
      </c>
      <c r="M114" s="6" t="s">
        <v>918</v>
      </c>
      <c r="N114" s="6" t="s">
        <v>919</v>
      </c>
      <c r="O114" s="6" t="s">
        <v>918</v>
      </c>
    </row>
    <row r="115" spans="1:15">
      <c r="A115" s="6">
        <v>110</v>
      </c>
      <c r="B115" s="6" t="s">
        <v>920</v>
      </c>
      <c r="M115" s="6" t="s">
        <v>921</v>
      </c>
      <c r="N115" s="6" t="s">
        <v>922</v>
      </c>
      <c r="O115" s="6" t="s">
        <v>921</v>
      </c>
    </row>
    <row r="116" spans="1:15">
      <c r="A116" s="6">
        <v>111</v>
      </c>
      <c r="B116" s="6" t="s">
        <v>923</v>
      </c>
      <c r="M116" s="6" t="s">
        <v>924</v>
      </c>
      <c r="N116" s="6" t="s">
        <v>925</v>
      </c>
      <c r="O116" s="6" t="s">
        <v>924</v>
      </c>
    </row>
    <row r="117" spans="1:15">
      <c r="A117" s="6">
        <v>112</v>
      </c>
      <c r="B117" s="6" t="s">
        <v>926</v>
      </c>
      <c r="M117" s="6" t="s">
        <v>927</v>
      </c>
      <c r="N117" s="6" t="s">
        <v>928</v>
      </c>
      <c r="O117" s="6" t="s">
        <v>927</v>
      </c>
    </row>
    <row r="118" spans="1:15">
      <c r="A118" s="6">
        <v>113</v>
      </c>
      <c r="B118" s="6" t="s">
        <v>929</v>
      </c>
      <c r="M118" s="6" t="s">
        <v>930</v>
      </c>
      <c r="N118" s="6" t="s">
        <v>931</v>
      </c>
      <c r="O118" s="6" t="s">
        <v>930</v>
      </c>
    </row>
    <row r="119" spans="1:15">
      <c r="A119" s="6">
        <v>114</v>
      </c>
      <c r="B119" s="6" t="s">
        <v>932</v>
      </c>
      <c r="M119" s="6" t="s">
        <v>933</v>
      </c>
      <c r="N119" s="6" t="s">
        <v>934</v>
      </c>
      <c r="O119" s="6" t="s">
        <v>933</v>
      </c>
    </row>
    <row r="120" spans="1:15">
      <c r="A120" s="6">
        <v>115</v>
      </c>
      <c r="B120" s="6" t="s">
        <v>935</v>
      </c>
      <c r="M120" s="6" t="s">
        <v>936</v>
      </c>
      <c r="N120" s="6" t="s">
        <v>937</v>
      </c>
      <c r="O120" s="6" t="s">
        <v>936</v>
      </c>
    </row>
    <row r="121" spans="1:15">
      <c r="A121" s="6">
        <v>116</v>
      </c>
      <c r="B121" s="6" t="s">
        <v>938</v>
      </c>
      <c r="M121" s="6" t="s">
        <v>939</v>
      </c>
      <c r="N121" s="6" t="s">
        <v>940</v>
      </c>
      <c r="O121" s="6" t="s">
        <v>939</v>
      </c>
    </row>
    <row r="122" spans="1:15">
      <c r="A122" s="6">
        <v>117</v>
      </c>
      <c r="B122" s="6" t="s">
        <v>941</v>
      </c>
      <c r="M122" s="6" t="s">
        <v>942</v>
      </c>
      <c r="N122" s="6" t="s">
        <v>943</v>
      </c>
      <c r="O122" s="6" t="s">
        <v>942</v>
      </c>
    </row>
    <row r="123" spans="1:15">
      <c r="A123" s="6">
        <v>118</v>
      </c>
      <c r="B123" s="6" t="s">
        <v>944</v>
      </c>
      <c r="M123" s="6" t="s">
        <v>945</v>
      </c>
      <c r="N123" s="6" t="s">
        <v>946</v>
      </c>
      <c r="O123" s="6" t="s">
        <v>945</v>
      </c>
    </row>
    <row r="124" spans="1:15">
      <c r="A124" s="6">
        <v>119</v>
      </c>
      <c r="B124" s="6" t="s">
        <v>947</v>
      </c>
      <c r="M124" s="6" t="s">
        <v>948</v>
      </c>
      <c r="N124" s="6" t="s">
        <v>949</v>
      </c>
      <c r="O124" s="6" t="s">
        <v>948</v>
      </c>
    </row>
    <row r="125" spans="1:15">
      <c r="A125" s="6">
        <v>120</v>
      </c>
      <c r="B125" s="6" t="s">
        <v>950</v>
      </c>
      <c r="M125" s="6" t="s">
        <v>951</v>
      </c>
      <c r="N125" s="6" t="s">
        <v>952</v>
      </c>
      <c r="O125" s="6" t="s">
        <v>951</v>
      </c>
    </row>
    <row r="126" spans="1:15">
      <c r="A126" s="6">
        <v>121</v>
      </c>
      <c r="B126" s="6" t="s">
        <v>953</v>
      </c>
      <c r="M126" s="3" t="s">
        <v>954</v>
      </c>
      <c r="N126" s="3" t="s">
        <v>955</v>
      </c>
      <c r="O126" s="3" t="s">
        <v>361</v>
      </c>
    </row>
    <row r="127" spans="1:15">
      <c r="A127" s="6">
        <v>122</v>
      </c>
      <c r="B127" s="6" t="s">
        <v>469</v>
      </c>
      <c r="M127" s="6" t="s">
        <v>956</v>
      </c>
      <c r="N127" s="6" t="s">
        <v>957</v>
      </c>
      <c r="O127" s="6" t="s">
        <v>956</v>
      </c>
    </row>
    <row r="128" spans="1:15">
      <c r="A128" s="6">
        <v>123</v>
      </c>
      <c r="B128" s="6" t="s">
        <v>958</v>
      </c>
      <c r="M128" s="6" t="s">
        <v>959</v>
      </c>
      <c r="N128" s="6" t="s">
        <v>960</v>
      </c>
      <c r="O128" s="6" t="s">
        <v>959</v>
      </c>
    </row>
    <row r="129" spans="1:15">
      <c r="A129" s="6">
        <v>125</v>
      </c>
      <c r="B129" s="6" t="s">
        <v>961</v>
      </c>
      <c r="M129" s="6" t="s">
        <v>962</v>
      </c>
      <c r="N129" s="6" t="s">
        <v>963</v>
      </c>
      <c r="O129" s="6" t="s">
        <v>962</v>
      </c>
    </row>
    <row r="130" spans="1:15">
      <c r="A130" s="6">
        <v>126</v>
      </c>
      <c r="B130" s="6" t="s">
        <v>964</v>
      </c>
      <c r="M130" s="6" t="s">
        <v>965</v>
      </c>
      <c r="N130" s="6" t="s">
        <v>966</v>
      </c>
      <c r="O130" s="6" t="s">
        <v>965</v>
      </c>
    </row>
    <row r="131" spans="1:15">
      <c r="A131" s="6">
        <v>127</v>
      </c>
      <c r="B131" s="6" t="s">
        <v>967</v>
      </c>
      <c r="M131" s="6" t="s">
        <v>968</v>
      </c>
      <c r="N131" s="6" t="s">
        <v>969</v>
      </c>
      <c r="O131" s="6" t="s">
        <v>968</v>
      </c>
    </row>
    <row r="132" spans="1:15">
      <c r="A132" s="6">
        <v>128</v>
      </c>
      <c r="B132" s="6" t="s">
        <v>970</v>
      </c>
      <c r="M132" s="6" t="s">
        <v>971</v>
      </c>
      <c r="N132" s="6" t="s">
        <v>972</v>
      </c>
      <c r="O132" s="6" t="s">
        <v>971</v>
      </c>
    </row>
    <row r="133" spans="1:15">
      <c r="A133" s="6">
        <v>129</v>
      </c>
      <c r="B133" s="6" t="s">
        <v>973</v>
      </c>
      <c r="M133" s="6" t="s">
        <v>974</v>
      </c>
      <c r="N133" s="6" t="s">
        <v>975</v>
      </c>
      <c r="O133" s="6" t="s">
        <v>974</v>
      </c>
    </row>
    <row r="134" spans="1:15">
      <c r="A134" s="6">
        <v>130</v>
      </c>
      <c r="B134" s="6" t="s">
        <v>976</v>
      </c>
      <c r="M134" s="6" t="s">
        <v>977</v>
      </c>
      <c r="N134" s="6" t="s">
        <v>978</v>
      </c>
      <c r="O134" s="6" t="s">
        <v>977</v>
      </c>
    </row>
    <row r="135" spans="1:15">
      <c r="A135" s="6">
        <v>131</v>
      </c>
      <c r="B135" s="6" t="s">
        <v>979</v>
      </c>
      <c r="M135" s="6" t="s">
        <v>980</v>
      </c>
      <c r="N135" s="6" t="s">
        <v>981</v>
      </c>
      <c r="O135" s="6" t="s">
        <v>980</v>
      </c>
    </row>
    <row r="136" spans="1:15">
      <c r="A136" s="6">
        <v>133</v>
      </c>
      <c r="B136" s="6" t="s">
        <v>982</v>
      </c>
      <c r="M136" s="6" t="s">
        <v>983</v>
      </c>
      <c r="N136" s="6" t="s">
        <v>984</v>
      </c>
      <c r="O136" s="6" t="s">
        <v>983</v>
      </c>
    </row>
    <row r="137" spans="1:15">
      <c r="A137" s="6">
        <v>134</v>
      </c>
      <c r="B137" s="6" t="s">
        <v>985</v>
      </c>
      <c r="M137" s="6" t="s">
        <v>986</v>
      </c>
      <c r="N137" s="6" t="s">
        <v>987</v>
      </c>
      <c r="O137" s="6" t="s">
        <v>986</v>
      </c>
    </row>
    <row r="138" spans="1:15">
      <c r="A138" s="6">
        <v>135</v>
      </c>
      <c r="B138" s="6" t="s">
        <v>988</v>
      </c>
      <c r="M138" s="6" t="s">
        <v>989</v>
      </c>
      <c r="N138" s="6" t="s">
        <v>990</v>
      </c>
      <c r="O138" s="6" t="s">
        <v>989</v>
      </c>
    </row>
    <row r="139" spans="1:15">
      <c r="A139" s="6">
        <v>136</v>
      </c>
      <c r="B139" s="6" t="s">
        <v>991</v>
      </c>
      <c r="M139" s="6" t="s">
        <v>992</v>
      </c>
      <c r="N139" s="6" t="s">
        <v>993</v>
      </c>
      <c r="O139" s="6" t="s">
        <v>992</v>
      </c>
    </row>
    <row r="140" spans="1:15">
      <c r="A140" s="6">
        <v>137</v>
      </c>
      <c r="B140" s="6" t="s">
        <v>994</v>
      </c>
      <c r="M140" s="6" t="s">
        <v>995</v>
      </c>
      <c r="N140" s="6" t="s">
        <v>996</v>
      </c>
      <c r="O140" s="6" t="s">
        <v>995</v>
      </c>
    </row>
    <row r="141" spans="1:15">
      <c r="A141" s="6">
        <v>138</v>
      </c>
      <c r="B141" s="6" t="s">
        <v>997</v>
      </c>
      <c r="M141" s="6" t="s">
        <v>998</v>
      </c>
      <c r="N141" s="6" t="s">
        <v>999</v>
      </c>
      <c r="O141" s="6" t="s">
        <v>998</v>
      </c>
    </row>
    <row r="142" spans="1:15">
      <c r="A142" s="6">
        <v>139</v>
      </c>
      <c r="B142" s="6" t="s">
        <v>1000</v>
      </c>
      <c r="M142" s="6" t="s">
        <v>1001</v>
      </c>
      <c r="N142" s="6" t="s">
        <v>1002</v>
      </c>
      <c r="O142" s="6" t="s">
        <v>1001</v>
      </c>
    </row>
    <row r="143" spans="1:15">
      <c r="A143" s="6">
        <v>140</v>
      </c>
      <c r="B143" s="6" t="s">
        <v>1003</v>
      </c>
      <c r="M143" s="6" t="s">
        <v>1004</v>
      </c>
      <c r="N143" s="6" t="s">
        <v>1005</v>
      </c>
      <c r="O143" s="6" t="s">
        <v>1004</v>
      </c>
    </row>
    <row r="144" spans="1:15">
      <c r="A144" s="6">
        <v>141</v>
      </c>
      <c r="B144" s="6" t="s">
        <v>1006</v>
      </c>
      <c r="M144" s="6" t="s">
        <v>1007</v>
      </c>
      <c r="N144" s="6" t="s">
        <v>1008</v>
      </c>
      <c r="O144" s="6" t="s">
        <v>1007</v>
      </c>
    </row>
    <row r="145" spans="1:15">
      <c r="A145" s="6">
        <v>142</v>
      </c>
      <c r="B145" s="6" t="s">
        <v>1009</v>
      </c>
      <c r="M145" s="6" t="s">
        <v>1010</v>
      </c>
      <c r="N145" s="6" t="s">
        <v>1011</v>
      </c>
      <c r="O145" s="6" t="s">
        <v>1010</v>
      </c>
    </row>
    <row r="146" spans="1:15">
      <c r="A146" s="6">
        <v>143</v>
      </c>
      <c r="B146" s="6" t="s">
        <v>1012</v>
      </c>
      <c r="M146" s="6" t="s">
        <v>1013</v>
      </c>
      <c r="N146" s="6" t="s">
        <v>1014</v>
      </c>
      <c r="O146" s="6" t="s">
        <v>1013</v>
      </c>
    </row>
    <row r="147" spans="1:15">
      <c r="A147" s="6">
        <v>144</v>
      </c>
      <c r="B147" s="6" t="s">
        <v>1012</v>
      </c>
      <c r="M147" s="6" t="s">
        <v>1015</v>
      </c>
      <c r="N147" s="6" t="s">
        <v>1016</v>
      </c>
      <c r="O147" s="6" t="s">
        <v>1015</v>
      </c>
    </row>
    <row r="148" spans="1:15">
      <c r="A148" s="6">
        <v>145</v>
      </c>
      <c r="B148" s="6" t="s">
        <v>1012</v>
      </c>
      <c r="M148" s="6" t="s">
        <v>1017</v>
      </c>
      <c r="N148" s="6" t="s">
        <v>1018</v>
      </c>
      <c r="O148" s="6" t="s">
        <v>1017</v>
      </c>
    </row>
    <row r="149" spans="1:15">
      <c r="A149" s="6">
        <v>146</v>
      </c>
      <c r="B149" s="6" t="s">
        <v>1012</v>
      </c>
      <c r="M149" s="3" t="s">
        <v>1019</v>
      </c>
      <c r="N149" s="3" t="s">
        <v>360</v>
      </c>
      <c r="O149" s="3" t="s">
        <v>361</v>
      </c>
    </row>
    <row r="150" spans="1:15">
      <c r="A150" s="6">
        <v>147</v>
      </c>
      <c r="B150" s="6" t="s">
        <v>1012</v>
      </c>
      <c r="M150" s="6" t="s">
        <v>1020</v>
      </c>
      <c r="N150" s="6" t="s">
        <v>1021</v>
      </c>
      <c r="O150" s="6" t="s">
        <v>1020</v>
      </c>
    </row>
    <row r="151" spans="1:15">
      <c r="A151" s="6">
        <v>148</v>
      </c>
      <c r="B151" s="6" t="s">
        <v>1022</v>
      </c>
      <c r="M151" s="6" t="s">
        <v>1023</v>
      </c>
      <c r="N151" s="6" t="s">
        <v>1024</v>
      </c>
      <c r="O151" s="6" t="s">
        <v>1023</v>
      </c>
    </row>
    <row r="152" spans="1:15">
      <c r="A152" s="6">
        <v>149</v>
      </c>
      <c r="B152" s="6" t="s">
        <v>1025</v>
      </c>
      <c r="M152" s="6" t="s">
        <v>1026</v>
      </c>
      <c r="N152" s="6" t="s">
        <v>1027</v>
      </c>
      <c r="O152" s="6" t="s">
        <v>1026</v>
      </c>
    </row>
    <row r="153" spans="1:15">
      <c r="A153" s="6">
        <v>150</v>
      </c>
      <c r="B153" s="6" t="s">
        <v>467</v>
      </c>
      <c r="M153" s="6" t="s">
        <v>1028</v>
      </c>
      <c r="N153" s="6" t="s">
        <v>1029</v>
      </c>
      <c r="O153" s="6" t="s">
        <v>1028</v>
      </c>
    </row>
    <row r="154" spans="1:15">
      <c r="A154" s="6">
        <v>151</v>
      </c>
      <c r="B154" s="6" t="s">
        <v>1030</v>
      </c>
      <c r="M154" s="6" t="s">
        <v>1031</v>
      </c>
      <c r="N154" s="6" t="s">
        <v>1032</v>
      </c>
      <c r="O154" s="6" t="s">
        <v>1031</v>
      </c>
    </row>
    <row r="155" spans="1:15">
      <c r="A155" s="6">
        <v>152</v>
      </c>
      <c r="B155" s="6" t="s">
        <v>1033</v>
      </c>
      <c r="M155" s="6" t="s">
        <v>1034</v>
      </c>
      <c r="N155" s="6" t="s">
        <v>1035</v>
      </c>
      <c r="O155" s="6" t="s">
        <v>1034</v>
      </c>
    </row>
    <row r="156" spans="1:15">
      <c r="A156" s="6">
        <v>153</v>
      </c>
      <c r="B156" s="6" t="s">
        <v>1036</v>
      </c>
      <c r="M156" s="6" t="s">
        <v>1037</v>
      </c>
      <c r="N156" s="6" t="s">
        <v>1038</v>
      </c>
      <c r="O156" s="6" t="s">
        <v>1037</v>
      </c>
    </row>
    <row r="157" spans="1:15">
      <c r="A157" s="6">
        <v>155</v>
      </c>
      <c r="B157" s="6" t="s">
        <v>1039</v>
      </c>
      <c r="M157" s="6" t="s">
        <v>1040</v>
      </c>
      <c r="N157" s="6" t="s">
        <v>1041</v>
      </c>
      <c r="O157" s="6" t="s">
        <v>1040</v>
      </c>
    </row>
    <row r="158" spans="1:15">
      <c r="A158" s="6">
        <v>156</v>
      </c>
      <c r="B158" s="6" t="s">
        <v>1042</v>
      </c>
      <c r="M158" s="6" t="s">
        <v>1043</v>
      </c>
      <c r="N158" s="6" t="s">
        <v>1044</v>
      </c>
      <c r="O158" s="6" t="s">
        <v>1043</v>
      </c>
    </row>
    <row r="159" spans="1:15">
      <c r="A159" s="6">
        <v>157</v>
      </c>
      <c r="B159" s="6" t="s">
        <v>1045</v>
      </c>
      <c r="M159" s="6" t="s">
        <v>1046</v>
      </c>
      <c r="N159" s="6" t="s">
        <v>1047</v>
      </c>
      <c r="O159" s="6" t="s">
        <v>1046</v>
      </c>
    </row>
    <row r="160" spans="1:15">
      <c r="A160" s="6">
        <v>158</v>
      </c>
      <c r="B160" s="6" t="s">
        <v>1048</v>
      </c>
      <c r="M160" s="6" t="s">
        <v>1049</v>
      </c>
      <c r="N160" s="6" t="s">
        <v>1050</v>
      </c>
      <c r="O160" s="6" t="s">
        <v>1049</v>
      </c>
    </row>
    <row r="161" spans="1:15">
      <c r="A161" s="6">
        <v>159</v>
      </c>
      <c r="B161" s="6" t="s">
        <v>455</v>
      </c>
      <c r="M161" s="6" t="s">
        <v>1051</v>
      </c>
      <c r="N161" s="6" t="s">
        <v>1052</v>
      </c>
      <c r="O161" s="6" t="s">
        <v>1051</v>
      </c>
    </row>
    <row r="162" spans="1:15">
      <c r="A162" s="6">
        <v>160</v>
      </c>
      <c r="B162" s="6" t="s">
        <v>1053</v>
      </c>
      <c r="M162" s="3" t="s">
        <v>1054</v>
      </c>
      <c r="N162" s="3" t="s">
        <v>360</v>
      </c>
      <c r="O162" s="3" t="s">
        <v>361</v>
      </c>
    </row>
    <row r="163" spans="1:15">
      <c r="A163" s="6">
        <v>161</v>
      </c>
      <c r="B163" s="6" t="s">
        <v>1055</v>
      </c>
      <c r="M163" s="6" t="s">
        <v>1056</v>
      </c>
      <c r="N163" s="6" t="s">
        <v>1057</v>
      </c>
      <c r="O163" s="6" t="s">
        <v>1056</v>
      </c>
    </row>
    <row r="164" spans="1:15">
      <c r="A164" s="6">
        <v>162</v>
      </c>
      <c r="B164" s="6" t="s">
        <v>1058</v>
      </c>
      <c r="M164" s="6" t="s">
        <v>1059</v>
      </c>
      <c r="N164" s="6" t="s">
        <v>1060</v>
      </c>
      <c r="O164" s="6" t="s">
        <v>1059</v>
      </c>
    </row>
    <row r="165" spans="1:15">
      <c r="A165" s="6">
        <v>163</v>
      </c>
      <c r="B165" s="6" t="s">
        <v>1061</v>
      </c>
      <c r="M165" s="6" t="s">
        <v>1062</v>
      </c>
      <c r="N165" s="6" t="s">
        <v>1063</v>
      </c>
      <c r="O165" s="6" t="s">
        <v>1062</v>
      </c>
    </row>
    <row r="166" spans="1:15">
      <c r="A166" s="6">
        <v>164</v>
      </c>
      <c r="B166" s="6" t="s">
        <v>1064</v>
      </c>
      <c r="M166" s="6" t="s">
        <v>1065</v>
      </c>
      <c r="N166" s="6" t="s">
        <v>1066</v>
      </c>
      <c r="O166" s="6" t="s">
        <v>1067</v>
      </c>
    </row>
    <row r="167" spans="1:15">
      <c r="A167" s="6">
        <v>165</v>
      </c>
      <c r="B167" s="6" t="s">
        <v>1068</v>
      </c>
      <c r="M167" s="6" t="s">
        <v>1069</v>
      </c>
      <c r="N167" s="6" t="s">
        <v>1070</v>
      </c>
      <c r="O167" s="6" t="s">
        <v>1071</v>
      </c>
    </row>
    <row r="168" spans="1:15">
      <c r="A168" s="6">
        <v>167</v>
      </c>
      <c r="B168" s="6" t="s">
        <v>1072</v>
      </c>
      <c r="M168" s="6">
        <v>666666</v>
      </c>
      <c r="N168" s="6" t="s">
        <v>1073</v>
      </c>
      <c r="O168" s="6">
        <v>666666</v>
      </c>
    </row>
    <row r="169" spans="1:15">
      <c r="A169" s="6">
        <v>169</v>
      </c>
      <c r="B169" s="6" t="s">
        <v>1074</v>
      </c>
      <c r="M169" s="6" t="s">
        <v>1075</v>
      </c>
      <c r="N169" s="6" t="s">
        <v>1076</v>
      </c>
      <c r="O169" s="6" t="s">
        <v>1075</v>
      </c>
    </row>
    <row r="170" spans="1:15">
      <c r="A170" s="6">
        <v>170</v>
      </c>
      <c r="B170" s="6" t="s">
        <v>1077</v>
      </c>
      <c r="M170" s="6" t="s">
        <v>1078</v>
      </c>
      <c r="N170" s="6" t="s">
        <v>1079</v>
      </c>
      <c r="O170" s="6" t="s">
        <v>1078</v>
      </c>
    </row>
    <row r="171" spans="1:15">
      <c r="A171" s="6">
        <v>171</v>
      </c>
      <c r="B171" s="6" t="s">
        <v>1080</v>
      </c>
      <c r="M171" s="6"/>
      <c r="N171" s="6"/>
      <c r="O171" s="6"/>
    </row>
    <row r="172" spans="1:15">
      <c r="A172" s="6">
        <v>172</v>
      </c>
      <c r="B172" s="6" t="s">
        <v>510</v>
      </c>
      <c r="M172" s="6"/>
      <c r="N172" s="6"/>
      <c r="O172" s="6"/>
    </row>
    <row r="173" spans="1:15">
      <c r="A173" s="6">
        <v>173</v>
      </c>
      <c r="B173" s="6" t="s">
        <v>1081</v>
      </c>
      <c r="M173" s="6"/>
      <c r="N173" s="6"/>
      <c r="O173" s="6"/>
    </row>
    <row r="174" spans="1:15">
      <c r="A174" s="6">
        <v>174</v>
      </c>
      <c r="B174" s="6" t="s">
        <v>1082</v>
      </c>
      <c r="M174" s="6"/>
      <c r="N174" s="6"/>
      <c r="O174" s="6"/>
    </row>
    <row r="175" spans="1:15">
      <c r="A175" s="6">
        <v>175</v>
      </c>
      <c r="B175" s="6" t="s">
        <v>1083</v>
      </c>
      <c r="M175" s="6"/>
      <c r="N175" s="6"/>
      <c r="O175" s="6"/>
    </row>
    <row r="176" spans="1:15">
      <c r="A176" s="6">
        <v>176</v>
      </c>
      <c r="B176" s="6" t="s">
        <v>1084</v>
      </c>
      <c r="M176" s="6"/>
      <c r="N176" s="6"/>
      <c r="O176" s="6"/>
    </row>
    <row r="177" spans="1:15">
      <c r="A177" s="6">
        <v>177</v>
      </c>
      <c r="B177" s="6" t="s">
        <v>1085</v>
      </c>
      <c r="M177" s="6"/>
      <c r="N177" s="6"/>
      <c r="O177" s="6"/>
    </row>
    <row r="178" spans="1:15">
      <c r="A178" s="6">
        <v>178</v>
      </c>
      <c r="B178" s="6" t="s">
        <v>1086</v>
      </c>
      <c r="M178" s="6"/>
      <c r="N178" s="6"/>
      <c r="O178" s="6"/>
    </row>
    <row r="179" spans="1:15">
      <c r="A179" s="6">
        <v>179</v>
      </c>
      <c r="B179" s="6" t="s">
        <v>1087</v>
      </c>
      <c r="M179" s="6"/>
      <c r="N179" s="6"/>
      <c r="O179" s="6"/>
    </row>
    <row r="180" spans="1:15">
      <c r="A180" s="6">
        <v>181</v>
      </c>
      <c r="B180" s="6" t="s">
        <v>1088</v>
      </c>
      <c r="M180" s="6"/>
      <c r="N180" s="6"/>
      <c r="O180" s="6"/>
    </row>
    <row r="181" spans="1:15">
      <c r="A181" s="6">
        <v>182</v>
      </c>
      <c r="B181" s="6" t="s">
        <v>1089</v>
      </c>
      <c r="M181" s="6"/>
      <c r="N181" s="6"/>
      <c r="O181" s="6"/>
    </row>
    <row r="182" spans="1:15">
      <c r="A182" s="6">
        <v>183</v>
      </c>
      <c r="B182" s="6" t="s">
        <v>1090</v>
      </c>
      <c r="M182" s="6"/>
      <c r="N182" s="6"/>
      <c r="O182" s="6"/>
    </row>
    <row r="183" spans="1:15">
      <c r="A183" s="6">
        <v>184</v>
      </c>
      <c r="B183" s="6" t="s">
        <v>1091</v>
      </c>
      <c r="M183" s="6"/>
      <c r="N183" s="6"/>
      <c r="O183" s="6"/>
    </row>
    <row r="184" spans="1:15">
      <c r="A184" s="6">
        <v>186</v>
      </c>
      <c r="B184" s="6" t="s">
        <v>1092</v>
      </c>
      <c r="M184" s="6"/>
      <c r="N184" s="6"/>
      <c r="O184" s="6"/>
    </row>
    <row r="185" spans="1:15">
      <c r="A185" s="6">
        <v>187</v>
      </c>
      <c r="B185" s="6" t="s">
        <v>1093</v>
      </c>
      <c r="M185" s="6"/>
      <c r="N185" s="6"/>
      <c r="O185" s="6"/>
    </row>
    <row r="186" spans="1:15">
      <c r="A186" s="6">
        <v>189</v>
      </c>
      <c r="B186" s="6" t="s">
        <v>1094</v>
      </c>
      <c r="M186" s="6"/>
      <c r="N186" s="6"/>
      <c r="O186" s="6"/>
    </row>
    <row r="187" spans="1:15">
      <c r="A187" s="6">
        <v>190</v>
      </c>
      <c r="B187" s="6" t="s">
        <v>1095</v>
      </c>
      <c r="M187" s="6"/>
      <c r="N187" s="6"/>
      <c r="O187" s="6"/>
    </row>
    <row r="188" spans="1:15">
      <c r="A188" s="6">
        <v>191</v>
      </c>
      <c r="B188" s="6" t="s">
        <v>1096</v>
      </c>
      <c r="M188" s="6"/>
      <c r="N188" s="6"/>
      <c r="O188" s="6"/>
    </row>
    <row r="189" spans="1:15">
      <c r="A189" s="6">
        <v>192</v>
      </c>
      <c r="B189" s="6" t="s">
        <v>1097</v>
      </c>
      <c r="M189" s="6"/>
      <c r="N189" s="6"/>
      <c r="O189" s="6"/>
    </row>
    <row r="190" spans="1:15">
      <c r="A190" s="6">
        <v>193</v>
      </c>
      <c r="B190" s="6" t="s">
        <v>496</v>
      </c>
      <c r="M190" s="6"/>
      <c r="N190" s="6"/>
      <c r="O190" s="6"/>
    </row>
    <row r="191" spans="1:15">
      <c r="A191" s="6">
        <v>194</v>
      </c>
      <c r="B191" s="6" t="s">
        <v>1098</v>
      </c>
      <c r="M191" s="6"/>
      <c r="N191" s="6"/>
      <c r="O191" s="6"/>
    </row>
    <row r="192" spans="1:15">
      <c r="A192" s="6">
        <v>195</v>
      </c>
      <c r="B192" s="6" t="s">
        <v>1099</v>
      </c>
      <c r="M192" s="6"/>
      <c r="N192" s="6"/>
      <c r="O192" s="6"/>
    </row>
    <row r="193" spans="1:15">
      <c r="A193" s="6">
        <v>196</v>
      </c>
      <c r="B193" s="6" t="s">
        <v>1100</v>
      </c>
      <c r="M193" s="6"/>
      <c r="N193" s="6"/>
      <c r="O193" s="6"/>
    </row>
    <row r="194" spans="1:15">
      <c r="A194" s="6">
        <v>197</v>
      </c>
      <c r="B194" s="6" t="s">
        <v>1101</v>
      </c>
      <c r="M194" s="6"/>
      <c r="N194" s="6"/>
      <c r="O194" s="6"/>
    </row>
    <row r="195" spans="1:15">
      <c r="A195" s="6">
        <v>198</v>
      </c>
      <c r="B195" s="6" t="s">
        <v>1102</v>
      </c>
      <c r="M195" s="6"/>
      <c r="N195" s="6"/>
      <c r="O195" s="6"/>
    </row>
    <row r="196" spans="1:15">
      <c r="A196" s="6">
        <v>199</v>
      </c>
      <c r="B196" s="6" t="s">
        <v>1103</v>
      </c>
      <c r="M196" s="6"/>
      <c r="N196" s="6"/>
      <c r="O196" s="6"/>
    </row>
    <row r="197" spans="1:15">
      <c r="A197" s="6">
        <v>200</v>
      </c>
      <c r="B197" s="6" t="s">
        <v>1104</v>
      </c>
      <c r="M197" s="6"/>
      <c r="N197" s="6"/>
      <c r="O197" s="6"/>
    </row>
    <row r="198" spans="1:15">
      <c r="A198" s="6">
        <v>203</v>
      </c>
      <c r="B198" s="6" t="s">
        <v>1105</v>
      </c>
      <c r="M198" s="6"/>
      <c r="N198" s="6"/>
      <c r="O198" s="6"/>
    </row>
    <row r="199" spans="1:15">
      <c r="A199" s="6">
        <v>204</v>
      </c>
      <c r="B199" s="6" t="s">
        <v>1106</v>
      </c>
      <c r="M199" s="6"/>
      <c r="N199" s="6"/>
      <c r="O199" s="6"/>
    </row>
    <row r="200" spans="1:15">
      <c r="A200" s="6">
        <v>205</v>
      </c>
      <c r="B200" s="6" t="s">
        <v>1107</v>
      </c>
      <c r="M200" s="6"/>
      <c r="N200" s="6"/>
      <c r="O200" s="6"/>
    </row>
    <row r="201" spans="1:15">
      <c r="A201" s="6">
        <v>206</v>
      </c>
      <c r="B201" s="6" t="s">
        <v>1108</v>
      </c>
      <c r="M201" s="6"/>
      <c r="N201" s="6"/>
      <c r="O201" s="6"/>
    </row>
    <row r="202" spans="1:15">
      <c r="A202" s="6">
        <v>209</v>
      </c>
      <c r="B202" s="6" t="s">
        <v>1109</v>
      </c>
      <c r="M202" s="6"/>
      <c r="N202" s="6"/>
      <c r="O202" s="6"/>
    </row>
    <row r="203" spans="1:15">
      <c r="A203" s="6">
        <v>211</v>
      </c>
      <c r="B203" s="6" t="s">
        <v>1110</v>
      </c>
      <c r="M203" s="6"/>
      <c r="N203" s="6"/>
      <c r="O203" s="6"/>
    </row>
    <row r="204" spans="1:15">
      <c r="A204" s="6">
        <v>212</v>
      </c>
      <c r="B204" s="6" t="s">
        <v>1111</v>
      </c>
      <c r="M204" s="6"/>
      <c r="N204" s="6"/>
      <c r="O204" s="6"/>
    </row>
    <row r="205" spans="1:15">
      <c r="A205" s="6">
        <v>213</v>
      </c>
      <c r="B205" s="6" t="s">
        <v>1112</v>
      </c>
      <c r="M205" s="6"/>
      <c r="N205" s="6"/>
      <c r="O205" s="6"/>
    </row>
    <row r="206" spans="1:15">
      <c r="A206" s="6">
        <v>214</v>
      </c>
      <c r="B206" s="6" t="s">
        <v>1113</v>
      </c>
      <c r="M206" s="6"/>
      <c r="N206" s="6"/>
      <c r="O206" s="6"/>
    </row>
    <row r="207" spans="1:15">
      <c r="A207" s="6">
        <v>215</v>
      </c>
      <c r="B207" s="6" t="s">
        <v>1114</v>
      </c>
      <c r="M207" s="6"/>
      <c r="N207" s="6"/>
      <c r="O207" s="6"/>
    </row>
    <row r="208" spans="1:15">
      <c r="A208" s="6">
        <v>216</v>
      </c>
      <c r="B208" s="6" t="s">
        <v>1115</v>
      </c>
      <c r="M208" s="6"/>
      <c r="N208" s="6"/>
      <c r="O208" s="6"/>
    </row>
    <row r="209" spans="1:15">
      <c r="A209" s="6">
        <v>217</v>
      </c>
      <c r="B209" s="6" t="s">
        <v>1116</v>
      </c>
      <c r="M209" s="6"/>
      <c r="N209" s="6"/>
      <c r="O209" s="6"/>
    </row>
    <row r="210" spans="1:15">
      <c r="A210" s="6">
        <v>218</v>
      </c>
      <c r="B210" s="6" t="s">
        <v>1117</v>
      </c>
      <c r="M210" s="6"/>
      <c r="N210" s="6"/>
      <c r="O210" s="6"/>
    </row>
    <row r="211" spans="1:15">
      <c r="A211" s="6">
        <v>219</v>
      </c>
      <c r="B211" s="6" t="s">
        <v>1118</v>
      </c>
      <c r="M211" s="6"/>
      <c r="N211" s="6"/>
      <c r="O211" s="6"/>
    </row>
    <row r="212" spans="1:15">
      <c r="A212" s="6">
        <v>220</v>
      </c>
      <c r="B212" s="6" t="s">
        <v>1119</v>
      </c>
      <c r="M212" s="6"/>
      <c r="N212" s="6"/>
      <c r="O212" s="6"/>
    </row>
    <row r="213" spans="1:15">
      <c r="A213" s="6">
        <v>221</v>
      </c>
      <c r="B213" s="6" t="s">
        <v>1120</v>
      </c>
      <c r="M213" s="6"/>
      <c r="N213" s="6"/>
      <c r="O213" s="6"/>
    </row>
    <row r="214" spans="1:15">
      <c r="A214" s="6">
        <v>222</v>
      </c>
      <c r="B214" s="6" t="s">
        <v>1121</v>
      </c>
      <c r="M214" s="6"/>
      <c r="N214" s="6"/>
      <c r="O214" s="6"/>
    </row>
    <row r="215" spans="1:15">
      <c r="A215" s="6">
        <v>224</v>
      </c>
      <c r="B215" s="6" t="s">
        <v>1122</v>
      </c>
      <c r="M215" s="6"/>
      <c r="N215" s="6"/>
      <c r="O215" s="6"/>
    </row>
    <row r="216" spans="1:15">
      <c r="A216" s="6">
        <v>225</v>
      </c>
      <c r="B216" s="6" t="s">
        <v>1123</v>
      </c>
      <c r="M216" s="6"/>
      <c r="N216" s="6"/>
      <c r="O216" s="6"/>
    </row>
    <row r="217" spans="1:15">
      <c r="A217" s="6">
        <v>227</v>
      </c>
      <c r="B217" s="6" t="s">
        <v>1124</v>
      </c>
      <c r="M217" s="6"/>
      <c r="N217" s="6"/>
      <c r="O217" s="6"/>
    </row>
    <row r="218" spans="1:15">
      <c r="A218" s="6">
        <v>228</v>
      </c>
      <c r="B218" s="6" t="s">
        <v>1125</v>
      </c>
      <c r="M218" s="6"/>
      <c r="N218" s="6"/>
      <c r="O218" s="6"/>
    </row>
    <row r="219" spans="1:15">
      <c r="A219" s="6">
        <v>229</v>
      </c>
      <c r="B219" s="6" t="s">
        <v>1126</v>
      </c>
      <c r="M219" s="6"/>
      <c r="N219" s="6"/>
      <c r="O219" s="6"/>
    </row>
    <row r="220" spans="1:15">
      <c r="A220" s="6">
        <v>230</v>
      </c>
      <c r="B220" s="6" t="s">
        <v>1127</v>
      </c>
      <c r="M220" s="6"/>
      <c r="N220" s="6"/>
      <c r="O220" s="6"/>
    </row>
    <row r="221" spans="1:15">
      <c r="A221" s="6">
        <v>231</v>
      </c>
      <c r="B221" s="6" t="s">
        <v>1128</v>
      </c>
      <c r="M221" s="6"/>
      <c r="N221" s="6"/>
      <c r="O221" s="6"/>
    </row>
    <row r="222" spans="1:15">
      <c r="A222" s="6">
        <v>232</v>
      </c>
      <c r="B222" s="6" t="s">
        <v>1129</v>
      </c>
      <c r="M222" s="6"/>
      <c r="N222" s="6"/>
      <c r="O222" s="6"/>
    </row>
    <row r="223" spans="1:15">
      <c r="A223" s="6">
        <v>233</v>
      </c>
      <c r="B223" s="6" t="s">
        <v>1130</v>
      </c>
      <c r="M223" s="6"/>
      <c r="N223" s="6"/>
      <c r="O223" s="6"/>
    </row>
    <row r="224" spans="1:15">
      <c r="A224" s="6">
        <v>234</v>
      </c>
      <c r="B224" s="6" t="s">
        <v>1131</v>
      </c>
      <c r="M224" s="6"/>
      <c r="N224" s="6"/>
      <c r="O224" s="6"/>
    </row>
    <row r="225" spans="1:15">
      <c r="A225" s="6">
        <v>235</v>
      </c>
      <c r="B225" s="6" t="s">
        <v>1132</v>
      </c>
      <c r="M225" s="6"/>
      <c r="N225" s="6"/>
      <c r="O225" s="6"/>
    </row>
    <row r="226" spans="1:15">
      <c r="A226" s="6">
        <v>236</v>
      </c>
      <c r="B226" s="6" t="s">
        <v>1133</v>
      </c>
      <c r="M226" s="6"/>
      <c r="N226" s="6"/>
      <c r="O226" s="6"/>
    </row>
    <row r="227" spans="1:15">
      <c r="A227" s="6">
        <v>237</v>
      </c>
      <c r="B227" s="6" t="s">
        <v>1134</v>
      </c>
      <c r="M227" s="6"/>
      <c r="N227" s="6"/>
      <c r="O227" s="6"/>
    </row>
    <row r="228" spans="1:15">
      <c r="A228" s="6">
        <v>238</v>
      </c>
      <c r="B228" s="6" t="s">
        <v>1135</v>
      </c>
      <c r="M228" s="6"/>
      <c r="N228" s="6"/>
      <c r="O228" s="6"/>
    </row>
    <row r="229" spans="1:15">
      <c r="A229" s="6">
        <v>239</v>
      </c>
      <c r="B229" s="6" t="s">
        <v>1136</v>
      </c>
      <c r="M229" s="6"/>
      <c r="N229" s="6"/>
      <c r="O229" s="6"/>
    </row>
    <row r="230" spans="1:15">
      <c r="A230" s="6">
        <v>240</v>
      </c>
      <c r="B230" s="6" t="s">
        <v>1137</v>
      </c>
      <c r="M230" s="6"/>
      <c r="N230" s="6"/>
      <c r="O230" s="6"/>
    </row>
    <row r="231" spans="1:15">
      <c r="A231" s="6">
        <v>241</v>
      </c>
      <c r="B231" s="6" t="s">
        <v>1138</v>
      </c>
      <c r="M231" s="6"/>
      <c r="N231" s="6"/>
      <c r="O231" s="6"/>
    </row>
    <row r="232" spans="1:15">
      <c r="A232" s="6">
        <v>242</v>
      </c>
      <c r="B232" s="6" t="s">
        <v>1139</v>
      </c>
      <c r="M232" s="6"/>
      <c r="N232" s="6"/>
      <c r="O232" s="6"/>
    </row>
    <row r="233" spans="1:15">
      <c r="A233" s="6">
        <v>243</v>
      </c>
      <c r="B233" s="6" t="s">
        <v>1140</v>
      </c>
      <c r="M233" s="6"/>
      <c r="N233" s="6"/>
      <c r="O233" s="6"/>
    </row>
    <row r="234" spans="1:15">
      <c r="A234" s="6">
        <v>244</v>
      </c>
      <c r="B234" s="6" t="s">
        <v>1141</v>
      </c>
      <c r="M234" s="6"/>
      <c r="N234" s="6"/>
      <c r="O234" s="6"/>
    </row>
    <row r="235" spans="1:15">
      <c r="A235" s="6">
        <v>245</v>
      </c>
      <c r="B235" s="6" t="s">
        <v>1142</v>
      </c>
      <c r="M235" s="6"/>
      <c r="N235" s="6"/>
      <c r="O235" s="6"/>
    </row>
    <row r="236" spans="1:15">
      <c r="A236" s="6">
        <v>246</v>
      </c>
      <c r="B236" s="6" t="s">
        <v>1143</v>
      </c>
      <c r="M236" s="6"/>
      <c r="N236" s="6"/>
      <c r="O236" s="6"/>
    </row>
    <row r="237" spans="1:15">
      <c r="A237" s="6">
        <v>247</v>
      </c>
      <c r="B237" s="6" t="s">
        <v>1144</v>
      </c>
      <c r="M237" s="6"/>
      <c r="N237" s="6"/>
      <c r="O237" s="6"/>
    </row>
    <row r="238" spans="1:15">
      <c r="A238" s="6">
        <v>248</v>
      </c>
      <c r="B238" s="6" t="s">
        <v>1145</v>
      </c>
      <c r="M238" s="6"/>
      <c r="N238" s="6"/>
      <c r="O238" s="6"/>
    </row>
    <row r="239" spans="1:15">
      <c r="A239" s="6">
        <v>249</v>
      </c>
      <c r="B239" s="6" t="s">
        <v>1146</v>
      </c>
      <c r="M239" s="6"/>
      <c r="N239" s="6"/>
      <c r="O239" s="6"/>
    </row>
    <row r="240" spans="1:15">
      <c r="A240" s="6">
        <v>250</v>
      </c>
      <c r="B240" s="6" t="s">
        <v>1147</v>
      </c>
      <c r="M240" s="6"/>
      <c r="N240" s="6"/>
      <c r="O240" s="6"/>
    </row>
    <row r="241" spans="1:15">
      <c r="A241" s="6">
        <v>251</v>
      </c>
      <c r="B241" s="6" t="s">
        <v>1148</v>
      </c>
      <c r="M241" s="6"/>
      <c r="N241" s="6"/>
      <c r="O241" s="6"/>
    </row>
    <row r="242" spans="1:15">
      <c r="A242" s="6">
        <v>256</v>
      </c>
      <c r="B242" s="6" t="s">
        <v>1149</v>
      </c>
      <c r="M242" s="6"/>
      <c r="N242" s="6"/>
      <c r="O242" s="6"/>
    </row>
    <row r="243" spans="1:15">
      <c r="A243" s="6">
        <v>257</v>
      </c>
      <c r="B243" s="6" t="s">
        <v>1150</v>
      </c>
      <c r="M243" s="6"/>
      <c r="N243" s="6"/>
      <c r="O243" s="6"/>
    </row>
    <row r="244" spans="1:15">
      <c r="A244" s="6">
        <v>258</v>
      </c>
      <c r="B244" s="6" t="s">
        <v>1151</v>
      </c>
      <c r="M244" s="6"/>
      <c r="N244" s="6"/>
      <c r="O244" s="6"/>
    </row>
    <row r="245" spans="1:15">
      <c r="A245" s="6">
        <v>259</v>
      </c>
      <c r="B245" s="6" t="s">
        <v>1152</v>
      </c>
      <c r="M245" s="6"/>
      <c r="N245" s="6"/>
      <c r="O245" s="6"/>
    </row>
    <row r="246" spans="1:15">
      <c r="A246" s="6">
        <v>260</v>
      </c>
      <c r="B246" s="6" t="s">
        <v>1153</v>
      </c>
      <c r="M246" s="6"/>
      <c r="N246" s="6"/>
      <c r="O246" s="6"/>
    </row>
    <row r="247" spans="1:15">
      <c r="A247" s="6">
        <v>261</v>
      </c>
      <c r="B247" s="6" t="s">
        <v>1154</v>
      </c>
      <c r="M247" s="6"/>
      <c r="N247" s="6"/>
      <c r="O247" s="6"/>
    </row>
    <row r="248" spans="1:15">
      <c r="A248" s="6">
        <v>262</v>
      </c>
      <c r="B248" s="6" t="s">
        <v>1155</v>
      </c>
      <c r="M248" s="6"/>
      <c r="N248" s="6"/>
      <c r="O248" s="6"/>
    </row>
    <row r="249" spans="1:15">
      <c r="A249" s="6">
        <v>263</v>
      </c>
      <c r="B249" s="6" t="s">
        <v>1156</v>
      </c>
      <c r="M249" s="6"/>
      <c r="N249" s="6"/>
      <c r="O249" s="6"/>
    </row>
    <row r="250" spans="1:15">
      <c r="A250" s="6">
        <v>264</v>
      </c>
      <c r="B250" s="6" t="s">
        <v>1157</v>
      </c>
      <c r="M250" s="6"/>
      <c r="N250" s="6"/>
      <c r="O250" s="6"/>
    </row>
    <row r="251" spans="1:15">
      <c r="A251" s="6">
        <v>265</v>
      </c>
      <c r="B251" s="6" t="s">
        <v>1158</v>
      </c>
      <c r="M251" s="6"/>
      <c r="N251" s="6"/>
      <c r="O251" s="6"/>
    </row>
    <row r="252" spans="1:15">
      <c r="A252" s="6">
        <v>266</v>
      </c>
      <c r="B252" s="6" t="s">
        <v>1159</v>
      </c>
      <c r="M252" s="6"/>
      <c r="N252" s="6"/>
      <c r="O252" s="6"/>
    </row>
    <row r="253" spans="1:15">
      <c r="A253" s="6">
        <v>267</v>
      </c>
      <c r="B253" s="6" t="s">
        <v>1160</v>
      </c>
      <c r="M253" s="6"/>
      <c r="N253" s="6"/>
      <c r="O253" s="6"/>
    </row>
    <row r="254" spans="1:15">
      <c r="A254" s="6">
        <v>268</v>
      </c>
      <c r="B254" s="6" t="s">
        <v>1161</v>
      </c>
      <c r="M254" s="6"/>
      <c r="N254" s="6"/>
      <c r="O254" s="6"/>
    </row>
    <row r="255" spans="1:15">
      <c r="A255" s="6">
        <v>269</v>
      </c>
      <c r="B255" s="6" t="s">
        <v>1162</v>
      </c>
      <c r="M255" s="6"/>
      <c r="N255" s="6"/>
      <c r="O255" s="6"/>
    </row>
    <row r="256" spans="1:15">
      <c r="A256" s="6">
        <v>270</v>
      </c>
      <c r="B256" s="6" t="s">
        <v>1163</v>
      </c>
      <c r="M256" s="6"/>
      <c r="N256" s="6"/>
      <c r="O256" s="6"/>
    </row>
    <row r="257" spans="1:15">
      <c r="A257" s="6">
        <v>271</v>
      </c>
      <c r="B257" s="6" t="s">
        <v>1164</v>
      </c>
      <c r="M257" s="6"/>
      <c r="N257" s="6"/>
      <c r="O257" s="6"/>
    </row>
    <row r="258" spans="1:15">
      <c r="A258" s="6">
        <v>272</v>
      </c>
      <c r="B258" s="6" t="s">
        <v>1165</v>
      </c>
      <c r="M258" s="6"/>
      <c r="N258" s="6"/>
      <c r="O258" s="6"/>
    </row>
    <row r="259" spans="1:15">
      <c r="A259" s="6">
        <v>273</v>
      </c>
      <c r="B259" s="6" t="s">
        <v>1166</v>
      </c>
      <c r="M259" s="6"/>
      <c r="N259" s="6"/>
      <c r="O259" s="6"/>
    </row>
    <row r="260" spans="1:15">
      <c r="A260" s="6">
        <v>274</v>
      </c>
      <c r="B260" s="6" t="s">
        <v>1154</v>
      </c>
      <c r="M260" s="6"/>
      <c r="N260" s="6"/>
      <c r="O260" s="6"/>
    </row>
    <row r="261" spans="1:15">
      <c r="A261" s="6">
        <v>275</v>
      </c>
      <c r="B261" s="6" t="s">
        <v>1167</v>
      </c>
      <c r="M261" s="6"/>
      <c r="N261" s="6"/>
      <c r="O261" s="6"/>
    </row>
    <row r="262" spans="1:15">
      <c r="A262" s="6">
        <v>276</v>
      </c>
      <c r="B262" s="6" t="s">
        <v>1168</v>
      </c>
      <c r="M262" s="6"/>
      <c r="N262" s="6"/>
      <c r="O262" s="6"/>
    </row>
    <row r="263" spans="1:15">
      <c r="A263" s="6">
        <v>277</v>
      </c>
      <c r="B263" s="6" t="s">
        <v>1169</v>
      </c>
      <c r="M263" s="6"/>
      <c r="N263" s="6"/>
      <c r="O263" s="6"/>
    </row>
    <row r="264" spans="1:15">
      <c r="A264" s="6">
        <v>278</v>
      </c>
      <c r="B264" s="6" t="s">
        <v>1168</v>
      </c>
      <c r="M264" s="6"/>
      <c r="N264" s="6"/>
      <c r="O264" s="6"/>
    </row>
    <row r="265" spans="1:15">
      <c r="A265" s="6">
        <v>279</v>
      </c>
      <c r="B265" s="6" t="s">
        <v>1168</v>
      </c>
      <c r="M265" s="6"/>
      <c r="N265" s="6"/>
      <c r="O265" s="6"/>
    </row>
    <row r="266" spans="1:15">
      <c r="A266" s="6">
        <v>280</v>
      </c>
      <c r="B266" s="6" t="s">
        <v>1168</v>
      </c>
      <c r="M266" s="6"/>
      <c r="N266" s="6"/>
      <c r="O266" s="6"/>
    </row>
    <row r="267" spans="1:15">
      <c r="A267" s="6">
        <v>281</v>
      </c>
      <c r="B267" s="6" t="s">
        <v>1168</v>
      </c>
      <c r="M267" s="6"/>
      <c r="N267" s="6"/>
      <c r="O267" s="6"/>
    </row>
    <row r="268" spans="1:15">
      <c r="A268" s="6">
        <v>282</v>
      </c>
      <c r="B268" s="6">
        <v>1024</v>
      </c>
      <c r="M268" s="6"/>
      <c r="N268" s="6"/>
      <c r="O268" s="6"/>
    </row>
    <row r="269" spans="1:15">
      <c r="A269" s="6">
        <v>283</v>
      </c>
      <c r="B269" s="6" t="s">
        <v>1170</v>
      </c>
      <c r="M269" s="6"/>
      <c r="N269" s="6"/>
      <c r="O269" s="6"/>
    </row>
    <row r="270" spans="1:15">
      <c r="A270" s="6">
        <v>284</v>
      </c>
      <c r="B270" s="6" t="s">
        <v>1171</v>
      </c>
      <c r="M270" s="6"/>
      <c r="N270" s="6"/>
      <c r="O270" s="6"/>
    </row>
    <row r="271" spans="1:15">
      <c r="A271" s="6">
        <v>285</v>
      </c>
      <c r="B271" s="6" t="s">
        <v>1172</v>
      </c>
      <c r="M271" s="6"/>
      <c r="N271" s="6"/>
      <c r="O271" s="6"/>
    </row>
    <row r="272" spans="1:15">
      <c r="A272" s="6">
        <v>286</v>
      </c>
      <c r="B272" s="6" t="s">
        <v>1173</v>
      </c>
      <c r="M272" s="6"/>
      <c r="N272" s="6"/>
      <c r="O272" s="6"/>
    </row>
    <row r="273" spans="1:15">
      <c r="A273" s="6">
        <v>287</v>
      </c>
      <c r="B273" s="6" t="s">
        <v>1174</v>
      </c>
      <c r="M273" s="6"/>
      <c r="N273" s="6"/>
      <c r="O273" s="6"/>
    </row>
    <row r="274" spans="1:15">
      <c r="A274" s="6">
        <v>288</v>
      </c>
      <c r="B274" s="6" t="s">
        <v>1175</v>
      </c>
      <c r="M274" s="6"/>
      <c r="N274" s="6"/>
      <c r="O274" s="6"/>
    </row>
    <row r="275" spans="1:15">
      <c r="A275" s="6">
        <v>289</v>
      </c>
      <c r="B275" s="6" t="s">
        <v>1176</v>
      </c>
      <c r="M275" s="6"/>
      <c r="N275" s="6"/>
      <c r="O275" s="6"/>
    </row>
    <row r="276" spans="1:15">
      <c r="A276" s="6">
        <v>290</v>
      </c>
      <c r="B276" s="6" t="s">
        <v>1177</v>
      </c>
      <c r="M276" s="6"/>
      <c r="N276" s="6"/>
      <c r="O276" s="6"/>
    </row>
    <row r="277" spans="1:15">
      <c r="A277" s="6">
        <v>291</v>
      </c>
      <c r="B277" s="6" t="s">
        <v>1178</v>
      </c>
      <c r="M277" s="6"/>
      <c r="N277" s="6"/>
      <c r="O277" s="6"/>
    </row>
    <row r="278" spans="1:15">
      <c r="A278" s="6">
        <v>292</v>
      </c>
      <c r="B278" s="6" t="s">
        <v>1179</v>
      </c>
      <c r="M278" s="6"/>
      <c r="N278" s="6"/>
      <c r="O278" s="6"/>
    </row>
    <row r="279" spans="1:15">
      <c r="A279" s="6">
        <v>293</v>
      </c>
      <c r="B279" s="6" t="s">
        <v>1180</v>
      </c>
      <c r="M279" s="6"/>
      <c r="N279" s="6"/>
      <c r="O279" s="6"/>
    </row>
    <row r="280" spans="1:15">
      <c r="A280" s="6">
        <v>294</v>
      </c>
      <c r="B280" s="6" t="s">
        <v>1181</v>
      </c>
      <c r="M280" s="6"/>
      <c r="N280" s="6"/>
      <c r="O280" s="6"/>
    </row>
    <row r="281" spans="1:15">
      <c r="A281" s="6">
        <v>295</v>
      </c>
      <c r="B281" s="6" t="s">
        <v>1182</v>
      </c>
      <c r="M281" s="6"/>
      <c r="N281" s="6"/>
      <c r="O281" s="6"/>
    </row>
    <row r="282" spans="1:15">
      <c r="A282" s="6">
        <v>296</v>
      </c>
      <c r="B282" s="6" t="s">
        <v>1183</v>
      </c>
      <c r="M282" s="6"/>
      <c r="N282" s="6"/>
      <c r="O282" s="6"/>
    </row>
    <row r="283" spans="1:15">
      <c r="A283" s="6">
        <v>297</v>
      </c>
      <c r="B283" s="6" t="s">
        <v>1184</v>
      </c>
      <c r="M283" s="6"/>
      <c r="N283" s="6"/>
      <c r="O283" s="6"/>
    </row>
    <row r="284" spans="1:15">
      <c r="A284" s="6">
        <v>298</v>
      </c>
      <c r="B284" s="6" t="s">
        <v>1185</v>
      </c>
      <c r="M284" s="6"/>
      <c r="N284" s="6"/>
      <c r="O284" s="6"/>
    </row>
    <row r="285" spans="1:15">
      <c r="A285" s="6">
        <v>299</v>
      </c>
      <c r="B285" s="6" t="s">
        <v>1186</v>
      </c>
      <c r="M285" s="6"/>
      <c r="N285" s="6"/>
      <c r="O285" s="6"/>
    </row>
    <row r="286" spans="1:15">
      <c r="A286" s="6">
        <v>300</v>
      </c>
      <c r="B286" s="6" t="s">
        <v>1187</v>
      </c>
      <c r="M286" s="6"/>
      <c r="N286" s="6"/>
      <c r="O286" s="6"/>
    </row>
    <row r="287" spans="1:15">
      <c r="A287" s="6">
        <v>301</v>
      </c>
      <c r="B287" s="6" t="s">
        <v>1188</v>
      </c>
      <c r="M287" s="6"/>
      <c r="N287" s="6"/>
      <c r="O287" s="6"/>
    </row>
    <row r="288" spans="1:15">
      <c r="A288" s="6">
        <v>302</v>
      </c>
      <c r="B288" s="6" t="s">
        <v>1189</v>
      </c>
      <c r="M288" s="6"/>
      <c r="N288" s="6"/>
      <c r="O288" s="6"/>
    </row>
    <row r="289" spans="1:15">
      <c r="A289" s="6">
        <v>303</v>
      </c>
      <c r="B289" s="6" t="s">
        <v>1190</v>
      </c>
      <c r="M289" s="6"/>
      <c r="N289" s="6"/>
      <c r="O289" s="6"/>
    </row>
    <row r="290" spans="1:15">
      <c r="A290" s="6">
        <v>304</v>
      </c>
      <c r="B290" s="6" t="s">
        <v>1191</v>
      </c>
      <c r="M290" s="6"/>
      <c r="N290" s="6"/>
      <c r="O290" s="6"/>
    </row>
    <row r="291" spans="1:15">
      <c r="A291" s="6">
        <v>305</v>
      </c>
      <c r="B291" s="6" t="s">
        <v>1192</v>
      </c>
      <c r="M291" s="6"/>
      <c r="N291" s="6"/>
      <c r="O291" s="6"/>
    </row>
    <row r="292" spans="1:15">
      <c r="A292" s="6">
        <v>306</v>
      </c>
      <c r="B292" s="6" t="s">
        <v>1193</v>
      </c>
      <c r="M292" s="6"/>
      <c r="N292" s="6"/>
      <c r="O292" s="6"/>
    </row>
    <row r="293" spans="1:15">
      <c r="A293" s="6">
        <v>307</v>
      </c>
      <c r="B293" s="6" t="s">
        <v>1194</v>
      </c>
      <c r="M293" s="6"/>
      <c r="N293" s="6"/>
      <c r="O293" s="6"/>
    </row>
    <row r="294" spans="1:15">
      <c r="A294" s="6">
        <v>308</v>
      </c>
      <c r="B294" s="6" t="s">
        <v>1195</v>
      </c>
      <c r="M294" s="6"/>
      <c r="N294" s="6"/>
      <c r="O294" s="6"/>
    </row>
    <row r="295" spans="1:15">
      <c r="A295" s="6">
        <v>309</v>
      </c>
      <c r="B295" s="6" t="s">
        <v>1196</v>
      </c>
      <c r="M295" s="6"/>
      <c r="N295" s="6"/>
      <c r="O295" s="6"/>
    </row>
    <row r="296" spans="1:15">
      <c r="A296" s="6">
        <v>310</v>
      </c>
      <c r="B296" s="6" t="s">
        <v>1197</v>
      </c>
      <c r="M296" s="6"/>
      <c r="N296" s="6"/>
      <c r="O296" s="6"/>
    </row>
    <row r="297" spans="1:15">
      <c r="A297" s="6">
        <v>311</v>
      </c>
      <c r="B297" s="6" t="s">
        <v>1198</v>
      </c>
      <c r="M297" s="6"/>
      <c r="N297" s="6"/>
      <c r="O297" s="6"/>
    </row>
    <row r="298" spans="1:15">
      <c r="A298" s="6">
        <v>312</v>
      </c>
      <c r="B298" s="6" t="s">
        <v>1199</v>
      </c>
      <c r="M298" s="6"/>
      <c r="N298" s="6"/>
      <c r="O298" s="6"/>
    </row>
    <row r="299" spans="1:15">
      <c r="A299" s="6">
        <v>313</v>
      </c>
      <c r="B299" s="6" t="s">
        <v>1200</v>
      </c>
      <c r="M299" s="6"/>
      <c r="N299" s="6"/>
      <c r="O299" s="6"/>
    </row>
    <row r="300" spans="1:15">
      <c r="A300" s="6">
        <v>314</v>
      </c>
      <c r="B300" s="6" t="s">
        <v>1201</v>
      </c>
      <c r="M300" s="6"/>
      <c r="N300" s="6"/>
      <c r="O300" s="6"/>
    </row>
    <row r="301" spans="1:15">
      <c r="A301" s="6">
        <v>315</v>
      </c>
      <c r="B301" s="6" t="s">
        <v>1202</v>
      </c>
      <c r="M301" s="6"/>
      <c r="N301" s="6"/>
      <c r="O301" s="6"/>
    </row>
    <row r="302" spans="1:15">
      <c r="A302" s="6">
        <v>316</v>
      </c>
      <c r="B302" s="6" t="s">
        <v>1203</v>
      </c>
      <c r="M302" s="6"/>
      <c r="N302" s="6"/>
      <c r="O302" s="6"/>
    </row>
    <row r="303" spans="1:15">
      <c r="A303" s="6">
        <v>317</v>
      </c>
      <c r="B303" s="6" t="s">
        <v>1204</v>
      </c>
      <c r="M303" s="6"/>
      <c r="N303" s="6"/>
      <c r="O303" s="6"/>
    </row>
    <row r="304" spans="1:15">
      <c r="A304" s="6">
        <v>318</v>
      </c>
      <c r="B304" s="6" t="s">
        <v>1205</v>
      </c>
      <c r="M304" s="6"/>
      <c r="N304" s="6"/>
      <c r="O304" s="6"/>
    </row>
    <row r="305" spans="1:15">
      <c r="A305" s="6">
        <v>321</v>
      </c>
      <c r="B305" s="6" t="s">
        <v>1206</v>
      </c>
      <c r="M305" s="6"/>
      <c r="N305" s="6"/>
      <c r="O305" s="6"/>
    </row>
    <row r="306" spans="1:15">
      <c r="A306" s="6">
        <v>322</v>
      </c>
      <c r="B306" s="6" t="s">
        <v>564</v>
      </c>
      <c r="M306" s="6"/>
      <c r="N306" s="6"/>
      <c r="O306" s="6"/>
    </row>
    <row r="307" spans="1:15">
      <c r="A307" s="6">
        <v>323</v>
      </c>
      <c r="B307" s="6" t="s">
        <v>1207</v>
      </c>
      <c r="M307" s="6"/>
      <c r="N307" s="6"/>
      <c r="O307" s="6"/>
    </row>
    <row r="308" spans="1:15">
      <c r="A308" s="6">
        <v>324</v>
      </c>
      <c r="B308" s="6" t="s">
        <v>1208</v>
      </c>
      <c r="M308" s="6"/>
      <c r="N308" s="6"/>
      <c r="O308" s="6"/>
    </row>
    <row r="309" spans="1:15">
      <c r="A309" s="6">
        <v>325</v>
      </c>
      <c r="B309" s="6" t="s">
        <v>1209</v>
      </c>
      <c r="M309" s="6"/>
      <c r="N309" s="6"/>
      <c r="O309" s="6"/>
    </row>
    <row r="310" spans="1:15">
      <c r="A310" s="6">
        <v>330</v>
      </c>
      <c r="B310" s="6" t="s">
        <v>1210</v>
      </c>
      <c r="M310" s="6"/>
      <c r="N310" s="6"/>
      <c r="O310" s="6"/>
    </row>
    <row r="311" spans="1:15">
      <c r="A311" s="6">
        <v>331</v>
      </c>
      <c r="B311" s="6" t="s">
        <v>1211</v>
      </c>
      <c r="M311" s="6"/>
      <c r="N311" s="6"/>
      <c r="O311" s="6"/>
    </row>
    <row r="312" spans="1:15">
      <c r="A312" s="6">
        <v>332</v>
      </c>
      <c r="B312" s="6" t="s">
        <v>1212</v>
      </c>
      <c r="M312" s="6"/>
      <c r="N312" s="6"/>
      <c r="O312" s="6"/>
    </row>
    <row r="313" spans="1:15">
      <c r="A313" s="6">
        <v>333</v>
      </c>
      <c r="B313" s="6" t="s">
        <v>522</v>
      </c>
      <c r="M313" s="6"/>
      <c r="N313" s="6"/>
      <c r="O313" s="6"/>
    </row>
    <row r="314" spans="1:15">
      <c r="A314" s="6">
        <v>334</v>
      </c>
      <c r="B314" s="6" t="s">
        <v>1213</v>
      </c>
      <c r="M314" s="6"/>
      <c r="N314" s="6"/>
      <c r="O314" s="6"/>
    </row>
    <row r="315" spans="1:15">
      <c r="A315" s="6">
        <v>337</v>
      </c>
      <c r="B315" s="6" t="s">
        <v>1214</v>
      </c>
      <c r="M315" s="6"/>
      <c r="N315" s="6"/>
      <c r="O315" s="6"/>
    </row>
    <row r="316" spans="1:15">
      <c r="A316" s="6">
        <v>338</v>
      </c>
      <c r="B316" s="6" t="s">
        <v>1215</v>
      </c>
      <c r="M316" s="6"/>
      <c r="N316" s="6"/>
      <c r="O316" s="6"/>
    </row>
    <row r="317" spans="1:15">
      <c r="A317" s="6">
        <v>339</v>
      </c>
      <c r="B317" s="6" t="s">
        <v>1216</v>
      </c>
      <c r="M317" s="6"/>
      <c r="N317" s="6"/>
      <c r="O317" s="6"/>
    </row>
    <row r="318" spans="1:15">
      <c r="A318" s="6">
        <v>340</v>
      </c>
      <c r="B318" s="6" t="s">
        <v>1217</v>
      </c>
      <c r="M318" s="6"/>
      <c r="N318" s="6"/>
      <c r="O318" s="6"/>
    </row>
    <row r="319" spans="1:15">
      <c r="A319" s="6">
        <v>341</v>
      </c>
      <c r="B319" s="6" t="s">
        <v>1218</v>
      </c>
      <c r="M319" s="6"/>
      <c r="N319" s="6"/>
      <c r="O319" s="6"/>
    </row>
    <row r="320" spans="1:15">
      <c r="A320" s="6">
        <v>342</v>
      </c>
      <c r="B320" s="6" t="s">
        <v>1219</v>
      </c>
      <c r="M320" s="6"/>
      <c r="N320" s="6"/>
      <c r="O320" s="6"/>
    </row>
    <row r="321" spans="1:15">
      <c r="A321" s="6">
        <v>343</v>
      </c>
      <c r="B321" s="6" t="s">
        <v>1220</v>
      </c>
      <c r="M321" s="6"/>
      <c r="N321" s="6"/>
      <c r="O321" s="6"/>
    </row>
    <row r="322" spans="1:15">
      <c r="A322" s="6">
        <v>344</v>
      </c>
      <c r="B322" s="6" t="s">
        <v>1221</v>
      </c>
      <c r="M322" s="6"/>
      <c r="N322" s="6"/>
      <c r="O322" s="6"/>
    </row>
    <row r="323" spans="1:15">
      <c r="A323" s="6">
        <v>347</v>
      </c>
      <c r="B323" s="6" t="s">
        <v>1222</v>
      </c>
      <c r="M323" s="6"/>
      <c r="N323" s="6"/>
      <c r="O323" s="6"/>
    </row>
    <row r="324" spans="1:15">
      <c r="A324" s="6">
        <v>348</v>
      </c>
      <c r="B324" s="6" t="s">
        <v>1223</v>
      </c>
      <c r="M324" s="6"/>
      <c r="N324" s="6"/>
      <c r="O324" s="6"/>
    </row>
    <row r="325" spans="1:15">
      <c r="A325" s="6">
        <v>349</v>
      </c>
      <c r="B325" s="6" t="s">
        <v>1224</v>
      </c>
      <c r="M325" s="6"/>
      <c r="N325" s="6"/>
      <c r="O325" s="6"/>
    </row>
    <row r="326" spans="1:15">
      <c r="A326" s="6">
        <v>350</v>
      </c>
      <c r="B326" s="6" t="s">
        <v>1225</v>
      </c>
      <c r="M326" s="6"/>
      <c r="N326" s="6"/>
      <c r="O326" s="6"/>
    </row>
    <row r="327" spans="1:15">
      <c r="A327" s="6">
        <v>354</v>
      </c>
      <c r="B327" s="6" t="s">
        <v>1226</v>
      </c>
      <c r="M327" s="6"/>
      <c r="N327" s="6"/>
      <c r="O327" s="6"/>
    </row>
    <row r="328" spans="1:15">
      <c r="A328" s="6">
        <v>355</v>
      </c>
      <c r="B328" s="6" t="s">
        <v>1227</v>
      </c>
      <c r="M328" s="6"/>
      <c r="N328" s="6"/>
      <c r="O328" s="6"/>
    </row>
    <row r="329" spans="1:15">
      <c r="A329" s="6">
        <v>356</v>
      </c>
      <c r="B329" s="6" t="s">
        <v>1228</v>
      </c>
      <c r="M329" s="6"/>
      <c r="N329" s="6"/>
      <c r="O329" s="6"/>
    </row>
    <row r="330" spans="1:15">
      <c r="A330" s="6">
        <v>357</v>
      </c>
      <c r="B330" s="6" t="s">
        <v>1229</v>
      </c>
      <c r="M330" s="6"/>
      <c r="N330" s="6"/>
      <c r="O330" s="6"/>
    </row>
    <row r="331" spans="1:15">
      <c r="A331" s="6">
        <v>358</v>
      </c>
      <c r="B331" s="6" t="s">
        <v>1230</v>
      </c>
      <c r="M331" s="6"/>
      <c r="N331" s="6"/>
      <c r="O331" s="6"/>
    </row>
    <row r="332" spans="1:15">
      <c r="A332" s="6">
        <v>359</v>
      </c>
      <c r="B332" s="6" t="s">
        <v>1231</v>
      </c>
      <c r="M332" s="6"/>
      <c r="N332" s="6"/>
      <c r="O332" s="6"/>
    </row>
    <row r="333" spans="1:15">
      <c r="A333" s="6">
        <v>360</v>
      </c>
      <c r="B333" s="6" t="s">
        <v>1232</v>
      </c>
      <c r="M333" s="6"/>
      <c r="N333" s="6"/>
      <c r="O333" s="6"/>
    </row>
    <row r="334" spans="1:15">
      <c r="A334" s="6">
        <v>361</v>
      </c>
      <c r="B334" s="6" t="s">
        <v>1233</v>
      </c>
      <c r="M334" s="6"/>
      <c r="N334" s="6"/>
      <c r="O334" s="6"/>
    </row>
    <row r="335" spans="1:15">
      <c r="A335" s="6">
        <v>362</v>
      </c>
      <c r="B335" s="6" t="s">
        <v>1234</v>
      </c>
    </row>
    <row r="336" spans="1:15">
      <c r="A336" s="6">
        <v>364</v>
      </c>
      <c r="B336" s="6" t="s">
        <v>1235</v>
      </c>
    </row>
    <row r="337" spans="1:2">
      <c r="A337" s="6">
        <v>365</v>
      </c>
      <c r="B337" s="6" t="s">
        <v>1236</v>
      </c>
    </row>
    <row r="338" spans="1:2">
      <c r="A338" s="6">
        <v>366</v>
      </c>
      <c r="B338" s="6" t="s">
        <v>1237</v>
      </c>
    </row>
    <row r="339" spans="1:2">
      <c r="A339" s="6">
        <v>368</v>
      </c>
      <c r="B339" s="6" t="s">
        <v>1238</v>
      </c>
    </row>
    <row r="340" spans="1:2">
      <c r="A340" s="6">
        <v>369</v>
      </c>
      <c r="B340" s="6" t="s">
        <v>1239</v>
      </c>
    </row>
    <row r="341" spans="1:2">
      <c r="A341" s="6">
        <v>370</v>
      </c>
      <c r="B341" s="6" t="s">
        <v>1240</v>
      </c>
    </row>
    <row r="342" spans="1:2">
      <c r="A342" s="6">
        <v>406</v>
      </c>
      <c r="B342" s="6" t="s">
        <v>1241</v>
      </c>
    </row>
    <row r="343" spans="1:2">
      <c r="A343" s="6">
        <v>407</v>
      </c>
      <c r="B343" s="6" t="s">
        <v>1242</v>
      </c>
    </row>
    <row r="344" spans="1:2">
      <c r="A344" s="6">
        <v>410</v>
      </c>
      <c r="B344" s="6" t="s">
        <v>1243</v>
      </c>
    </row>
    <row r="345" spans="1:2">
      <c r="A345" s="6">
        <v>411</v>
      </c>
      <c r="B345" s="6" t="s">
        <v>1244</v>
      </c>
    </row>
    <row r="346" spans="1:2">
      <c r="A346" s="6">
        <v>412</v>
      </c>
      <c r="B346" s="6" t="s">
        <v>1245</v>
      </c>
    </row>
    <row r="347" spans="1:2">
      <c r="A347" s="6">
        <v>413</v>
      </c>
      <c r="B347" s="6" t="s">
        <v>1246</v>
      </c>
    </row>
    <row r="348" spans="1:2">
      <c r="A348" s="6">
        <v>414</v>
      </c>
      <c r="B348" s="6" t="s">
        <v>1247</v>
      </c>
    </row>
    <row r="349" spans="1:2">
      <c r="A349" s="6">
        <v>415</v>
      </c>
      <c r="B349" s="6" t="s">
        <v>1248</v>
      </c>
    </row>
    <row r="350" spans="1:2">
      <c r="A350" s="6">
        <v>417</v>
      </c>
      <c r="B350" s="6" t="s">
        <v>1249</v>
      </c>
    </row>
    <row r="351" spans="1:2">
      <c r="A351" s="6">
        <v>418</v>
      </c>
      <c r="B351" s="6" t="s">
        <v>1250</v>
      </c>
    </row>
    <row r="352" spans="1:2">
      <c r="A352" s="6">
        <v>419</v>
      </c>
      <c r="B352" s="6" t="s">
        <v>1251</v>
      </c>
    </row>
    <row r="353" spans="1:2">
      <c r="A353" s="6">
        <v>420</v>
      </c>
      <c r="B353" s="6" t="s">
        <v>1252</v>
      </c>
    </row>
    <row r="354" spans="1:2">
      <c r="A354" s="6">
        <v>421</v>
      </c>
      <c r="B354" s="6" t="s">
        <v>1253</v>
      </c>
    </row>
    <row r="355" spans="1:2">
      <c r="A355" s="6">
        <v>422</v>
      </c>
      <c r="B355" s="6" t="s">
        <v>1254</v>
      </c>
    </row>
    <row r="356" spans="1:2">
      <c r="A356" s="6">
        <v>423</v>
      </c>
      <c r="B356" s="6" t="s">
        <v>1255</v>
      </c>
    </row>
    <row r="357" spans="1:2">
      <c r="A357" s="6">
        <v>424</v>
      </c>
      <c r="B357" s="6" t="s">
        <v>1256</v>
      </c>
    </row>
    <row r="358" spans="1:2">
      <c r="A358" s="6">
        <v>425</v>
      </c>
      <c r="B358" s="6" t="s">
        <v>1257</v>
      </c>
    </row>
    <row r="359" spans="1:2">
      <c r="A359" s="6">
        <v>426</v>
      </c>
      <c r="B359" s="6" t="s">
        <v>1258</v>
      </c>
    </row>
    <row r="360" spans="1:2">
      <c r="A360" s="6">
        <v>427</v>
      </c>
      <c r="B360" s="6" t="s">
        <v>1259</v>
      </c>
    </row>
    <row r="361" spans="1:2">
      <c r="A361" s="6">
        <v>428</v>
      </c>
      <c r="B361" s="6" t="s">
        <v>1260</v>
      </c>
    </row>
    <row r="362" spans="1:2">
      <c r="A362" s="6">
        <v>431</v>
      </c>
      <c r="B362" s="6" t="s">
        <v>1261</v>
      </c>
    </row>
    <row r="363" spans="1:2">
      <c r="A363" s="6">
        <v>432</v>
      </c>
      <c r="B363" s="6" t="s">
        <v>1262</v>
      </c>
    </row>
    <row r="364" spans="1:2">
      <c r="A364" s="6">
        <v>433</v>
      </c>
      <c r="B364" s="6" t="s">
        <v>1263</v>
      </c>
    </row>
    <row r="365" spans="1:2">
      <c r="A365" s="6">
        <v>434</v>
      </c>
      <c r="B365" s="6" t="s">
        <v>1264</v>
      </c>
    </row>
    <row r="366" spans="1:2">
      <c r="A366" s="6">
        <v>435</v>
      </c>
      <c r="B366" s="6" t="s">
        <v>1265</v>
      </c>
    </row>
    <row r="367" spans="1:2">
      <c r="A367" s="6">
        <v>436</v>
      </c>
      <c r="B367" s="6" t="s">
        <v>1266</v>
      </c>
    </row>
    <row r="368" spans="1:2">
      <c r="A368" s="6">
        <v>437</v>
      </c>
      <c r="B368" s="6" t="s">
        <v>1267</v>
      </c>
    </row>
    <row r="369" spans="1:2">
      <c r="A369" s="6">
        <v>438</v>
      </c>
      <c r="B369" s="6" t="s">
        <v>1268</v>
      </c>
    </row>
    <row r="370" spans="1:2">
      <c r="A370" s="6">
        <v>439</v>
      </c>
      <c r="B370" s="6" t="s">
        <v>1269</v>
      </c>
    </row>
    <row r="371" spans="1:2">
      <c r="A371" s="6">
        <v>440</v>
      </c>
      <c r="B371" s="6" t="s">
        <v>1270</v>
      </c>
    </row>
    <row r="372" spans="1:2">
      <c r="A372" s="6">
        <v>441</v>
      </c>
      <c r="B372" s="6" t="s">
        <v>1271</v>
      </c>
    </row>
    <row r="373" spans="1:2">
      <c r="A373" s="6">
        <v>442</v>
      </c>
      <c r="B373" s="6" t="s">
        <v>1272</v>
      </c>
    </row>
    <row r="374" spans="1:2">
      <c r="A374" s="6">
        <v>443</v>
      </c>
      <c r="B374" s="6" t="s">
        <v>1273</v>
      </c>
    </row>
    <row r="375" spans="1:2">
      <c r="A375" s="6">
        <v>444</v>
      </c>
      <c r="B375" s="6" t="s">
        <v>1274</v>
      </c>
    </row>
    <row r="376" spans="1:2">
      <c r="A376" s="6">
        <v>445</v>
      </c>
      <c r="B376" s="6" t="s">
        <v>1275</v>
      </c>
    </row>
    <row r="377" spans="1:2">
      <c r="A377" s="6">
        <v>446</v>
      </c>
      <c r="B377" s="6" t="s">
        <v>1012</v>
      </c>
    </row>
    <row r="378" spans="1:2">
      <c r="A378" s="6">
        <v>447</v>
      </c>
      <c r="B378" s="6" t="s">
        <v>1276</v>
      </c>
    </row>
    <row r="379" spans="1:2">
      <c r="A379" s="6">
        <v>448</v>
      </c>
      <c r="B379" s="6" t="s">
        <v>1277</v>
      </c>
    </row>
    <row r="380" spans="1:2">
      <c r="A380" s="6">
        <v>450</v>
      </c>
      <c r="B380" s="6" t="s">
        <v>1278</v>
      </c>
    </row>
    <row r="381" spans="1:2">
      <c r="A381" s="6">
        <v>451</v>
      </c>
      <c r="B381" s="6" t="s">
        <v>1279</v>
      </c>
    </row>
    <row r="382" spans="1:2">
      <c r="A382" s="6">
        <v>452</v>
      </c>
      <c r="B382" s="6" t="s">
        <v>1280</v>
      </c>
    </row>
    <row r="383" spans="1:2">
      <c r="A383" s="6">
        <v>453</v>
      </c>
      <c r="B383" s="6" t="s">
        <v>1281</v>
      </c>
    </row>
    <row r="384" spans="1:2">
      <c r="A384" s="6">
        <v>454</v>
      </c>
      <c r="B384" s="6" t="s">
        <v>1282</v>
      </c>
    </row>
    <row r="385" spans="1:2">
      <c r="A385" s="6">
        <v>455</v>
      </c>
      <c r="B385" s="6" t="s">
        <v>1283</v>
      </c>
    </row>
    <row r="386" spans="1:2">
      <c r="A386" s="6">
        <v>457</v>
      </c>
      <c r="B386" s="6" t="s">
        <v>1284</v>
      </c>
    </row>
    <row r="387" spans="1:2">
      <c r="A387" s="6">
        <v>458</v>
      </c>
      <c r="B387" s="6" t="s">
        <v>1285</v>
      </c>
    </row>
    <row r="388" spans="1:2">
      <c r="A388" s="6">
        <v>459</v>
      </c>
      <c r="B388" s="6" t="s">
        <v>1286</v>
      </c>
    </row>
    <row r="389" spans="1:2">
      <c r="A389" s="6">
        <v>460</v>
      </c>
      <c r="B389" s="6" t="s">
        <v>1287</v>
      </c>
    </row>
    <row r="390" spans="1:2">
      <c r="A390" s="6">
        <v>461</v>
      </c>
      <c r="B390" s="6" t="s">
        <v>1288</v>
      </c>
    </row>
    <row r="391" spans="1:2">
      <c r="A391" s="6">
        <v>462</v>
      </c>
      <c r="B391" s="6" t="s">
        <v>1289</v>
      </c>
    </row>
    <row r="392" spans="1:2">
      <c r="A392" s="6">
        <v>463</v>
      </c>
      <c r="B392" s="6" t="s">
        <v>1290</v>
      </c>
    </row>
    <row r="393" spans="1:2">
      <c r="A393" s="6">
        <v>464</v>
      </c>
      <c r="B393" s="6" t="s">
        <v>1291</v>
      </c>
    </row>
    <row r="394" spans="1:2">
      <c r="A394" s="6">
        <v>465</v>
      </c>
      <c r="B394" s="6" t="s">
        <v>1292</v>
      </c>
    </row>
    <row r="395" spans="1:2">
      <c r="A395" s="6">
        <v>466</v>
      </c>
      <c r="B395" s="6" t="s">
        <v>1293</v>
      </c>
    </row>
    <row r="396" spans="1:2">
      <c r="A396" s="6">
        <v>467</v>
      </c>
      <c r="B396" s="6" t="s">
        <v>1294</v>
      </c>
    </row>
    <row r="397" spans="1:2">
      <c r="A397" s="6">
        <v>468</v>
      </c>
      <c r="B397" s="6" t="s">
        <v>1295</v>
      </c>
    </row>
    <row r="398" spans="1:2">
      <c r="A398" s="6">
        <v>469</v>
      </c>
      <c r="B398" s="6" t="s">
        <v>1296</v>
      </c>
    </row>
    <row r="399" spans="1:2">
      <c r="A399" s="6">
        <v>470</v>
      </c>
      <c r="B399" s="6" t="s">
        <v>1297</v>
      </c>
    </row>
    <row r="400" spans="1:2">
      <c r="A400" s="6">
        <v>471</v>
      </c>
      <c r="B400" s="6" t="s">
        <v>1298</v>
      </c>
    </row>
    <row r="401" spans="1:2">
      <c r="A401" s="6">
        <v>473</v>
      </c>
      <c r="B401" s="6" t="s">
        <v>1299</v>
      </c>
    </row>
    <row r="402" spans="1:2">
      <c r="A402" s="6">
        <v>474</v>
      </c>
      <c r="B402" s="6" t="s">
        <v>1300</v>
      </c>
    </row>
    <row r="403" spans="1:2">
      <c r="A403" s="6">
        <v>475</v>
      </c>
      <c r="B403" s="6" t="s">
        <v>1301</v>
      </c>
    </row>
    <row r="404" spans="1:2">
      <c r="A404" s="6">
        <v>476</v>
      </c>
      <c r="B404" s="6" t="s">
        <v>1302</v>
      </c>
    </row>
    <row r="405" spans="1:2">
      <c r="A405" s="6">
        <v>477</v>
      </c>
      <c r="B405" s="6" t="s">
        <v>1303</v>
      </c>
    </row>
    <row r="406" spans="1:2">
      <c r="A406" s="6">
        <v>478</v>
      </c>
      <c r="B406" s="6" t="s">
        <v>1304</v>
      </c>
    </row>
    <row r="407" spans="1:2">
      <c r="A407" s="6">
        <v>479</v>
      </c>
      <c r="B407" s="6" t="s">
        <v>1305</v>
      </c>
    </row>
    <row r="408" spans="1:2">
      <c r="A408" s="6">
        <v>480</v>
      </c>
      <c r="B408" s="6" t="s">
        <v>1306</v>
      </c>
    </row>
    <row r="409" spans="1:2">
      <c r="A409" s="6">
        <v>481</v>
      </c>
      <c r="B409" s="6" t="s">
        <v>1307</v>
      </c>
    </row>
    <row r="410" spans="1:2">
      <c r="A410" s="6">
        <v>482</v>
      </c>
      <c r="B410" s="6" t="s">
        <v>1308</v>
      </c>
    </row>
    <row r="411" spans="1:2">
      <c r="A411" s="6">
        <v>483</v>
      </c>
      <c r="B411" s="6" t="s">
        <v>1309</v>
      </c>
    </row>
    <row r="412" spans="1:2">
      <c r="A412" s="6">
        <v>484</v>
      </c>
      <c r="B412" s="6" t="s">
        <v>1310</v>
      </c>
    </row>
    <row r="413" spans="1:2">
      <c r="A413" s="6">
        <v>486</v>
      </c>
      <c r="B413" s="6" t="s">
        <v>1311</v>
      </c>
    </row>
    <row r="414" spans="1:2">
      <c r="A414" s="6">
        <v>487</v>
      </c>
      <c r="B414" s="6" t="s">
        <v>1312</v>
      </c>
    </row>
    <row r="415" spans="1:2">
      <c r="A415" s="6">
        <v>488</v>
      </c>
      <c r="B415" s="6" t="s">
        <v>1313</v>
      </c>
    </row>
    <row r="416" spans="1:2">
      <c r="A416" s="6">
        <v>489</v>
      </c>
      <c r="B416" s="6" t="s">
        <v>1314</v>
      </c>
    </row>
    <row r="417" spans="1:2">
      <c r="A417" s="6">
        <v>490</v>
      </c>
      <c r="B417" s="6" t="s">
        <v>1315</v>
      </c>
    </row>
    <row r="418" spans="1:2">
      <c r="A418" s="6">
        <v>491</v>
      </c>
      <c r="B418" s="6" t="s">
        <v>1316</v>
      </c>
    </row>
    <row r="419" spans="1:2">
      <c r="A419" s="6">
        <v>492</v>
      </c>
      <c r="B419" s="6" t="s">
        <v>1317</v>
      </c>
    </row>
    <row r="420" spans="1:2">
      <c r="A420" s="6">
        <v>493</v>
      </c>
      <c r="B420" s="6" t="s">
        <v>1318</v>
      </c>
    </row>
    <row r="421" spans="1:2">
      <c r="A421" s="6">
        <v>494</v>
      </c>
      <c r="B421" s="6" t="s">
        <v>1319</v>
      </c>
    </row>
    <row r="422" spans="1:2">
      <c r="A422" s="6">
        <v>495</v>
      </c>
      <c r="B422" s="6" t="s">
        <v>1320</v>
      </c>
    </row>
    <row r="423" spans="1:2">
      <c r="A423" s="6">
        <v>496</v>
      </c>
      <c r="B423" s="6" t="s">
        <v>1321</v>
      </c>
    </row>
    <row r="424" spans="1:2">
      <c r="A424" s="6">
        <v>497</v>
      </c>
      <c r="B424" s="6" t="s">
        <v>1322</v>
      </c>
    </row>
    <row r="425" spans="1:2">
      <c r="A425" s="6">
        <v>498</v>
      </c>
      <c r="B425" s="6" t="s">
        <v>1323</v>
      </c>
    </row>
    <row r="426" spans="1:2">
      <c r="A426" s="6">
        <v>499</v>
      </c>
      <c r="B426" s="6" t="s">
        <v>1324</v>
      </c>
    </row>
    <row r="427" spans="1:2">
      <c r="A427" s="6">
        <v>500</v>
      </c>
      <c r="B427" s="6" t="s">
        <v>1325</v>
      </c>
    </row>
    <row r="428" spans="1:2">
      <c r="A428" s="6">
        <v>501</v>
      </c>
      <c r="B428" s="6" t="s">
        <v>1326</v>
      </c>
    </row>
    <row r="429" spans="1:2">
      <c r="A429" s="6">
        <v>502</v>
      </c>
      <c r="B429" s="6" t="s">
        <v>1327</v>
      </c>
    </row>
    <row r="430" spans="1:2">
      <c r="A430" s="6">
        <v>503</v>
      </c>
      <c r="B430" s="6" t="s">
        <v>1328</v>
      </c>
    </row>
    <row r="431" spans="1:2">
      <c r="A431" s="6">
        <v>504</v>
      </c>
      <c r="B431" s="6" t="s">
        <v>1329</v>
      </c>
    </row>
    <row r="432" spans="1:2">
      <c r="A432" s="6">
        <v>505</v>
      </c>
      <c r="B432" s="6" t="s">
        <v>1330</v>
      </c>
    </row>
    <row r="433" spans="1:2">
      <c r="A433" s="6">
        <v>506</v>
      </c>
      <c r="B433" s="6" t="s">
        <v>1331</v>
      </c>
    </row>
    <row r="434" spans="1:2">
      <c r="A434" s="6">
        <v>507</v>
      </c>
      <c r="B434" s="6" t="s">
        <v>1332</v>
      </c>
    </row>
    <row r="435" spans="1:2">
      <c r="A435" s="6">
        <v>508</v>
      </c>
      <c r="B435" s="6" t="s">
        <v>1333</v>
      </c>
    </row>
    <row r="436" spans="1:2">
      <c r="A436" s="6">
        <v>509</v>
      </c>
      <c r="B436" s="6" t="s">
        <v>1334</v>
      </c>
    </row>
    <row r="437" spans="1:2">
      <c r="A437" s="6">
        <v>510</v>
      </c>
      <c r="B437" s="6" t="s">
        <v>1335</v>
      </c>
    </row>
    <row r="438" spans="1:2">
      <c r="A438" s="6">
        <v>511</v>
      </c>
      <c r="B438" s="6" t="s">
        <v>1336</v>
      </c>
    </row>
    <row r="439" spans="1:2">
      <c r="A439" s="6">
        <v>512</v>
      </c>
      <c r="B439" s="6" t="s">
        <v>1337</v>
      </c>
    </row>
    <row r="440" spans="1:2">
      <c r="A440" s="6">
        <v>513</v>
      </c>
      <c r="B440" s="6" t="s">
        <v>1294</v>
      </c>
    </row>
    <row r="441" spans="1:2">
      <c r="A441" s="6">
        <v>514</v>
      </c>
      <c r="B441" s="6" t="s">
        <v>1338</v>
      </c>
    </row>
    <row r="442" spans="1:2">
      <c r="A442" s="6">
        <v>515</v>
      </c>
      <c r="B442" s="6" t="s">
        <v>1339</v>
      </c>
    </row>
    <row r="443" spans="1:2">
      <c r="A443" s="6">
        <v>516</v>
      </c>
      <c r="B443" s="6" t="s">
        <v>1340</v>
      </c>
    </row>
    <row r="444" spans="1:2">
      <c r="A444" s="6">
        <v>517</v>
      </c>
      <c r="B444" s="6" t="s">
        <v>1341</v>
      </c>
    </row>
    <row r="445" spans="1:2">
      <c r="A445" s="6">
        <v>518</v>
      </c>
      <c r="B445" s="6" t="s">
        <v>1342</v>
      </c>
    </row>
    <row r="446" spans="1:2">
      <c r="A446" s="6">
        <v>519</v>
      </c>
      <c r="B446" s="6" t="s">
        <v>1343</v>
      </c>
    </row>
    <row r="447" spans="1:2">
      <c r="A447" s="6">
        <v>520</v>
      </c>
      <c r="B447" s="6" t="s">
        <v>1344</v>
      </c>
    </row>
    <row r="448" spans="1:2">
      <c r="A448" s="6">
        <v>521</v>
      </c>
      <c r="B448" s="6" t="s">
        <v>1345</v>
      </c>
    </row>
    <row r="449" spans="1:2">
      <c r="A449" s="6">
        <v>522</v>
      </c>
      <c r="B449" s="6" t="s">
        <v>1346</v>
      </c>
    </row>
    <row r="450" spans="1:2">
      <c r="A450" s="6">
        <v>523</v>
      </c>
      <c r="B450" s="6" t="s">
        <v>1347</v>
      </c>
    </row>
    <row r="451" spans="1:2">
      <c r="A451" s="6">
        <v>524</v>
      </c>
      <c r="B451" s="6" t="s">
        <v>1348</v>
      </c>
    </row>
    <row r="452" spans="1:2">
      <c r="A452" s="6">
        <v>525</v>
      </c>
      <c r="B452" s="6" t="s">
        <v>1349</v>
      </c>
    </row>
    <row r="453" spans="1:2">
      <c r="A453" s="6">
        <v>526</v>
      </c>
      <c r="B453" s="6" t="s">
        <v>1350</v>
      </c>
    </row>
    <row r="454" spans="1:2">
      <c r="A454" s="6">
        <v>527</v>
      </c>
      <c r="B454" s="6" t="s">
        <v>1351</v>
      </c>
    </row>
    <row r="455" spans="1:2">
      <c r="A455" s="6">
        <v>528</v>
      </c>
      <c r="B455" s="6" t="s">
        <v>1352</v>
      </c>
    </row>
    <row r="456" spans="1:2">
      <c r="A456" s="6">
        <v>529</v>
      </c>
      <c r="B456" s="6" t="s">
        <v>1353</v>
      </c>
    </row>
    <row r="457" spans="1:2">
      <c r="A457" s="6">
        <v>530</v>
      </c>
      <c r="B457" s="6" t="s">
        <v>1354</v>
      </c>
    </row>
    <row r="458" spans="1:2">
      <c r="A458" s="6">
        <v>531</v>
      </c>
      <c r="B458" s="6" t="s">
        <v>1355</v>
      </c>
    </row>
    <row r="459" spans="1:2">
      <c r="A459" s="6">
        <v>532</v>
      </c>
      <c r="B459" s="6" t="s">
        <v>1356</v>
      </c>
    </row>
    <row r="460" spans="1:2">
      <c r="A460" s="6">
        <v>533</v>
      </c>
      <c r="B460" s="6" t="s">
        <v>1357</v>
      </c>
    </row>
    <row r="461" spans="1:2">
      <c r="A461" s="6">
        <v>534</v>
      </c>
      <c r="B461" s="6" t="s">
        <v>1358</v>
      </c>
    </row>
    <row r="462" spans="1:2">
      <c r="A462" s="6">
        <v>535</v>
      </c>
      <c r="B462" s="6" t="s">
        <v>1359</v>
      </c>
    </row>
    <row r="463" spans="1:2">
      <c r="A463" s="6">
        <v>536</v>
      </c>
      <c r="B463" s="6" t="s">
        <v>1360</v>
      </c>
    </row>
    <row r="464" spans="1:2">
      <c r="A464" s="6">
        <v>537</v>
      </c>
      <c r="B464" s="6" t="s">
        <v>1361</v>
      </c>
    </row>
    <row r="465" spans="1:2">
      <c r="A465" s="6">
        <v>538</v>
      </c>
      <c r="B465" s="6" t="s">
        <v>1362</v>
      </c>
    </row>
    <row r="466" spans="1:2">
      <c r="A466" s="6">
        <v>539</v>
      </c>
      <c r="B466" s="6" t="s">
        <v>1363</v>
      </c>
    </row>
    <row r="467" spans="1:2">
      <c r="A467" s="6">
        <v>540</v>
      </c>
      <c r="B467" s="6" t="s">
        <v>1364</v>
      </c>
    </row>
    <row r="468" spans="1:2">
      <c r="A468" s="6">
        <v>541</v>
      </c>
      <c r="B468" s="6" t="s">
        <v>1365</v>
      </c>
    </row>
    <row r="469" spans="1:2">
      <c r="A469" s="6">
        <v>542</v>
      </c>
      <c r="B469" s="6" t="s">
        <v>1366</v>
      </c>
    </row>
    <row r="470" spans="1:2">
      <c r="A470" s="6">
        <v>543</v>
      </c>
      <c r="B470" s="6" t="s">
        <v>1367</v>
      </c>
    </row>
    <row r="471" spans="1:2">
      <c r="A471" s="6">
        <v>544</v>
      </c>
      <c r="B471" s="6" t="s">
        <v>1368</v>
      </c>
    </row>
    <row r="472" spans="1:2">
      <c r="A472" s="6">
        <v>545</v>
      </c>
      <c r="B472" s="6" t="s">
        <v>1369</v>
      </c>
    </row>
    <row r="473" spans="1:2">
      <c r="A473" s="6">
        <v>546</v>
      </c>
      <c r="B473" s="6" t="s">
        <v>1370</v>
      </c>
    </row>
    <row r="474" spans="1:2">
      <c r="A474" s="6">
        <v>547</v>
      </c>
      <c r="B474" s="6" t="s">
        <v>1371</v>
      </c>
    </row>
    <row r="475" spans="1:2">
      <c r="A475" s="6">
        <v>548</v>
      </c>
      <c r="B475" s="6" t="s">
        <v>1372</v>
      </c>
    </row>
    <row r="476" spans="1:2">
      <c r="A476" s="6">
        <v>549</v>
      </c>
      <c r="B476" s="6" t="s">
        <v>1373</v>
      </c>
    </row>
    <row r="477" spans="1:2">
      <c r="A477" s="6">
        <v>550</v>
      </c>
      <c r="B477" s="6" t="s">
        <v>1374</v>
      </c>
    </row>
    <row r="478" spans="1:2">
      <c r="A478" s="6">
        <v>551</v>
      </c>
      <c r="B478" s="6" t="s">
        <v>1375</v>
      </c>
    </row>
    <row r="479" spans="1:2">
      <c r="A479" s="6">
        <v>552</v>
      </c>
      <c r="B479" s="6" t="s">
        <v>1376</v>
      </c>
    </row>
    <row r="480" spans="1:2">
      <c r="A480" s="6">
        <v>559</v>
      </c>
      <c r="B480" s="6" t="s">
        <v>1377</v>
      </c>
    </row>
    <row r="481" spans="1:2">
      <c r="A481" s="6">
        <v>560</v>
      </c>
      <c r="B481" s="6" t="s">
        <v>1378</v>
      </c>
    </row>
    <row r="482" spans="1:2">
      <c r="A482" s="6">
        <v>561</v>
      </c>
      <c r="B482" s="6" t="s">
        <v>1379</v>
      </c>
    </row>
    <row r="483" spans="1:2">
      <c r="A483" s="6">
        <v>562</v>
      </c>
      <c r="B483" s="6" t="s">
        <v>1380</v>
      </c>
    </row>
    <row r="484" spans="1:2">
      <c r="A484" s="6">
        <v>563</v>
      </c>
      <c r="B484" s="6" t="s">
        <v>1381</v>
      </c>
    </row>
    <row r="485" spans="1:2">
      <c r="A485" s="6">
        <v>564</v>
      </c>
      <c r="B485" s="6" t="s">
        <v>1382</v>
      </c>
    </row>
    <row r="486" spans="1:2">
      <c r="A486" s="6">
        <v>565</v>
      </c>
      <c r="B486" s="6" t="s">
        <v>1383</v>
      </c>
    </row>
    <row r="487" spans="1:2">
      <c r="A487" s="6">
        <v>566</v>
      </c>
      <c r="B487" s="6" t="s">
        <v>1384</v>
      </c>
    </row>
    <row r="488" spans="1:2">
      <c r="A488" s="6">
        <v>567</v>
      </c>
      <c r="B488" s="6" t="s">
        <v>1385</v>
      </c>
    </row>
    <row r="489" spans="1:2">
      <c r="A489" s="6">
        <v>568</v>
      </c>
      <c r="B489" s="6" t="s">
        <v>1386</v>
      </c>
    </row>
    <row r="490" spans="1:2">
      <c r="A490" s="6">
        <v>569</v>
      </c>
      <c r="B490" s="6" t="s">
        <v>1387</v>
      </c>
    </row>
    <row r="491" spans="1:2">
      <c r="A491" s="6">
        <v>570</v>
      </c>
      <c r="B491" s="6" t="s">
        <v>1388</v>
      </c>
    </row>
    <row r="492" spans="1:2">
      <c r="A492" s="6">
        <v>571</v>
      </c>
      <c r="B492" s="6" t="s">
        <v>1389</v>
      </c>
    </row>
    <row r="493" spans="1:2">
      <c r="A493" s="6">
        <v>572</v>
      </c>
      <c r="B493" s="6" t="s">
        <v>1390</v>
      </c>
    </row>
    <row r="494" spans="1:2">
      <c r="A494" s="6">
        <v>573</v>
      </c>
      <c r="B494" s="6" t="s">
        <v>1391</v>
      </c>
    </row>
    <row r="495" spans="1:2">
      <c r="A495" s="6">
        <v>574</v>
      </c>
      <c r="B495" s="6" t="s">
        <v>1392</v>
      </c>
    </row>
    <row r="496" spans="1:2">
      <c r="A496" s="6">
        <v>575</v>
      </c>
      <c r="B496" s="6" t="s">
        <v>1393</v>
      </c>
    </row>
    <row r="497" spans="1:2">
      <c r="A497" s="6">
        <v>576</v>
      </c>
      <c r="B497" s="6" t="s">
        <v>1394</v>
      </c>
    </row>
    <row r="498" spans="1:2">
      <c r="A498" s="6">
        <v>577</v>
      </c>
      <c r="B498" s="6" t="s">
        <v>1395</v>
      </c>
    </row>
    <row r="499" spans="1:2">
      <c r="A499" s="6">
        <v>578</v>
      </c>
      <c r="B499" s="6" t="s">
        <v>556</v>
      </c>
    </row>
    <row r="500" spans="1:2">
      <c r="A500" s="6">
        <v>579</v>
      </c>
      <c r="B500" s="6" t="s">
        <v>1396</v>
      </c>
    </row>
    <row r="501" spans="1:2">
      <c r="A501" s="6">
        <v>580</v>
      </c>
      <c r="B501" s="6" t="s">
        <v>1397</v>
      </c>
    </row>
    <row r="502" spans="1:2">
      <c r="A502" s="6">
        <v>581</v>
      </c>
      <c r="B502" s="6" t="s">
        <v>1398</v>
      </c>
    </row>
    <row r="503" spans="1:2">
      <c r="A503" s="6">
        <v>582</v>
      </c>
      <c r="B503" s="6" t="s">
        <v>1399</v>
      </c>
    </row>
    <row r="504" spans="1:2">
      <c r="A504" s="6">
        <v>583</v>
      </c>
      <c r="B504" s="6" t="s">
        <v>1400</v>
      </c>
    </row>
    <row r="505" spans="1:2">
      <c r="A505" s="6">
        <v>584</v>
      </c>
      <c r="B505" s="6" t="s">
        <v>1401</v>
      </c>
    </row>
    <row r="506" spans="1:2">
      <c r="A506" s="6">
        <v>585</v>
      </c>
      <c r="B506" s="6" t="s">
        <v>1402</v>
      </c>
    </row>
    <row r="507" spans="1:2">
      <c r="A507" s="6">
        <v>586</v>
      </c>
      <c r="B507" s="6" t="s">
        <v>1403</v>
      </c>
    </row>
    <row r="508" spans="1:2">
      <c r="A508" s="6">
        <v>587</v>
      </c>
      <c r="B508" s="6" t="s">
        <v>1404</v>
      </c>
    </row>
    <row r="509" spans="1:2">
      <c r="A509" s="6">
        <v>588</v>
      </c>
      <c r="B509" s="6" t="s">
        <v>1405</v>
      </c>
    </row>
    <row r="510" spans="1:2">
      <c r="A510" s="6">
        <v>589</v>
      </c>
      <c r="B510" s="6" t="s">
        <v>1406</v>
      </c>
    </row>
    <row r="511" spans="1:2">
      <c r="A511" s="6">
        <v>590</v>
      </c>
      <c r="B511" s="6" t="s">
        <v>1407</v>
      </c>
    </row>
    <row r="512" spans="1:2">
      <c r="A512" s="6">
        <v>591</v>
      </c>
      <c r="B512" s="6" t="s">
        <v>1408</v>
      </c>
    </row>
    <row r="513" spans="1:2">
      <c r="A513" s="6">
        <v>593</v>
      </c>
      <c r="B513" s="6" t="s">
        <v>1409</v>
      </c>
    </row>
    <row r="514" spans="1:2">
      <c r="A514" s="6">
        <v>594</v>
      </c>
      <c r="B514" s="6" t="s">
        <v>1410</v>
      </c>
    </row>
    <row r="515" spans="1:2">
      <c r="A515" s="6">
        <v>596</v>
      </c>
      <c r="B515" s="6" t="s">
        <v>1411</v>
      </c>
    </row>
    <row r="516" spans="1:2">
      <c r="A516" s="6">
        <v>597</v>
      </c>
      <c r="B516" s="6" t="s">
        <v>1412</v>
      </c>
    </row>
    <row r="517" spans="1:2">
      <c r="A517" s="6">
        <v>598</v>
      </c>
      <c r="B517" s="6" t="s">
        <v>1413</v>
      </c>
    </row>
    <row r="518" spans="1:2">
      <c r="A518" s="6">
        <v>599</v>
      </c>
      <c r="B518" s="6" t="s">
        <v>1414</v>
      </c>
    </row>
    <row r="519" spans="1:2">
      <c r="A519" s="6">
        <v>600</v>
      </c>
      <c r="B519" s="6" t="s">
        <v>1415</v>
      </c>
    </row>
    <row r="520" spans="1:2">
      <c r="A520" s="6">
        <v>601</v>
      </c>
      <c r="B520" s="6" t="s">
        <v>1416</v>
      </c>
    </row>
    <row r="521" spans="1:2">
      <c r="A521" s="6">
        <v>602</v>
      </c>
      <c r="B521" s="6" t="s">
        <v>1417</v>
      </c>
    </row>
    <row r="522" spans="1:2">
      <c r="A522" s="6">
        <v>603</v>
      </c>
      <c r="B522" s="6" t="s">
        <v>1418</v>
      </c>
    </row>
    <row r="523" spans="1:2">
      <c r="A523" s="6">
        <v>604</v>
      </c>
      <c r="B523" s="6" t="s">
        <v>1419</v>
      </c>
    </row>
    <row r="524" spans="1:2">
      <c r="A524" s="6">
        <v>605</v>
      </c>
      <c r="B524" s="6" t="s">
        <v>1420</v>
      </c>
    </row>
    <row r="525" spans="1:2">
      <c r="A525" s="6">
        <v>606</v>
      </c>
      <c r="B525" s="6" t="s">
        <v>1421</v>
      </c>
    </row>
    <row r="526" spans="1:2">
      <c r="A526" s="6">
        <v>607</v>
      </c>
      <c r="B526" s="6" t="s">
        <v>1422</v>
      </c>
    </row>
    <row r="527" spans="1:2">
      <c r="A527" s="6">
        <v>608</v>
      </c>
      <c r="B527" s="6" t="s">
        <v>1423</v>
      </c>
    </row>
    <row r="528" spans="1:2">
      <c r="A528" s="6">
        <v>609</v>
      </c>
      <c r="B528" s="6" t="s">
        <v>1424</v>
      </c>
    </row>
    <row r="529" spans="1:2">
      <c r="A529" s="6">
        <v>610</v>
      </c>
      <c r="B529" s="6" t="s">
        <v>1425</v>
      </c>
    </row>
    <row r="530" spans="1:2">
      <c r="A530" s="6">
        <v>611</v>
      </c>
      <c r="B530" s="6" t="s">
        <v>1426</v>
      </c>
    </row>
    <row r="531" spans="1:2">
      <c r="A531" s="6">
        <v>612</v>
      </c>
      <c r="B531" s="6" t="s">
        <v>1427</v>
      </c>
    </row>
    <row r="532" spans="1:2">
      <c r="A532" s="6">
        <v>613</v>
      </c>
      <c r="B532" s="6" t="s">
        <v>1428</v>
      </c>
    </row>
    <row r="533" spans="1:2">
      <c r="A533" s="6">
        <v>614</v>
      </c>
      <c r="B533" s="6" t="s">
        <v>1429</v>
      </c>
    </row>
    <row r="534" spans="1:2">
      <c r="A534" s="6">
        <v>615</v>
      </c>
      <c r="B534" s="6" t="s">
        <v>1430</v>
      </c>
    </row>
    <row r="535" spans="1:2">
      <c r="A535" s="6">
        <v>616</v>
      </c>
      <c r="B535" s="6" t="s">
        <v>1431</v>
      </c>
    </row>
    <row r="536" spans="1:2">
      <c r="A536" s="6">
        <v>617</v>
      </c>
      <c r="B536" s="6" t="s">
        <v>1432</v>
      </c>
    </row>
    <row r="537" spans="1:2">
      <c r="A537" s="6">
        <v>618</v>
      </c>
      <c r="B537" s="6" t="s">
        <v>1433</v>
      </c>
    </row>
    <row r="538" spans="1:2">
      <c r="A538" s="6">
        <v>620</v>
      </c>
      <c r="B538" s="6" t="s">
        <v>1434</v>
      </c>
    </row>
    <row r="539" spans="1:2">
      <c r="A539" s="6">
        <v>621</v>
      </c>
      <c r="B539" s="6" t="s">
        <v>1435</v>
      </c>
    </row>
    <row r="540" spans="1:2">
      <c r="A540" s="6">
        <v>622</v>
      </c>
      <c r="B540" s="6" t="s">
        <v>1436</v>
      </c>
    </row>
    <row r="541" spans="1:2">
      <c r="A541" s="6">
        <v>623</v>
      </c>
      <c r="B541" s="6" t="s">
        <v>1437</v>
      </c>
    </row>
    <row r="542" spans="1:2">
      <c r="A542" s="6">
        <v>624</v>
      </c>
      <c r="B542" s="6" t="s">
        <v>1438</v>
      </c>
    </row>
    <row r="543" spans="1:2">
      <c r="A543" s="6">
        <v>625</v>
      </c>
      <c r="B543" s="6" t="s">
        <v>1439</v>
      </c>
    </row>
    <row r="544" spans="1:2">
      <c r="A544" s="6">
        <v>626</v>
      </c>
      <c r="B544" s="6" t="s">
        <v>1440</v>
      </c>
    </row>
    <row r="545" spans="1:2">
      <c r="A545" s="6">
        <v>627</v>
      </c>
      <c r="B545" s="6" t="s">
        <v>1441</v>
      </c>
    </row>
    <row r="546" spans="1:2">
      <c r="A546" s="6">
        <v>628</v>
      </c>
      <c r="B546" s="6" t="s">
        <v>1442</v>
      </c>
    </row>
    <row r="547" spans="1:2">
      <c r="A547" s="6">
        <v>629</v>
      </c>
      <c r="B547" s="6" t="s">
        <v>1443</v>
      </c>
    </row>
    <row r="548" spans="1:2">
      <c r="A548" s="6">
        <v>630</v>
      </c>
      <c r="B548" s="6" t="s">
        <v>1444</v>
      </c>
    </row>
    <row r="549" spans="1:2">
      <c r="A549" s="6">
        <v>631</v>
      </c>
      <c r="B549" s="6" t="s">
        <v>1445</v>
      </c>
    </row>
    <row r="550" spans="1:2">
      <c r="A550" s="6">
        <v>632</v>
      </c>
      <c r="B550" s="6" t="s">
        <v>1446</v>
      </c>
    </row>
    <row r="551" spans="1:2">
      <c r="A551" s="6">
        <v>633</v>
      </c>
      <c r="B551" s="6" t="s">
        <v>1447</v>
      </c>
    </row>
    <row r="552" spans="1:2">
      <c r="A552" s="6">
        <v>634</v>
      </c>
      <c r="B552" s="6" t="s">
        <v>1448</v>
      </c>
    </row>
    <row r="553" spans="1:2">
      <c r="A553" s="6">
        <v>636</v>
      </c>
      <c r="B553" s="6" t="s">
        <v>1449</v>
      </c>
    </row>
    <row r="554" spans="1:2">
      <c r="A554" s="6">
        <v>637</v>
      </c>
      <c r="B554" s="6" t="s">
        <v>1450</v>
      </c>
    </row>
    <row r="555" spans="1:2">
      <c r="A555" s="6">
        <v>638</v>
      </c>
      <c r="B555" s="6" t="s">
        <v>1451</v>
      </c>
    </row>
    <row r="556" spans="1:2">
      <c r="A556" s="6">
        <v>639</v>
      </c>
      <c r="B556" s="6" t="s">
        <v>1452</v>
      </c>
    </row>
    <row r="557" spans="1:2">
      <c r="A557" s="6">
        <v>640</v>
      </c>
      <c r="B557" s="6" t="s">
        <v>1453</v>
      </c>
    </row>
    <row r="558" spans="1:2">
      <c r="A558" s="6">
        <v>642</v>
      </c>
      <c r="B558" s="6" t="s">
        <v>1454</v>
      </c>
    </row>
    <row r="559" spans="1:2">
      <c r="A559" s="6">
        <v>643</v>
      </c>
      <c r="B559" s="6" t="s">
        <v>1455</v>
      </c>
    </row>
    <row r="560" spans="1:2">
      <c r="A560" s="6">
        <v>644</v>
      </c>
      <c r="B560" s="6" t="s">
        <v>1456</v>
      </c>
    </row>
    <row r="561" spans="1:2">
      <c r="A561" s="6">
        <v>645</v>
      </c>
      <c r="B561" s="6" t="s">
        <v>1457</v>
      </c>
    </row>
    <row r="562" spans="1:2">
      <c r="A562" s="6">
        <v>646</v>
      </c>
      <c r="B562" s="6" t="s">
        <v>1458</v>
      </c>
    </row>
    <row r="563" spans="1:2">
      <c r="A563" s="6">
        <v>647</v>
      </c>
      <c r="B563" s="6" t="s">
        <v>1459</v>
      </c>
    </row>
    <row r="564" spans="1:2">
      <c r="A564" s="6">
        <v>648</v>
      </c>
      <c r="B564" s="6" t="s">
        <v>1460</v>
      </c>
    </row>
    <row r="565" spans="1:2">
      <c r="A565" s="6">
        <v>649</v>
      </c>
      <c r="B565" s="6" t="s">
        <v>1461</v>
      </c>
    </row>
    <row r="566" spans="1:2">
      <c r="A566" s="6">
        <v>650</v>
      </c>
      <c r="B566" s="6" t="s">
        <v>1462</v>
      </c>
    </row>
    <row r="567" spans="1:2">
      <c r="A567" s="6">
        <v>651</v>
      </c>
      <c r="B567" s="6" t="s">
        <v>1463</v>
      </c>
    </row>
    <row r="568" spans="1:2">
      <c r="A568" s="6">
        <v>652</v>
      </c>
      <c r="B568" s="6" t="s">
        <v>1464</v>
      </c>
    </row>
    <row r="569" spans="1:2">
      <c r="A569" s="6">
        <v>653</v>
      </c>
      <c r="B569" s="6" t="s">
        <v>1465</v>
      </c>
    </row>
    <row r="570" spans="1:2">
      <c r="A570" s="6">
        <v>654</v>
      </c>
      <c r="B570" s="6" t="s">
        <v>1466</v>
      </c>
    </row>
    <row r="571" spans="1:2">
      <c r="A571" s="6">
        <v>655</v>
      </c>
      <c r="B571" s="6" t="s">
        <v>1467</v>
      </c>
    </row>
    <row r="572" spans="1:2">
      <c r="A572" s="6">
        <v>656</v>
      </c>
      <c r="B572" s="6" t="s">
        <v>1468</v>
      </c>
    </row>
    <row r="573" spans="1:2">
      <c r="A573" s="6">
        <v>658</v>
      </c>
      <c r="B573" s="6" t="s">
        <v>1469</v>
      </c>
    </row>
    <row r="574" spans="1:2">
      <c r="A574" s="6">
        <v>659</v>
      </c>
      <c r="B574" s="6" t="s">
        <v>1470</v>
      </c>
    </row>
    <row r="575" spans="1:2">
      <c r="A575" s="6">
        <v>660</v>
      </c>
      <c r="B575" s="6" t="s">
        <v>1471</v>
      </c>
    </row>
    <row r="576" spans="1:2">
      <c r="A576" s="6">
        <v>661</v>
      </c>
      <c r="B576" s="6" t="s">
        <v>1472</v>
      </c>
    </row>
    <row r="577" spans="1:2">
      <c r="A577" s="6">
        <v>662</v>
      </c>
      <c r="B577" s="6" t="s">
        <v>1473</v>
      </c>
    </row>
    <row r="578" spans="1:2">
      <c r="A578" s="6">
        <v>663</v>
      </c>
      <c r="B578" s="6" t="s">
        <v>1474</v>
      </c>
    </row>
    <row r="579" spans="1:2">
      <c r="A579" s="6">
        <v>995</v>
      </c>
      <c r="B579" s="6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46"/>
  <sheetViews>
    <sheetView tabSelected="1" workbookViewId="0">
      <pane ySplit="1" topLeftCell="A2" activePane="bottomLeft" state="frozen"/>
      <selection/>
      <selection pane="bottomLeft" activeCell="W9" sqref="W9"/>
    </sheetView>
  </sheetViews>
  <sheetFormatPr defaultColWidth="9" defaultRowHeight="13.5"/>
  <cols>
    <col min="9" max="9" width="18.75" customWidth="1"/>
  </cols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1544</v>
      </c>
      <c r="B2">
        <v>-15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>
      <c r="C3">
        <v>99216</v>
      </c>
      <c r="D3">
        <v>47</v>
      </c>
      <c r="I3" t="s">
        <v>1545</v>
      </c>
      <c r="J3" t="s">
        <v>622</v>
      </c>
      <c r="P3">
        <v>1</v>
      </c>
      <c r="V3" t="s">
        <v>1546</v>
      </c>
      <c r="W3" t="str">
        <f t="shared" ref="W3:W3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>
      <c r="C4">
        <v>128493</v>
      </c>
      <c r="D4">
        <v>47</v>
      </c>
      <c r="I4" t="s">
        <v>1547</v>
      </c>
      <c r="J4" t="s">
        <v>622</v>
      </c>
      <c r="P4">
        <v>1</v>
      </c>
      <c r="V4" t="s">
        <v>1546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>
      <c r="A5" t="s">
        <v>399</v>
      </c>
      <c r="B5">
        <v>2</v>
      </c>
      <c r="W5" t="str">
        <f t="shared" si="0"/>
        <v>},[2]={</v>
      </c>
    </row>
    <row r="6" spans="1:24">
      <c r="C6">
        <v>48105</v>
      </c>
      <c r="D6">
        <v>47</v>
      </c>
      <c r="I6" t="s">
        <v>1548</v>
      </c>
      <c r="J6" t="s">
        <v>622</v>
      </c>
      <c r="P6">
        <v>1</v>
      </c>
      <c r="V6" t="s">
        <v>1549</v>
      </c>
      <c r="W6" t="str">
        <f t="shared" si="0"/>
        <v>{dwID=48105,nFrame=47,szNote="赵小凯·孩童书",col={0,255,255,},[3]={bScreenHead=true,},[4]={},aFocus={{dwMapID=-1,szDisplay="赵小凯·孩童书",nMaxDistance=60,tRelation={bAll=true,bEnemy=false,bAlly=false,},tLife={bEnable=false,szOperator="&gt;",nValue=0,},},},},</v>
      </c>
    </row>
    <row r="7" spans="1:24">
      <c r="A7" t="s">
        <v>401</v>
      </c>
      <c r="B7">
        <v>5</v>
      </c>
      <c r="W7" t="str">
        <f t="shared" si="0"/>
        <v>},[5]={</v>
      </c>
    </row>
    <row r="8" spans="1:24">
      <c r="C8">
        <v>58137</v>
      </c>
      <c r="D8">
        <v>47</v>
      </c>
      <c r="I8" t="s">
        <v>1550</v>
      </c>
      <c r="J8" t="s">
        <v>622</v>
      </c>
      <c r="P8">
        <v>1</v>
      </c>
      <c r="V8" t="s">
        <v>1551</v>
      </c>
      <c r="W8" t="str">
        <f t="shared" si="0"/>
        <v>{dwID=58137,nFrame=47,szNote="道知·烹调法",col={0,255,255,},[3]={bScreenHead=true,},[4]={},aFocus={{dwMapID=-1,szDisplay="道知·烹调法",nMaxDistance=60,tRelation={bAll=true,bEnemy=false,bAlly=false,},tLife={bEnable=false,szOperator="&gt;",nValue=0,},},},},</v>
      </c>
    </row>
    <row r="9" spans="1:24">
      <c r="C9">
        <v>68983</v>
      </c>
      <c r="D9">
        <v>47</v>
      </c>
      <c r="I9" t="s">
        <v>1552</v>
      </c>
      <c r="J9" t="s">
        <v>622</v>
      </c>
      <c r="P9">
        <v>1</v>
      </c>
      <c r="V9" t="s">
        <v>1553</v>
      </c>
      <c r="W9" t="str">
        <f t="shared" si="0"/>
        <v>{dwID=68983,nFrame=47,szNote="闰水·缘来会",col={0,255,255,},[3]={bScreenHead=true,},[4]={},aFocus={{dwMapID=-1,szDisplay="闰水·缘来会",nMaxDistance=60,tRelation={bAll=true,bEnemy=false,bAlly=false,},tLife={bEnable=false,szOperator="&gt;",nValue=0,},},},},</v>
      </c>
    </row>
    <row r="10" spans="1:24">
      <c r="C10">
        <v>68984</v>
      </c>
      <c r="D10">
        <v>47</v>
      </c>
      <c r="I10" t="s">
        <v>1554</v>
      </c>
      <c r="J10" t="s">
        <v>622</v>
      </c>
      <c r="P10">
        <v>1</v>
      </c>
      <c r="V10" t="s">
        <v>1555</v>
      </c>
      <c r="W10" t="str">
        <f t="shared" si="0"/>
        <v>{dwID=68984,nFrame=47,szNote="查小娘·缘来会",col={0,255,255,},[3]={bScreenHead=true,},[4]={},aFocus={{dwMapID=-1,szDisplay="查小娘·缘来会",nMaxDistance=60,tRelation={bAll=true,bEnemy=false,bAlly=false,},tLife={bEnable=false,szOperator="&gt;",nValue=0,},},},},</v>
      </c>
    </row>
    <row r="11" spans="1:24">
      <c r="A11" t="s">
        <v>680</v>
      </c>
      <c r="B11">
        <v>6</v>
      </c>
      <c r="W11" t="str">
        <f t="shared" si="0"/>
        <v>},[6]={</v>
      </c>
    </row>
    <row r="12" spans="1:24">
      <c r="C12">
        <v>19322</v>
      </c>
      <c r="D12">
        <v>47</v>
      </c>
      <c r="I12" t="s">
        <v>1556</v>
      </c>
      <c r="J12" t="s">
        <v>622</v>
      </c>
      <c r="O12">
        <v>1</v>
      </c>
      <c r="P12">
        <v>1</v>
      </c>
      <c r="V12" t="s">
        <v>1557</v>
      </c>
      <c r="W12" t="str">
        <f t="shared" si="0"/>
        <v>{dwID=19322,nFrame=47,szNote="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>
      <c r="C13">
        <v>36268</v>
      </c>
      <c r="D13">
        <v>47</v>
      </c>
      <c r="I13" t="s">
        <v>1558</v>
      </c>
      <c r="J13" t="s">
        <v>622</v>
      </c>
      <c r="O13">
        <v>1</v>
      </c>
      <c r="P13">
        <v>1</v>
      </c>
      <c r="V13" t="s">
        <v>1559</v>
      </c>
      <c r="W13" t="str">
        <f t="shared" si="0"/>
        <v>{dwID=36268,nFrame=47,szNote="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>
      <c r="C14">
        <v>65896</v>
      </c>
      <c r="D14">
        <v>47</v>
      </c>
      <c r="I14" t="s">
        <v>1560</v>
      </c>
      <c r="J14" t="s">
        <v>622</v>
      </c>
      <c r="P14">
        <v>1</v>
      </c>
      <c r="V14" t="s">
        <v>1561</v>
      </c>
      <c r="W14" t="str">
        <f t="shared" si="0"/>
        <v>{dwID=65896,nFrame=47,szNote="毛丝鼠·谜书生",col={0,255,255,},[3]={bScreenHead=true,},[4]={},aFocus={{dwMapID=-1,szDisplay="毛丝鼠·谜书生",nMaxDistance=60,tRelation={bAll=true,bEnemy=false,bAlly=false,},tLife={bEnable=false,szOperator="&gt;",nValue=0,},},},},</v>
      </c>
    </row>
    <row r="15" spans="1:24">
      <c r="C15">
        <v>52008</v>
      </c>
      <c r="D15">
        <v>47</v>
      </c>
      <c r="I15" t="s">
        <v>1562</v>
      </c>
      <c r="J15" t="s">
        <v>622</v>
      </c>
      <c r="P15">
        <v>1</v>
      </c>
      <c r="V15" t="s">
        <v>1563</v>
      </c>
      <c r="W15" t="str">
        <f t="shared" si="0"/>
        <v>{dwID=52008,nFrame=47,szNote="公页少风·兽王佩",col={0,255,255,},[3]={bScreenHead=true,},[4]={},aFocus={{dwMapID=-1,szDisplay="公页少风·兽王佩",nMaxDistance=0,tRelation={bAll=true,bEnemy=false,bAlly=false,},tLife={bEnable=false,szOperator="&gt;",nValue=0,},},},},</v>
      </c>
    </row>
    <row r="16" spans="1:24">
      <c r="C16">
        <v>69036</v>
      </c>
      <c r="D16">
        <v>47</v>
      </c>
      <c r="I16" t="s">
        <v>1564</v>
      </c>
      <c r="J16" t="s">
        <v>622</v>
      </c>
      <c r="P16">
        <v>1</v>
      </c>
      <c r="V16" t="s">
        <v>1565</v>
      </c>
      <c r="W16" t="str">
        <f t="shared" si="0"/>
        <v>{dwID=69036,nFrame=47,szNote="苏拂衣·江湖录",col={0,255,255,},[3]={bScreenHead=true,},[4]={},aFocus={{dwMapID=-1,szDisplay="苏拂衣·江湖录",nMaxDistance=60,tRelation={bAll=true,bEnemy=false,bAlly=false,},tLife={bEnable=false,szOperator="&gt;",nValue=0,},},},},</v>
      </c>
    </row>
    <row r="17" spans="1:24">
      <c r="A17" t="s">
        <v>412</v>
      </c>
      <c r="B17">
        <v>7</v>
      </c>
      <c r="W17" t="str">
        <f t="shared" si="0"/>
        <v>},[7]={</v>
      </c>
    </row>
    <row r="18" spans="1:24">
      <c r="C18">
        <v>59335</v>
      </c>
      <c r="D18">
        <v>47</v>
      </c>
      <c r="I18" t="s">
        <v>1566</v>
      </c>
      <c r="J18" t="s">
        <v>622</v>
      </c>
      <c r="P18">
        <v>1</v>
      </c>
      <c r="V18" t="s">
        <v>1567</v>
      </c>
      <c r="W18" t="str">
        <f t="shared" si="0"/>
        <v>{dwID=59335,nFrame=47,szNote="步虚尘·白雪忆",col={0,255,255,},[3]={bScreenHead=true,},[4]={},aFocus={{dwMapID=-1,szDisplay="步虚尘·白雪忆",nMaxDistance=60,tRelation={bAll=true,bEnemy=false,bAlly=false,},tLife={bEnable=false,szOperator="&gt;",nValue=0,},},},},</v>
      </c>
    </row>
    <row r="19" spans="1:24">
      <c r="A19" t="s">
        <v>686</v>
      </c>
      <c r="B19">
        <v>8</v>
      </c>
      <c r="W19" t="str">
        <f t="shared" si="0"/>
        <v>},[8]={</v>
      </c>
    </row>
    <row r="20" spans="1:24">
      <c r="C20">
        <v>27468</v>
      </c>
      <c r="D20">
        <v>47</v>
      </c>
      <c r="I20" t="s">
        <v>1568</v>
      </c>
      <c r="J20" t="s">
        <v>622</v>
      </c>
      <c r="O20">
        <v>1</v>
      </c>
      <c r="P20">
        <v>1</v>
      </c>
      <c r="V20" t="s">
        <v>1569</v>
      </c>
      <c r="W20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1" spans="1:24">
      <c r="A21" t="s">
        <v>690</v>
      </c>
      <c r="B21">
        <v>9</v>
      </c>
      <c r="W21" t="str">
        <f t="shared" si="0"/>
        <v>},[9]={</v>
      </c>
    </row>
    <row r="22" spans="1:24">
      <c r="C22">
        <v>27468</v>
      </c>
      <c r="D22">
        <v>47</v>
      </c>
      <c r="I22" t="s">
        <v>1568</v>
      </c>
      <c r="J22" t="s">
        <v>622</v>
      </c>
      <c r="O22">
        <v>1</v>
      </c>
      <c r="P22">
        <v>1</v>
      </c>
      <c r="V22" t="s">
        <v>1569</v>
      </c>
      <c r="W22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3" spans="1:24">
      <c r="C23">
        <v>47992</v>
      </c>
      <c r="D23">
        <v>47</v>
      </c>
      <c r="I23" t="s">
        <v>1570</v>
      </c>
      <c r="J23" t="s">
        <v>622</v>
      </c>
      <c r="P23">
        <v>1</v>
      </c>
      <c r="V23" t="s">
        <v>1571</v>
      </c>
      <c r="W23" t="str">
        <f t="shared" si="0"/>
        <v>{dwID=47992,nFrame=47,szNote="老不知·红衣歌",col={0,255,255,},[3]={bScreenHead=true,},[4]={},aFocus={{dwMapID=-1,szDisplay="老不知·红衣歌",nMaxDistance=60,tRelation={bAll=true,bEnemy=false,bAlly=false,},tLife={bEnable=false,szOperator="&gt;",nValue=0,},},},},</v>
      </c>
    </row>
    <row r="24" spans="1:24">
      <c r="C24">
        <v>102833</v>
      </c>
      <c r="D24">
        <v>47</v>
      </c>
      <c r="I24" t="s">
        <v>1572</v>
      </c>
      <c r="J24" t="s">
        <v>622</v>
      </c>
      <c r="P24">
        <v>1</v>
      </c>
      <c r="V24" t="s">
        <v>1573</v>
      </c>
      <c r="W24" t="str">
        <f t="shared" si="0"/>
        <v>{dwID=102833,nFrame=47,szNote="红师农·尘网中",col={0,255,255,},[3]={bScreenHead=true,},[4]={},aFocus={{dwMapID=-1,szDisplay="红师农·尘网中",nMaxDistance=60,tRelation={bAll=true,bEnemy=false,bAlly=false,},tLife={bEnable=false,szOperator="&gt;",nValue=0,},},},},</v>
      </c>
    </row>
    <row r="25" spans="1:24">
      <c r="A25" t="s">
        <v>694</v>
      </c>
      <c r="B25">
        <v>10</v>
      </c>
      <c r="W25" t="str">
        <f t="shared" si="0"/>
        <v>},[10]={</v>
      </c>
    </row>
    <row r="26" spans="1:24">
      <c r="C26">
        <v>19323</v>
      </c>
      <c r="D26">
        <v>47</v>
      </c>
      <c r="I26" t="s">
        <v>1574</v>
      </c>
      <c r="J26" t="s">
        <v>622</v>
      </c>
      <c r="O26">
        <v>1</v>
      </c>
      <c r="P26">
        <v>1</v>
      </c>
      <c r="V26" t="s">
        <v>1575</v>
      </c>
      <c r="W26" t="str">
        <f t="shared" si="0"/>
        <v>{dwID=19323,nFrame=47,szNote="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6" t="s">
        <v>1576</v>
      </c>
    </row>
    <row r="27" spans="1:24">
      <c r="C27">
        <v>27467</v>
      </c>
      <c r="D27">
        <v>47</v>
      </c>
      <c r="I27" t="s">
        <v>1577</v>
      </c>
      <c r="J27" t="s">
        <v>622</v>
      </c>
      <c r="O27">
        <v>1</v>
      </c>
      <c r="P27">
        <v>1</v>
      </c>
      <c r="V27" t="s">
        <v>1578</v>
      </c>
      <c r="W27" t="str">
        <f t="shared" si="0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8" spans="1:24">
      <c r="C28">
        <v>2350</v>
      </c>
      <c r="D28">
        <v>47</v>
      </c>
      <c r="I28" t="s">
        <v>1579</v>
      </c>
      <c r="J28" t="s">
        <v>622</v>
      </c>
      <c r="P28">
        <v>1</v>
      </c>
      <c r="V28" t="s">
        <v>1580</v>
      </c>
      <c r="W28" t="str">
        <f t="shared" si="0"/>
        <v>{dwID=2350,nFrame=47,szNote="猫猫·破晓鸣",col={0,255,255,},[3]={bScreenHead=true,},[4]={},aFocus={{dwMapID=-1,szDisplay="猫猫·破晓鸣",nMaxDistance=60,tRelation={bAll=true,bEnemy=false,bAlly=false,},tLife={bEnable=false,szOperator="&gt;",nValue=0,},},},},</v>
      </c>
    </row>
    <row r="29" spans="1:24">
      <c r="C29">
        <v>1274</v>
      </c>
      <c r="D29">
        <v>47</v>
      </c>
      <c r="I29" t="s">
        <v>1581</v>
      </c>
      <c r="J29" t="s">
        <v>622</v>
      </c>
      <c r="P29">
        <v>1</v>
      </c>
      <c r="V29" t="s">
        <v>1582</v>
      </c>
      <c r="W29" t="str">
        <f t="shared" si="0"/>
        <v>{dwID=1274,nFrame=47,szNote="秦邑·破晓鸣",col={0,255,255,},[3]={bScreenHead=true,},[4]={},aFocus={{dwMapID=-1,szDisplay="秦邑·破晓鸣",nMaxDistance=60,tRelation={bAll=true,bEnemy=false,bAlly=false,},tLife={bEnable=false,szOperator="&gt;",nValue=0,},},},},</v>
      </c>
    </row>
    <row r="30" spans="1:24">
      <c r="A30" t="s">
        <v>700</v>
      </c>
      <c r="B30">
        <v>12</v>
      </c>
      <c r="W30" t="str">
        <f t="shared" si="0"/>
        <v>},[12]={</v>
      </c>
    </row>
    <row r="31" spans="1:24">
      <c r="C31">
        <v>42874</v>
      </c>
      <c r="D31">
        <v>47</v>
      </c>
      <c r="I31" t="s">
        <v>1583</v>
      </c>
      <c r="J31" t="s">
        <v>622</v>
      </c>
      <c r="P31">
        <v>1</v>
      </c>
      <c r="V31" t="s">
        <v>1584</v>
      </c>
      <c r="W31" t="str">
        <f t="shared" si="0"/>
        <v>{dwID=42874,nFrame=47,szNote="马四·枫林酒",col={0,255,255,},[3]={bScreenHead=true,},[4]={},aFocus={{dwMapID=-1,szDisplay="马四·枫林酒",nMaxDistance=60,tRelation={bAll=true,bEnemy=false,bAlly=false,},tLife={bEnable=false,szOperator="&gt;",nValue=0,},},},},</v>
      </c>
    </row>
    <row r="32" spans="1:24">
      <c r="A32" t="s">
        <v>704</v>
      </c>
      <c r="B32">
        <v>13</v>
      </c>
      <c r="W32" t="str">
        <f t="shared" si="0"/>
        <v>},[13]={</v>
      </c>
    </row>
    <row r="33" spans="1:23">
      <c r="C33">
        <v>27468</v>
      </c>
      <c r="D33">
        <v>47</v>
      </c>
      <c r="I33" t="s">
        <v>1568</v>
      </c>
      <c r="J33" t="s">
        <v>622</v>
      </c>
      <c r="O33">
        <v>1</v>
      </c>
      <c r="P33">
        <v>1</v>
      </c>
      <c r="V33" t="s">
        <v>1569</v>
      </c>
      <c r="W33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4" spans="1:23">
      <c r="C34">
        <v>59272</v>
      </c>
      <c r="D34">
        <v>47</v>
      </c>
      <c r="I34" t="s">
        <v>1585</v>
      </c>
      <c r="J34" t="s">
        <v>622</v>
      </c>
      <c r="P34">
        <v>1</v>
      </c>
      <c r="V34" t="s">
        <v>1586</v>
      </c>
      <c r="W34" t="str">
        <f t="shared" si="0"/>
        <v>{dwID=59272,nFrame=47,szNote="阮染·锻剑女",col={0,255,255,},[3]={bScreenHead=true,},[4]={},aFocus={{dwMapID=-1,szDisplay="阮染·锻剑女",nMaxDistance=60,tRelation={bAll=true,bEnemy=false,bAlly=false,},tLife={bEnable=false,szOperator="&gt;",nValue=0,},},},},</v>
      </c>
    </row>
    <row r="35" spans="1:23">
      <c r="C35">
        <v>59794</v>
      </c>
      <c r="D35">
        <v>47</v>
      </c>
      <c r="I35" t="s">
        <v>1587</v>
      </c>
      <c r="J35" t="s">
        <v>622</v>
      </c>
      <c r="P35">
        <v>1</v>
      </c>
      <c r="V35" t="s">
        <v>1588</v>
      </c>
      <c r="W35" t="str">
        <f t="shared" ref="W35:W66" si="1">IF(ISBLANK(B35)=FALSE,IF(ISBLANK(B34),"},["&amp;B35&amp;"]={","["&amp;B35&amp;"]={"),IF(AND(ISBLANK(B35),ISBLANK(D35),ISBLANK(C35),OR(ISBLANK(B34)=FALSE,ISBLANK(D34)=FALSE,ISBLANK(C34)=FALSE)),"},},}",IF(ISBLANK(C35),"","{dwID="&amp;C35&amp;","&amp;"nFrame="&amp;D35&amp;","&amp;IF(E35&gt;0,"nCount="&amp;E35&amp;",","")&amp;IF(F35&gt;0,"bAllLeave=true,","")&amp;IF(G35&lt;&gt;"","szName="""&amp;G35&amp;""",","")&amp;IF(H35&lt;&gt;"","tKungFu={"&amp;H35&amp;"},","")&amp;IF(I35&lt;&gt;"","szNote="""&amp;I35&amp;""",","")&amp;IF(J35&lt;&gt;"","col={"&amp;J35&amp;"},","")&amp;"[3]={"&amp;IF(K35&lt;&gt;"","tMark={"&amp;K35&amp;"},","")&amp;IF(L35&lt;&gt;"","szVoice="""&amp;L35&amp;""",","")&amp;IF(M35&gt;0,"bTeamChannel=true,","")&amp;IF(N35&gt;0,"bWhisperChannel=true,","")&amp;IF(O35&gt;0,"bCenterAlarm=true,","")&amp;IF(P35&gt;0,"bScreenHead=true,","")&amp;IF(Q35&gt;0,"bFullScreen=true,","")&amp;"},"&amp;"[4]={"&amp;IF(R35&lt;&gt;"","szVoice="""&amp;R35&amp;""",","")&amp;IF(S35&gt;0,"bTeamChannel=true,","")&amp;IF(T35&gt;0,"bWhisperChannel=true,","")&amp;IF(U35&gt;0,"bCenterAlarm=true,","")&amp;"},"&amp;IF(V35&lt;&gt;"","aFocus={"&amp;V35&amp;"},","")&amp;IF(X35&lt;&gt;"","tCountdown={"&amp;_xlfn.TEXTJOIN("",TRUE,X35:AAA35)&amp;"},","")&amp;"},")))</f>
        <v>{dwID=59794,nFrame=47,szNote="亭十四·归安志",col={0,255,255,},[3]={bScreenHead=true,},[4]={},aFocus={{dwMapID=-1,szDisplay="亭十四·归安志",nMaxDistance=60,tRelation={bAll=true,bEnemy=false,bAlly=false,},tLife={bEnable=false,szOperator="&gt;",nValue=0,},},},},</v>
      </c>
    </row>
    <row r="36" spans="1:23">
      <c r="C36">
        <v>59796</v>
      </c>
      <c r="D36">
        <v>47</v>
      </c>
      <c r="I36" t="s">
        <v>1589</v>
      </c>
      <c r="J36" t="s">
        <v>622</v>
      </c>
      <c r="P36">
        <v>1</v>
      </c>
      <c r="V36" t="s">
        <v>1590</v>
      </c>
      <c r="W36" t="str">
        <f t="shared" si="1"/>
        <v>{dwID=59796,nFrame=47,szNote="刘理阳·归安志",col={0,255,255,},[3]={bScreenHead=true,},[4]={},aFocus={{dwMapID=-1,szDisplay="刘理阳·归安志",nMaxDistance=60,tRelation={bAll=true,bEnemy=false,bAlly=false,},tLife={bEnable=false,szOperator="&gt;",nValue=0,},},},},</v>
      </c>
    </row>
    <row r="37" spans="1:23">
      <c r="C37">
        <v>109278</v>
      </c>
      <c r="D37">
        <v>47</v>
      </c>
      <c r="I37" t="s">
        <v>1591</v>
      </c>
      <c r="J37" t="s">
        <v>622</v>
      </c>
      <c r="P37">
        <v>1</v>
      </c>
      <c r="V37" t="s">
        <v>1592</v>
      </c>
      <c r="W37" t="str">
        <f t="shared" si="1"/>
        <v>{dwID=109278,nFrame=47,szNote="小花·鸠雀记",col={0,255,255,},[3]={bScreenHead=true,},[4]={},aFocus={{dwMapID=-1,szDisplay="小花·鸠雀记",nMaxDistance=60,tRelation={bAll=true,bEnemy=false,bAlly=false,},tLife={bEnable=false,szOperator="&gt;",nValue=0,},},},},</v>
      </c>
    </row>
    <row r="38" spans="1:23">
      <c r="A38" t="s">
        <v>712</v>
      </c>
      <c r="B38">
        <v>15</v>
      </c>
      <c r="W38" t="str">
        <f t="shared" si="1"/>
        <v>},[15]={</v>
      </c>
    </row>
    <row r="39" spans="1:23">
      <c r="C39">
        <v>19320</v>
      </c>
      <c r="D39">
        <v>47</v>
      </c>
      <c r="I39" t="s">
        <v>1593</v>
      </c>
      <c r="J39" t="s">
        <v>622</v>
      </c>
      <c r="O39">
        <v>1</v>
      </c>
      <c r="P39">
        <v>1</v>
      </c>
      <c r="V39" t="s">
        <v>1594</v>
      </c>
      <c r="W39" t="str">
        <f t="shared" si="1"/>
        <v>{dwID=19320,nFrame=47,szNote="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40" spans="1:23">
      <c r="C40">
        <v>59322</v>
      </c>
      <c r="D40">
        <v>47</v>
      </c>
      <c r="I40" t="s">
        <v>1595</v>
      </c>
      <c r="J40" t="s">
        <v>622</v>
      </c>
      <c r="P40">
        <v>1</v>
      </c>
      <c r="V40" t="s">
        <v>1596</v>
      </c>
      <c r="W40" t="str">
        <f t="shared" si="1"/>
        <v>{dwID=59322,nFrame=47,szNote="杨悦·一念间",col={0,255,255,},[3]={bScreenHead=true,},[4]={},aFocus={{dwMapID=-1,szDisplay="杨悦·一念间",nMaxDistance=60,tRelation={bAll=true,bEnemy=false,bAlly=false,},tLife={bEnable=false,szOperator="&gt;",nValue=0,},},},},</v>
      </c>
    </row>
    <row r="41" spans="1:23">
      <c r="A41" t="s">
        <v>424</v>
      </c>
      <c r="B41">
        <v>16</v>
      </c>
      <c r="W41" t="str">
        <f t="shared" si="1"/>
        <v>},[16]={</v>
      </c>
    </row>
    <row r="42" spans="1:23">
      <c r="C42">
        <v>36945</v>
      </c>
      <c r="D42">
        <v>47</v>
      </c>
      <c r="I42" t="s">
        <v>1597</v>
      </c>
      <c r="J42" t="s">
        <v>622</v>
      </c>
      <c r="P42">
        <v>1</v>
      </c>
      <c r="V42" t="s">
        <v>1598</v>
      </c>
      <c r="W42" t="str">
        <f t="shared" si="1"/>
        <v>{dwID=36945,nFrame=47,szNote="陶九翁·捉妖记",col={0,255,255,},[3]={bScreenHead=true,},[4]={},aFocus={{dwMapID=-1,szDisplay="陶九翁·捉妖记",nMaxDistance=60,tRelation={bAll=true,bEnemy=false,bAlly=false,},tLife={bEnable=false,szOperator="&gt;",nValue=0,},},},},</v>
      </c>
    </row>
    <row r="43" spans="1:23">
      <c r="C43">
        <v>59355</v>
      </c>
      <c r="D43">
        <v>47</v>
      </c>
      <c r="I43" t="s">
        <v>1599</v>
      </c>
      <c r="J43" t="s">
        <v>622</v>
      </c>
      <c r="P43">
        <v>1</v>
      </c>
      <c r="V43" t="s">
        <v>1600</v>
      </c>
      <c r="W43" t="str">
        <f t="shared" si="1"/>
        <v>{dwID=59355,nFrame=47,szNote="卢蓉·烟花戏",col={0,255,255,},[3]={bScreenHead=true,},[4]={},aFocus={{dwMapID=-1,szDisplay="卢蓉·烟花戏",nMaxDistance=60,tRelation={bAll=true,bEnemy=false,bAlly=false,},tLife={bEnable=false,szOperator="&gt;",nValue=0,},},},},</v>
      </c>
    </row>
    <row r="44" spans="1:23">
      <c r="A44" t="s">
        <v>732</v>
      </c>
      <c r="B44">
        <v>21</v>
      </c>
      <c r="W44" t="str">
        <f t="shared" si="1"/>
        <v>},[21]={</v>
      </c>
    </row>
    <row r="45" spans="1:23">
      <c r="C45">
        <v>19321</v>
      </c>
      <c r="D45">
        <v>47</v>
      </c>
      <c r="I45" t="s">
        <v>1601</v>
      </c>
      <c r="J45" t="s">
        <v>622</v>
      </c>
      <c r="O45">
        <v>1</v>
      </c>
      <c r="P45">
        <v>1</v>
      </c>
      <c r="V45" t="s">
        <v>1602</v>
      </c>
      <c r="W45" t="str">
        <f t="shared" si="1"/>
        <v>{dwID=19321,nFrame=47,szNote="皮皮·白鹅",col={0,255,255,},[3]={bCenterAlarm=true,bScreenHead=true,},[4]={},aFocus={{dwMapID=-1,szDisplay="皮皮·白鹅",nMaxDistance=0,tRelation={bAll=true,bEnemy=false,bAlly=false,},tLife={bEnable=false,szOperator="&gt;",nValue=0,},},},},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6" spans="1:23">
      <c r="A46" t="s">
        <v>735</v>
      </c>
      <c r="B46">
        <v>22</v>
      </c>
      <c r="W46" t="str">
        <f t="shared" si="1"/>
        <v>},[22]={</v>
      </c>
    </row>
    <row r="47" spans="1:23">
      <c r="C47">
        <v>27467</v>
      </c>
      <c r="D47">
        <v>47</v>
      </c>
      <c r="I47" t="s">
        <v>1577</v>
      </c>
      <c r="J47" t="s">
        <v>622</v>
      </c>
      <c r="O47">
        <v>1</v>
      </c>
      <c r="P47">
        <v>1</v>
      </c>
      <c r="V47" t="s">
        <v>1578</v>
      </c>
      <c r="W47" t="str">
        <f t="shared" si="1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8" spans="1:23">
      <c r="C48">
        <v>41126</v>
      </c>
      <c r="D48">
        <v>47</v>
      </c>
      <c r="I48" t="s">
        <v>1603</v>
      </c>
      <c r="J48" t="s">
        <v>622</v>
      </c>
      <c r="P48">
        <v>1</v>
      </c>
      <c r="V48" t="s">
        <v>1604</v>
      </c>
      <c r="W48" t="str">
        <f t="shared" si="1"/>
        <v>{dwID=41126,nFrame=47,szNote="车山果·嘟嘟",col={0,255,255,},[3]={bScreenHead=true,},[4]={},aFocus={{dwMapID=-1,szDisplay="车山果·嘟嘟",nMaxDistance=60,tRelation={bAll=true,bEnemy=false,bAlly=false,},tLife={bEnable=false,szOperator="&gt;",nValue=0,},},},},</v>
      </c>
    </row>
    <row r="49" spans="1:23">
      <c r="C49">
        <v>56477</v>
      </c>
      <c r="D49">
        <v>47</v>
      </c>
      <c r="I49" t="s">
        <v>1605</v>
      </c>
      <c r="J49" t="s">
        <v>622</v>
      </c>
      <c r="P49">
        <v>1</v>
      </c>
      <c r="V49" t="s">
        <v>1606</v>
      </c>
      <c r="W49" t="str">
        <f t="shared" si="1"/>
        <v>{dwID=56477,nFrame=47,szNote="康永浩·东海客",col={0,255,255,},[3]={bScreenHead=true,},[4]={},aFocus={{dwMapID=-1,szDisplay="康永浩·东海客",nMaxDistance=60,tRelation={bAll=true,bEnemy=false,bAlly=false,},tLife={bEnable=false,szOperator="&gt;",nValue=0,},},},},</v>
      </c>
    </row>
    <row r="50" spans="1:23">
      <c r="A50" t="s">
        <v>738</v>
      </c>
      <c r="B50">
        <v>23</v>
      </c>
      <c r="W50" t="str">
        <f t="shared" si="1"/>
        <v>},[23]={</v>
      </c>
    </row>
    <row r="51" spans="1:23">
      <c r="C51">
        <v>51303</v>
      </c>
      <c r="D51">
        <v>47</v>
      </c>
      <c r="I51" t="s">
        <v>1607</v>
      </c>
      <c r="J51" t="s">
        <v>622</v>
      </c>
      <c r="P51">
        <v>1</v>
      </c>
      <c r="V51" t="s">
        <v>1608</v>
      </c>
      <c r="W51" t="str">
        <f t="shared" si="1"/>
        <v>{dwID=51303,nFrame=47,szNote="桩桩·沙海谣",col={0,255,255,},[3]={bScreenHead=true,},[4]={},aFocus={{dwMapID=-1,szDisplay="桩桩·沙海谣",nMaxDistance=60,tRelation={bAll=true,bEnemy=false,bAlly=false,},tLife={bEnable=false,szOperator="&gt;",nValue=0,},},},},</v>
      </c>
    </row>
    <row r="52" spans="1:23">
      <c r="C52">
        <v>57929</v>
      </c>
      <c r="D52">
        <v>47</v>
      </c>
      <c r="I52" t="s">
        <v>1609</v>
      </c>
      <c r="J52" t="s">
        <v>622</v>
      </c>
      <c r="P52">
        <v>1</v>
      </c>
      <c r="V52" t="s">
        <v>1610</v>
      </c>
      <c r="W52" t="str">
        <f t="shared" si="1"/>
        <v>{dwID=57929,nFrame=47,szNote="田语夕·锋芒展",col={0,255,255,},[3]={bScreenHead=true,},[4]={},aFocus={{dwMapID=-1,szDisplay="田语夕·锋芒展",nMaxDistance=60,tRelation={bAll=true,bEnemy=false,bAlly=false,},tLife={bEnable=false,szOperator="&gt;",nValue=0,},},},},</v>
      </c>
    </row>
    <row r="53" spans="1:23">
      <c r="A53" t="s">
        <v>816</v>
      </c>
      <c r="B53">
        <v>49</v>
      </c>
      <c r="W53" t="str">
        <f t="shared" si="1"/>
        <v>},[49]={</v>
      </c>
    </row>
    <row r="54" spans="1:23">
      <c r="C54">
        <v>48171</v>
      </c>
      <c r="D54">
        <v>47</v>
      </c>
      <c r="I54" t="s">
        <v>1611</v>
      </c>
      <c r="J54" t="s">
        <v>622</v>
      </c>
      <c r="P54">
        <v>1</v>
      </c>
      <c r="V54" t="s">
        <v>1612</v>
      </c>
      <c r="W54" t="str">
        <f t="shared" si="1"/>
        <v>{dwID=48171,nFrame=47,szNote="铸剑大师·归乡路",col={0,255,255,},[3]={bScreenHead=true,},[4]={},aFocus={{dwMapID=-1,szDisplay="铸剑大师·归乡路",nMaxDistance=60,tRelation={bAll=true,bEnemy=false,bAlly=false,},tLife={bEnable=false,szOperator="&gt;",nValue=0,},},},},</v>
      </c>
    </row>
    <row r="55" spans="1:23">
      <c r="C55">
        <v>99195</v>
      </c>
      <c r="D55">
        <v>47</v>
      </c>
      <c r="I55" t="s">
        <v>1613</v>
      </c>
      <c r="J55" t="s">
        <v>622</v>
      </c>
      <c r="P55">
        <v>1</v>
      </c>
      <c r="V55" t="s">
        <v>1614</v>
      </c>
      <c r="W55" t="str">
        <f t="shared" si="1"/>
        <v>{dwID=99195,nFrame=47,szNote="王厨娘·莫贪杯",col={0,255,255,},[3]={bScreenHead=true,},[4]={},aFocus={{dwMapID=-1,szDisplay="王厨娘·莫贪杯",nMaxDistance=60,tRelation={bAll=true,bEnemy=false,bAlly=false,},tLife={bEnable=false,szOperator="&gt;",nValue=0,},},},},</v>
      </c>
    </row>
    <row r="56" spans="1:23">
      <c r="A56" t="s">
        <v>894</v>
      </c>
      <c r="B56">
        <v>101</v>
      </c>
      <c r="W56" t="str">
        <f t="shared" si="1"/>
        <v>},[101]={</v>
      </c>
    </row>
    <row r="57" spans="1:23">
      <c r="C57">
        <v>51936</v>
      </c>
      <c r="D57">
        <v>47</v>
      </c>
      <c r="I57" t="s">
        <v>1615</v>
      </c>
      <c r="J57" t="s">
        <v>622</v>
      </c>
      <c r="P57">
        <v>1</v>
      </c>
      <c r="V57" t="s">
        <v>1616</v>
      </c>
      <c r="W57" t="str">
        <f t="shared" si="1"/>
        <v>{dwID=51936,nFrame=47,szNote="沈笑颜·竹马情",col={0,255,255,},[3]={bScreenHead=true,},[4]={},aFocus={{dwMapID=-1,szDisplay="沈笑颜·竹马情",nMaxDistance=60,tRelation={bAll=true,bEnemy=false,bAlly=false,},tLife={bEnable=false,szOperator="&gt;",nValue=0,},},},},</v>
      </c>
    </row>
    <row r="58" spans="1:23">
      <c r="C58">
        <v>10030</v>
      </c>
      <c r="D58">
        <v>50</v>
      </c>
      <c r="I58" t="s">
        <v>1617</v>
      </c>
      <c r="J58" t="s">
        <v>622</v>
      </c>
      <c r="P58">
        <v>1</v>
      </c>
      <c r="V58" t="s">
        <v>1618</v>
      </c>
      <c r="W58" t="str">
        <f t="shared" si="1"/>
        <v>{dwID=10030,nFrame=50,szNote="螃蟹·青蟹",col={0,255,255,},[3]={bScreenHead=true,},[4]={},aFocus={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},},</v>
      </c>
    </row>
    <row r="59" spans="1:23">
      <c r="A59" t="s">
        <v>459</v>
      </c>
      <c r="B59">
        <v>102</v>
      </c>
      <c r="W59" t="str">
        <f t="shared" si="1"/>
        <v>},[102]={</v>
      </c>
    </row>
    <row r="60" spans="1:23">
      <c r="C60">
        <v>55289</v>
      </c>
      <c r="D60">
        <v>47</v>
      </c>
      <c r="I60" t="s">
        <v>1619</v>
      </c>
      <c r="J60" t="s">
        <v>622</v>
      </c>
      <c r="P60">
        <v>1</v>
      </c>
      <c r="V60" t="s">
        <v>1620</v>
      </c>
      <c r="W60" t="str">
        <f t="shared" si="1"/>
        <v>{dwID=55289,nFrame=47,szNote="苗淼尔·滇南行",col={0,255,255,},[3]={bScreenHead=true,},[4]={},aFocus={{dwMapID=-1,szDisplay="苗淼尔·滇南行",nMaxDistance=60,tRelation={bAll=true,bEnemy=false,bAlly=false,},tLife={bEnable=false,szOperator="&gt;",nValue=0,},},},},</v>
      </c>
    </row>
    <row r="61" spans="1:23">
      <c r="A61" t="s">
        <v>905</v>
      </c>
      <c r="B61">
        <v>105</v>
      </c>
      <c r="W61" t="str">
        <f t="shared" si="1"/>
        <v>},[105]={</v>
      </c>
    </row>
    <row r="62" spans="1:23">
      <c r="C62">
        <v>51963</v>
      </c>
      <c r="D62">
        <v>47</v>
      </c>
      <c r="I62" t="s">
        <v>1621</v>
      </c>
      <c r="J62" t="s">
        <v>622</v>
      </c>
      <c r="P62">
        <v>1</v>
      </c>
      <c r="V62" t="s">
        <v>1622</v>
      </c>
      <c r="W62" t="str">
        <f t="shared" si="1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3" spans="1:23">
      <c r="A63" t="s">
        <v>914</v>
      </c>
      <c r="B63">
        <v>108</v>
      </c>
      <c r="W63" t="str">
        <f t="shared" si="1"/>
        <v>},[108]={</v>
      </c>
    </row>
    <row r="64" spans="1:23">
      <c r="C64">
        <v>27081</v>
      </c>
      <c r="D64">
        <v>47</v>
      </c>
      <c r="I64" t="s">
        <v>1623</v>
      </c>
      <c r="J64" t="s">
        <v>622</v>
      </c>
      <c r="O64">
        <v>1</v>
      </c>
      <c r="P64">
        <v>1</v>
      </c>
      <c r="V64" t="s">
        <v>1624</v>
      </c>
      <c r="W64" t="str">
        <f t="shared" si="1"/>
        <v>{dwID=27081,nFrame=47,szNote="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5" spans="1:23">
      <c r="C65">
        <v>11969</v>
      </c>
      <c r="D65">
        <v>47</v>
      </c>
      <c r="I65" t="s">
        <v>1625</v>
      </c>
      <c r="J65" t="s">
        <v>622</v>
      </c>
      <c r="O65">
        <v>1</v>
      </c>
      <c r="P65">
        <v>1</v>
      </c>
      <c r="V65" t="s">
        <v>1626</v>
      </c>
      <c r="W65" t="str">
        <f t="shared" si="1"/>
        <v>{dwID=11969,nFrame=47,szNote="吴为有·石敢当",col={0,255,255,},[3]={bCenterAlarm=true,bScreenHead=true,},[4]={},aFocus={{dwMapID=-1,szDisplay="吴为有·石敢当",nMaxDistance=120,tRelation={bAll=true,bEnemy=false,bAlly=false,},tLife={bEnable=false,szOperator="&gt;",nValue=0,},},},},</v>
      </c>
    </row>
    <row r="66" spans="1:23">
      <c r="A66" t="s">
        <v>469</v>
      </c>
      <c r="B66">
        <v>122</v>
      </c>
      <c r="W66" t="str">
        <f t="shared" si="1"/>
        <v>},[122]={</v>
      </c>
    </row>
    <row r="67" spans="1:23">
      <c r="C67">
        <v>59356</v>
      </c>
      <c r="D67">
        <v>47</v>
      </c>
      <c r="I67" t="s">
        <v>1627</v>
      </c>
      <c r="J67" t="s">
        <v>622</v>
      </c>
      <c r="P67">
        <v>1</v>
      </c>
      <c r="V67" t="s">
        <v>1628</v>
      </c>
      <c r="W67" t="str">
        <f t="shared" ref="W67:W98" si="2">IF(ISBLANK(B67)=FALSE,IF(ISBLANK(B66),"},["&amp;B67&amp;"]={","["&amp;B67&amp;"]={"),IF(AND(ISBLANK(B67),ISBLANK(D67),ISBLANK(C67),OR(ISBLANK(B66)=FALSE,ISBLANK(D66)=FALSE,ISBLANK(C66)=FALSE)),"},},}",IF(ISBLANK(C67),"","{dwID="&amp;C67&amp;","&amp;"nFrame="&amp;D67&amp;","&amp;IF(E67&gt;0,"nCount="&amp;E67&amp;",","")&amp;IF(F67&gt;0,"bAllLeave=true,","")&amp;IF(G67&lt;&gt;"","szName="""&amp;G67&amp;""",","")&amp;IF(H67&lt;&gt;"","tKungFu={"&amp;H67&amp;"},","")&amp;IF(I67&lt;&gt;"","szNote="""&amp;I67&amp;""",","")&amp;IF(J67&lt;&gt;"","col={"&amp;J67&amp;"},","")&amp;"[3]={"&amp;IF(K67&lt;&gt;"","tMark={"&amp;K67&amp;"},","")&amp;IF(L67&lt;&gt;"","szVoice="""&amp;L67&amp;""",","")&amp;IF(M67&gt;0,"bTeamChannel=true,","")&amp;IF(N67&gt;0,"bWhisperChannel=true,","")&amp;IF(O67&gt;0,"bCenterAlarm=true,","")&amp;IF(P67&gt;0,"bScreenHead=true,","")&amp;IF(Q67&gt;0,"bFullScreen=true,","")&amp;"},"&amp;"[4]={"&amp;IF(R67&lt;&gt;"","szVoice="""&amp;R67&amp;""",","")&amp;IF(S67&gt;0,"bTeamChannel=true,","")&amp;IF(T67&gt;0,"bWhisperChannel=true,","")&amp;IF(U67&gt;0,"bCenterAlarm=true,","")&amp;"},"&amp;IF(V67&lt;&gt;"","aFocus={"&amp;V67&amp;"},","")&amp;IF(X67&lt;&gt;"","tCountdown={"&amp;_xlfn.TEXTJOIN("",TRUE,X67:AAA67)&amp;"},","")&amp;"},")))</f>
        <v>{dwID=59356,nFrame=47,szNote="唐御御·烟花戏",col={0,255,255,},[3]={bScreenHead=true,},[4]={},aFocus={{dwMapID=-1,szDisplay="唐御御·烟花戏",nMaxDistance=60,tRelation={bAll=true,bEnemy=false,bAlly=false,},tLife={bEnable=false,szOperator="&gt;",nValue=0,},},},},</v>
      </c>
    </row>
    <row r="68" spans="1:23">
      <c r="C68">
        <v>137328</v>
      </c>
      <c r="D68">
        <v>47</v>
      </c>
      <c r="I68" t="s">
        <v>1629</v>
      </c>
      <c r="J68" t="s">
        <v>622</v>
      </c>
      <c r="P68">
        <v>1</v>
      </c>
      <c r="V68" t="s">
        <v>1630</v>
      </c>
      <c r="W68" t="str">
        <f t="shared" si="2"/>
        <v>{dwID=137328,nFrame=47,szNote="唐素娘·龟影锋",col={0,255,255,},[3]={bScreenHead=true,},[4]={},aFocus={{dwMapID=-1,szDisplay="唐素娘·龟影锋",nMaxDistance=30,tRelation={bAll=true,bEnemy=false,bAlly=false,},tLife={bEnable=false,szOperator="&gt;",nValue=0,},},},},</v>
      </c>
    </row>
    <row r="69" spans="1:23">
      <c r="A69" t="s">
        <v>1000</v>
      </c>
      <c r="B69">
        <v>139</v>
      </c>
      <c r="W69" t="str">
        <f t="shared" si="2"/>
        <v>},[139]={</v>
      </c>
    </row>
    <row r="70" spans="1:23">
      <c r="C70">
        <v>25531</v>
      </c>
      <c r="D70">
        <v>47</v>
      </c>
      <c r="I70" t="s">
        <v>1631</v>
      </c>
      <c r="J70" t="s">
        <v>622</v>
      </c>
      <c r="O70">
        <v>1</v>
      </c>
      <c r="P70">
        <v>1</v>
      </c>
      <c r="V70" t="s">
        <v>1632</v>
      </c>
      <c r="W70" t="str">
        <f t="shared" si="2"/>
        <v>{dwID=25531,nFrame=47,szNote="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71" spans="1:23">
      <c r="A71" t="s">
        <v>467</v>
      </c>
      <c r="B71">
        <v>150</v>
      </c>
      <c r="W71" t="str">
        <f t="shared" si="2"/>
        <v>},[150]={</v>
      </c>
    </row>
    <row r="72" spans="1:23">
      <c r="C72">
        <v>59336</v>
      </c>
      <c r="D72">
        <v>47</v>
      </c>
      <c r="I72" t="s">
        <v>1633</v>
      </c>
      <c r="J72" t="s">
        <v>622</v>
      </c>
      <c r="P72">
        <v>1</v>
      </c>
      <c r="V72" t="s">
        <v>1634</v>
      </c>
      <c r="W72" t="str">
        <f t="shared" si="2"/>
        <v>{dwID=59336,nFrame=47,szNote="阿貘·烟花戏",col={0,255,255,},[3]={bScreenHead=true,},[4]={},aFocus={{dwMapID=-1,szDisplay="阿貘·烟花戏",nMaxDistance=60,tRelation={bAll=true,bEnemy=false,bAlly=false,},tLife={bEnable=false,szOperator="&gt;",nValue=0,},},},},</v>
      </c>
    </row>
    <row r="73" spans="1:23">
      <c r="C73">
        <v>59337</v>
      </c>
      <c r="D73">
        <v>47</v>
      </c>
      <c r="I73" t="s">
        <v>1635</v>
      </c>
      <c r="J73" t="s">
        <v>622</v>
      </c>
      <c r="P73">
        <v>1</v>
      </c>
      <c r="V73" t="s">
        <v>1636</v>
      </c>
      <c r="W73" t="str">
        <f t="shared" si="2"/>
        <v>{dwID=59337,nFrame=47,szNote="雨芒·烟花戏",col={0,255,255,},[3]={bScreenHead=true,},[4]={},aFocus={{dwMapID=-1,szDisplay="雨芒·烟花戏",nMaxDistance=60,tRelation={bAll=true,bEnemy=false,bAlly=false,},tLife={bEnable=false,szOperator="&gt;",nValue=0,},},},},</v>
      </c>
    </row>
    <row r="74" spans="1:23">
      <c r="A74" t="s">
        <v>1042</v>
      </c>
      <c r="B74">
        <v>156</v>
      </c>
      <c r="W74" t="str">
        <f t="shared" si="2"/>
        <v>},[156]={</v>
      </c>
    </row>
    <row r="75" spans="1:23">
      <c r="C75">
        <v>25524</v>
      </c>
      <c r="D75">
        <v>47</v>
      </c>
      <c r="I75" t="s">
        <v>1637</v>
      </c>
      <c r="J75" t="s">
        <v>622</v>
      </c>
      <c r="O75">
        <v>1</v>
      </c>
      <c r="P75">
        <v>1</v>
      </c>
      <c r="V75" t="s">
        <v>1638</v>
      </c>
      <c r="W75" t="str">
        <f t="shared" si="2"/>
        <v>{dwID=25524,nFrame=47,szNote="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6" spans="1:23">
      <c r="C76">
        <v>109467</v>
      </c>
      <c r="D76">
        <v>47</v>
      </c>
      <c r="I76" t="s">
        <v>1639</v>
      </c>
      <c r="J76" t="s">
        <v>622</v>
      </c>
      <c r="P76">
        <v>1</v>
      </c>
      <c r="V76" t="s">
        <v>1640</v>
      </c>
      <c r="W76" t="str">
        <f t="shared" si="2"/>
        <v>{dwID=109467,nFrame=47,szNote="错错·枉叹恨",col={0,255,255,},[3]={bScreenHead=true,},[4]={},aFocus={{dwMapID=-1,szDisplay="错错·枉叹恨",nMaxDistance=60,tRelation={bAll=true,bEnemy=false,bAlly=false,},tLife={bEnable=false,szOperator="&gt;",nValue=0,},},},},</v>
      </c>
    </row>
    <row r="77" spans="1:23">
      <c r="A77" t="s">
        <v>455</v>
      </c>
      <c r="B77">
        <v>159</v>
      </c>
      <c r="W77" t="str">
        <f t="shared" si="2"/>
        <v>},[159]={</v>
      </c>
    </row>
    <row r="78" spans="1:23">
      <c r="C78">
        <v>54677</v>
      </c>
      <c r="D78">
        <v>47</v>
      </c>
      <c r="I78" t="s">
        <v>1641</v>
      </c>
      <c r="J78" t="s">
        <v>622</v>
      </c>
      <c r="P78">
        <v>1</v>
      </c>
      <c r="V78" t="s">
        <v>1642</v>
      </c>
      <c r="W78" t="str">
        <f t="shared" si="2"/>
        <v>{dwID=54677,nFrame=47,szNote="苏临渊·稚子心",col={0,255,255,},[3]={bScreenHead=true,},[4]={},aFocus={{dwMapID=-1,szDisplay="苏临渊·稚子心",nMaxDistance=60,tRelation={bAll=true,bEnemy=false,bAlly=false,},tLife={bEnable=false,szOperator="&gt;",nValue=0,},},},},</v>
      </c>
    </row>
    <row r="79" spans="1:23">
      <c r="C79">
        <v>55065</v>
      </c>
      <c r="D79">
        <v>47</v>
      </c>
      <c r="I79" t="s">
        <v>1643</v>
      </c>
      <c r="J79" t="s">
        <v>622</v>
      </c>
      <c r="P79">
        <v>1</v>
      </c>
      <c r="V79" t="s">
        <v>1644</v>
      </c>
      <c r="W79" t="str">
        <f t="shared" si="2"/>
        <v>{dwID=55065,nFrame=47,szNote="李嫂·稚子心",col={0,255,255,},[3]={bScreenHead=true,},[4]={},aFocus={{dwMapID=-1,szDisplay="李嫂·稚子心",nMaxDistance=60,tRelation={bAll=true,bEnemy=false,bAlly=false,},tLife={bEnable=false,szOperator="&gt;",nValue=0,},},},},</v>
      </c>
    </row>
    <row r="80" spans="1:23">
      <c r="C80">
        <v>59352</v>
      </c>
      <c r="D80">
        <v>47</v>
      </c>
      <c r="I80" t="s">
        <v>1645</v>
      </c>
      <c r="J80" t="s">
        <v>622</v>
      </c>
      <c r="P80">
        <v>1</v>
      </c>
      <c r="V80" t="s">
        <v>1646</v>
      </c>
      <c r="W80" t="str">
        <f t="shared" si="2"/>
        <v>{dwID=59352,nFrame=47,szNote="连九醉·烟花戏",col={0,255,255,},[3]={bScreenHead=true,},[4]={},aFocus={{dwMapID=-1,szDisplay="连九醉·烟花戏",nMaxDistance=60,tRelation={bAll=true,bEnemy=false,bAlly=false,},tLife={bEnable=false,szOperator="&gt;",nValue=0,},},},},</v>
      </c>
    </row>
    <row r="81" spans="1:23">
      <c r="A81" t="s">
        <v>510</v>
      </c>
      <c r="B81">
        <v>172</v>
      </c>
      <c r="W81" t="str">
        <f t="shared" si="2"/>
        <v>},[172]={</v>
      </c>
    </row>
    <row r="82" spans="1:23">
      <c r="C82">
        <v>42868</v>
      </c>
      <c r="D82">
        <v>47</v>
      </c>
      <c r="I82" t="s">
        <v>1647</v>
      </c>
      <c r="J82" t="s">
        <v>622</v>
      </c>
      <c r="O82">
        <v>1</v>
      </c>
      <c r="P82">
        <v>1</v>
      </c>
      <c r="V82" t="s">
        <v>1546</v>
      </c>
      <c r="W82" t="str">
        <f t="shared" si="2"/>
        <v>{dwID=42868,nFrame=47,szNote="小静静",col={0,255,255,},[3]={bCenterAlarm=true,bScreenHead=true,},[4]={},aFocus={{dwMapID=-1,nMaxDistance=0,tRelation={bAll=true,bEnemy=false,bAlly=false,},tLife={bEnable=false,szOperator="&gt;",nValue=0,},},},},</v>
      </c>
    </row>
    <row r="83" spans="1:23">
      <c r="C83">
        <v>51323</v>
      </c>
      <c r="D83">
        <v>47</v>
      </c>
      <c r="I83" t="s">
        <v>1648</v>
      </c>
      <c r="J83" t="s">
        <v>622</v>
      </c>
      <c r="P83">
        <v>1</v>
      </c>
      <c r="V83" t="s">
        <v>1649</v>
      </c>
      <c r="W83" t="str">
        <f t="shared" si="2"/>
        <v>{dwID=51323,nFrame=47,szNote="九隆神丐·荆轲刺",col={0,255,255,},[3]={bScreenHead=true,},[4]={},aFocus={{dwMapID=-1,szDisplay="九隆神丐·荆轲刺",nMaxDistance=60,tRelation={bAll=true,bEnemy=false,bAlly=false,},tLife={bEnable=false,szOperator="&gt;",nValue=0,},},},},</v>
      </c>
    </row>
    <row r="84" spans="1:23">
      <c r="C84">
        <v>25876</v>
      </c>
      <c r="D84">
        <v>47</v>
      </c>
      <c r="I84" t="s">
        <v>1650</v>
      </c>
      <c r="J84" t="s">
        <v>622</v>
      </c>
      <c r="P84">
        <v>1</v>
      </c>
      <c r="V84" t="s">
        <v>1651</v>
      </c>
      <c r="W84" t="str">
        <f t="shared" si="2"/>
        <v>{dwID=25876,nFrame=47,szNote="孟乌·瀛洲梦",col={0,255,255,},[3]={bScreenHead=true,},[4]={},aFocus={{dwMapID=-1,szDisplay="孟乌·瀛洲梦",nMaxDistance=60,tRelation={bAll=true,bEnemy=false,bAlly=false,},tLife={bEnable=false,szOperator="&gt;",nValue=0,},},},},</v>
      </c>
    </row>
    <row r="85" spans="1:23">
      <c r="A85" t="s">
        <v>496</v>
      </c>
      <c r="B85">
        <v>193</v>
      </c>
      <c r="W85" t="str">
        <f t="shared" si="2"/>
        <v>},[193]={</v>
      </c>
    </row>
    <row r="86" spans="1:23">
      <c r="C86">
        <v>56476</v>
      </c>
      <c r="D86">
        <v>47</v>
      </c>
      <c r="I86" t="s">
        <v>1652</v>
      </c>
      <c r="J86" t="s">
        <v>622</v>
      </c>
      <c r="P86">
        <v>1</v>
      </c>
      <c r="V86" t="s">
        <v>1653</v>
      </c>
      <c r="W86" t="str">
        <f t="shared" si="2"/>
        <v>{dwID=56476,nFrame=47,szNote="南静·关外商",col={0,255,255,},[3]={bScreenHead=true,},[4]={},aFocus={{dwMapID=-1,szDisplay="南静·关外商",nMaxDistance=60,tRelation={bAll=true,bEnemy=false,bAlly=false,},tLife={bEnable=false,szOperator="&gt;",nValue=0,},},},},</v>
      </c>
    </row>
    <row r="87" spans="1:23">
      <c r="C87">
        <v>59328</v>
      </c>
      <c r="D87">
        <v>47</v>
      </c>
      <c r="I87" t="s">
        <v>1654</v>
      </c>
      <c r="J87" t="s">
        <v>622</v>
      </c>
      <c r="P87">
        <v>1</v>
      </c>
      <c r="V87" t="s">
        <v>1655</v>
      </c>
      <c r="W87" t="str">
        <f t="shared" si="2"/>
        <v>{dwID=59328,nFrame=47,szNote="白芷沅·戎马边",col={0,255,255,},[3]={bScreenHead=true,},[4]={},aFocus={{dwMapID=-1,szDisplay="白芷沅·戎马边",nMaxDistance=60,tRelation={bAll=true,bEnemy=false,bAlly=false,},tLife={bEnable=false,szOperator="&gt;",nValue=0,},},},},</v>
      </c>
    </row>
    <row r="88" spans="1:23">
      <c r="A88" t="s">
        <v>1098</v>
      </c>
      <c r="B88">
        <v>194</v>
      </c>
      <c r="W88" t="str">
        <f t="shared" si="2"/>
        <v>},[194]={</v>
      </c>
    </row>
    <row r="89" spans="1:23">
      <c r="C89">
        <v>107295</v>
      </c>
      <c r="D89">
        <v>47</v>
      </c>
      <c r="I89" t="s">
        <v>1656</v>
      </c>
      <c r="J89" t="s">
        <v>622</v>
      </c>
      <c r="P89">
        <v>1</v>
      </c>
      <c r="V89" t="s">
        <v>1657</v>
      </c>
      <c r="W89" t="str">
        <f t="shared" si="2"/>
        <v>{dwID=107295,nFrame=47,szNote="庞以松·童蒙志",col={0,255,255,},[3]={bScreenHead=true,},[4]={},aFocus={{dwMapID=-1,szDisplay="庞以松·童蒙志",nMaxDistance=30,tRelation={bAll=true,bEnemy=false,bAlly=false,},tLife={bEnable=false,szOperator="&gt;",nValue=0,},},},},</v>
      </c>
    </row>
    <row r="90" spans="1:23">
      <c r="C90">
        <v>137447</v>
      </c>
      <c r="D90">
        <v>47</v>
      </c>
      <c r="I90" t="s">
        <v>1658</v>
      </c>
      <c r="J90" t="s">
        <v>622</v>
      </c>
      <c r="P90">
        <v>1</v>
      </c>
      <c r="V90" t="s">
        <v>1659</v>
      </c>
      <c r="W90" t="str">
        <f t="shared" si="2"/>
        <v>{dwID=137447,nFrame=47,szNote="流民老奶奶·燕难归",col={0,255,255,},[3]={bScreenHead=true,},[4]={},aFocus={{dwMapID=-1,szDisplay="流民老奶奶·燕难归",nMaxDistance=30,tRelation={bAll=true,bEnemy=false,bAlly=false,},tLife={bEnable=false,szOperator="&gt;",nValue=0,},},},},</v>
      </c>
    </row>
    <row r="91" spans="1:23">
      <c r="A91" t="s">
        <v>1112</v>
      </c>
      <c r="B91">
        <v>213</v>
      </c>
      <c r="W91" t="str">
        <f t="shared" si="2"/>
        <v>},[213]={</v>
      </c>
    </row>
    <row r="92" spans="1:23">
      <c r="C92">
        <v>59052</v>
      </c>
      <c r="D92">
        <v>47</v>
      </c>
      <c r="I92" t="s">
        <v>1660</v>
      </c>
      <c r="J92" t="s">
        <v>622</v>
      </c>
      <c r="P92">
        <v>1</v>
      </c>
      <c r="V92" t="s">
        <v>1661</v>
      </c>
      <c r="W92" t="str">
        <f t="shared" si="2"/>
        <v>{dwID=59052,nFrame=47,szNote="阿秋·儿女事",col={0,255,255,},[3]={bScreenHead=true,},[4]={},aFocus={{dwMapID=-1,szDisplay="阿秋·儿女事",nMaxDistance=60,tRelation={bAll=true,bEnemy=false,bAlly=false,},tLife={bEnable=false,szOperator="&gt;",nValue=0,},},},},</v>
      </c>
    </row>
    <row r="93" spans="1:23">
      <c r="A93" t="s">
        <v>1113</v>
      </c>
      <c r="B93">
        <v>214</v>
      </c>
      <c r="W93" t="str">
        <f t="shared" si="2"/>
        <v>},[214]={</v>
      </c>
    </row>
    <row r="94" spans="1:23">
      <c r="C94">
        <v>44430</v>
      </c>
      <c r="D94">
        <v>47</v>
      </c>
      <c r="I94" t="s">
        <v>1662</v>
      </c>
      <c r="J94" t="s">
        <v>622</v>
      </c>
      <c r="P94">
        <v>1</v>
      </c>
      <c r="V94" t="s">
        <v>1663</v>
      </c>
      <c r="W94" t="str">
        <f t="shared" si="2"/>
        <v>{dwID=44430,nFrame=47,szNote="王老道·碎片五·清茗经",col={0,255,255,},[3]={bScreenHead=true,},[4]={},aFocus={{dwMapID=-1,szDisplay="王老道·碎片五·清茗经",nMaxDistance=60,tRelation={bAll=true,bEnemy=false,bAlly=false,},tLife={bEnable=false,szOperator="&gt;",nValue=0,},},},},</v>
      </c>
    </row>
    <row r="95" spans="1:23">
      <c r="C95">
        <v>47878</v>
      </c>
      <c r="D95">
        <v>47</v>
      </c>
      <c r="I95" t="s">
        <v>1664</v>
      </c>
      <c r="J95" t="s">
        <v>622</v>
      </c>
      <c r="O95">
        <v>1</v>
      </c>
      <c r="P95">
        <v>1</v>
      </c>
      <c r="V95" t="s">
        <v>1665</v>
      </c>
      <c r="W95" t="str">
        <f t="shared" si="2"/>
        <v>{dwID=47878,nFrame=47,szNote="李尘缘·碎片八·清茗经",col={0,255,255,},[3]={bCenterAlarm=true,bScreenHead=true,},[4]={},aFocus={{dwMapID=-1,szDisplay="李尘缘·碎片八·清茗经",nMaxDistance=90,tRelation={bAll=true,bEnemy=false,bAlly=false,},tLife={bEnable=false,szOperator="&gt;",nValue=0,},},},},</v>
      </c>
    </row>
    <row r="96" spans="1:23">
      <c r="A96" t="s">
        <v>1114</v>
      </c>
      <c r="B96">
        <v>215</v>
      </c>
      <c r="W96" t="str">
        <f t="shared" si="2"/>
        <v>},[215]={</v>
      </c>
    </row>
    <row r="97" spans="1:23">
      <c r="C97">
        <v>48057</v>
      </c>
      <c r="D97">
        <v>47</v>
      </c>
      <c r="I97" t="s">
        <v>1666</v>
      </c>
      <c r="J97" t="s">
        <v>622</v>
      </c>
      <c r="P97">
        <v>1</v>
      </c>
      <c r="V97" t="s">
        <v>1667</v>
      </c>
      <c r="W97" t="str">
        <f t="shared" si="2"/>
        <v>{dwID=48057,nFrame=47,szNote="航小婷·胜负局",col={0,255,255,},[3]={bScreenHead=true,},[4]={},aFocus={{dwMapID=-1,szDisplay="航小婷·胜负局",nMaxDistance=60,tRelation={bAll=true,bEnemy=false,bAlly=false,},tLife={bEnable=false,szOperator="&gt;",nValue=0,},},},},</v>
      </c>
    </row>
    <row r="98" spans="1:23">
      <c r="C98">
        <v>107331</v>
      </c>
      <c r="D98">
        <v>47</v>
      </c>
      <c r="I98" t="s">
        <v>1668</v>
      </c>
      <c r="J98" t="s">
        <v>622</v>
      </c>
      <c r="P98">
        <v>1</v>
      </c>
      <c r="V98" t="s">
        <v>1669</v>
      </c>
      <c r="W98" t="str">
        <f t="shared" si="2"/>
        <v>{dwID=107331,nFrame=47,szNote="刘安·风雨意",col={0,255,255,},[3]={bScreenHead=true,},[4]={},aFocus={{dwMapID=-1,szDisplay="刘安·风雨意",nMaxDistance=60,tRelation={bAll=true,bEnemy=false,bAlly=false,},tLife={bEnable=false,szOperator="&gt;",nValue=0,},},},},</v>
      </c>
    </row>
    <row r="99" spans="1:23">
      <c r="C99">
        <v>107332</v>
      </c>
      <c r="D99">
        <v>47</v>
      </c>
      <c r="I99" t="s">
        <v>1670</v>
      </c>
      <c r="J99" t="s">
        <v>622</v>
      </c>
      <c r="P99">
        <v>1</v>
      </c>
      <c r="V99" t="s">
        <v>1671</v>
      </c>
      <c r="W99" t="str">
        <f t="shared" ref="W99:W130" si="3">IF(ISBLANK(B99)=FALSE,IF(ISBLANK(B98),"},["&amp;B99&amp;"]={","["&amp;B99&amp;"]={"),IF(AND(ISBLANK(B99),ISBLANK(D99),ISBLANK(C99),OR(ISBLANK(B98)=FALSE,ISBLANK(D98)=FALSE,ISBLANK(C98)=FALSE)),"},},}",IF(ISBLANK(C99),"","{dwID="&amp;C99&amp;","&amp;"nFrame="&amp;D99&amp;","&amp;IF(E99&gt;0,"nCount="&amp;E99&amp;",","")&amp;IF(F99&gt;0,"bAllLeave=true,","")&amp;IF(G99&lt;&gt;"","szName="""&amp;G99&amp;""",","")&amp;IF(H99&lt;&gt;"","tKungFu={"&amp;H99&amp;"},","")&amp;IF(I99&lt;&gt;"","szNote="""&amp;I99&amp;""",","")&amp;IF(J99&lt;&gt;"","col={"&amp;J99&amp;"},","")&amp;"[3]={"&amp;IF(K99&lt;&gt;"","tMark={"&amp;K99&amp;"},","")&amp;IF(L99&lt;&gt;"","szVoice="""&amp;L99&amp;""",","")&amp;IF(M99&gt;0,"bTeamChannel=true,","")&amp;IF(N99&gt;0,"bWhisperChannel=true,","")&amp;IF(O99&gt;0,"bCenterAlarm=true,","")&amp;IF(P99&gt;0,"bScreenHead=true,","")&amp;IF(Q99&gt;0,"bFullScreen=true,","")&amp;"},"&amp;"[4]={"&amp;IF(R99&lt;&gt;"","szVoice="""&amp;R99&amp;""",","")&amp;IF(S99&gt;0,"bTeamChannel=true,","")&amp;IF(T99&gt;0,"bWhisperChannel=true,","")&amp;IF(U99&gt;0,"bCenterAlarm=true,","")&amp;"},"&amp;IF(V99&lt;&gt;"","aFocus={"&amp;V99&amp;"},","")&amp;IF(X99&lt;&gt;"","tCountdown={"&amp;_xlfn.TEXTJOIN("",TRUE,X99:AAA99)&amp;"},","")&amp;"},")))</f>
        <v>{dwID=107332,nFrame=47,szNote="曙曙·风雨意",col={0,255,255,},[3]={bScreenHead=true,},[4]={},aFocus={{dwMapID=-1,szDisplay="曙曙·风雨意",nMaxDistance=60,tRelation={bAll=true,bEnemy=false,bAlly=false,},tLife={bEnable=false,szOperator="&gt;",nValue=0,},},},},</v>
      </c>
    </row>
    <row r="100" spans="1:23">
      <c r="A100" t="s">
        <v>1115</v>
      </c>
      <c r="B100">
        <v>216</v>
      </c>
      <c r="W100" t="str">
        <f t="shared" si="3"/>
        <v>},[216]={</v>
      </c>
    </row>
    <row r="101" spans="1:23">
      <c r="C101">
        <v>55060</v>
      </c>
      <c r="D101">
        <v>47</v>
      </c>
      <c r="I101" t="s">
        <v>1672</v>
      </c>
      <c r="J101" t="s">
        <v>622</v>
      </c>
      <c r="P101">
        <v>1</v>
      </c>
      <c r="V101" t="s">
        <v>1673</v>
      </c>
      <c r="W101" t="str">
        <f t="shared" si="3"/>
        <v>{dwID=55060,nFrame=47,szNote="野马烈风·青草歌",col={0,255,255,},[3]={bScreenHead=true,},[4]={},aFocus={{dwMapID=-1,szDisplay="野马烈风·青草歌",nMaxDistance=60,tRelation={bAll=true,bEnemy=false,bAlly=false,},tLife={bEnable=false,szOperator="&gt;",nValue=0,},},},},</v>
      </c>
    </row>
    <row r="102" spans="1:23">
      <c r="C102">
        <v>65917</v>
      </c>
      <c r="D102">
        <v>47</v>
      </c>
      <c r="I102" t="s">
        <v>1674</v>
      </c>
      <c r="J102" t="s">
        <v>622</v>
      </c>
      <c r="P102">
        <v>1</v>
      </c>
      <c r="V102" t="s">
        <v>1675</v>
      </c>
      <c r="W102" t="str">
        <f t="shared" si="3"/>
        <v>{dwID=65917,nFrame=47,szNote="神秘商人·沧海笛",col={0,255,255,},[3]={bScreenHead=true,},[4]={},aFocus={{dwMapID=-1,szDisplay="神秘商人·沧海笛",nMaxDistance=60,tRelation={bAll=true,bEnemy=false,bAlly=false,},tLife={bEnable=false,szOperator="&gt;",nValue=0,},},},},</v>
      </c>
    </row>
    <row r="103" spans="1:23">
      <c r="A103" t="s">
        <v>1116</v>
      </c>
      <c r="B103">
        <v>217</v>
      </c>
      <c r="W103" t="str">
        <f t="shared" si="3"/>
        <v>},[217]={</v>
      </c>
    </row>
    <row r="104" spans="1:23">
      <c r="C104">
        <v>109423</v>
      </c>
      <c r="D104">
        <v>47</v>
      </c>
      <c r="I104" t="s">
        <v>1676</v>
      </c>
      <c r="J104" t="s">
        <v>622</v>
      </c>
      <c r="P104">
        <v>1</v>
      </c>
      <c r="V104" t="s">
        <v>1677</v>
      </c>
      <c r="W104" t="str">
        <f t="shared" si="3"/>
        <v>{dwID=109423,nFrame=47,szNote="沙木沙克·幽海牧",col={0,255,255,},[3]={bScreenHead=true,},[4]={},aFocus={{dwMapID=-1,szDisplay="沙木沙克·幽海牧",nMaxDistance=60,tRelation={bAll=true,bEnemy=false,bAlly=false,},tLife={bEnable=false,szOperator="&gt;",nValue=0,},},},},</v>
      </c>
    </row>
    <row r="105" spans="1:23">
      <c r="A105" t="s">
        <v>1136</v>
      </c>
      <c r="B105">
        <v>239</v>
      </c>
      <c r="W105" t="str">
        <f t="shared" si="3"/>
        <v>},[239]={</v>
      </c>
    </row>
    <row r="106" spans="1:23">
      <c r="C106">
        <v>56702</v>
      </c>
      <c r="D106">
        <v>47</v>
      </c>
      <c r="I106" t="s">
        <v>1678</v>
      </c>
      <c r="J106" t="s">
        <v>622</v>
      </c>
      <c r="O106">
        <v>1</v>
      </c>
      <c r="P106">
        <v>1</v>
      </c>
      <c r="V106" t="s">
        <v>1679</v>
      </c>
      <c r="W106" t="str">
        <f t="shared" si="3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7" spans="1:23">
      <c r="A107" t="s">
        <v>1140</v>
      </c>
      <c r="B107">
        <v>243</v>
      </c>
      <c r="W107" t="str">
        <f t="shared" si="3"/>
        <v>},[243]={</v>
      </c>
    </row>
    <row r="108" spans="1:23">
      <c r="C108">
        <v>62005</v>
      </c>
      <c r="D108">
        <v>47</v>
      </c>
      <c r="I108" t="s">
        <v>1680</v>
      </c>
      <c r="J108" t="s">
        <v>622</v>
      </c>
      <c r="P108">
        <v>1</v>
      </c>
      <c r="V108" t="s">
        <v>1681</v>
      </c>
      <c r="W108" t="str">
        <f t="shared" si="3"/>
        <v>{dwID=62005,nFrame=47,szNote="边澈·太行道",col={0,255,255,},[3]={bScreenHead=true,},[4]={},aFocus={{dwMapID=-1,szDisplay="边澈·太行道",nMaxDistance=60,tRelation={bAll=true,bEnemy=false,bAlly=false,},tLife={bEnable=false,szOperator="&gt;",nValue=0,},},},},</v>
      </c>
    </row>
    <row r="109" spans="1:23">
      <c r="A109" t="s">
        <v>1209</v>
      </c>
      <c r="B109">
        <v>325</v>
      </c>
      <c r="W109" t="str">
        <f t="shared" si="3"/>
        <v>},[325]={</v>
      </c>
    </row>
    <row r="110" spans="1:23">
      <c r="C110">
        <v>70597</v>
      </c>
      <c r="D110">
        <v>47</v>
      </c>
      <c r="I110" t="s">
        <v>1682</v>
      </c>
      <c r="J110" t="s">
        <v>622</v>
      </c>
      <c r="P110">
        <v>1</v>
      </c>
      <c r="V110" t="s">
        <v>1683</v>
      </c>
      <c r="W110" t="str">
        <f t="shared" si="3"/>
        <v>{dwID=70597,nFrame=47,szNote="林云飞·露园事",col={0,255,255,},[3]={bScreenHead=true,},[4]={},aFocus={{dwMapID=-1,szDisplay="林云飞·露园事",nMaxDistance=60,tRelation={bAll=true,bEnemy=false,bAlly=false,},tLife={bEnable=false,szOperator="&gt;",nValue=0,},},},},</v>
      </c>
    </row>
    <row r="111" spans="1:23">
      <c r="A111" t="s">
        <v>1210</v>
      </c>
      <c r="B111">
        <v>330</v>
      </c>
      <c r="W111" t="str">
        <f t="shared" si="3"/>
        <v>},[330]={</v>
      </c>
    </row>
    <row r="112" spans="1:23">
      <c r="C112">
        <v>62806</v>
      </c>
      <c r="D112">
        <v>47</v>
      </c>
      <c r="I112" t="s">
        <v>1684</v>
      </c>
      <c r="J112" t="s">
        <v>622</v>
      </c>
      <c r="P112">
        <v>1</v>
      </c>
      <c r="V112" t="s">
        <v>1685</v>
      </c>
      <c r="W112" t="str">
        <f t="shared" si="3"/>
        <v>{dwID=62806,nFrame=47,szNote="火头僧·客江干",col={0,255,255,},[3]={bScreenHead=true,},[4]={},aFocus={{dwMapID=-1,szDisplay="火头僧·客江干",nMaxDistance=60,tRelation={bAll=true,bEnemy=false,bAlly=false,},tLife={bEnable=false,szOperator="&gt;",nValue=0,},},},},</v>
      </c>
    </row>
    <row r="113" spans="1:23">
      <c r="A113" t="s">
        <v>1212</v>
      </c>
      <c r="B113">
        <v>332</v>
      </c>
      <c r="W113" t="str">
        <f t="shared" si="3"/>
        <v>},[332]={</v>
      </c>
    </row>
    <row r="114" spans="1:23">
      <c r="C114">
        <v>62788</v>
      </c>
      <c r="D114">
        <v>47</v>
      </c>
      <c r="I114" t="s">
        <v>1686</v>
      </c>
      <c r="J114" t="s">
        <v>622</v>
      </c>
      <c r="P114">
        <v>1</v>
      </c>
      <c r="V114" t="s">
        <v>1687</v>
      </c>
      <c r="W114" t="str">
        <f t="shared" si="3"/>
        <v>{dwID=62788,nFrame=47,szNote="焦福贵·秘宝图",col={0,255,255,},[3]={bScreenHead=true,},[4]={},aFocus={{dwMapID=-1,szDisplay="焦福贵·秘宝图",nMaxDistance=60,tRelation={bAll=true,bEnemy=false,bAlly=false,},tLife={bEnable=false,szOperator="&gt;",nValue=0,},},},},</v>
      </c>
    </row>
    <row r="115" spans="1:23">
      <c r="A115" t="s">
        <v>522</v>
      </c>
      <c r="B115">
        <v>333</v>
      </c>
      <c r="W115" t="str">
        <f t="shared" si="3"/>
        <v>},[333]={</v>
      </c>
    </row>
    <row r="116" spans="1:23">
      <c r="C116">
        <v>99178</v>
      </c>
      <c r="D116">
        <v>47</v>
      </c>
      <c r="I116" t="s">
        <v>1688</v>
      </c>
      <c r="J116" t="s">
        <v>622</v>
      </c>
      <c r="P116">
        <v>1</v>
      </c>
      <c r="V116" t="s">
        <v>1689</v>
      </c>
      <c r="W116" t="str">
        <f t="shared" si="3"/>
        <v>{dwID=99178,nFrame=47,szNote="落单少侠·瀛洲梦",col={0,255,255,},[3]={bScreenHead=true,},[4]={},aFocus={{dwMapID=-1,szDisplay="落单少侠·瀛洲梦",nMaxDistance=60,tRelation={bAll=true,bEnemy=false,bAlly=false,},tLife={bEnable=false,szOperator="&gt;",nValue=0,},},},},</v>
      </c>
    </row>
    <row r="117" spans="1:23">
      <c r="A117" t="s">
        <v>1213</v>
      </c>
      <c r="B117">
        <v>334</v>
      </c>
      <c r="W117" t="str">
        <f t="shared" si="3"/>
        <v>},[334]={</v>
      </c>
    </row>
    <row r="118" spans="1:23">
      <c r="C118">
        <v>102012</v>
      </c>
      <c r="D118">
        <v>47</v>
      </c>
      <c r="I118" t="s">
        <v>1690</v>
      </c>
      <c r="J118" t="s">
        <v>622</v>
      </c>
      <c r="P118">
        <v>1</v>
      </c>
      <c r="V118" t="s">
        <v>1691</v>
      </c>
      <c r="W118" t="str">
        <f t="shared" si="3"/>
        <v>{dwID=102012,nFrame=47,szNote="算命先生·话玄虚",col={0,255,255,},[3]={bScreenHead=true,},[4]={},aFocus={{dwMapID=-1,szDisplay="算命先生·话玄虚",nMaxDistance=60,tRelation={bAll=true,bEnemy=false,bAlly=false,},tLife={bEnable=false,szOperator="&gt;",nValue=0,},},},},</v>
      </c>
    </row>
    <row r="119" spans="1:23">
      <c r="A119" t="s">
        <v>1244</v>
      </c>
      <c r="B119">
        <v>411</v>
      </c>
      <c r="W119" t="str">
        <f t="shared" si="3"/>
        <v>},[411]={</v>
      </c>
    </row>
    <row r="120" spans="1:23">
      <c r="C120">
        <v>65578</v>
      </c>
      <c r="D120">
        <v>47</v>
      </c>
      <c r="I120" t="s">
        <v>1692</v>
      </c>
      <c r="J120" t="s">
        <v>622</v>
      </c>
      <c r="P120">
        <v>1</v>
      </c>
      <c r="V120" t="s">
        <v>1693</v>
      </c>
      <c r="W120" t="str">
        <f t="shared" si="3"/>
        <v>{dwID=65578,nFrame=47,szNote="绿头鸭·滴水恩",col={0,255,255,},[3]={bScreenHead=true,},[4]={},aFocus={{dwMapID=-1,szDisplay="绿头鸭·滴水恩",nMaxDistance=60,tRelation={bAll=true,bEnemy=false,bAlly=false,},tLife={bEnable=false,szOperator="&gt;",nValue=0,},},},},</v>
      </c>
    </row>
    <row r="121" spans="1:23">
      <c r="C121">
        <v>127964</v>
      </c>
      <c r="D121">
        <v>47</v>
      </c>
      <c r="I121" t="s">
        <v>1694</v>
      </c>
      <c r="J121" t="s">
        <v>622</v>
      </c>
      <c r="P121">
        <v>1</v>
      </c>
      <c r="V121" t="s">
        <v>1695</v>
      </c>
      <c r="W121" t="str">
        <f t="shared" si="3"/>
        <v>{dwID=127964,nFrame=47,szNote="宋旅·路投石",col={0,255,255,},[3]={bScreenHead=true,},[4]={},aFocus={{dwMapID=-1,szDisplay="宋旅·路投石",nMaxDistance=60,tRelation={bAll=true,bEnemy=false,bAlly=false,},tLife={bEnable=false,szOperator="&gt;",nValue=0,},},},},</v>
      </c>
    </row>
    <row r="122" spans="1:23">
      <c r="A122" t="s">
        <v>1283</v>
      </c>
      <c r="B122">
        <v>455</v>
      </c>
      <c r="W122" t="str">
        <f t="shared" si="3"/>
        <v>},[455]={</v>
      </c>
    </row>
    <row r="123" spans="1:23">
      <c r="C123">
        <v>104935</v>
      </c>
      <c r="D123">
        <v>47</v>
      </c>
      <c r="I123" t="s">
        <v>1696</v>
      </c>
      <c r="J123" t="s">
        <v>622</v>
      </c>
      <c r="P123">
        <v>1</v>
      </c>
      <c r="V123" t="s">
        <v>1697</v>
      </c>
      <c r="W123" t="str">
        <f t="shared" si="3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4" spans="1:23">
      <c r="A124" t="s">
        <v>1298</v>
      </c>
      <c r="B124">
        <v>471</v>
      </c>
      <c r="W124" t="str">
        <f t="shared" si="3"/>
        <v>},[471]={</v>
      </c>
    </row>
    <row r="125" spans="1:23">
      <c r="C125">
        <v>99555</v>
      </c>
      <c r="D125">
        <v>47</v>
      </c>
      <c r="I125" t="s">
        <v>1698</v>
      </c>
      <c r="J125" t="s">
        <v>622</v>
      </c>
      <c r="P125">
        <v>1</v>
      </c>
      <c r="V125" t="s">
        <v>1699</v>
      </c>
      <c r="W125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6" spans="1:23">
      <c r="A126" t="s">
        <v>1311</v>
      </c>
      <c r="B126">
        <v>486</v>
      </c>
      <c r="W126" t="str">
        <f t="shared" si="3"/>
        <v>},[486]={</v>
      </c>
    </row>
    <row r="127" spans="1:23">
      <c r="C127">
        <v>99555</v>
      </c>
      <c r="D127">
        <v>47</v>
      </c>
      <c r="I127" t="s">
        <v>1698</v>
      </c>
      <c r="J127" t="s">
        <v>622</v>
      </c>
      <c r="P127">
        <v>1</v>
      </c>
      <c r="V127" t="s">
        <v>1699</v>
      </c>
      <c r="W127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8" spans="1:23">
      <c r="A128" t="s">
        <v>1350</v>
      </c>
      <c r="B128">
        <v>526</v>
      </c>
      <c r="W128" t="str">
        <f t="shared" si="3"/>
        <v>},[526]={</v>
      </c>
    </row>
    <row r="129" spans="1:23">
      <c r="C129">
        <v>106832</v>
      </c>
      <c r="D129">
        <v>47</v>
      </c>
      <c r="I129" t="s">
        <v>1700</v>
      </c>
      <c r="J129" t="s">
        <v>622</v>
      </c>
      <c r="O129">
        <v>1</v>
      </c>
      <c r="P129">
        <v>1</v>
      </c>
      <c r="V129" t="s">
        <v>1701</v>
      </c>
      <c r="W129" t="str">
        <f t="shared" si="3"/>
        <v>{dwID=106832,nFrame=47,szNote="刘山夕·念旧林",col={0,255,255,},[3]={bCenterAlarm=true,bScreenHead=true,},[4]={},aFocus={{dwMapID=-1,szDisplay="刘山夕·念旧林",nMaxDistance=120,tRelation={bAll=true,bEnemy=false,bAlly=false,},tLife={bEnable=false,szOperator="&gt;",nValue=0,},},},},</v>
      </c>
    </row>
    <row r="130" spans="1:23">
      <c r="A130" t="s">
        <v>556</v>
      </c>
      <c r="B130">
        <v>578</v>
      </c>
      <c r="W130" t="str">
        <f t="shared" si="3"/>
        <v>},[578]={</v>
      </c>
    </row>
    <row r="131" spans="1:23">
      <c r="C131">
        <v>112804</v>
      </c>
      <c r="D131">
        <v>47</v>
      </c>
      <c r="I131" t="s">
        <v>1702</v>
      </c>
      <c r="J131" t="s">
        <v>622</v>
      </c>
      <c r="P131">
        <v>1</v>
      </c>
      <c r="V131" t="s">
        <v>1703</v>
      </c>
      <c r="W131" t="str">
        <f t="shared" ref="W131:W146" si="4">IF(ISBLANK(B131)=FALSE,IF(ISBLANK(B130),"},["&amp;B131&amp;"]={","["&amp;B131&amp;"]={"),IF(AND(ISBLANK(B131),ISBLANK(D131),ISBLANK(C131),OR(ISBLANK(B130)=FALSE,ISBLANK(D130)=FALSE,ISBLANK(C130)=FALSE)),"},},}",IF(ISBLANK(C131),"","{dwID="&amp;C131&amp;","&amp;"nFrame="&amp;D131&amp;","&amp;IF(E131&gt;0,"nCount="&amp;E131&amp;",","")&amp;IF(F131&gt;0,"bAllLeave=true,","")&amp;IF(G131&lt;&gt;"","szName="""&amp;G131&amp;""",","")&amp;IF(H131&lt;&gt;"","tKungFu={"&amp;H131&amp;"},","")&amp;IF(I131&lt;&gt;"","szNote="""&amp;I131&amp;""",","")&amp;IF(J131&lt;&gt;"","col={"&amp;J131&amp;"},","")&amp;"[3]={"&amp;IF(K131&lt;&gt;"","tMark={"&amp;K131&amp;"},","")&amp;IF(L131&lt;&gt;"","szVoice="""&amp;L131&amp;""",","")&amp;IF(M131&gt;0,"bTeamChannel=true,","")&amp;IF(N131&gt;0,"bWhisperChannel=true,","")&amp;IF(O131&gt;0,"bCenterAlarm=true,","")&amp;IF(P131&gt;0,"bScreenHead=true,","")&amp;IF(Q131&gt;0,"bFullScreen=true,","")&amp;"},"&amp;"[4]={"&amp;IF(R131&lt;&gt;"","szVoice="""&amp;R131&amp;""",","")&amp;IF(S131&gt;0,"bTeamChannel=true,","")&amp;IF(T131&gt;0,"bWhisperChannel=true,","")&amp;IF(U131&gt;0,"bCenterAlarm=true,","")&amp;"},"&amp;IF(V131&lt;&gt;"","aFocus={"&amp;V131&amp;"},","")&amp;IF(X131&lt;&gt;"","tCountdown={"&amp;_xlfn.TEXTJOIN("",TRUE,X131:AAA131)&amp;"},","")&amp;"},")))</f>
        <v>{dwID=112804,nFrame=47,szNote="小肥花·重洋客",col={0,255,255,},[3]={bScreenHead=true,},[4]={},aFocus={{dwMapID=-1,szDisplay="小肥花·重洋客",nMaxDistance=60,tRelation={bAll=true,bEnemy=false,bAlly=false,},tLife={bEnable=false,szOperator="&gt;",nValue=0,},},},},</v>
      </c>
    </row>
    <row r="132" spans="1:23">
      <c r="A132" t="s">
        <v>1396</v>
      </c>
      <c r="B132">
        <v>579</v>
      </c>
      <c r="W132" t="str">
        <f t="shared" si="4"/>
        <v>},[579]={</v>
      </c>
    </row>
    <row r="133" spans="1:23">
      <c r="C133">
        <v>122983</v>
      </c>
      <c r="D133">
        <v>47</v>
      </c>
      <c r="I133" t="s">
        <v>1704</v>
      </c>
      <c r="J133" t="s">
        <v>622</v>
      </c>
      <c r="P133">
        <v>1</v>
      </c>
      <c r="V133" t="s">
        <v>1705</v>
      </c>
      <c r="W133" t="str">
        <f t="shared" si="4"/>
        <v>{dwID=122983,nFrame=47,szNote="礼礼·乱红鸾",col={0,255,255,},[3]={bScreenHead=true,},[4]={},aFocus={{dwMapID=-1,szDisplay="礼礼·乱红鸾",nMaxDistance=60,tRelation={bAll=true,bEnemy=false,bAlly=false,},tLife={bEnable=false,szOperator="&gt;",nValue=0,},},},},</v>
      </c>
    </row>
    <row r="134" spans="1:23">
      <c r="C134">
        <v>126031</v>
      </c>
      <c r="D134">
        <v>47</v>
      </c>
      <c r="I134" t="s">
        <v>1706</v>
      </c>
      <c r="J134" t="s">
        <v>622</v>
      </c>
      <c r="P134">
        <v>1</v>
      </c>
      <c r="V134" t="s">
        <v>1707</v>
      </c>
      <c r="W134" t="str">
        <f t="shared" si="4"/>
        <v>{dwID=126031,nFrame=47,szNote="晒太阳·寓天涯",col={0,255,255,},[3]={bScreenHead=true,},[4]={},aFocus={{dwMapID=-1,szDisplay="晒太阳·寓天涯",nMaxDistance=60,tRelation={bAll=true,bEnemy=false,bAlly=false,},tLife={bEnable=false,szOperator="&gt;",nValue=0,},},},},</v>
      </c>
    </row>
    <row r="135" spans="1:23">
      <c r="A135" t="s">
        <v>1397</v>
      </c>
      <c r="B135">
        <v>580</v>
      </c>
      <c r="W135" t="str">
        <f t="shared" si="4"/>
        <v>},[580]={</v>
      </c>
    </row>
    <row r="136" spans="1:23">
      <c r="C136">
        <v>112639</v>
      </c>
      <c r="D136">
        <v>47</v>
      </c>
      <c r="I136" t="s">
        <v>1708</v>
      </c>
      <c r="J136" t="s">
        <v>622</v>
      </c>
      <c r="P136">
        <v>1</v>
      </c>
      <c r="V136" t="s">
        <v>1709</v>
      </c>
      <c r="W136" t="str">
        <f t="shared" si="4"/>
        <v>{dwID=112639,nFrame=47,szNote="崔有恒·子夜歌",col={0,255,255,},[3]={bScreenHead=true,},[4]={},aFocus={{dwMapID=-1,szDisplay="崔有恒·子夜歌",nMaxDistance=60,tRelation={bAll=true,bEnemy=false,bAlly=false,},tLife={bEnable=false,szOperator="&gt;",nValue=0,},},},},</v>
      </c>
    </row>
    <row r="137" spans="1:23">
      <c r="A137" t="s">
        <v>1398</v>
      </c>
      <c r="B137">
        <v>581</v>
      </c>
      <c r="W137" t="str">
        <f t="shared" si="4"/>
        <v>},[581]={</v>
      </c>
    </row>
    <row r="138" spans="1:23">
      <c r="C138">
        <v>132204</v>
      </c>
      <c r="D138">
        <v>47</v>
      </c>
      <c r="I138" t="s">
        <v>1710</v>
      </c>
      <c r="J138" t="s">
        <v>622</v>
      </c>
      <c r="P138">
        <v>1</v>
      </c>
      <c r="V138" t="s">
        <v>1711</v>
      </c>
      <c r="W138" t="str">
        <f t="shared" si="4"/>
        <v>{dwID=132204,nFrame=47,szNote="姜堰·授太平",col={0,255,255,},[3]={bScreenHead=true,},[4]={},aFocus={{dwMapID=-1,szDisplay="姜堰·授太平",nMaxDistance=60,tRelation={bAll=true,bEnemy=false,bAlly=false,},tLife={bEnable=false,szOperator="&gt;",nValue=0,},},},},</v>
      </c>
    </row>
    <row r="139" spans="1:23">
      <c r="C139">
        <v>122790</v>
      </c>
      <c r="D139">
        <v>47</v>
      </c>
      <c r="I139" t="s">
        <v>1712</v>
      </c>
      <c r="J139" t="s">
        <v>622</v>
      </c>
      <c r="P139">
        <v>1</v>
      </c>
      <c r="V139" t="s">
        <v>1713</v>
      </c>
      <c r="W139" t="str">
        <f t="shared" si="4"/>
        <v>{dwID=122790,nFrame=47,szNote="逗逗·夜哀鸣",col={0,255,255,},[3]={bScreenHead=true,},[4]={},aFocus={{dwMapID=-1,szDisplay="逗逗·夜哀鸣",nMaxDistance=60,tRelation={bAll=true,bEnemy=false,bAlly=false,},tLife={bEnable=false,szOperator="&gt;",nValue=0,},},},},</v>
      </c>
    </row>
    <row r="140" spans="1:23">
      <c r="A140" t="s">
        <v>1399</v>
      </c>
      <c r="B140">
        <v>582</v>
      </c>
      <c r="W140" t="str">
        <f t="shared" si="4"/>
        <v>},[582]={</v>
      </c>
    </row>
    <row r="141" spans="1:23">
      <c r="C141">
        <v>113068</v>
      </c>
      <c r="D141">
        <v>47</v>
      </c>
      <c r="I141" t="s">
        <v>1714</v>
      </c>
      <c r="J141" t="s">
        <v>622</v>
      </c>
      <c r="P141">
        <v>1</v>
      </c>
      <c r="V141" t="s">
        <v>1715</v>
      </c>
      <c r="W141" t="str">
        <f t="shared" si="4"/>
        <v>{dwID=113068,nFrame=47,szNote="槲生·故岁辞",col={0,255,255,},[3]={bScreenHead=true,},[4]={},aFocus={{dwMapID=-1,szDisplay="槲生·故岁辞",nMaxDistance=60,tRelation={bAll=true,bEnemy=false,bAlly=false,},tLife={bEnable=false,szOperator="&gt;",nValue=0,},},},},</v>
      </c>
    </row>
    <row r="142" spans="1:23">
      <c r="A142" t="s">
        <v>1716</v>
      </c>
      <c r="B142">
        <v>713</v>
      </c>
      <c r="W142" t="str">
        <f t="shared" si="4"/>
        <v>},[713]={</v>
      </c>
    </row>
    <row r="143" spans="1:23">
      <c r="C143">
        <v>135609</v>
      </c>
      <c r="D143">
        <v>47</v>
      </c>
      <c r="I143" t="s">
        <v>1717</v>
      </c>
      <c r="J143" t="s">
        <v>622</v>
      </c>
      <c r="P143">
        <v>1</v>
      </c>
      <c r="V143" t="s">
        <v>1718</v>
      </c>
      <c r="W143" t="str">
        <f t="shared" si="4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4" spans="1:23">
      <c r="A144" t="s">
        <v>1719</v>
      </c>
      <c r="B144">
        <v>718</v>
      </c>
      <c r="W144" t="str">
        <f t="shared" si="4"/>
        <v>},[718]={</v>
      </c>
    </row>
    <row r="145" spans="3:23">
      <c r="C145">
        <v>137476</v>
      </c>
      <c r="D145">
        <v>47</v>
      </c>
      <c r="I145" t="s">
        <v>1720</v>
      </c>
      <c r="J145" t="s">
        <v>622</v>
      </c>
      <c r="P145">
        <v>1</v>
      </c>
      <c r="V145" t="s">
        <v>1721</v>
      </c>
      <c r="W145" t="str">
        <f t="shared" si="4"/>
        <v>{dwID=137476,nFrame=47,szNote="刘一竿·碗中仙",col={0,255,255,},[3]={bScreenHead=true,},[4]={},aFocus={{dwMapID=-1,szDisplay="刘一竿·碗中仙",nMaxDistance=60,tRelation={bAll=true,bEnemy=false,bAlly=false,},tLife={bEnable=false,szOperator="&gt;",nValue=0,},},},},</v>
      </c>
    </row>
    <row r="146" spans="3:23">
      <c r="W146" t="str">
        <f t="shared" si="4"/>
        <v>},},}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5"/>
  <sheetViews>
    <sheetView workbookViewId="0">
      <pane ySplit="1" topLeftCell="A134" activePane="bottomLeft" state="frozen"/>
      <selection/>
      <selection pane="bottomLeft" activeCell="T173" sqref="T173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1722</v>
      </c>
      <c r="K1" t="s">
        <v>1723</v>
      </c>
      <c r="L1" t="s">
        <v>1724</v>
      </c>
      <c r="M1" t="s">
        <v>1725</v>
      </c>
      <c r="N1" t="s">
        <v>1726</v>
      </c>
      <c r="O1" t="s">
        <v>1727</v>
      </c>
      <c r="P1" t="s">
        <v>1728</v>
      </c>
      <c r="Q1" t="s">
        <v>1729</v>
      </c>
      <c r="R1" t="s">
        <v>1730</v>
      </c>
      <c r="S1" t="s">
        <v>1731</v>
      </c>
      <c r="T1" t="s">
        <v>296</v>
      </c>
      <c r="U1" t="s">
        <v>1732</v>
      </c>
      <c r="V1" t="s">
        <v>316</v>
      </c>
    </row>
    <row r="2" spans="1:22">
      <c r="A2" t="s">
        <v>399</v>
      </c>
      <c r="B2">
        <v>2</v>
      </c>
      <c r="U2" t="str">
        <f t="shared" ref="U2:U6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>
      <c r="C3">
        <v>11143</v>
      </c>
      <c r="H3" t="s">
        <v>1733</v>
      </c>
      <c r="I3" t="s">
        <v>622</v>
      </c>
      <c r="N3">
        <v>1</v>
      </c>
      <c r="T3" t="s">
        <v>1734</v>
      </c>
      <c r="U3" t="str">
        <f t="shared" si="0"/>
        <v>{dwID=11143,szNote="盆栽·燕啼松",col={0,255,255,},[17]={bScreenHead=true,},[18]={},aFocus={{dwMapID=-1,szDisplay="盆栽·燕啼松",nMaxDistance=60,tRelation={bAll=true,bEnemy=false,bAlly=false,},tLife={bEnable=false,szOperator="&gt;",nValue=0,},},},},</v>
      </c>
    </row>
    <row r="4" spans="1:22">
      <c r="C4">
        <v>4696</v>
      </c>
      <c r="H4" t="s">
        <v>1735</v>
      </c>
      <c r="I4" t="s">
        <v>622</v>
      </c>
      <c r="N4">
        <v>1</v>
      </c>
      <c r="T4" t="s">
        <v>1736</v>
      </c>
      <c r="U4" t="str">
        <f t="shared" si="0"/>
        <v>{dwID=4696,szNote="散落的书页·孩童书",col={0,255,255,},[17]={bScreenHead=true,},[18]={},aFocus={{dwMapID=-1,szDisplay="散落的书页·孩童书",nMaxDistance=60,tRelation={bAll=true,bEnemy=false,bAlly=false,},tLife={bEnable=false,szOperator="&gt;",nValue=0,},},},},</v>
      </c>
    </row>
    <row r="5" spans="1:22">
      <c r="A5" t="s">
        <v>401</v>
      </c>
      <c r="B5">
        <v>5</v>
      </c>
      <c r="U5" t="str">
        <f t="shared" si="0"/>
        <v>},[5]={</v>
      </c>
    </row>
    <row r="6" spans="1:22">
      <c r="C6">
        <v>4582</v>
      </c>
      <c r="H6" t="s">
        <v>1737</v>
      </c>
      <c r="I6" t="s">
        <v>622</v>
      </c>
      <c r="M6">
        <v>1</v>
      </c>
      <c r="N6">
        <v>1</v>
      </c>
      <c r="T6" t="s">
        <v>1738</v>
      </c>
      <c r="U6" t="str">
        <f t="shared" si="0"/>
        <v>{dwID=4582,szNote="酒葫芦·小果",col={0,255,255,},[17]={bCenterAlarm=true,bScreenHead=true,},[18]={},aFocus={{dwMapID=-1,szDisplay="酒葫芦·小果",nMaxDistance=0,tRelation={bAll=true,bEnemy=false,bAlly=false,},tLife={bEnable=false,szOperator="&gt;",nValue=0,},},},},</v>
      </c>
    </row>
    <row r="7" spans="1:22">
      <c r="A7" t="s">
        <v>680</v>
      </c>
      <c r="B7">
        <v>6</v>
      </c>
      <c r="U7" t="str">
        <f t="shared" si="0"/>
        <v>},[6]={</v>
      </c>
    </row>
    <row r="8" spans="1:22">
      <c r="C8">
        <v>5321</v>
      </c>
      <c r="H8" t="s">
        <v>1739</v>
      </c>
      <c r="I8" t="s">
        <v>622</v>
      </c>
      <c r="M8">
        <v>1</v>
      </c>
      <c r="N8">
        <v>1</v>
      </c>
      <c r="T8" t="s">
        <v>1740</v>
      </c>
      <c r="U8" t="str">
        <f t="shared" si="0"/>
        <v>{dwID=5321,szNote="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>
      <c r="C9">
        <v>6914</v>
      </c>
      <c r="H9" t="s">
        <v>1741</v>
      </c>
      <c r="I9" t="s">
        <v>622</v>
      </c>
      <c r="N9">
        <v>1</v>
      </c>
      <c r="T9" t="s">
        <v>1742</v>
      </c>
      <c r="U9" t="str">
        <f t="shared" si="0"/>
        <v>{dwID=6914,szNote="埋东西的痕迹·烟花戏",col={0,255,255,},[17]={bScreenHead=true,},[18]={},aFocus={{dwMapID=-1,szDisplay="埋东西的痕迹·烟花戏",nMaxDistance=60,tRelation={bAll=true,bEnemy=false,bAlly=false,},tLife={bEnable=false,szOperator="&gt;",nValue=0,},},},},</v>
      </c>
    </row>
    <row r="10" spans="1:22">
      <c r="C10">
        <v>6987</v>
      </c>
      <c r="H10" t="s">
        <v>1743</v>
      </c>
      <c r="I10" t="s">
        <v>622</v>
      </c>
      <c r="N10">
        <v>1</v>
      </c>
      <c r="T10" t="s">
        <v>1744</v>
      </c>
      <c r="U10" t="str">
        <f t="shared" si="0"/>
        <v>{dwID=6987,szNote="奇怪的土堆·归安志",col={0,255,255,},[17]={bScreenHead=true,},[18]={},aFocus={{dwMapID=-1,szDisplay="奇怪的土堆·归安志",nMaxDistance=60,tRelation={bAll=true,bEnemy=false,bAlly=false,},tLife={bEnable=false,szOperator="&gt;",nValue=0,},},},},</v>
      </c>
    </row>
    <row r="11" spans="1:22">
      <c r="C11">
        <v>7763</v>
      </c>
      <c r="H11" t="s">
        <v>1745</v>
      </c>
      <c r="I11" t="s">
        <v>622</v>
      </c>
      <c r="N11">
        <v>1</v>
      </c>
      <c r="T11" t="s">
        <v>1746</v>
      </c>
      <c r="U11" t="str">
        <f t="shared" si="0"/>
        <v>{dwID=7763,szNote="苜蓿草·谜书生",col={0,255,255,},[17]={bScreenHead=true,},[18]={},aFocus={{dwMapID=-1,szDisplay="苜蓿草·谜书生",nMaxDistance=60,tRelation={bAll=true,bEnemy=false,bAlly=false,},tLife={bEnable=false,szOperator="&gt;",nValue=0,},},},},</v>
      </c>
    </row>
    <row r="12" spans="1:22">
      <c r="C12">
        <v>7772</v>
      </c>
      <c r="H12" t="s">
        <v>1747</v>
      </c>
      <c r="I12" t="s">
        <v>622</v>
      </c>
      <c r="N12">
        <v>1</v>
      </c>
      <c r="T12" t="s">
        <v>1748</v>
      </c>
      <c r="U12" t="str">
        <f t="shared" si="0"/>
        <v>{dwID=7772,szNote="带血的金钗·谜书生",col={0,255,255,},[17]={bScreenHead=true,},[18]={},aFocus={{dwMapID=-1,szDisplay="带血的金钗·谜书生",nMaxDistance=60,tRelation={bAll=true,bEnemy=false,bAlly=false,},tLife={bEnable=false,szOperator="&gt;",nValue=0,},},},},</v>
      </c>
    </row>
    <row r="13" spans="1:22">
      <c r="C13">
        <v>8045</v>
      </c>
      <c r="H13" t="s">
        <v>1749</v>
      </c>
      <c r="I13" t="s">
        <v>622</v>
      </c>
      <c r="N13">
        <v>1</v>
      </c>
      <c r="T13" t="s">
        <v>1750</v>
      </c>
      <c r="U13" t="str">
        <f t="shared" si="0"/>
        <v>{dwID=8045,szNote="几页书稿·江湖录",col={0,255,255,},[17]={bScreenHead=true,},[18]={},aFocus={{dwMapID=-1,szDisplay="几页书稿·江湖录",nMaxDistance=60,tRelation={bAll=true,bEnemy=false,bAlly=false,},tLife={bEnable=false,szOperator="&gt;",nValue=0,},},},},</v>
      </c>
    </row>
    <row r="14" spans="1:22">
      <c r="A14" t="s">
        <v>686</v>
      </c>
      <c r="B14">
        <v>8</v>
      </c>
      <c r="U14" t="str">
        <f t="shared" si="0"/>
        <v>},[8]={</v>
      </c>
    </row>
    <row r="15" spans="1:22">
      <c r="C15">
        <v>4706</v>
      </c>
      <c r="H15" t="s">
        <v>1751</v>
      </c>
      <c r="I15" t="s">
        <v>622</v>
      </c>
      <c r="M15">
        <v>1</v>
      </c>
      <c r="N15">
        <v>1</v>
      </c>
      <c r="T15" t="s">
        <v>1752</v>
      </c>
      <c r="U15" t="str">
        <f t="shared" si="0"/>
        <v>{dwID=4706,szNote="小土堆·小花",col={0,255,255,},[17]={bCenterAlarm=true,bScreenHead=true,},[18]={},aFocus={{dwMapID=-1,szDisplay="小土堆·小花",nMaxDistance=120,tRelation={bAll=true,bEnemy=false,bAlly=false,},tLife={bEnable=false,szOperator="&gt;",nValue=0,},},},},</v>
      </c>
    </row>
    <row r="16" spans="1:22">
      <c r="C16">
        <v>6988</v>
      </c>
      <c r="H16" t="s">
        <v>1753</v>
      </c>
      <c r="I16" t="s">
        <v>622</v>
      </c>
      <c r="N16">
        <v>1</v>
      </c>
      <c r="T16" t="s">
        <v>1754</v>
      </c>
      <c r="U16" t="str">
        <f t="shared" si="0"/>
        <v>{dwID=6988,szNote="遗失的包裹·归安志",col={0,255,255,},[17]={bScreenHead=true,},[18]={},aFocus={{dwMapID=-1,szDisplay="遗失的包裹·归安志",nMaxDistance=60,tRelation={bAll=true,bEnemy=false,bAlly=false,},tLife={bEnable=false,szOperator="&gt;",nValue=0,},},},},</v>
      </c>
    </row>
    <row r="17" spans="1:21">
      <c r="C17">
        <v>10680</v>
      </c>
      <c r="H17" t="s">
        <v>1755</v>
      </c>
      <c r="I17" t="s">
        <v>622</v>
      </c>
      <c r="N17">
        <v>1</v>
      </c>
      <c r="T17" t="s">
        <v>1756</v>
      </c>
      <c r="U17" t="str">
        <f t="shared" si="0"/>
        <v>{dwID=10680,szNote="招牌菜·义千金",col={0,255,255,},[17]={bScreenHead=true,},[18]={},aFocus={{dwMapID=-1,szDisplay="招牌菜·义千金",nMaxDistance=60,tRelation={bAll=true,bEnemy=false,bAlly=false,},tLife={bEnable=false,szOperator="&gt;",nValue=0,},},},},</v>
      </c>
    </row>
    <row r="18" spans="1:21">
      <c r="C18">
        <v>10681</v>
      </c>
      <c r="H18" t="s">
        <v>1757</v>
      </c>
      <c r="I18" t="s">
        <v>622</v>
      </c>
      <c r="N18">
        <v>1</v>
      </c>
      <c r="T18" t="s">
        <v>1758</v>
      </c>
      <c r="U18" t="str">
        <f t="shared" si="0"/>
        <v>{dwID=10681,szNote="秘方·义千金",col={0,255,255,},[17]={bScreenHead=true,},[18]={},aFocus={{dwMapID=-1,szDisplay="秘方·义千金",nMaxDistance=60,tRelation={bAll=true,bEnemy=false,bAlly=false,},tLife={bEnable=false,szOperator="&gt;",nValue=0,},},},},</v>
      </c>
    </row>
    <row r="19" spans="1:21">
      <c r="A19" t="s">
        <v>690</v>
      </c>
      <c r="B19">
        <v>9</v>
      </c>
      <c r="U19" t="str">
        <f t="shared" si="0"/>
        <v>},[9]={</v>
      </c>
    </row>
    <row r="20" spans="1:21">
      <c r="C20">
        <v>4776</v>
      </c>
      <c r="H20" t="s">
        <v>1759</v>
      </c>
      <c r="I20" t="s">
        <v>622</v>
      </c>
      <c r="N20">
        <v>1</v>
      </c>
      <c r="T20" t="s">
        <v>1760</v>
      </c>
      <c r="U20" t="str">
        <f t="shared" si="0"/>
        <v>{dwID=4776,szNote="小泥娃娃·红衣歌",col={0,255,255,},[17]={bScreenHead=true,},[18]={},aFocus={{dwMapID=-1,szDisplay="小泥娃娃·红衣歌",nMaxDistance=60,tRelation={bAll=true,bEnemy=false,bAlly=false,},tLife={bEnable=false,szOperator="&gt;",nValue=0,},},},},</v>
      </c>
    </row>
    <row r="21" spans="1:21">
      <c r="C21">
        <v>6986</v>
      </c>
      <c r="H21" t="s">
        <v>1761</v>
      </c>
      <c r="I21" t="s">
        <v>622</v>
      </c>
      <c r="N21">
        <v>1</v>
      </c>
      <c r="T21" t="s">
        <v>1762</v>
      </c>
      <c r="U21" t="str">
        <f t="shared" si="0"/>
        <v>{dwID=6986,szNote="古旧的卷轴·归安志",col={0,255,255,},[17]={bScreenHead=true,},[18]={},aFocus={{dwMapID=-1,szDisplay="古旧的卷轴·归安志",nMaxDistance=60,tRelation={bAll=true,bEnemy=false,bAlly=false,},tLife={bEnable=false,szOperator="&gt;",nValue=0,},},},},</v>
      </c>
    </row>
    <row r="22" spans="1:21">
      <c r="A22" t="s">
        <v>694</v>
      </c>
      <c r="B22">
        <v>10</v>
      </c>
      <c r="U22" t="str">
        <f t="shared" si="0"/>
        <v>},[10]={</v>
      </c>
    </row>
    <row r="23" spans="1:21">
      <c r="C23">
        <v>6093</v>
      </c>
      <c r="H23" t="s">
        <v>1763</v>
      </c>
      <c r="I23" t="s">
        <v>622</v>
      </c>
      <c r="N23">
        <v>1</v>
      </c>
      <c r="T23" t="s">
        <v>1764</v>
      </c>
      <c r="U23" t="str">
        <f t="shared" si="0"/>
        <v>{dwID=6093,szNote="诱捕的笼子·破晓鸣",col={0,255,255,},[17]={bScreenHead=true,},[18]={},aFocus={{dwMapID=-1,szDisplay="诱捕的笼子·破晓鸣",nMaxDistance=60,tRelation={bAll=true,bEnemy=false,bAlly=false,},tLife={bEnable=false,szOperator="&gt;",nValue=0,},},},},</v>
      </c>
    </row>
    <row r="24" spans="1:21">
      <c r="A24" t="s">
        <v>700</v>
      </c>
      <c r="B24">
        <v>12</v>
      </c>
      <c r="U24" t="str">
        <f t="shared" si="0"/>
        <v>},[12]={</v>
      </c>
    </row>
    <row r="25" spans="1:21">
      <c r="C25">
        <v>4713</v>
      </c>
      <c r="H25" t="s">
        <v>1765</v>
      </c>
      <c r="I25" t="s">
        <v>622</v>
      </c>
      <c r="M25">
        <v>1</v>
      </c>
      <c r="N25">
        <v>1</v>
      </c>
      <c r="T25" t="s">
        <v>1766</v>
      </c>
      <c r="U25" t="str">
        <f t="shared" si="0"/>
        <v>{dwID=4713,szNote="一本书·蟹相",col={0,255,255,},[17]={bCenterAlarm=true,bScreenHead=true,},[18]={},aFocus={{dwMapID=-1,szDisplay="一本书·蟹相",nMaxDistance=0,tRelation={bAll=true,bEnemy=false,bAlly=false,},tLife={bEnable=false,szOperator="&gt;",nValue=0,},},},},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6" spans="1:21">
      <c r="C26">
        <v>5158</v>
      </c>
      <c r="H26" t="s">
        <v>1767</v>
      </c>
      <c r="I26" t="s">
        <v>622</v>
      </c>
      <c r="N26">
        <v>1</v>
      </c>
      <c r="T26" t="s">
        <v>1768</v>
      </c>
      <c r="U26" t="str">
        <f t="shared" si="0"/>
        <v>{dwID=5158,szNote="沙土堆·枫林酒",col={0,255,255,},[17]={bScreenHead=true,},[18]={},aFocus={{dwMapID=-1,szDisplay="沙土堆·枫林酒",nMaxDistance=60,tRelation={bAll=true,bEnemy=false,bAlly=false,},tLife={bEnable=false,szOperator="&gt;",nValue=0,},},},},</v>
      </c>
    </row>
    <row r="27" spans="1:21">
      <c r="A27" t="s">
        <v>704</v>
      </c>
      <c r="B27">
        <v>13</v>
      </c>
      <c r="U27" t="str">
        <f t="shared" si="0"/>
        <v>},[13]={</v>
      </c>
    </row>
    <row r="28" spans="1:21">
      <c r="C28">
        <v>5245</v>
      </c>
      <c r="H28" t="s">
        <v>1769</v>
      </c>
      <c r="I28" t="s">
        <v>622</v>
      </c>
      <c r="N28">
        <v>1</v>
      </c>
      <c r="T28" t="s">
        <v>1770</v>
      </c>
      <c r="U28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29" spans="1:21">
      <c r="C29">
        <v>5052</v>
      </c>
      <c r="H29" t="s">
        <v>1771</v>
      </c>
      <c r="I29" t="s">
        <v>622</v>
      </c>
      <c r="M29">
        <v>1</v>
      </c>
      <c r="N29">
        <v>1</v>
      </c>
      <c r="T29" t="s">
        <v>1772</v>
      </c>
      <c r="U29" t="str">
        <f t="shared" si="0"/>
        <v>{dwID=5052,szNote="一本书·蟹士",col={0,255,255,},[17]={bCenterAlarm=true,bScreenHead=true,},[18]={},aFocus={{dwMapID=-1,szDisplay="一本书·蟹士",nMaxDistance=0,tRelation={bAll=true,bEnemy=false,bAlly=false,},tLife={bEnable=false,szOperator="&gt;",nValue=0,},},},},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30" spans="1:21">
      <c r="C30">
        <v>6985</v>
      </c>
      <c r="H30" t="s">
        <v>1773</v>
      </c>
      <c r="I30" t="s">
        <v>622</v>
      </c>
      <c r="N30">
        <v>1</v>
      </c>
      <c r="T30" t="s">
        <v>1774</v>
      </c>
      <c r="U30" t="str">
        <f t="shared" si="0"/>
        <v>{dwID=6985,szNote="张老头的竹筐·归安志",col={0,255,255,},[17]={bScreenHead=true,},[18]={},aFocus={{dwMapID=-1,szDisplay="张老头的竹筐·归安志",nMaxDistance=60,tRelation={bAll=true,bEnemy=false,bAlly=false,},tLife={bEnable=false,szOperator="&gt;",nValue=0,},},},},</v>
      </c>
    </row>
    <row r="31" spans="1:21">
      <c r="C31">
        <v>9637</v>
      </c>
      <c r="H31" t="s">
        <v>1775</v>
      </c>
      <c r="I31" t="s">
        <v>622</v>
      </c>
      <c r="N31">
        <v>1</v>
      </c>
      <c r="T31" t="s">
        <v>1776</v>
      </c>
      <c r="U31" t="str">
        <f t="shared" si="0"/>
        <v>{dwID=9637,szNote="落叶堆·鸠雀记",col={0,255,255,},[17]={bScreenHead=true,},[18]={},aFocus={{dwMapID=-1,szDisplay="落叶堆·鸠雀记",nMaxDistance=60,tRelation={bAll=true,bEnemy=false,bAlly=false,},tLife={bEnable=false,szOperator="&gt;",nValue=0,},},},},</v>
      </c>
    </row>
    <row r="32" spans="1:21">
      <c r="A32" t="s">
        <v>424</v>
      </c>
      <c r="B32">
        <v>16</v>
      </c>
      <c r="U32" t="str">
        <f t="shared" si="0"/>
        <v>},[16]={</v>
      </c>
    </row>
    <row r="33" spans="1:21">
      <c r="C33">
        <v>5812</v>
      </c>
      <c r="H33" t="s">
        <v>1777</v>
      </c>
      <c r="I33" t="s">
        <v>622</v>
      </c>
      <c r="N33">
        <v>1</v>
      </c>
      <c r="T33" t="s">
        <v>1778</v>
      </c>
      <c r="U33" t="str">
        <f t="shared" si="0"/>
        <v>{dwID=5812,szNote="酒坛·捉妖记",col={0,255,255,},[17]={bScreenHead=true,},[18]={},aFocus={{dwMapID=-1,szDisplay="酒坛·捉妖记",nMaxDistance=60,tRelation={bAll=true,bEnemy=false,bAlly=false,},tLife={bEnable=false,szOperator="&gt;",nValue=0,},},},},</v>
      </c>
    </row>
    <row r="34" spans="1:21">
      <c r="C34">
        <v>4774</v>
      </c>
      <c r="H34" t="s">
        <v>1779</v>
      </c>
      <c r="I34" t="s">
        <v>622</v>
      </c>
      <c r="N34">
        <v>1</v>
      </c>
      <c r="T34" t="s">
        <v>1780</v>
      </c>
      <c r="U34" t="str">
        <f t="shared" si="0"/>
        <v>{dwID=4774,szNote="藏着木头鱼的鱼篓·捉妖记",col={0,255,255,},[17]={bScreenHead=true,},[18]={},aFocus={{dwMapID=-1,szDisplay="藏木头鱼的鱼篓·捉妖记",nMaxDistance=60,tRelation={bAll=true,bEnemy=false,bAlly=false,},tLife={bEnable=false,szOperator="&gt;",nValue=0,},},},},</v>
      </c>
    </row>
    <row r="35" spans="1:21">
      <c r="C35">
        <v>4705</v>
      </c>
      <c r="H35" t="s">
        <v>1781</v>
      </c>
      <c r="I35" t="s">
        <v>622</v>
      </c>
      <c r="N35">
        <v>1</v>
      </c>
      <c r="T35" t="s">
        <v>1782</v>
      </c>
      <c r="U35" t="str">
        <f t="shared" si="0"/>
        <v>{dwID=4705,szNote="风筝·捉妖记",col={0,255,255,},[17]={bScreenHead=true,},[18]={},aFocus={{dwMapID=-1,szDisplay="风筝·捉妖记",nMaxDistance=60,tRelation={bAll=true,bEnemy=false,bAlly=false,},tLife={bEnable=false,szOperator="&gt;",nValue=0,},},},},</v>
      </c>
    </row>
    <row r="36" spans="1:21">
      <c r="C36">
        <v>6915</v>
      </c>
      <c r="H36" t="s">
        <v>1783</v>
      </c>
      <c r="I36" t="s">
        <v>622</v>
      </c>
      <c r="N36">
        <v>1</v>
      </c>
      <c r="T36" t="s">
        <v>1784</v>
      </c>
      <c r="U36" t="str">
        <f t="shared" si="0"/>
        <v>{dwID=6915,szNote="川芎·烟花戏",col={0,255,255,},[17]={bScreenHead=true,},[18]={},aFocus={{dwMapID=-1,szDisplay="川芎·烟花戏",nMaxDistance=60,tRelation={bAll=true,bEnemy=false,bAlly=false,},tLife={bEnable=false,szOperator="&gt;",nValue=0,},},},},</v>
      </c>
    </row>
    <row r="37" spans="1:21">
      <c r="A37" t="s">
        <v>732</v>
      </c>
      <c r="B37">
        <v>21</v>
      </c>
      <c r="U37" t="str">
        <f t="shared" si="0"/>
        <v>},[21]={</v>
      </c>
    </row>
    <row r="38" spans="1:21">
      <c r="C38">
        <v>5154</v>
      </c>
      <c r="H38" t="s">
        <v>1785</v>
      </c>
      <c r="I38" t="s">
        <v>622</v>
      </c>
      <c r="M38">
        <v>1</v>
      </c>
      <c r="N38">
        <v>1</v>
      </c>
      <c r="T38" t="s">
        <v>1786</v>
      </c>
      <c r="U38" t="str">
        <f t="shared" si="0"/>
        <v>{dwID=5154,szNote="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9" spans="1:21">
      <c r="A39" t="s">
        <v>735</v>
      </c>
      <c r="B39">
        <v>22</v>
      </c>
      <c r="U39" t="str">
        <f t="shared" si="0"/>
        <v>},[22]={</v>
      </c>
    </row>
    <row r="40" spans="1:21">
      <c r="C40">
        <v>5054</v>
      </c>
      <c r="H40" t="s">
        <v>1787</v>
      </c>
      <c r="I40" t="s">
        <v>622</v>
      </c>
      <c r="N40">
        <v>1</v>
      </c>
      <c r="T40" t="s">
        <v>1788</v>
      </c>
      <c r="U40" t="str">
        <f t="shared" si="0"/>
        <v>{dwID=5054,szNote="一盏青头草·嘟嘟",col={0,255,255,},[17]={bScreenHead=true,},[18]={},aFocus={{dwMapID=-1,szDisplay="一盏青头草·嘟嘟",nMaxDistance=60,tRelation={bAll=true,bEnemy=false,bAlly=false,},tLife={bEnable=false,szOperator="&gt;",nValue=0,},},},},</v>
      </c>
    </row>
    <row r="41" spans="1:21">
      <c r="C41">
        <v>6500</v>
      </c>
      <c r="H41" t="s">
        <v>1789</v>
      </c>
      <c r="I41" t="s">
        <v>622</v>
      </c>
      <c r="N41">
        <v>1</v>
      </c>
      <c r="T41" t="s">
        <v>1790</v>
      </c>
      <c r="U41" t="str">
        <f t="shared" si="0"/>
        <v>{dwID=6500,szNote="夏枯草·东海客",col={0,255,255,},[17]={bScreenHead=true,},[18]={},aFocus={{dwMapID=-1,szDisplay="夏枯草·东海客",nMaxDistance=60,tRelation={bAll=true,bEnemy=false,bAlly=false,},tLife={bEnable=false,szOperator="&gt;",nValue=0,},},},},</v>
      </c>
    </row>
    <row r="42" spans="1:21">
      <c r="C42">
        <v>8762</v>
      </c>
      <c r="H42" t="s">
        <v>1791</v>
      </c>
      <c r="I42" t="s">
        <v>622</v>
      </c>
      <c r="N42">
        <v>1</v>
      </c>
      <c r="T42" t="s">
        <v>1792</v>
      </c>
      <c r="U42" t="str">
        <f t="shared" si="0"/>
        <v>{dwID=8762,szNote="半本秘诀·尘网中",col={0,255,255,},[17]={bScreenHead=true,},[18]={},aFocus={{dwMapID=-1,szDisplay="半本秘诀·尘网中",nMaxDistance=60,tRelation={bAll=true,bEnemy=false,bAlly=false,},tLife={bEnable=false,szOperator="&gt;",nValue=0,},},},},</v>
      </c>
    </row>
    <row r="43" spans="1:21">
      <c r="A43" t="s">
        <v>738</v>
      </c>
      <c r="B43">
        <v>23</v>
      </c>
      <c r="U43" t="str">
        <f t="shared" si="0"/>
        <v>},[23]={</v>
      </c>
    </row>
    <row r="44" spans="1:21">
      <c r="C44">
        <v>6058</v>
      </c>
      <c r="H44" t="s">
        <v>1793</v>
      </c>
      <c r="I44" t="s">
        <v>622</v>
      </c>
      <c r="N44">
        <v>1</v>
      </c>
      <c r="T44" t="s">
        <v>1794</v>
      </c>
      <c r="U44" t="str">
        <f t="shared" si="0"/>
        <v>{dwID=6058,szNote="遗失的画纸·沙海谣",col={0,255,255,},[17]={bScreenHead=true,},[18]={},aFocus={{dwMapID=-1,szDisplay="遗失的画纸·沙海谣",nMaxDistance=60,tRelation={bAll=true,bEnemy=false,bAlly=false,},tLife={bEnable=false,szOperator="&gt;",nValue=0,},},},},</v>
      </c>
    </row>
    <row r="45" spans="1:21">
      <c r="C45">
        <v>6708</v>
      </c>
      <c r="H45" t="s">
        <v>1795</v>
      </c>
      <c r="I45" t="s">
        <v>622</v>
      </c>
      <c r="N45">
        <v>1</v>
      </c>
      <c r="T45" t="s">
        <v>1796</v>
      </c>
      <c r="U45" t="str">
        <f t="shared" si="0"/>
        <v>{dwID=6708,szNote="深色的沙土堆·锋芒展",col={0,255,255,},[17]={bScreenHead=true,},[18]={},aFocus={{dwMapID=-1,szDisplay="深色的沙土堆·锋芒展",nMaxDistance=60,tRelation={bAll=true,bEnemy=false,bAlly=false,},tLife={bEnable=false,szOperator="&gt;",nValue=0,},},},},</v>
      </c>
    </row>
    <row r="46" spans="1:21">
      <c r="C46">
        <v>6709</v>
      </c>
      <c r="H46" t="s">
        <v>1797</v>
      </c>
      <c r="I46" t="s">
        <v>622</v>
      </c>
      <c r="N46">
        <v>1</v>
      </c>
      <c r="T46" t="s">
        <v>1798</v>
      </c>
      <c r="U46" t="str">
        <f t="shared" si="0"/>
        <v>{dwID=6709,szNote="四散的弩箭·锋芒展",col={0,255,255,},[17]={bScreenHead=true,},[18]={},aFocus={{dwMapID=-1,szDisplay="四散的弩箭·锋芒展",nMaxDistance=60,tRelation={bAll=true,bEnemy=false,bAlly=false,},tLife={bEnable=false,szOperator="&gt;",nValue=0,},},},},</v>
      </c>
    </row>
    <row r="47" spans="1:21">
      <c r="C47">
        <v>6861</v>
      </c>
      <c r="H47" t="s">
        <v>1799</v>
      </c>
      <c r="I47" t="s">
        <v>622</v>
      </c>
      <c r="N47">
        <v>1</v>
      </c>
      <c r="T47" t="s">
        <v>1800</v>
      </c>
      <c r="U47" t="str">
        <f t="shared" si="0"/>
        <v>{dwID=6861,szNote="篝火残骸·锋芒展",col={0,255,255,},[17]={bScreenHead=true,},[18]={},aFocus={{dwMapID=-1,szDisplay="篝火残骸·锋芒展",nMaxDistance=60,tRelation={bAll=true,bEnemy=false,bAlly=false,},tLife={bEnable=false,szOperator="&gt;",nValue=0,},},},},</v>
      </c>
    </row>
    <row r="48" spans="1:21">
      <c r="C48">
        <v>6726</v>
      </c>
      <c r="H48" t="s">
        <v>1801</v>
      </c>
      <c r="I48" t="s">
        <v>622</v>
      </c>
      <c r="N48">
        <v>1</v>
      </c>
      <c r="T48" t="s">
        <v>1802</v>
      </c>
      <c r="U48" t="str">
        <f t="shared" si="0"/>
        <v>{dwID=6726,szNote="散落的刀兵·锋芒展",col={0,255,255,},[17]={bScreenHead=true,},[18]={},aFocus={{dwMapID=-1,szDisplay="散落的刀兵·锋芒展",nMaxDistance=60,tRelation={bAll=true,bEnemy=false,bAlly=false,},tLife={bEnable=false,szOperator="&gt;",nValue=0,},},},},</v>
      </c>
    </row>
    <row r="49" spans="1:21">
      <c r="C49">
        <v>6727</v>
      </c>
      <c r="H49" t="s">
        <v>1803</v>
      </c>
      <c r="I49" t="s">
        <v>622</v>
      </c>
      <c r="N49">
        <v>1</v>
      </c>
      <c r="T49" t="s">
        <v>1804</v>
      </c>
      <c r="U49" t="str">
        <f t="shared" si="0"/>
        <v>{dwID=6727,szNote="商队货物·锋芒展",col={0,255,255,},[17]={bScreenHead=true,},[18]={},aFocus={{dwMapID=-1,szDisplay="商队货物·锋芒展",nMaxDistance=60,tRelation={bAll=true,bEnemy=false,bAlly=false,},tLife={bEnable=false,szOperator="&gt;",nValue=0,},},},},</v>
      </c>
    </row>
    <row r="50" spans="1:21">
      <c r="A50" t="s">
        <v>758</v>
      </c>
      <c r="B50">
        <v>30</v>
      </c>
      <c r="U50" t="str">
        <f t="shared" si="0"/>
        <v>},[30]={</v>
      </c>
    </row>
    <row r="51" spans="1:21">
      <c r="C51">
        <v>5053</v>
      </c>
      <c r="H51" t="s">
        <v>1805</v>
      </c>
      <c r="I51" t="s">
        <v>622</v>
      </c>
      <c r="M51">
        <v>1</v>
      </c>
      <c r="N51">
        <v>1</v>
      </c>
      <c r="T51" t="s">
        <v>1806</v>
      </c>
      <c r="U51" t="str">
        <f t="shared" si="0"/>
        <v>{dwID=5053,szNote="冰凌雪莲·冰蓝花客",col={0,255,255,},[17]={bCenterAlarm=true,bScreenHead=true,},[18]={},aFocus={{dwMapID=-1,szDisplay="冰凌雪莲·冰蓝花客",nMaxDistance=120,tRelation={bAll=true,bEnemy=false,bAlly=false,},tLife={bEnable=false,szOperator="&gt;",nValue=0,},},},},</v>
      </c>
    </row>
    <row r="52" spans="1:21">
      <c r="A52" t="s">
        <v>773</v>
      </c>
      <c r="B52">
        <v>35</v>
      </c>
      <c r="U52" t="str">
        <f t="shared" si="0"/>
        <v>},[35]={</v>
      </c>
    </row>
    <row r="53" spans="1:21">
      <c r="C53">
        <v>5051</v>
      </c>
      <c r="H53" t="s">
        <v>1807</v>
      </c>
      <c r="I53" t="s">
        <v>622</v>
      </c>
      <c r="M53">
        <v>1</v>
      </c>
      <c r="N53">
        <v>1</v>
      </c>
      <c r="T53" t="s">
        <v>1808</v>
      </c>
      <c r="U53" t="str">
        <f t="shared" si="0"/>
        <v>{dwID=5051,szNote="一本书·蟹仕",col={0,255,255,},[17]={bCenterAlarm=true,bScreenHead=true,},[18]={},aFocus={{dwMapID=-1,szDisplay="一本书·蟹仕",nMaxDistance=0,tRelation={bAll=true,bEnemy=false,bAlly=false,},tLife={bEnable=false,szOperator="&gt;",nValue=0,},},},},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54" spans="1:21">
      <c r="A54" t="s">
        <v>891</v>
      </c>
      <c r="B54">
        <v>100</v>
      </c>
      <c r="U54" t="str">
        <f t="shared" si="0"/>
        <v>},[100]={</v>
      </c>
    </row>
    <row r="55" spans="1:21">
      <c r="C55">
        <v>5245</v>
      </c>
      <c r="H55" t="s">
        <v>1769</v>
      </c>
      <c r="I55" t="s">
        <v>622</v>
      </c>
      <c r="N55">
        <v>1</v>
      </c>
      <c r="T55" t="s">
        <v>1770</v>
      </c>
      <c r="U55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56" spans="1:21">
      <c r="C56">
        <v>5153</v>
      </c>
      <c r="H56" t="s">
        <v>1809</v>
      </c>
      <c r="I56" t="s">
        <v>622</v>
      </c>
      <c r="M56">
        <v>1</v>
      </c>
      <c r="N56">
        <v>1</v>
      </c>
      <c r="T56" t="s">
        <v>1810</v>
      </c>
      <c r="U56" t="str">
        <f t="shared" si="0"/>
        <v>{dwID=5153,szNote="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57" spans="1:21">
      <c r="C57">
        <v>4763</v>
      </c>
      <c r="H57" t="s">
        <v>1811</v>
      </c>
      <c r="I57" t="s">
        <v>622</v>
      </c>
      <c r="M57">
        <v>1</v>
      </c>
      <c r="N57">
        <v>1</v>
      </c>
      <c r="T57" t="s">
        <v>1812</v>
      </c>
      <c r="U57" t="str">
        <f t="shared" si="0"/>
        <v>{dwID=4763,szNote="破旧的纸卷·小诺",col={0,255,255,},[17]={bCenterAlarm=true,bScreenHead=true,},[18]={},aFocus={{dwMapID=-1,szDisplay="破旧的纸卷·小诺",nMaxDistance=0,tRelation={bAll=true,bEnemy=false,bAlly=false,},tLife={bEnable=false,szOperator="&gt;",nValue=0,},},},},</v>
      </c>
    </row>
    <row r="58" spans="1:21">
      <c r="A58" t="s">
        <v>894</v>
      </c>
      <c r="B58">
        <v>101</v>
      </c>
      <c r="U58" t="str">
        <f t="shared" si="0"/>
        <v>},[101]={</v>
      </c>
    </row>
    <row r="59" spans="1:21">
      <c r="C59">
        <v>5155</v>
      </c>
      <c r="H59" t="s">
        <v>1813</v>
      </c>
      <c r="I59" t="s">
        <v>622</v>
      </c>
      <c r="M59">
        <v>1</v>
      </c>
      <c r="N59">
        <v>1</v>
      </c>
      <c r="T59" t="s">
        <v>1814</v>
      </c>
      <c r="U59" t="str">
        <f t="shared" si="0"/>
        <v>{dwID=5155,szNote="泥沙堆·红羽大将军",col={0,255,255,},[17]={bCenterAlarm=true,bScreenHead=true,},[18]={},aFocus={{dwMapID=-1,szDisplay="泥沙堆·红羽大将军",nMaxDistance=0,tRelation={bAll=true,bEnemy=false,bAlly=false,},tLife={bEnable=false,szOperator="&gt;",nValue=0,},},},},</v>
      </c>
    </row>
    <row r="60" spans="1:21">
      <c r="C60">
        <v>6101</v>
      </c>
      <c r="H60" t="s">
        <v>1815</v>
      </c>
      <c r="I60" t="s">
        <v>622</v>
      </c>
      <c r="N60">
        <v>1</v>
      </c>
      <c r="T60" t="s">
        <v>1816</v>
      </c>
      <c r="U60" t="str">
        <f t="shared" si="0"/>
        <v>{dwID=6101,szNote="一个闪闪发光的物件·竹马情",col={0,255,255,},[17]={bScreenHead=true,},[18]={},aFocus={{dwMapID=-1,szDisplay="闪闪发光的物件·竹马情",nMaxDistance=60,tRelation={bAll=true,bEnemy=false,bAlly=false,},tLife={bEnable=false,szOperator="&gt;",nValue=0,},},},},</v>
      </c>
    </row>
    <row r="61" spans="1:21">
      <c r="A61" t="s">
        <v>459</v>
      </c>
      <c r="B61">
        <v>102</v>
      </c>
      <c r="U61" t="str">
        <f t="shared" si="0"/>
        <v>},[102]={</v>
      </c>
    </row>
    <row r="62" spans="1:21">
      <c r="C62">
        <v>6366</v>
      </c>
      <c r="H62" t="s">
        <v>1817</v>
      </c>
      <c r="I62" t="s">
        <v>622</v>
      </c>
      <c r="N62">
        <v>1</v>
      </c>
      <c r="T62" t="s">
        <v>1818</v>
      </c>
      <c r="U62" t="str">
        <f t="shared" si="0"/>
        <v>{dwID=6366,szNote="小土堆·滇南行",col={0,255,255,},[17]={bScreenHead=true,},[18]={},aFocus={{dwMapID=-1,szDisplay="小土堆·滇南行",nMaxDistance=60,tRelation={bAll=true,bEnemy=false,bAlly=false,},tLife={bEnable=false,szOperator="&gt;",nValue=0,},},},},</v>
      </c>
    </row>
    <row r="63" spans="1:21">
      <c r="C63">
        <v>6367</v>
      </c>
      <c r="H63" t="s">
        <v>1819</v>
      </c>
      <c r="I63" t="s">
        <v>622</v>
      </c>
      <c r="N63">
        <v>1</v>
      </c>
      <c r="T63" t="s">
        <v>1820</v>
      </c>
      <c r="U63" t="str">
        <f t="shared" si="0"/>
        <v>{dwID=6367,szNote="换颜草·滇南行",col={0,255,255,},[17]={bScreenHead=true,},[18]={},aFocus={{dwMapID=-1,szDisplay="换颜草·滇南行",nMaxDistance=60,tRelation={bAll=true,bEnemy=false,bAlly=false,},tLife={bEnable=false,szOperator="&gt;",nValue=0,},},},},</v>
      </c>
    </row>
    <row r="64" spans="1:21">
      <c r="C64">
        <v>6514</v>
      </c>
      <c r="H64" t="s">
        <v>1821</v>
      </c>
      <c r="T64" t="s">
        <v>1822</v>
      </c>
      <c r="U64" t="str">
        <f t="shared" si="0"/>
        <v>{dwID=6514,szNote="日记1·东海客",[17]={},[18]={},aFocus={{dwMapID=-1,szDisplay="日记1·东海客",nMaxDistance=60,tRelation={bAll=true,bEnemy=false,bAlly=false,},tLife={bEnable=false,szOperator="&gt;",nValue=0,},},},},</v>
      </c>
    </row>
    <row r="65" spans="1:21">
      <c r="C65">
        <v>6515</v>
      </c>
      <c r="H65" t="s">
        <v>1823</v>
      </c>
      <c r="T65" t="s">
        <v>1824</v>
      </c>
      <c r="U65" t="str">
        <f t="shared" si="0"/>
        <v>{dwID=6515,szNote="日记2·东海客",[17]={},[18]={},aFocus={{dwMapID=-1,szDisplay="日记2·东海客",nMaxDistance=60,tRelation={bAll=true,bEnemy=false,bAlly=false,},tLife={bEnable=false,szOperator="&gt;",nValue=0,},},},},</v>
      </c>
    </row>
    <row r="66" spans="1:21">
      <c r="C66">
        <v>6516</v>
      </c>
      <c r="H66" t="s">
        <v>1825</v>
      </c>
      <c r="T66" t="s">
        <v>1826</v>
      </c>
      <c r="U66" t="str">
        <f t="shared" ref="U66:U129" si="1">IF(ISBLANK(B66)=FALSE,IF(ISBLANK(B65),"},["&amp;B66&amp;"]={","["&amp;B66&amp;"]={"),IF(AND(ISBLANK(B66),ISBLANK(C66),OR(ISBLANK(B65)=FALSE,ISBLANK(C65)=FALSE)),"},},}",IF(ISBLANK(C66),"","{dwID="&amp;C66&amp;","&amp;IF(D66&gt;0,"nCount="&amp;D66&amp;",","")&amp;IF(E66&gt;0,"bAllLeave=true,","")&amp;IF(F66&lt;&gt;"","szName="""&amp;F66&amp;""",","")&amp;IF(G66&lt;&gt;"","tKungFu={"&amp;G66&amp;"},","")&amp;IF(H66&lt;&gt;"","szNote="""&amp;H66&amp;""",","")&amp;IF(I66&lt;&gt;"","col={"&amp;I66&amp;"},","")&amp;"[17]={"&amp;IF(J66&lt;&gt;"","szVoice="""&amp;J66&amp;""",","")&amp;IF(K66&gt;0,"bTeamChannel=true,","")&amp;IF(L66&gt;0,"bWhisperChannel=true,","")&amp;IF(M66&gt;0,"bCenterAlarm=true,","")&amp;IF(N66&gt;0,"bScreenHead=true,","")&amp;IF(O66&gt;0,"bFullScreen=true,","")&amp;"},"&amp;"[18]={"&amp;IF(P66&lt;&gt;"","szVoice="""&amp;P66&amp;""",","")&amp;IF(Q66&gt;0,"bTeamChannel=true,","")&amp;IF(R66&gt;0,"bWhisperChannel=true,","")&amp;IF(S66&gt;0,"bCenterAlarm=true,","")&amp;"},"&amp;IF(T66&lt;&gt;"","aFocus={"&amp;T66&amp;"},","")&amp;IF(V66&lt;&gt;"","tCountdown={"&amp;_xlfn.TEXTJOIN("",TRUE,V66:AAA66)&amp;"},","")&amp;"},")))</f>
        <v>{dwID=6516,szNote="日记3·东海客",[17]={},[18]={},aFocus={{dwMapID=-1,szDisplay="日记3·东海客",nMaxDistance=60,tRelation={bAll=true,bEnemy=false,bAlly=false,},tLife={bEnable=false,szOperator="&gt;",nValue=0,},},},},</v>
      </c>
    </row>
    <row r="67" spans="1:21">
      <c r="C67">
        <v>6517</v>
      </c>
      <c r="H67" t="s">
        <v>1827</v>
      </c>
      <c r="T67" t="s">
        <v>1828</v>
      </c>
      <c r="U67" t="str">
        <f t="shared" si="1"/>
        <v>{dwID=6517,szNote="日记4·东海客",[17]={},[18]={},aFocus={{dwMapID=-1,szDisplay="日记4·东海客",nMaxDistance=60,tRelation={bAll=true,bEnemy=false,bAlly=false,},tLife={bEnable=false,szOperator="&gt;",nValue=0,},},},},</v>
      </c>
    </row>
    <row r="68" spans="1:21">
      <c r="C68">
        <v>6518</v>
      </c>
      <c r="H68" t="s">
        <v>1829</v>
      </c>
      <c r="T68" t="s">
        <v>1830</v>
      </c>
      <c r="U68" t="str">
        <f t="shared" si="1"/>
        <v>{dwID=6518,szNote="日记5·东海客",[17]={},[18]={},aFocus={{dwMapID=-1,szDisplay="日记5·东海客",nMaxDistance=60,tRelation={bAll=true,bEnemy=false,bAlly=false,},tLife={bEnable=false,szOperator="&gt;",nValue=0,},},},},</v>
      </c>
    </row>
    <row r="69" spans="1:21">
      <c r="A69" t="s">
        <v>899</v>
      </c>
      <c r="B69">
        <v>103</v>
      </c>
      <c r="U69" t="str">
        <f t="shared" si="1"/>
        <v>},[103]={</v>
      </c>
    </row>
    <row r="70" spans="1:21">
      <c r="C70">
        <v>4773</v>
      </c>
      <c r="H70" t="s">
        <v>1831</v>
      </c>
      <c r="I70" t="s">
        <v>622</v>
      </c>
      <c r="M70">
        <v>1</v>
      </c>
      <c r="N70">
        <v>1</v>
      </c>
      <c r="T70" t="s">
        <v>1832</v>
      </c>
      <c r="U70" t="str">
        <f t="shared" si="1"/>
        <v>{dwID=4773,szNote="一本书·蟹砲",col={0,255,255,},[17]={bCenterAlarm=true,bScreenHead=true,},[18]={},aFocus={{dwMapID=-1,szDisplay="一本书·蟹砲",nMaxDistance=0,tRelation={bAll=true,bEnemy=false,bAlly=false,},tLife={bEnable=false,szOperator="&gt;",nValue=0,},},},},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71" spans="1:21">
      <c r="C71">
        <v>5316</v>
      </c>
      <c r="H71" t="s">
        <v>1833</v>
      </c>
      <c r="I71" t="s">
        <v>622</v>
      </c>
      <c r="M71">
        <v>1</v>
      </c>
      <c r="N71">
        <v>1</v>
      </c>
      <c r="T71" t="s">
        <v>1834</v>
      </c>
      <c r="U71" t="str">
        <f t="shared" si="1"/>
        <v>{dwID=5316,szNote="小土堆·商周客",col={0,255,255,},[17]={bCenterAlarm=true,bScreenHead=true,},[18]={},aFocus={{dwMapID=-1,szDisplay="小土堆·商周客",nMaxDistance=0,tRelation={bAll=true,bEnemy=false,bAlly=false,},tLife={bEnable=false,szOperator="&gt;",nValue=0,},},},},</v>
      </c>
    </row>
    <row r="72" spans="1:21">
      <c r="A72" t="s">
        <v>902</v>
      </c>
      <c r="B72">
        <v>104</v>
      </c>
      <c r="U72" t="str">
        <f t="shared" si="1"/>
        <v>},[104]={</v>
      </c>
    </row>
    <row r="73" spans="1:21">
      <c r="C73">
        <v>5320</v>
      </c>
      <c r="H73" t="s">
        <v>1835</v>
      </c>
      <c r="I73" t="s">
        <v>622</v>
      </c>
      <c r="M73">
        <v>1</v>
      </c>
      <c r="N73">
        <v>1</v>
      </c>
      <c r="T73" t="s">
        <v>1836</v>
      </c>
      <c r="U73" t="str">
        <f t="shared" si="1"/>
        <v>{dwID=5320,szNote="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74" spans="1:21">
      <c r="A74" t="s">
        <v>905</v>
      </c>
      <c r="B74">
        <v>105</v>
      </c>
      <c r="U74" t="str">
        <f t="shared" si="1"/>
        <v>},[105]={</v>
      </c>
    </row>
    <row r="75" spans="1:21">
      <c r="C75">
        <v>4714</v>
      </c>
      <c r="H75" t="s">
        <v>1837</v>
      </c>
      <c r="I75" t="s">
        <v>622</v>
      </c>
      <c r="M75">
        <v>1</v>
      </c>
      <c r="N75">
        <v>1</v>
      </c>
      <c r="T75" t="s">
        <v>1838</v>
      </c>
      <c r="U75" t="str">
        <f t="shared" si="1"/>
        <v>{dwID=4714,szNote="一本书·蟹象",col={0,255,255,},[17]={bCenterAlarm=true,bScreenHead=true,},[18]={},aFocus={{dwMapID=-1,szDisplay="一本书·蟹象",nMaxDistance=0,tRelation={bAll=true,bEnemy=false,bAlly=false,},tLife={bEnable=false,szOperator="&gt;",nValue=0,},},},},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76" spans="1:21">
      <c r="C76">
        <v>6103</v>
      </c>
      <c r="H76" t="s">
        <v>1839</v>
      </c>
      <c r="I76" t="s">
        <v>622</v>
      </c>
      <c r="N76">
        <v>1</v>
      </c>
      <c r="T76" t="s">
        <v>1840</v>
      </c>
      <c r="U76" t="str">
        <f t="shared" si="1"/>
        <v>{dwID=6103,szNote="神秘书籍·至尊宝",col={0,255,255,},[17]={bScreenHead=true,},[18]={},aFocus={{dwMapID=-1,szDisplay="神秘书籍·至尊宝",nMaxDistance=60,tRelation={bAll=true,bEnemy=false,bAlly=false,},tLife={bEnable=false,szOperator="&gt;",nValue=0,},},},},</v>
      </c>
    </row>
    <row r="77" spans="1:21">
      <c r="C77">
        <v>6104</v>
      </c>
      <c r="H77" t="s">
        <v>1841</v>
      </c>
      <c r="I77" t="s">
        <v>622</v>
      </c>
      <c r="N77">
        <v>1</v>
      </c>
      <c r="T77" t="s">
        <v>1842</v>
      </c>
      <c r="U77" t="str">
        <f t="shared" si="1"/>
        <v>{dwID=6104,szNote="空酒坛子·至尊宝",col={0,255,255,},[17]={bScreenHead=true,},[18]={},aFocus={{dwMapID=-1,szDisplay="空酒坛子·至尊宝",nMaxDistance=60,tRelation={bAll=true,bEnemy=false,bAlly=false,},tLife={bEnable=false,szOperator="&gt;",nValue=0,},},},},</v>
      </c>
    </row>
    <row r="78" spans="1:21">
      <c r="C78">
        <v>6105</v>
      </c>
      <c r="H78" t="s">
        <v>1843</v>
      </c>
      <c r="I78" t="s">
        <v>622</v>
      </c>
      <c r="N78">
        <v>1</v>
      </c>
      <c r="T78" t="s">
        <v>1844</v>
      </c>
      <c r="U78" t="str">
        <f t="shared" si="1"/>
        <v>{dwID=6105,szNote="不起眼的小土堆·至尊宝",col={0,255,255,},[17]={bScreenHead=true,},[18]={},aFocus={{dwMapID=-1,szDisplay="不起眼的小土堆·至尊宝",nMaxDistance=60,tRelation={bAll=true,bEnemy=false,bAlly=false,},tLife={bEnable=false,szOperator="&gt;",nValue=0,},},},},</v>
      </c>
    </row>
    <row r="79" spans="1:21">
      <c r="A79" t="s">
        <v>914</v>
      </c>
      <c r="B79">
        <v>108</v>
      </c>
      <c r="U79" t="str">
        <f t="shared" si="1"/>
        <v>},[108]={</v>
      </c>
    </row>
    <row r="80" spans="1:21">
      <c r="C80">
        <v>4772</v>
      </c>
      <c r="H80" t="s">
        <v>1845</v>
      </c>
      <c r="I80" t="s">
        <v>622</v>
      </c>
      <c r="M80">
        <v>1</v>
      </c>
      <c r="N80">
        <v>1</v>
      </c>
      <c r="T80" t="s">
        <v>1846</v>
      </c>
      <c r="U80" t="str">
        <f t="shared" si="1"/>
        <v>{dwID=4772,szNote="一本书·蟹炮",col={0,255,255,},[17]={bCenterAlarm=true,bScreenHead=true,},[18]={},aFocus={{dwMapID=-1,szDisplay="一本书·蟹炮",nMaxDistance=0,tRelation={bAll=true,bEnemy=false,bAlly=false,},tLife={bEnable=false,szOperator="&gt;",nValue=0,},},},},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81" spans="1:21">
      <c r="C81">
        <v>6064</v>
      </c>
      <c r="H81" t="s">
        <v>1847</v>
      </c>
      <c r="I81" t="s">
        <v>622</v>
      </c>
      <c r="N81">
        <v>1</v>
      </c>
      <c r="T81" t="s">
        <v>1848</v>
      </c>
      <c r="U81" t="str">
        <f t="shared" si="1"/>
        <v>{dwID=6064,szNote="小土堆·石敢当",col={0,255,255,},[17]={bScreenHead=true,},[18]={},aFocus={{dwMapID=-1,szDisplay="小土堆·石敢当",nMaxDistance=60,tRelation={bAll=true,bEnemy=false,bAlly=false,},tLife={bEnable=false,szOperator="&gt;",nValue=0,},},},},</v>
      </c>
    </row>
    <row r="82" spans="1:21">
      <c r="A82" t="s">
        <v>469</v>
      </c>
      <c r="B82">
        <v>122</v>
      </c>
      <c r="U82" t="str">
        <f t="shared" si="1"/>
        <v>},[122]={</v>
      </c>
    </row>
    <row r="83" spans="1:21">
      <c r="C83">
        <v>6916</v>
      </c>
      <c r="H83" t="s">
        <v>1849</v>
      </c>
      <c r="I83" t="s">
        <v>622</v>
      </c>
      <c r="N83">
        <v>1</v>
      </c>
      <c r="T83" t="s">
        <v>1850</v>
      </c>
      <c r="U83" t="str">
        <f t="shared" si="1"/>
        <v>{dwID=6916,szNote="竹叶青·烟花戏",col={0,255,255,},[17]={bScreenHead=true,},[18]={},aFocus={{dwMapID=-1,szDisplay="竹叶青·烟花戏",nMaxDistance=60,tRelation={bAll=true,bEnemy=false,bAlly=false,},tLife={bEnable=false,szOperator="&gt;",nValue=0,},},},},</v>
      </c>
    </row>
    <row r="84" spans="1:21">
      <c r="A84" t="s">
        <v>1000</v>
      </c>
      <c r="B84">
        <v>139</v>
      </c>
      <c r="U84" t="str">
        <f t="shared" si="1"/>
        <v>},[139]={</v>
      </c>
    </row>
    <row r="85" spans="1:21">
      <c r="C85">
        <v>5157</v>
      </c>
      <c r="H85" t="s">
        <v>1583</v>
      </c>
      <c r="I85" t="s">
        <v>622</v>
      </c>
      <c r="N85">
        <v>1</v>
      </c>
      <c r="T85" t="s">
        <v>1584</v>
      </c>
      <c r="U85" t="str">
        <f t="shared" si="1"/>
        <v>{dwID=5157,szNote="马四·枫林酒",col={0,255,255,},[17]={bScreenHead=true,},[18]={},aFocus={{dwMapID=-1,szDisplay="马四·枫林酒",nMaxDistance=60,tRelation={bAll=true,bEnemy=false,bAlly=false,},tLife={bEnable=false,szOperator="&gt;",nValue=0,},},},},</v>
      </c>
    </row>
    <row r="86" spans="1:21">
      <c r="C86">
        <v>7777</v>
      </c>
      <c r="H86" t="s">
        <v>1851</v>
      </c>
      <c r="I86" t="s">
        <v>622</v>
      </c>
      <c r="N86">
        <v>1</v>
      </c>
      <c r="T86" t="s">
        <v>1852</v>
      </c>
      <c r="U86" t="str">
        <f t="shared" si="1"/>
        <v>{dwID=7777,szNote="道旁墓碑·沧海笛",col={0,255,255,},[17]={bScreenHead=true,},[18]={},aFocus={{dwMapID=-1,szDisplay="道旁墓碑·沧海笛",nMaxDistance=60,tRelation={bAll=true,bEnemy=false,bAlly=false,},tLife={bEnable=false,szOperator="&gt;",nValue=0,},},},},</v>
      </c>
    </row>
    <row r="87" spans="1:21">
      <c r="A87" t="s">
        <v>1030</v>
      </c>
      <c r="B87">
        <v>151</v>
      </c>
      <c r="U87" t="str">
        <f t="shared" si="1"/>
        <v>},[151]={</v>
      </c>
    </row>
    <row r="88" spans="1:21">
      <c r="C88">
        <v>4298</v>
      </c>
      <c r="H88" t="s">
        <v>1853</v>
      </c>
      <c r="I88" t="s">
        <v>622</v>
      </c>
      <c r="M88">
        <v>1</v>
      </c>
      <c r="N88">
        <v>1</v>
      </c>
      <c r="T88" t="s">
        <v>1854</v>
      </c>
      <c r="U88" t="str">
        <f t="shared" si="1"/>
        <v>{dwID=4298,szNote="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89" spans="1:21">
      <c r="C89">
        <v>6109</v>
      </c>
      <c r="H89" t="s">
        <v>1855</v>
      </c>
      <c r="I89" t="s">
        <v>622</v>
      </c>
      <c r="N89">
        <v>1</v>
      </c>
      <c r="T89" t="s">
        <v>1856</v>
      </c>
      <c r="U89" t="str">
        <f t="shared" si="1"/>
        <v>{dwID=6109,szNote="情报箱·兽王佩",col={0,255,255,},[17]={bScreenHead=true,},[18]={},aFocus={{dwMapID=-1,szDisplay="情报箱·兽王佩",nMaxDistance=60,tRelation={bAll=true,bEnemy=false,bAlly=false,},tLife={bEnable=false,szOperator="&gt;",nValue=0,},},},},</v>
      </c>
    </row>
    <row r="90" spans="1:21">
      <c r="A90" t="s">
        <v>1036</v>
      </c>
      <c r="B90">
        <v>153</v>
      </c>
      <c r="U90" t="str">
        <f t="shared" si="1"/>
        <v>},[153]={</v>
      </c>
    </row>
    <row r="91" spans="1:21">
      <c r="C91">
        <v>4296</v>
      </c>
      <c r="H91" t="s">
        <v>1857</v>
      </c>
      <c r="I91" t="s">
        <v>622</v>
      </c>
      <c r="M91">
        <v>1</v>
      </c>
      <c r="N91">
        <v>1</v>
      </c>
      <c r="T91" t="s">
        <v>1858</v>
      </c>
      <c r="U91" t="str">
        <f t="shared" si="1"/>
        <v>{dwID=4296,szNote="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92" spans="1:21">
      <c r="A92" t="s">
        <v>1048</v>
      </c>
      <c r="B92">
        <v>158</v>
      </c>
      <c r="U92" t="str">
        <f t="shared" si="1"/>
        <v>},[158]={</v>
      </c>
    </row>
    <row r="93" spans="1:21">
      <c r="C93">
        <v>4278</v>
      </c>
      <c r="H93" t="s">
        <v>1859</v>
      </c>
      <c r="I93" t="s">
        <v>622</v>
      </c>
      <c r="M93">
        <v>1</v>
      </c>
      <c r="N93">
        <v>1</v>
      </c>
      <c r="T93" t="s">
        <v>1860</v>
      </c>
      <c r="U93" t="str">
        <f t="shared" si="1"/>
        <v>{dwID=4278,szNote="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94" spans="1:21">
      <c r="A94" t="s">
        <v>455</v>
      </c>
      <c r="B94">
        <v>159</v>
      </c>
      <c r="U94" t="str">
        <f t="shared" si="1"/>
        <v>},[159]={</v>
      </c>
    </row>
    <row r="95" spans="1:21">
      <c r="C95">
        <v>6341</v>
      </c>
      <c r="H95" t="s">
        <v>1861</v>
      </c>
      <c r="I95" t="s">
        <v>622</v>
      </c>
      <c r="N95">
        <v>1</v>
      </c>
      <c r="T95" t="s">
        <v>1862</v>
      </c>
      <c r="U95" t="str">
        <f t="shared" si="1"/>
        <v>{dwID=6341,szNote="桃花枝·稚子心",col={0,255,255,},[17]={bScreenHead=true,},[18]={},aFocus={{dwMapID=-1,szDisplay="桃花枝·稚子心",nMaxDistance=60,tRelation={bAll=true,bEnemy=false,bAlly=false,},tLife={bEnable=false,szOperator="&gt;",nValue=0,},},},},</v>
      </c>
    </row>
    <row r="96" spans="1:21">
      <c r="C96">
        <v>6342</v>
      </c>
      <c r="H96" t="s">
        <v>1863</v>
      </c>
      <c r="I96" t="s">
        <v>622</v>
      </c>
      <c r="N96">
        <v>1</v>
      </c>
      <c r="T96" t="s">
        <v>1864</v>
      </c>
      <c r="U96" t="str">
        <f t="shared" si="1"/>
        <v>{dwID=6342,szNote="银鱼·稚子心",col={0,255,255,},[17]={bScreenHead=true,},[18]={},aFocus={{dwMapID=-1,szDisplay="银鱼·稚子心",nMaxDistance=60,tRelation={bAll=true,bEnemy=false,bAlly=false,},tLife={bEnable=false,szOperator="&gt;",nValue=0,},},},},</v>
      </c>
    </row>
    <row r="97" spans="1:21">
      <c r="C97">
        <v>6343</v>
      </c>
      <c r="H97" t="s">
        <v>1865</v>
      </c>
      <c r="I97" t="s">
        <v>622</v>
      </c>
      <c r="N97">
        <v>1</v>
      </c>
      <c r="T97" t="s">
        <v>1866</v>
      </c>
      <c r="U97" t="str">
        <f t="shared" si="1"/>
        <v>{dwID=6343,szNote="猴儿酒·稚子心",col={0,255,255,},[17]={bScreenHead=true,},[18]={},aFocus={{dwMapID=-1,szDisplay="猴儿酒·稚子心",nMaxDistance=60,tRelation={bAll=true,bEnemy=false,bAlly=false,},tLife={bEnable=false,szOperator="&gt;",nValue=0,},},},},</v>
      </c>
    </row>
    <row r="98" spans="1:21">
      <c r="C98">
        <v>6912</v>
      </c>
      <c r="H98" t="s">
        <v>1867</v>
      </c>
      <c r="I98" t="s">
        <v>622</v>
      </c>
      <c r="N98">
        <v>1</v>
      </c>
      <c r="T98" t="s">
        <v>1868</v>
      </c>
      <c r="U98" t="str">
        <f t="shared" si="1"/>
        <v>{dwID=6912,szNote="春风酿·烟花戏",col={0,255,255,},[17]={bScreenHead=true,},[18]={},aFocus={{dwMapID=-1,szDisplay="春风酿·烟花戏",nMaxDistance=60,tRelation={bAll=true,bEnemy=false,bAlly=false,},tLife={bEnable=false,szOperator="&gt;",nValue=0,},},},},</v>
      </c>
    </row>
    <row r="99" spans="1:21">
      <c r="C99">
        <v>10161</v>
      </c>
      <c r="H99" t="s">
        <v>1869</v>
      </c>
      <c r="I99" t="s">
        <v>622</v>
      </c>
      <c r="N99">
        <v>1</v>
      </c>
      <c r="T99" t="s">
        <v>1870</v>
      </c>
      <c r="U99" t="str">
        <f t="shared" si="1"/>
        <v>{dwID=10161,szNote="鱼篓·醉烟波",col={0,255,255,},[17]={bScreenHead=true,},[18]={},aFocus={{dwMapID=-1,szDisplay="鱼篓·醉烟波",nMaxDistance=60,tRelation={bAll=true,bEnemy=false,bAlly=false,},tLife={bEnable=false,szOperator="&gt;",nValue=0,},},},},</v>
      </c>
    </row>
    <row r="100" spans="1:21">
      <c r="C100">
        <v>10172</v>
      </c>
      <c r="H100" t="s">
        <v>1871</v>
      </c>
      <c r="I100" t="s">
        <v>622</v>
      </c>
      <c r="N100">
        <v>1</v>
      </c>
      <c r="T100" t="s">
        <v>1872</v>
      </c>
      <c r="U100" t="str">
        <f t="shared" si="1"/>
        <v>{dwID=10172,szNote="酒·醉烟波",col={0,255,255,},[17]={bScreenHead=true,},[18]={},aFocus={{dwMapID=-1,szDisplay="酒·醉烟波",nMaxDistance=60,tRelation={bAll=true,bEnemy=false,bAlly=false,},tLife={bEnable=false,szOperator="&gt;",nValue=0,},},},},</v>
      </c>
    </row>
    <row r="101" spans="1:21">
      <c r="A101" t="s">
        <v>510</v>
      </c>
      <c r="B101">
        <v>172</v>
      </c>
      <c r="U101" t="str">
        <f t="shared" si="1"/>
        <v>},[172]={</v>
      </c>
    </row>
    <row r="102" spans="1:21">
      <c r="C102">
        <v>6115</v>
      </c>
      <c r="H102" t="s">
        <v>1873</v>
      </c>
      <c r="T102" t="s">
        <v>1874</v>
      </c>
      <c r="U102" t="str">
        <f t="shared" si="1"/>
        <v>{dwID=6115,szNote="元和的弩弓·乱世舞姬",[17]={},[18]={},aFocus={{dwMapID=-1,szDisplay="元和的弩弓·乱世",nMaxDistance=60,tRelation={bAll=true,bEnemy=false,bAlly=false,},tLife={bEnable=false,szOperator="&gt;",nValue=0,},},},},</v>
      </c>
    </row>
    <row r="103" spans="1:21">
      <c r="C103">
        <v>6116</v>
      </c>
      <c r="H103" t="s">
        <v>1875</v>
      </c>
      <c r="T103" t="s">
        <v>1876</v>
      </c>
      <c r="U103" t="str">
        <f t="shared" si="1"/>
        <v>{dwID=6116,szNote="紫金匣·乱世舞姬",[17]={},[18]={},aFocus={{dwMapID=-1,szDisplay="紫金匣·乱世",nMaxDistance=50,tRelation={bAll=true,bEnemy=false,bAlly=false,},tLife={bEnable=false,szOperator="&gt;",nValue=0,},},},},</v>
      </c>
    </row>
    <row r="104" spans="1:21">
      <c r="A104" t="s">
        <v>1098</v>
      </c>
      <c r="B104">
        <v>194</v>
      </c>
      <c r="U104" t="str">
        <f t="shared" si="1"/>
        <v>},[194]={</v>
      </c>
    </row>
    <row r="105" spans="1:21">
      <c r="C105">
        <v>5055</v>
      </c>
      <c r="H105" t="s">
        <v>1877</v>
      </c>
      <c r="I105" t="s">
        <v>622</v>
      </c>
      <c r="M105">
        <v>1</v>
      </c>
      <c r="N105">
        <v>1</v>
      </c>
      <c r="T105" t="s">
        <v>1878</v>
      </c>
      <c r="U105" t="str">
        <f t="shared" si="1"/>
        <v>{dwID=5055,szNote="坚果·果果",col={0,255,255,},[17]={bCenterAlarm=true,bScreenHead=true,},[18]={},aFocus={{dwMapID=-1,szDisplay="坚果·果果",nMaxDistance=0,tRelation={bAll=true,bEnemy=false,bAlly=false,},tLife={bEnable=false,szOperator="&gt;",nValue=0,},},},},</v>
      </c>
    </row>
    <row r="106" spans="1:21">
      <c r="C106">
        <v>7415</v>
      </c>
      <c r="H106" t="s">
        <v>1879</v>
      </c>
      <c r="I106" t="s">
        <v>622</v>
      </c>
      <c r="N106">
        <v>1</v>
      </c>
      <c r="T106" t="s">
        <v>1880</v>
      </c>
      <c r="U106" t="str">
        <f t="shared" si="1"/>
        <v>{dwID=7415,szNote="被抢夺的矿石箱·太行道",col={0,255,255,},[17]={bScreenHead=true,},[18]={},aFocus={{dwMapID=-1,szDisplay="被抢夺的矿石箱·太行道",nMaxDistance=60,tRelation={bAll=true,bEnemy=false,bAlly=false,},tLife={bEnable=false,szOperator="&gt;",nValue=0,},},},},</v>
      </c>
    </row>
    <row r="107" spans="1:21">
      <c r="C107">
        <v>7423</v>
      </c>
      <c r="H107" t="s">
        <v>1881</v>
      </c>
      <c r="I107" t="s">
        <v>622</v>
      </c>
      <c r="N107">
        <v>1</v>
      </c>
      <c r="T107" t="s">
        <v>1882</v>
      </c>
      <c r="U107" t="str">
        <f t="shared" si="1"/>
        <v>{dwID=7423,szNote="边澈的辎重箱·太行道",col={0,255,255,},[17]={bScreenHead=true,},[18]={},aFocus={{dwMapID=-1,szDisplay="边澈的辎重箱·太行道",nMaxDistance=60,tRelation={bAll=true,bEnemy=false,bAlly=false,},tLife={bEnable=false,szOperator="&gt;",nValue=0,},},},},</v>
      </c>
    </row>
    <row r="108" spans="1:21">
      <c r="A108" t="s">
        <v>1113</v>
      </c>
      <c r="B108">
        <v>214</v>
      </c>
      <c r="U108" t="str">
        <f t="shared" si="1"/>
        <v>},[214]={</v>
      </c>
    </row>
    <row r="109" spans="1:21">
      <c r="C109">
        <v>5749</v>
      </c>
      <c r="H109" t="s">
        <v>1883</v>
      </c>
      <c r="I109" t="s">
        <v>622</v>
      </c>
      <c r="N109">
        <v>1</v>
      </c>
      <c r="T109" t="s">
        <v>1884</v>
      </c>
      <c r="U109" t="str">
        <f t="shared" si="1"/>
        <v>{dwID=5749,szNote="奇怪的土堆·碎片一·清茗经",col={0,255,255,},[17]={bScreenHead=true,},[18]={},aFocus={{dwMapID=-1,szDisplay="土堆·碎片一·清茗经",nMaxDistance=60,tRelation={bAll=true,bEnemy=false,bAlly=false,},tLife={bEnable=false,szOperator="&gt;",nValue=0,},},},},</v>
      </c>
    </row>
    <row r="110" spans="1:21">
      <c r="C110">
        <v>5748</v>
      </c>
      <c r="H110" t="s">
        <v>1885</v>
      </c>
      <c r="I110" t="s">
        <v>622</v>
      </c>
      <c r="M110">
        <v>1</v>
      </c>
      <c r="N110">
        <v>1</v>
      </c>
      <c r="T110" t="s">
        <v>1886</v>
      </c>
      <c r="U110" t="str">
        <f t="shared" si="1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111" spans="1:21">
      <c r="A111" t="s">
        <v>1115</v>
      </c>
      <c r="B111">
        <v>216</v>
      </c>
      <c r="U111" t="str">
        <f t="shared" si="1"/>
        <v>},[216]={</v>
      </c>
    </row>
    <row r="112" spans="1:21">
      <c r="C112">
        <v>6368</v>
      </c>
      <c r="H112" t="s">
        <v>1887</v>
      </c>
      <c r="I112" t="s">
        <v>622</v>
      </c>
      <c r="N112">
        <v>1</v>
      </c>
      <c r="T112" t="s">
        <v>1888</v>
      </c>
      <c r="U112" t="str">
        <f t="shared" si="1"/>
        <v>{dwID=6368,szNote="拜火教箱子·青草歌",col={0,255,255,},[17]={bScreenHead=true,},[18]={},aFocus={{dwMapID=-1,szDisplay="拜火教箱子·青草歌",nMaxDistance=60,tRelation={bAll=true,bEnemy=false,bAlly=false,},tLife={bEnable=false,szOperator="&gt;",nValue=0,},},},},</v>
      </c>
    </row>
    <row r="113" spans="1:21">
      <c r="A113" t="s">
        <v>1140</v>
      </c>
      <c r="B113">
        <v>243</v>
      </c>
      <c r="U113" t="str">
        <f t="shared" si="1"/>
        <v>},[243]={</v>
      </c>
    </row>
    <row r="114" spans="1:21">
      <c r="C114">
        <v>7274</v>
      </c>
      <c r="H114" t="s">
        <v>1889</v>
      </c>
      <c r="I114" t="s">
        <v>622</v>
      </c>
      <c r="N114">
        <v>1</v>
      </c>
      <c r="T114" t="s">
        <v>1890</v>
      </c>
      <c r="U114" t="str">
        <f t="shared" si="1"/>
        <v>{dwID=7274,szNote="寒泉岩·太行道",col={0,255,255,},[17]={bScreenHead=true,},[18]={},aFocus={{dwMapID=-1,szDisplay="寒泉岩·太行道",nMaxDistance=60,tRelation={bAll=true,bEnemy=false,bAlly=false,},tLife={bEnable=false,szOperator="&gt;",nValue=0,},},},},</v>
      </c>
    </row>
    <row r="115" spans="1:21">
      <c r="A115" t="s">
        <v>1209</v>
      </c>
      <c r="B115">
        <v>325</v>
      </c>
      <c r="U115" t="str">
        <f t="shared" si="1"/>
        <v>},[325]={</v>
      </c>
    </row>
    <row r="116" spans="1:21">
      <c r="C116">
        <v>8255</v>
      </c>
      <c r="H116" t="s">
        <v>1891</v>
      </c>
      <c r="I116" t="s">
        <v>622</v>
      </c>
      <c r="N116">
        <v>1</v>
      </c>
      <c r="T116" t="s">
        <v>1892</v>
      </c>
      <c r="U116" t="str">
        <f t="shared" si="1"/>
        <v>{dwID=8255,szNote="武器箱·露园事",col={0,255,255,},[17]={bScreenHead=true,},[18]={},aFocus={{dwMapID=-1,szDisplay="武器箱·露园事",nMaxDistance=60,tRelation={bAll=true,bEnemy=false,bAlly=false,},tLife={bEnable=false,szOperator="&gt;",nValue=0,},},},},</v>
      </c>
    </row>
    <row r="117" spans="1:21">
      <c r="C117">
        <v>8258</v>
      </c>
      <c r="H117" t="s">
        <v>1893</v>
      </c>
      <c r="I117" t="s">
        <v>622</v>
      </c>
      <c r="N117">
        <v>1</v>
      </c>
      <c r="T117" t="s">
        <v>1894</v>
      </c>
      <c r="U117" t="str">
        <f t="shared" si="1"/>
        <v>{dwID=8258,szNote="陷阱·露园事",col={0,255,255,},[17]={bScreenHead=true,},[18]={},aFocus={{dwMapID=-1,szDisplay="陷阱·露园事",nMaxDistance=60,tRelation={bAll=true,bEnemy=false,bAlly=false,},tLife={bEnable=false,szOperator="&gt;",nValue=0,},},},},</v>
      </c>
    </row>
    <row r="118" spans="1:21">
      <c r="C118">
        <v>8265</v>
      </c>
      <c r="H118" t="s">
        <v>1895</v>
      </c>
      <c r="I118" t="s">
        <v>622</v>
      </c>
      <c r="N118">
        <v>1</v>
      </c>
      <c r="T118" t="s">
        <v>1896</v>
      </c>
      <c r="U118" t="str">
        <f t="shared" si="1"/>
        <v>{dwID=8265,szNote="坑洞·露园事",col={0,255,255,},[17]={bScreenHead=true,},[18]={},aFocus={{dwMapID=-1,szDisplay="坑洞·露园事",nMaxDistance=60,tRelation={bAll=true,bEnemy=false,bAlly=false,},tLife={bEnable=false,szOperator="&gt;",nValue=0,},},},},</v>
      </c>
    </row>
    <row r="119" spans="1:21">
      <c r="A119" t="s">
        <v>1210</v>
      </c>
      <c r="B119">
        <v>330</v>
      </c>
      <c r="U119" t="str">
        <f t="shared" si="1"/>
        <v>},[330]={</v>
      </c>
    </row>
    <row r="120" spans="1:21">
      <c r="C120">
        <v>7459</v>
      </c>
      <c r="H120" t="s">
        <v>1897</v>
      </c>
      <c r="I120" t="s">
        <v>622</v>
      </c>
      <c r="N120">
        <v>1</v>
      </c>
      <c r="T120" t="s">
        <v>1898</v>
      </c>
      <c r="U120" t="str">
        <f t="shared" si="1"/>
        <v>{dwID=7459,szNote="野菜·客江干",col={0,255,255,},[17]={bScreenHead=true,},[18]={},aFocus={{dwMapID=-1,szDisplay="野菜·客江干",nMaxDistance=60,tRelation={bAll=true,bEnemy=false,bAlly=false,},tLife={bEnable=false,szOperator="&gt;",nValue=0,},},},},</v>
      </c>
    </row>
    <row r="121" spans="1:21">
      <c r="C121">
        <v>7457</v>
      </c>
      <c r="H121" t="s">
        <v>1899</v>
      </c>
      <c r="I121" t="s">
        <v>622</v>
      </c>
      <c r="N121">
        <v>1</v>
      </c>
      <c r="T121" t="s">
        <v>1900</v>
      </c>
      <c r="U121" t="str">
        <f t="shared" si="1"/>
        <v>{dwID=7457,szNote="无名侠士之墓·客江干",col={0,255,255,},[17]={bScreenHead=true,},[18]={},aFocus={{dwMapID=-1,szDisplay="无名侠士之墓·客江干",nMaxDistance=60,tRelation={bAll=true,bEnemy=false,bAlly=false,},tLife={bEnable=false,szOperator="&gt;",nValue=0,},},},},</v>
      </c>
    </row>
    <row r="122" spans="1:21">
      <c r="C122">
        <v>7458</v>
      </c>
      <c r="H122" t="s">
        <v>1901</v>
      </c>
      <c r="I122" t="s">
        <v>622</v>
      </c>
      <c r="N122">
        <v>1</v>
      </c>
      <c r="T122" t="s">
        <v>1902</v>
      </c>
      <c r="U122" t="str">
        <f t="shared" si="1"/>
        <v>{dwID=7458,szNote="奇怪的雪堆·客江干",col={0,255,255,},[17]={bScreenHead=true,},[18]={},aFocus={{dwMapID=-1,szDisplay="奇怪的雪堆·客江干",nMaxDistance=60,tRelation={bAll=true,bEnemy=false,bAlly=false,},tLife={bEnable=false,szOperator="&gt;",nValue=0,},},},},</v>
      </c>
    </row>
    <row r="123" spans="1:21">
      <c r="C123">
        <v>9309</v>
      </c>
      <c r="H123" t="s">
        <v>1903</v>
      </c>
      <c r="I123" t="s">
        <v>622</v>
      </c>
      <c r="N123">
        <v>1</v>
      </c>
      <c r="T123" t="s">
        <v>1904</v>
      </c>
      <c r="U123" t="str">
        <f t="shared" si="1"/>
        <v>{dwID=9309,szNote="一桌酒席·风雨意",col={0,255,255,},[17]={bScreenHead=true,},[18]={},aFocus={{dwMapID=-1,szDisplay="一桌酒席·风雨意",nMaxDistance=60,tRelation={bAll=true,bEnemy=false,bAlly=false,},tLife={bEnable=false,szOperator="&gt;",nValue=0,},},},},</v>
      </c>
    </row>
    <row r="124" spans="1:21">
      <c r="C124">
        <v>9311</v>
      </c>
      <c r="H124" t="s">
        <v>1905</v>
      </c>
      <c r="I124" t="s">
        <v>622</v>
      </c>
      <c r="N124">
        <v>1</v>
      </c>
      <c r="T124" t="s">
        <v>1906</v>
      </c>
      <c r="U124" t="str">
        <f t="shared" si="1"/>
        <v>{dwID=9311,szNote="特地留的书信·风雨意",col={0,255,255,},[17]={bScreenHead=true,},[18]={},aFocus={{dwMapID=-1,szDisplay="特地留的书信·风雨意",nMaxDistance=60,tRelation={bAll=true,bEnemy=false,bAlly=false,},tLife={bEnable=false,szOperator="&gt;",nValue=0,},},},},</v>
      </c>
    </row>
    <row r="125" spans="1:21">
      <c r="A125" t="s">
        <v>1212</v>
      </c>
      <c r="B125">
        <v>332</v>
      </c>
      <c r="U125" t="str">
        <f t="shared" si="1"/>
        <v>},[332]={</v>
      </c>
    </row>
    <row r="126" spans="1:21">
      <c r="C126">
        <v>7455</v>
      </c>
      <c r="H126" t="s">
        <v>1907</v>
      </c>
      <c r="I126" t="s">
        <v>622</v>
      </c>
      <c r="N126">
        <v>1</v>
      </c>
      <c r="T126" t="s">
        <v>1908</v>
      </c>
      <c r="U126" t="str">
        <f t="shared" si="1"/>
        <v>{dwID=7455,szNote="沉甸甸的木桶·秘宝图",col={0,255,255,},[17]={bScreenHead=true,},[18]={},aFocus={{dwMapID=-1,szDisplay="沉甸甸的木桶·秘宝图",nMaxDistance=60,tRelation={bAll=true,bEnemy=false,bAlly=false,},tLife={bEnable=false,szOperator="&gt;",nValue=0,},},},},</v>
      </c>
    </row>
    <row r="127" spans="1:21">
      <c r="A127" t="s">
        <v>522</v>
      </c>
      <c r="B127">
        <v>333</v>
      </c>
      <c r="U127" t="str">
        <f t="shared" si="1"/>
        <v>},[333]={</v>
      </c>
    </row>
    <row r="128" spans="1:21">
      <c r="C128">
        <v>9202</v>
      </c>
      <c r="H128" t="s">
        <v>1909</v>
      </c>
      <c r="I128" t="s">
        <v>622</v>
      </c>
      <c r="N128">
        <v>1</v>
      </c>
      <c r="T128" t="s">
        <v>1910</v>
      </c>
      <c r="U128" t="str">
        <f t="shared" si="1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29" spans="1:21">
      <c r="A129" t="s">
        <v>1244</v>
      </c>
      <c r="B129">
        <v>411</v>
      </c>
      <c r="U129" t="str">
        <f t="shared" si="1"/>
        <v>},[411]={</v>
      </c>
    </row>
    <row r="130" spans="1:21">
      <c r="C130">
        <v>7707</v>
      </c>
      <c r="H130" t="s">
        <v>1911</v>
      </c>
      <c r="I130" t="s">
        <v>622</v>
      </c>
      <c r="N130">
        <v>1</v>
      </c>
      <c r="T130" t="s">
        <v>1912</v>
      </c>
      <c r="U130" t="str">
        <f t="shared" ref="U130:U185" si="2">IF(ISBLANK(B130)=FALSE,IF(ISBLANK(B129),"},["&amp;B130&amp;"]={","["&amp;B130&amp;"]={"),IF(AND(ISBLANK(B130),ISBLANK(C130),OR(ISBLANK(B129)=FALSE,ISBLANK(C129)=FALSE)),"},},}",IF(ISBLANK(C130),"","{dwID="&amp;C130&amp;","&amp;IF(D130&gt;0,"nCount="&amp;D130&amp;",","")&amp;IF(E130&gt;0,"bAllLeave=true,","")&amp;IF(F130&lt;&gt;"","szName="""&amp;F130&amp;""",","")&amp;IF(G130&lt;&gt;"","tKungFu={"&amp;G130&amp;"},","")&amp;IF(H130&lt;&gt;"","szNote="""&amp;H130&amp;""",","")&amp;IF(I130&lt;&gt;"","col={"&amp;I130&amp;"},","")&amp;"[17]={"&amp;IF(J130&lt;&gt;"","szVoice="""&amp;J130&amp;""",","")&amp;IF(K130&gt;0,"bTeamChannel=true,","")&amp;IF(L130&gt;0,"bWhisperChannel=true,","")&amp;IF(M130&gt;0,"bCenterAlarm=true,","")&amp;IF(N130&gt;0,"bScreenHead=true,","")&amp;IF(O130&gt;0,"bFullScreen=true,","")&amp;"},"&amp;"[18]={"&amp;IF(P130&lt;&gt;"","szVoice="""&amp;P130&amp;""",","")&amp;IF(Q130&gt;0,"bTeamChannel=true,","")&amp;IF(R130&gt;0,"bWhisperChannel=true,","")&amp;IF(S130&gt;0,"bCenterAlarm=true,","")&amp;"},"&amp;IF(T130&lt;&gt;"","aFocus={"&amp;T130&amp;"},","")&amp;IF(V130&lt;&gt;"","tCountdown={"&amp;_xlfn.TEXTJOIN("",TRUE,V130:AAA130)&amp;"},","")&amp;"},")))</f>
        <v>{dwID=7707,szNote="水缸·滴水恩",col={0,255,255,},[17]={bScreenHead=true,},[18]={},aFocus={{dwMapID=-1,szDisplay="水缸·滴水恩",nMaxDistance=60,tRelation={bAll=true,bEnemy=false,bAlly=false,},tLife={bEnable=false,szOperator="&gt;",nValue=0,},},},},</v>
      </c>
    </row>
    <row r="131" spans="1:21">
      <c r="C131">
        <v>7833</v>
      </c>
      <c r="H131" t="s">
        <v>1913</v>
      </c>
      <c r="I131" t="s">
        <v>622</v>
      </c>
      <c r="N131">
        <v>1</v>
      </c>
      <c r="T131" t="s">
        <v>1914</v>
      </c>
      <c r="U131" t="str">
        <f t="shared" si="2"/>
        <v>{dwID=7833,szNote="死去的鱼虾·滴水恩",col={0,255,255,},[17]={bScreenHead=true,},[18]={},aFocus={{dwMapID=-1,szDisplay="死去的鱼虾·滴水恩",nMaxDistance=60,tRelation={bAll=true,bEnemy=false,bAlly=false,},tLife={bEnable=false,szOperator="&gt;",nValue=0,},},},},</v>
      </c>
    </row>
    <row r="132" spans="1:21">
      <c r="C132">
        <v>8614</v>
      </c>
      <c r="H132" t="s">
        <v>1915</v>
      </c>
      <c r="I132" t="s">
        <v>622</v>
      </c>
      <c r="N132">
        <v>1</v>
      </c>
      <c r="T132" t="s">
        <v>1916</v>
      </c>
      <c r="U132" t="str">
        <f t="shared" si="2"/>
        <v>{dwID=8614,szNote="小土堆·话玄虚",col={0,255,255,},[17]={bScreenHead=true,},[18]={},aFocus={{dwMapID=-1,szDisplay="小土堆·话玄虚",nMaxDistance=60,tRelation={bAll=true,bEnemy=false,bAlly=false,},tLife={bEnable=false,szOperator="&gt;",nValue=0,},},},},</v>
      </c>
    </row>
    <row r="133" spans="1:21">
      <c r="C133">
        <v>10696</v>
      </c>
      <c r="H133" t="s">
        <v>1917</v>
      </c>
      <c r="I133" t="s">
        <v>622</v>
      </c>
      <c r="N133">
        <v>1</v>
      </c>
      <c r="T133" t="s">
        <v>1918</v>
      </c>
      <c r="U133" t="str">
        <f t="shared" si="2"/>
        <v>{dwID=10696,szNote="功夫·路投石",col={0,255,255,},[17]={bScreenHead=true,},[18]={},aFocus={{dwMapID=-1,szDisplay="功夫·路投石",nMaxDistance=60,tRelation={bAll=true,bEnemy=false,bAlly=false,},tLife={bEnable=false,szOperator="&gt;",nValue=0,},},},},</v>
      </c>
    </row>
    <row r="134" spans="1:21">
      <c r="A134" t="s">
        <v>1289</v>
      </c>
      <c r="B134">
        <v>462</v>
      </c>
      <c r="U134" t="str">
        <f t="shared" si="2"/>
        <v>},[462]={</v>
      </c>
    </row>
    <row r="135" spans="1:21">
      <c r="C135">
        <v>8961</v>
      </c>
      <c r="H135" t="s">
        <v>1919</v>
      </c>
      <c r="I135" t="s">
        <v>622</v>
      </c>
      <c r="N135">
        <v>1</v>
      </c>
      <c r="T135" t="s">
        <v>1920</v>
      </c>
      <c r="U135" t="str">
        <f t="shared" si="2"/>
        <v>{dwID=8961,szNote="白六娘的樱桃树·丹青记",col={0,255,255,},[17]={bScreenHead=true,},[18]={},aFocus={{dwMapID=-1,szDisplay="白六娘的樱桃树·丹青记",nMaxDistance=60,tRelation={bAll=true,bEnemy=false,bAlly=false,},tLife={bEnable=false,szOperator="&gt;",nValue=0,},},},},</v>
      </c>
    </row>
    <row r="136" spans="1:21">
      <c r="A136" t="s">
        <v>1291</v>
      </c>
      <c r="B136">
        <v>464</v>
      </c>
      <c r="U136" t="str">
        <f t="shared" si="2"/>
        <v>},[464]={</v>
      </c>
    </row>
    <row r="137" spans="1:21">
      <c r="C137">
        <v>8865</v>
      </c>
      <c r="H137" t="s">
        <v>1921</v>
      </c>
      <c r="I137" t="s">
        <v>622</v>
      </c>
      <c r="N137">
        <v>1</v>
      </c>
      <c r="T137" t="s">
        <v>1922</v>
      </c>
      <c r="U137" t="str">
        <f t="shared" si="2"/>
        <v>{dwID=8865,szNote="妙妙椅·侠行",col={0,255,255,},[17]={bScreenHead=true,},[18]={},aFocus={{dwMapID=-1,szDisplay="妙妙椅·侠行",nMaxDistance=60,tRelation={bAll=true,bEnemy=false,bAlly=false,},tLife={bEnable=false,szOperator="&gt;",nValue=0,},},},},</v>
      </c>
    </row>
    <row r="138" spans="1:21">
      <c r="C138">
        <v>8866</v>
      </c>
      <c r="H138" t="s">
        <v>1923</v>
      </c>
      <c r="I138" t="s">
        <v>622</v>
      </c>
      <c r="N138">
        <v>1</v>
      </c>
      <c r="T138" t="s">
        <v>1924</v>
      </c>
      <c r="U138" t="str">
        <f t="shared" si="2"/>
        <v>{dwID=8866,szNote="千丝绸·侠行",col={0,255,255,},[17]={bScreenHead=true,},[18]={},aFocus={{dwMapID=-1,szDisplay="千丝绸·侠行",nMaxDistance=60,tRelation={bAll=true,bEnemy=false,bAlly=false,},tLife={bEnable=false,szOperator="&gt;",nValue=0,},},},},</v>
      </c>
    </row>
    <row r="139" spans="1:21">
      <c r="C139">
        <v>8867</v>
      </c>
      <c r="H139" t="s">
        <v>1925</v>
      </c>
      <c r="I139" t="s">
        <v>622</v>
      </c>
      <c r="N139">
        <v>1</v>
      </c>
      <c r="T139" t="s">
        <v>1926</v>
      </c>
      <c r="U139" t="str">
        <f t="shared" si="2"/>
        <v>{dwID=8867,szNote="神机轮·侠行",col={0,255,255,},[17]={bScreenHead=true,},[18]={},aFocus={{dwMapID=-1,szDisplay="神机轮·侠行",nMaxDistance=60,tRelation={bAll=true,bEnemy=false,bAlly=false,},tLife={bEnable=false,szOperator="&gt;",nValue=0,},},},},</v>
      </c>
    </row>
    <row r="140" spans="1:21">
      <c r="C140">
        <v>10678</v>
      </c>
      <c r="H140" t="s">
        <v>1927</v>
      </c>
      <c r="I140" t="s">
        <v>622</v>
      </c>
      <c r="N140">
        <v>1</v>
      </c>
      <c r="T140" t="s">
        <v>1928</v>
      </c>
      <c r="U140" t="str">
        <f t="shared" si="2"/>
        <v>{dwID=10678,szNote="货物堆·觅知音",col={0,255,255,},[17]={bScreenHead=true,},[18]={},aFocus={{dwMapID=-1,szDisplay="货物堆·觅知音",nMaxDistance=60,tRelation={bAll=true,bEnemy=false,bAlly=false,},tLife={bEnable=false,szOperator="&gt;",nValue=0,},},},},</v>
      </c>
    </row>
    <row r="141" spans="1:21">
      <c r="A141" t="s">
        <v>1299</v>
      </c>
      <c r="B141">
        <v>473</v>
      </c>
      <c r="U141" t="str">
        <f t="shared" si="2"/>
        <v>},[473]={</v>
      </c>
    </row>
    <row r="142" spans="1:21">
      <c r="C142">
        <v>8600</v>
      </c>
      <c r="H142" t="s">
        <v>1929</v>
      </c>
      <c r="I142" t="s">
        <v>622</v>
      </c>
      <c r="N142">
        <v>1</v>
      </c>
      <c r="T142" t="s">
        <v>1930</v>
      </c>
      <c r="U142" t="str">
        <f t="shared" si="2"/>
        <v>{dwID=8600,szNote="兔子窝1·白月皎",col={0,255,255,},[17]={bScreenHead=true,},[18]={},aFocus={{dwMapID=-1,szDisplay="兔子窝1·白月皎",nMaxDistance=60,tRelation={bAll=true,bEnemy=false,bAlly=false,},tLife={bEnable=false,szOperator="&gt;",nValue=0,},},},},</v>
      </c>
    </row>
    <row r="143" spans="1:21">
      <c r="C143">
        <v>8604</v>
      </c>
      <c r="H143" t="s">
        <v>1931</v>
      </c>
      <c r="I143" t="s">
        <v>622</v>
      </c>
      <c r="N143">
        <v>1</v>
      </c>
      <c r="T143" t="s">
        <v>1932</v>
      </c>
      <c r="U143" t="str">
        <f t="shared" si="2"/>
        <v>{dwID=8604,szNote="兔子窝2·白月皎",col={0,255,255,},[17]={bScreenHead=true,},[18]={},aFocus={{dwMapID=-1,szDisplay="兔子窝2·白月皎",nMaxDistance=60,tRelation={bAll=true,bEnemy=false,bAlly=false,},tLife={bEnable=false,szOperator="&gt;",nValue=0,},},},},</v>
      </c>
    </row>
    <row r="144" spans="1:21">
      <c r="C144">
        <v>8605</v>
      </c>
      <c r="H144" t="s">
        <v>1933</v>
      </c>
      <c r="I144" t="s">
        <v>622</v>
      </c>
      <c r="N144">
        <v>1</v>
      </c>
      <c r="T144" t="s">
        <v>1934</v>
      </c>
      <c r="U144" t="str">
        <f t="shared" si="2"/>
        <v>{dwID=8605,szNote="兔子窝3·白月皎",col={0,255,255,},[17]={bScreenHead=true,},[18]={},aFocus={{dwMapID=-1,szDisplay="兔子窝3·白月皎",nMaxDistance=60,tRelation={bAll=true,bEnemy=false,bAlly=false,},tLife={bEnable=false,szOperator="&gt;",nValue=0,},},},},</v>
      </c>
    </row>
    <row r="145" spans="1:21">
      <c r="C145">
        <v>8603</v>
      </c>
      <c r="H145" t="s">
        <v>1935</v>
      </c>
      <c r="T145" t="s">
        <v>1936</v>
      </c>
      <c r="U145" t="str">
        <f t="shared" si="2"/>
        <v>{dwID=8603,szNote="散落的画作·白月皎",[17]={},[18]={},aFocus={{dwMapID=-1,szDisplay="散落的画作·白月皎",nMaxDistance=60,tRelation={bAll=true,bEnemy=false,bAlly=false,},tLife={bEnable=false,szOperator="&gt;",nValue=0,},},},},</v>
      </c>
    </row>
    <row r="146" spans="1:21">
      <c r="C146">
        <v>8602</v>
      </c>
      <c r="H146" t="s">
        <v>1937</v>
      </c>
      <c r="T146" t="s">
        <v>1938</v>
      </c>
      <c r="U146" t="str">
        <f t="shared" si="2"/>
        <v>{dwID=8602,szNote="散落的日记·白月皎",[17]={},[18]={},aFocus={{dwMapID=-1,szDisplay="散落的日记·白月皎",nMaxDistance=60,tRelation={bAll=true,bEnemy=false,bAlly=false,},tLife={bEnable=false,szOperator="&gt;",nValue=0,},},},},</v>
      </c>
    </row>
    <row r="147" spans="1:21">
      <c r="C147">
        <v>8606</v>
      </c>
      <c r="H147" t="s">
        <v>1937</v>
      </c>
      <c r="T147" t="s">
        <v>1938</v>
      </c>
      <c r="U147" t="str">
        <f t="shared" si="2"/>
        <v>{dwID=8606,szNote="散落的日记·白月皎",[17]={},[18]={},aFocus={{dwMapID=-1,szDisplay="散落的日记·白月皎",nMaxDistance=60,tRelation={bAll=true,bEnemy=false,bAlly=false,},tLife={bEnable=false,szOperator="&gt;",nValue=0,},},},},</v>
      </c>
    </row>
    <row r="148" spans="1:21">
      <c r="A148" t="s">
        <v>1350</v>
      </c>
      <c r="B148">
        <v>526</v>
      </c>
      <c r="U148" t="str">
        <f t="shared" si="2"/>
        <v>},[526]={</v>
      </c>
    </row>
    <row r="149" spans="1:21">
      <c r="C149">
        <v>9178</v>
      </c>
      <c r="H149" t="s">
        <v>1939</v>
      </c>
      <c r="I149" t="s">
        <v>622</v>
      </c>
      <c r="N149">
        <v>1</v>
      </c>
      <c r="T149" t="s">
        <v>1940</v>
      </c>
      <c r="U149" t="str">
        <f t="shared" si="2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50" spans="1:21">
      <c r="A150" t="s">
        <v>556</v>
      </c>
      <c r="B150">
        <v>578</v>
      </c>
      <c r="U150" t="str">
        <f t="shared" si="2"/>
        <v>},[578]={</v>
      </c>
    </row>
    <row r="151" spans="1:21">
      <c r="C151">
        <v>10007</v>
      </c>
      <c r="H151" t="s">
        <v>1941</v>
      </c>
      <c r="I151" t="s">
        <v>622</v>
      </c>
      <c r="N151">
        <v>1</v>
      </c>
      <c r="T151" t="s">
        <v>1942</v>
      </c>
      <c r="U151" t="str">
        <f t="shared" si="2"/>
        <v>{dwID=10007,szNote="渔具·重洋客",col={0,255,255,},[17]={bScreenHead=true,},[18]={},aFocus={{dwMapID=-1,szDisplay="渔具·重洋客",nMaxDistance=60,tRelation={bAll=true,bEnemy=false,bAlly=false,},tLife={bEnable=false,szOperator="&gt;",nValue=0,},},},},</v>
      </c>
    </row>
    <row r="152" spans="1:21">
      <c r="A152" t="s">
        <v>1396</v>
      </c>
      <c r="B152">
        <v>579</v>
      </c>
      <c r="U152" t="str">
        <f t="shared" si="2"/>
        <v>},[579]={</v>
      </c>
    </row>
    <row r="153" spans="1:21">
      <c r="C153">
        <v>10176</v>
      </c>
      <c r="H153" t="s">
        <v>1943</v>
      </c>
      <c r="T153" t="s">
        <v>1944</v>
      </c>
      <c r="U153" t="str">
        <f t="shared" si="2"/>
        <v>{dwID=10176,szNote="光圈·乱红鸾",[17]={},[18]={},aFocus={{dwMapID=-1,szDisplay="光圈·乱红鸾",nMaxDistance=60,tRelation={bAll=true,bEnemy=false,bAlly=false,},tLife={bEnable=false,szOperator="&gt;",nValue=0,},},},},</v>
      </c>
    </row>
    <row r="154" spans="1:21">
      <c r="C154">
        <v>10173</v>
      </c>
      <c r="H154" t="s">
        <v>1943</v>
      </c>
      <c r="T154" t="s">
        <v>1944</v>
      </c>
      <c r="U154" t="str">
        <f t="shared" si="2"/>
        <v>{dwID=10173,szNote="光圈·乱红鸾",[17]={},[18]={},aFocus={{dwMapID=-1,szDisplay="光圈·乱红鸾",nMaxDistance=60,tRelation={bAll=true,bEnemy=false,bAlly=false,},tLife={bEnable=false,szOperator="&gt;",nValue=0,},},},},</v>
      </c>
    </row>
    <row r="155" spans="1:21">
      <c r="C155">
        <v>10174</v>
      </c>
      <c r="H155" t="s">
        <v>1943</v>
      </c>
      <c r="T155" t="s">
        <v>1944</v>
      </c>
      <c r="U155" t="str">
        <f t="shared" si="2"/>
        <v>{dwID=10174,szNote="光圈·乱红鸾",[17]={},[18]={},aFocus={{dwMapID=-1,szDisplay="光圈·乱红鸾",nMaxDistance=60,tRelation={bAll=true,bEnemy=false,bAlly=false,},tLife={bEnable=false,szOperator="&gt;",nValue=0,},},},},</v>
      </c>
    </row>
    <row r="156" spans="1:21">
      <c r="C156">
        <v>10175</v>
      </c>
      <c r="H156" t="s">
        <v>1943</v>
      </c>
      <c r="T156" t="s">
        <v>1944</v>
      </c>
      <c r="U156" t="str">
        <f t="shared" si="2"/>
        <v>{dwID=10175,szNote="光圈·乱红鸾",[17]={},[18]={},aFocus={{dwMapID=-1,szDisplay="光圈·乱红鸾",nMaxDistance=60,tRelation={bAll=true,bEnemy=false,bAlly=false,},tLife={bEnable=false,szOperator="&gt;",nValue=0,},},},},</v>
      </c>
    </row>
    <row r="157" spans="1:21">
      <c r="C157">
        <v>10419</v>
      </c>
      <c r="H157" t="s">
        <v>1945</v>
      </c>
      <c r="I157" t="s">
        <v>622</v>
      </c>
      <c r="N157">
        <v>1</v>
      </c>
      <c r="T157" t="s">
        <v>1946</v>
      </c>
      <c r="U157" t="str">
        <f t="shared" si="2"/>
        <v>{dwID=10419,szNote="海螺壳·寓天涯",col={0,255,255,},[17]={bScreenHead=true,},[18]={},aFocus={{dwMapID=-1,szDisplay="海螺壳·寓天涯",nMaxDistance=60,tRelation={bAll=true,bEnemy=false,bAlly=false,},tLife={bEnable=false,szOperator="&gt;",nValue=0,},},},},</v>
      </c>
    </row>
    <row r="158" spans="1:21">
      <c r="C158">
        <v>10421</v>
      </c>
      <c r="H158" t="s">
        <v>1947</v>
      </c>
      <c r="I158" t="s">
        <v>622</v>
      </c>
      <c r="N158">
        <v>1</v>
      </c>
      <c r="T158" t="s">
        <v>1948</v>
      </c>
      <c r="U158" t="str">
        <f t="shared" si="2"/>
        <v>{dwID=10421,szNote="莓莓·寓天涯",col={0,255,255,},[17]={bScreenHead=true,},[18]={},aFocus={{dwMapID=-1,szDisplay="莓莓·寓天涯",nMaxDistance=60,tRelation={bAll=true,bEnemy=false,bAlly=false,},tLife={bEnable=false,szOperator="&gt;",nValue=0,},},},},</v>
      </c>
    </row>
    <row r="159" spans="1:21">
      <c r="A159" t="s">
        <v>1397</v>
      </c>
      <c r="B159">
        <v>580</v>
      </c>
      <c r="U159" t="str">
        <f t="shared" si="2"/>
        <v>},[580]={</v>
      </c>
    </row>
    <row r="160" spans="1:21">
      <c r="C160">
        <v>10044</v>
      </c>
      <c r="H160" t="s">
        <v>1949</v>
      </c>
      <c r="I160" t="s">
        <v>622</v>
      </c>
      <c r="N160">
        <v>1</v>
      </c>
      <c r="T160" t="s">
        <v>1950</v>
      </c>
      <c r="U160" t="str">
        <f t="shared" si="2"/>
        <v>{dwID=10044,szNote="虹下之泉·子夜歌",col={0,255,255,},[17]={bScreenHead=true,},[18]={},aFocus={{dwMapID=-1,szDisplay="虹下之泉·子夜歌",nMaxDistance=60,tRelation={bAll=true,bEnemy=false,bAlly=false,},tLife={bEnable=false,szOperator="&gt;",nValue=0,},},},},</v>
      </c>
    </row>
    <row r="161" spans="1:21">
      <c r="A161" t="s">
        <v>1398</v>
      </c>
      <c r="B161">
        <v>581</v>
      </c>
      <c r="U161" t="str">
        <f t="shared" si="2"/>
        <v>},[581]={</v>
      </c>
    </row>
    <row r="162" spans="1:21">
      <c r="C162">
        <v>10156</v>
      </c>
      <c r="H162" t="s">
        <v>1951</v>
      </c>
      <c r="T162" t="s">
        <v>1952</v>
      </c>
      <c r="U162" t="str">
        <f t="shared" si="2"/>
        <v>{dwID=10156,szNote="光圈·夜哀鸣",[17]={},[18]={},aFocus={{dwMapID=-1,szDisplay="光圈·夜哀鸣",nMaxDistance=60,tRelation={bAll=true,bEnemy=false,bAlly=false,},tLife={bEnable=false,szOperator="&gt;",nValue=0,},},},},</v>
      </c>
    </row>
    <row r="163" spans="1:21">
      <c r="C163">
        <v>10164</v>
      </c>
      <c r="H163" t="s">
        <v>1953</v>
      </c>
      <c r="T163" t="s">
        <v>1954</v>
      </c>
      <c r="U163" t="str">
        <f t="shared" si="2"/>
        <v>{dwID=10164,szNote="止血草·夜哀鸣",[17]={},[18]={},aFocus={{dwMapID=-1,szDisplay="止血草·夜哀鸣",nMaxDistance=60,tRelation={bAll=true,bEnemy=false,bAlly=false,},tLife={bEnable=false,szOperator="&gt;",nValue=0,},},},},</v>
      </c>
    </row>
    <row r="164" spans="1:21">
      <c r="C164">
        <v>10167</v>
      </c>
      <c r="H164" t="s">
        <v>1951</v>
      </c>
      <c r="T164" t="s">
        <v>1952</v>
      </c>
      <c r="U164" t="str">
        <f t="shared" si="2"/>
        <v>{dwID=10167,szNote="光圈·夜哀鸣",[17]={},[18]={},aFocus={{dwMapID=-1,szDisplay="光圈·夜哀鸣",nMaxDistance=60,tRelation={bAll=true,bEnemy=false,bAlly=false,},tLife={bEnable=false,szOperator="&gt;",nValue=0,},},},},</v>
      </c>
    </row>
    <row r="165" spans="1:21">
      <c r="C165">
        <v>10169</v>
      </c>
      <c r="H165" t="s">
        <v>1955</v>
      </c>
      <c r="I165" t="s">
        <v>622</v>
      </c>
      <c r="N165">
        <v>1</v>
      </c>
      <c r="T165" t="s">
        <v>1956</v>
      </c>
      <c r="U165" t="str">
        <f t="shared" si="2"/>
        <v>{dwID=10169,szNote="甜果·夜哀鸣",col={0,255,255,},[17]={bScreenHead=true,},[18]={},aFocus={{dwMapID=-1,szDisplay="甜果·夜哀鸣",nMaxDistance=60,tRelation={bAll=true,bEnemy=false,bAlly=false,},tLife={bEnable=false,szOperator="&gt;",nValue=0,},},},},</v>
      </c>
    </row>
    <row r="166" spans="1:21">
      <c r="A166" t="s">
        <v>1399</v>
      </c>
      <c r="B166">
        <v>582</v>
      </c>
      <c r="U166" t="str">
        <f t="shared" si="2"/>
        <v>},[582]={</v>
      </c>
    </row>
    <row r="167" spans="1:21">
      <c r="C167">
        <v>10060</v>
      </c>
      <c r="H167" t="s">
        <v>1957</v>
      </c>
      <c r="I167" t="s">
        <v>622</v>
      </c>
      <c r="N167">
        <v>1</v>
      </c>
      <c r="T167" t="s">
        <v>1958</v>
      </c>
      <c r="U167" t="str">
        <f t="shared" si="2"/>
        <v>{dwID=10060,szNote="槲果·故岁辞",col={0,255,255,},[17]={bScreenHead=true,},[18]={},aFocus={{dwMapID=-1,szDisplay="槲果·故岁辞",nMaxDistance=30,tRelation={bAll=true,bEnemy=false,bAlly=false,},tLife={bEnable=false,szOperator="&gt;",nValue=0,},},},},</v>
      </c>
    </row>
    <row r="168" spans="1:21">
      <c r="C168">
        <v>10054</v>
      </c>
      <c r="H168" t="s">
        <v>1959</v>
      </c>
      <c r="I168" t="s">
        <v>622</v>
      </c>
      <c r="N168">
        <v>1</v>
      </c>
      <c r="T168" t="s">
        <v>1960</v>
      </c>
      <c r="U168" t="str">
        <f t="shared" si="2"/>
        <v>{dwID=10054,szNote="散落的羽毛·故岁辞",col={0,255,255,},[17]={bScreenHead=true,},[18]={},aFocus={{dwMapID=-1,szDisplay="散落的羽毛·故岁辞",nMaxDistance=60,tRelation={bAll=true,bEnemy=false,bAlly=false,},tLife={bEnable=false,szOperator="&gt;",nValue=0,},},},},</v>
      </c>
    </row>
    <row r="169" spans="1:21">
      <c r="C169">
        <v>10057</v>
      </c>
      <c r="H169" t="s">
        <v>1961</v>
      </c>
      <c r="T169" t="s">
        <v>1962</v>
      </c>
      <c r="U169" t="str">
        <f t="shared" si="2"/>
        <v>{dwID=10057,szNote="光圈·故岁辞",[17]={},[18]={},aFocus={{dwMapID=-1,szDisplay="光圈·故岁辞",nMaxDistance=60,tRelation={bAll=true,bEnemy=false,bAlly=false,},tLife={bEnable=false,szOperator="&gt;",nValue=0,},},},},</v>
      </c>
    </row>
    <row r="170" spans="1:21">
      <c r="C170">
        <v>10058</v>
      </c>
      <c r="H170" t="s">
        <v>1961</v>
      </c>
      <c r="T170" t="s">
        <v>1962</v>
      </c>
      <c r="U170" t="str">
        <f t="shared" si="2"/>
        <v>{dwID=10058,szNote="光圈·故岁辞",[17]={},[18]={},aFocus={{dwMapID=-1,szDisplay="光圈·故岁辞",nMaxDistance=60,tRelation={bAll=true,bEnemy=false,bAlly=false,},tLife={bEnable=false,szOperator="&gt;",nValue=0,},},},},</v>
      </c>
    </row>
    <row r="171" spans="1:21">
      <c r="C171">
        <v>10059</v>
      </c>
      <c r="H171" t="s">
        <v>1963</v>
      </c>
      <c r="T171" t="s">
        <v>1964</v>
      </c>
      <c r="U171" t="str">
        <f t="shared" si="2"/>
        <v>{dwID=10059,szNote="鸟笼·故岁辞",[17]={},[18]={},aFocus={{dwMapID=-1,szDisplay="鸟笼·故岁辞",nMaxDistance=60,tRelation={bAll=true,bEnemy=false,bAlly=false,},tLife={bEnable=false,szOperator="&gt;",nValue=0,},},},},</v>
      </c>
    </row>
    <row r="172" spans="1:21">
      <c r="A172" t="s">
        <v>1454</v>
      </c>
      <c r="B172">
        <v>642</v>
      </c>
      <c r="U172" t="str">
        <f t="shared" si="2"/>
        <v>},[642]={</v>
      </c>
    </row>
    <row r="173" spans="1:21">
      <c r="C173">
        <v>10356</v>
      </c>
      <c r="H173" t="s">
        <v>1965</v>
      </c>
      <c r="I173" t="s">
        <v>622</v>
      </c>
      <c r="N173">
        <v>1</v>
      </c>
      <c r="T173" t="s">
        <v>1966</v>
      </c>
      <c r="U173" t="str">
        <f t="shared" si="2"/>
        <v>{dwID=10356,szNote="树叶堆·解心语",col={0,255,255,},[17]={bScreenHead=true,},[18]={},aFocus={{dwMapID=-1,szDisplay="树叶堆·解心语",nMaxDistance=30,tRelation={bAll=true,bEnemy=false,bAlly=false,},tLife={bEnable=false,szOperator="&gt;",nValue=0,},},},},</v>
      </c>
    </row>
    <row r="174" spans="1:21">
      <c r="C174">
        <v>10381</v>
      </c>
      <c r="H174" t="s">
        <v>1967</v>
      </c>
      <c r="T174" t="s">
        <v>1968</v>
      </c>
      <c r="U174" t="str">
        <f t="shared" si="2"/>
        <v>{dwID=10381,szNote="光圈·解心语",[17]={},[18]={},aFocus={{dwMapID=-1,szDisplay="光圈·解心语",nMaxDistance=60,tRelation={bAll=true,bEnemy=false,bAlly=false,},tLife={bEnable=false,szOperator="&gt;",nValue=0,},},},},</v>
      </c>
    </row>
    <row r="175" spans="1:21">
      <c r="C175">
        <v>10399</v>
      </c>
      <c r="H175" t="s">
        <v>1967</v>
      </c>
      <c r="T175" t="s">
        <v>1968</v>
      </c>
      <c r="U175" t="str">
        <f t="shared" si="2"/>
        <v>{dwID=10399,szNote="光圈·解心语",[17]={},[18]={},aFocus={{dwMapID=-1,szDisplay="光圈·解心语",nMaxDistance=60,tRelation={bAll=true,bEnemy=false,bAlly=false,},tLife={bEnable=false,szOperator="&gt;",nValue=0,},},},},</v>
      </c>
    </row>
    <row r="176" spans="1:21">
      <c r="A176" t="s">
        <v>1459</v>
      </c>
      <c r="B176">
        <v>647</v>
      </c>
      <c r="U176" t="str">
        <f t="shared" si="2"/>
        <v>},[647]={</v>
      </c>
    </row>
    <row r="177" spans="1:21">
      <c r="C177">
        <v>10390</v>
      </c>
      <c r="H177" t="s">
        <v>1969</v>
      </c>
      <c r="I177" t="s">
        <v>622</v>
      </c>
      <c r="N177">
        <v>1</v>
      </c>
      <c r="T177" t="s">
        <v>1970</v>
      </c>
      <c r="U177" t="str">
        <f t="shared" si="2"/>
        <v>{dwID=10390,szNote="酒杯·破巧言",col={0,255,255,},[17]={bScreenHead=true,},[18]={},aFocus={{dwMapID=-1,szDisplay="酒杯·破巧言",nMaxDistance=60,tRelation={bAll=true,bEnemy=false,bAlly=false,},tLife={bEnable=false,szOperator="&gt;",nValue=0,},},},},</v>
      </c>
    </row>
    <row r="178" spans="1:21">
      <c r="C178">
        <v>10391</v>
      </c>
      <c r="H178" t="s">
        <v>1971</v>
      </c>
      <c r="I178" t="s">
        <v>622</v>
      </c>
      <c r="N178">
        <v>1</v>
      </c>
      <c r="T178" t="s">
        <v>1972</v>
      </c>
      <c r="U178" t="str">
        <f t="shared" si="2"/>
        <v>{dwID=10391,szNote="包袱·破巧言",col={0,255,255,},[17]={bScreenHead=true,},[18]={},aFocus={{dwMapID=-1,szDisplay="包袱·破巧言",nMaxDistance=60,tRelation={bAll=true,bEnemy=false,bAlly=false,},tLife={bEnable=false,szOperator="&gt;",nValue=0,},},},},</v>
      </c>
    </row>
    <row r="179" spans="1:21">
      <c r="A179" t="s">
        <v>1973</v>
      </c>
      <c r="B179">
        <v>673</v>
      </c>
      <c r="U179" t="str">
        <f t="shared" si="2"/>
        <v>},[673]={</v>
      </c>
    </row>
    <row r="180" spans="1:21">
      <c r="C180">
        <v>11191</v>
      </c>
      <c r="H180" t="s">
        <v>1974</v>
      </c>
      <c r="I180" t="s">
        <v>622</v>
      </c>
      <c r="N180">
        <v>1</v>
      </c>
      <c r="T180" t="s">
        <v>1975</v>
      </c>
      <c r="U180" t="str">
        <f t="shared" si="2"/>
        <v>{dwID=11191,szNote="洞口·匿沙影",col={0,255,255,},[17]={bScreenHead=true,},[18]={},aFocus={{dwMapID=-1,szDisplay="洞口·匿沙影",nMaxDistance=60,tRelation={bAll=true,bEnemy=false,bAlly=false,},tLife={bEnable=false,szOperator="&gt;",nValue=0,},},},},</v>
      </c>
    </row>
    <row r="181" spans="1:21">
      <c r="A181" t="s">
        <v>1976</v>
      </c>
      <c r="B181">
        <v>701</v>
      </c>
      <c r="U181" t="str">
        <f t="shared" si="2"/>
        <v>},[701]={</v>
      </c>
    </row>
    <row r="182" spans="1:21">
      <c r="C182">
        <v>11466</v>
      </c>
      <c r="H182" t="s">
        <v>1977</v>
      </c>
      <c r="I182" t="s">
        <v>622</v>
      </c>
      <c r="N182">
        <v>1</v>
      </c>
      <c r="T182" t="s">
        <v>1978</v>
      </c>
      <c r="U182" t="str">
        <f t="shared" si="2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83" spans="1:21">
      <c r="A183" t="s">
        <v>1719</v>
      </c>
      <c r="B183">
        <v>718</v>
      </c>
      <c r="U183" t="str">
        <f t="shared" si="2"/>
        <v>},[718]={</v>
      </c>
    </row>
    <row r="184" spans="1:21">
      <c r="C184">
        <v>11465</v>
      </c>
      <c r="H184" t="s">
        <v>1979</v>
      </c>
      <c r="I184" t="s">
        <v>622</v>
      </c>
      <c r="N184">
        <v>1</v>
      </c>
      <c r="T184" t="s">
        <v>1980</v>
      </c>
      <c r="U184" t="str">
        <f t="shared" si="2"/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85" spans="1:21">
      <c r="U185" t="str">
        <f t="shared" si="2"/>
        <v>},},}</v>
      </c>
    </row>
  </sheetData>
  <autoFilter xmlns:etc="http://www.wps.cn/officeDocument/2017/etCustomData" ref="A1:V18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1981</v>
      </c>
      <c r="E1" t="s">
        <v>49</v>
      </c>
      <c r="F1" t="s">
        <v>1484</v>
      </c>
      <c r="G1" t="s">
        <v>1982</v>
      </c>
      <c r="H1" t="s">
        <v>1983</v>
      </c>
      <c r="I1" t="s">
        <v>1984</v>
      </c>
      <c r="J1" t="s">
        <v>1985</v>
      </c>
      <c r="K1" t="s">
        <v>1986</v>
      </c>
      <c r="L1" t="s">
        <v>1987</v>
      </c>
      <c r="M1" t="s">
        <v>1988</v>
      </c>
      <c r="N1" t="s">
        <v>1989</v>
      </c>
      <c r="O1" t="s">
        <v>1990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A1" sqref="A1"/>
    </sheetView>
  </sheetViews>
  <sheetFormatPr defaultColWidth="9" defaultRowHeight="13.5" outlineLevelRow="2"/>
  <sheetData>
    <row r="1" spans="1:15">
      <c r="A1" t="s">
        <v>1476</v>
      </c>
      <c r="B1" t="s">
        <v>1477</v>
      </c>
      <c r="C1" t="s">
        <v>1981</v>
      </c>
      <c r="D1" t="s">
        <v>49</v>
      </c>
      <c r="E1" t="s">
        <v>1484</v>
      </c>
      <c r="F1" t="s">
        <v>1982</v>
      </c>
      <c r="G1" t="s">
        <v>1983</v>
      </c>
      <c r="H1" t="s">
        <v>1984</v>
      </c>
      <c r="I1" t="s">
        <v>1985</v>
      </c>
      <c r="J1" t="s">
        <v>1986</v>
      </c>
      <c r="K1" t="s">
        <v>1987</v>
      </c>
      <c r="L1" t="s">
        <v>1988</v>
      </c>
      <c r="M1" t="s">
        <v>1989</v>
      </c>
      <c r="N1" t="s">
        <v>1991</v>
      </c>
      <c r="O1" t="s">
        <v>316</v>
      </c>
    </row>
    <row r="2" spans="1: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>
      <c r="N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2026-07-02T11:59:04Z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E36F453063184D3E890FDDEB6D206E05_12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