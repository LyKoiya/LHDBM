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activeTab="7"/>
  </bookViews>
  <sheets>
    <sheet name="茗伊团队监控数据手册" sheetId="2" r:id="rId1"/>
    <sheet name="字典" sheetId="4" r:id="rId2"/>
    <sheet name="有利气劲" sheetId="5" r:id="rId3"/>
    <sheet name="不利气劲" sheetId="6" r:id="rId4"/>
    <sheet name="武学招式" sheetId="7" r:id="rId5"/>
    <sheet name="系统角色" sheetId="8" r:id="rId6"/>
    <sheet name="交互物件" sheetId="9" r:id="rId7"/>
    <sheet name="角色喊话" sheetId="10" r:id="rId8"/>
    <sheet name="系统频道" sheetId="11" r:id="rId9"/>
  </sheets>
  <definedNames>
    <definedName name="JunSun1">DATE(日历年份,6,1)-WEEKDAY(DATE(日历年份,6,1))</definedName>
    <definedName name="日历年份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<sst xmlns="http://schemas.openxmlformats.org/spreadsheetml/2006/main" count="2281" uniqueCount="1669">
  <si>
    <t>__meta = {</t>
  </si>
  <si>
    <t>绿块自行修改，不改亦可</t>
  </si>
  <si>
    <t>使用前请详细看本页黄字</t>
  </si>
  <si>
    <t>szLang = "zhcn",</t>
  </si>
  <si>
    <t>语言，默认可不修改</t>
  </si>
  <si>
    <t>工具下载地址</t>
  </si>
  <si>
    <t>https://www.jx3box.com/tool/60356</t>
  </si>
  <si>
    <t>szAuthor = "角色名",</t>
  </si>
  <si>
    <t>导出时的玩家名称</t>
  </si>
  <si>
    <t>教程地址</t>
  </si>
  <si>
    <t>https://www.jx3box.com/tool/74098</t>
  </si>
  <si>
    <t>时间戳</t>
  </si>
  <si>
    <t>工作表不建议改名，否则无法保障程序识别与分类数据</t>
  </si>
  <si>
    <t>szServer = "服务器名",</t>
  </si>
  <si>
    <t>导出时的服务器名称</t>
  </si>
  <si>
    <t>表格第一列标识为程序读取保留列，此列作为注释用，不影响数据导出，但不建议删除此列，其他参数若不需要可删除或隐藏列</t>
  </si>
  <si>
    <t>szOfficialVoicePacketUUID="",</t>
  </si>
  <si>
    <t>数据推荐官方语音包uuid</t>
  </si>
  <si>
    <t>团队气劲面板：第一个面板条件分列编写，若还有其他条件，则将剩余条件以{},{},合并为一个，置于第一条件面板尾部的单元格内</t>
  </si>
  <si>
    <t>szCustomVoicePacketUUID="",</t>
  </si>
  <si>
    <t>数据推荐插件语音包uuid</t>
  </si>
  <si>
    <t>焦点列表：所有焦点列表条件置于return列前一个单元格</t>
  </si>
  <si>
    <t>},</t>
  </si>
  <si>
    <t>倒计时条：置于每行数据末尾，第一条轴必须在return列后，每个轴以{},形式分别置于单元格内，列序号依次添加，默认读取到ZZ列，至多拼接256条轴</t>
  </si>
  <si>
    <t>团队监控手册</t>
  </si>
  <si>
    <t>BUFF</t>
  </si>
  <si>
    <t>有利气劲</t>
  </si>
  <si>
    <t>DEBUFF</t>
  </si>
  <si>
    <t>不利气劲</t>
  </si>
  <si>
    <t>CASTING</t>
  </si>
  <si>
    <t>武学招式</t>
  </si>
  <si>
    <t>NPC</t>
  </si>
  <si>
    <t>系统角色</t>
  </si>
  <si>
    <t>DOODAD</t>
  </si>
  <si>
    <t>交互物件</t>
  </si>
  <si>
    <t>TALK</t>
  </si>
  <si>
    <t>角色喊话</t>
  </si>
  <si>
    <t>CHAT</t>
  </si>
  <si>
    <t>系统频道</t>
  </si>
  <si>
    <t>静态属性</t>
  </si>
  <si>
    <t>键名</t>
  </si>
  <si>
    <t>值类型</t>
  </si>
  <si>
    <t>描述</t>
  </si>
  <si>
    <t>示例</t>
  </si>
  <si>
    <t>应用范围</t>
  </si>
  <si>
    <t>是否必须</t>
  </si>
  <si>
    <t>插件面板可修改</t>
  </si>
  <si>
    <t>szNote</t>
  </si>
  <si>
    <t>字符串</t>
  </si>
  <si>
    <t>备注信息</t>
  </si>
  <si>
    <t>szNote = "备注说明"</t>
  </si>
  <si>
    <t>BUFF、DEBUFF、CASTING、NPC、DOODAD、TALK、CHAT</t>
  </si>
  <si>
    <t>否</t>
  </si>
  <si>
    <t>是</t>
  </si>
  <si>
    <t>tCountdown</t>
  </si>
  <si>
    <t>数组</t>
  </si>
  <si>
    <t>计时条</t>
  </si>
  <si>
    <t>见《计时条属性》</t>
  </si>
  <si>
    <t>col</t>
  </si>
  <si>
    <t>通用报警颜色</t>
  </si>
  <si>
    <t>col = {255,0,0}</t>
  </si>
  <si>
    <t>非完全通用部分包含：</t>
  </si>
  <si>
    <t>dwID</t>
  </si>
  <si>
    <t>整数</t>
  </si>
  <si>
    <t>ID（编号）</t>
  </si>
  <si>
    <t>dwID = 684</t>
  </si>
  <si>
    <t>BUFF、DEBUFF、CASTING、NPC、DOODAD</t>
  </si>
  <si>
    <t>nLevel</t>
  </si>
  <si>
    <t>等级</t>
  </si>
  <si>
    <t>nLevel = 1</t>
  </si>
  <si>
    <t>BUFF、DEBUFF、CASTING</t>
  </si>
  <si>
    <t>bCheckLevel</t>
  </si>
  <si>
    <t>布尔</t>
  </si>
  <si>
    <t>是否区分等级</t>
  </si>
  <si>
    <t>bCheckLevel = true</t>
  </si>
  <si>
    <t>nCount</t>
  </si>
  <si>
    <t>层数必须达到n/数量必须达到n</t>
  </si>
  <si>
    <t>nCount = 2</t>
  </si>
  <si>
    <t>BUFF、DEBUFF、NPC、DOODAD</t>
  </si>
  <si>
    <t>szName</t>
  </si>
  <si>
    <t>自定义名称</t>
  </si>
  <si>
    <t>szName = "天地低昂"</t>
  </si>
  <si>
    <t>nIcon</t>
  </si>
  <si>
    <t>自定义图标</t>
  </si>
  <si>
    <t>nIcon = 1498</t>
  </si>
  <si>
    <t>nScrutinyType</t>
  </si>
  <si>
    <t>监控对象类型（缺省-全部，1自身，2团队，3敌对，4当前目标）</t>
  </si>
  <si>
    <t>nScrutinyType = 2</t>
  </si>
  <si>
    <t>tKungFu</t>
  </si>
  <si>
    <t>表</t>
  </si>
  <si>
    <t>自身心法要求（心法ID请参阅《心法ID表》）</t>
  </si>
  <si>
    <t>tKungFu={["SKILL#10081"] = true,["SKILL#10080"] = true,},</t>
  </si>
  <si>
    <t>aCataclysmBuff</t>
  </si>
  <si>
    <t>茗伊团队框架buff设置</t>
  </si>
  <si>
    <t>见《团队面板属性》</t>
  </si>
  <si>
    <t>BUFF、DEBUFF</t>
  </si>
  <si>
    <t>bMonTarget </t>
  </si>
  <si>
    <t>显示目标名称</t>
  </si>
  <si>
    <t>bMonTarget = true</t>
  </si>
  <si>
    <t>nFrame</t>
  </si>
  <si>
    <t>npc头像图标ID</t>
  </si>
  <si>
    <t>nFrame = 50</t>
  </si>
  <si>
    <t>bAllLeave</t>
  </si>
  <si>
    <t>必须全部消失</t>
  </si>
  <si>
    <t>bAllLeave = true</t>
  </si>
  <si>
    <t>NPC、DOODAD</t>
  </si>
  <si>
    <t>aFocus</t>
  </si>
  <si>
    <t>焦点</t>
  </si>
  <si>
    <t>-</t>
  </si>
  <si>
    <t>szTarget</t>
  </si>
  <si>
    <t>喊话对象</t>
  </si>
  <si>
    <t>szTarget = "xxx"</t>
  </si>
  <si>
    <t>szContent</t>
  </si>
  <si>
    <t>喊话内容(注意excel换行表示为\n)</t>
  </si>
  <si>
    <t>szContent = "xxx"</t>
  </si>
  <si>
    <t>TALK、CHAT。请注意特殊字符转义问题，换行请写\n，若含有英文引号请用\转义，例："侠士"上线了。请写\"侠士\"上线了。</t>
  </si>
  <si>
    <t>bSearch</t>
  </si>
  <si>
    <t>模糊匹配</t>
  </si>
  <si>
    <t>bSearch = true</t>
  </si>
  <si>
    <t>TALK，CHAT</t>
  </si>
  <si>
    <t>bReg</t>
  </si>
  <si>
    <t>开启正则</t>
  </si>
  <si>
    <t>bReg = true</t>
  </si>
  <si>
    <t>动态属性</t>
  </si>
  <si>
    <t>键</t>
  </si>
  <si>
    <t>tMark</t>
  </si>
  <si>
    <t>标记</t>
  </si>
  <si>
    <t>见下文</t>
  </si>
  <si>
    <t>bTeamChannel</t>
  </si>
  <si>
    <t>团队频道报警开关</t>
  </si>
  <si>
    <t>bTeamChannel = true</t>
  </si>
  <si>
    <t>bWhisperChannel</t>
  </si>
  <si>
    <t>密聊频道报警开关</t>
  </si>
  <si>
    <t>bWhisperChannel = true</t>
  </si>
  <si>
    <t>bCenterAlarm</t>
  </si>
  <si>
    <t>中央报警开关</t>
  </si>
  <si>
    <t>bCenterAlarm = true</t>
  </si>
  <si>
    <t>bScreenHead</t>
  </si>
  <si>
    <t>头顶报警开关</t>
  </si>
  <si>
    <t>bScreenHead = true</t>
  </si>
  <si>
    <t>BUFF、DEBUFF、NPC</t>
  </si>
  <si>
    <t>bPartyBuffList</t>
  </si>
  <si>
    <t>团队气劲列表开关</t>
  </si>
  <si>
    <t>bPartyBuffList = true</t>
  </si>
  <si>
    <t>bBuffList</t>
  </si>
  <si>
    <t>自身气劲列表开关</t>
  </si>
  <si>
    <t>bBuffList = true</t>
  </si>
  <si>
    <t>bTeamPanel</t>
  </si>
  <si>
    <t>（显示于）团队面板开关</t>
  </si>
  <si>
    <t>bTeamPanel = true</t>
  </si>
  <si>
    <t>bOnlySelfSrc</t>
  </si>
  <si>
    <t>仅显示来源自己的气劲开关</t>
  </si>
  <si>
    <t>bOnlySelfSrc = true</t>
  </si>
  <si>
    <t>szVoice</t>
  </si>
  <si>
    <t>语音slug标识</t>
  </si>
  <si>
    <t>szVoice = "ChengShang_P"</t>
  </si>
  <si>
    <t>bVoiceSelfOnly</t>
  </si>
  <si>
    <t>是否仅在自身气劲下播放语音（仅用于气劲相关）</t>
  </si>
  <si>
    <t>bVoiceSelfOnly = true</t>
  </si>
  <si>
    <t>bVoiceOfficial</t>
  </si>
  <si>
    <t>是否优先使用官方语音条目</t>
  </si>
  <si>
    <t>bVoiceOfficial = true</t>
  </si>
  <si>
    <t>动态属性编号映射</t>
  </si>
  <si>
    <t>模板字符</t>
  </si>
  <si>
    <t>注:使用ID解析串可防止内容被屏蔽，支持的模式如下（包含花括号）</t>
  </si>
  <si>
    <t>头顶标记</t>
  </si>
  <si>
    <t>标记图标</t>
  </si>
  <si>
    <t>OTHER</t>
  </si>
  <si>
    <t>不生效，该事件屏蔽</t>
  </si>
  <si>
    <t>{$me}</t>
  </si>
  <si>
    <t>当前登录的账号的角色名字，可用于喊话系统</t>
  </si>
  <si>
    <t>tMark={</t>
  </si>
  <si>
    <t>BUFF_GET</t>
  </si>
  <si>
    <t>获得BUFF</t>
  </si>
  <si>
    <t>{$sender}</t>
  </si>
  <si>
    <t>该事件发起者的名字，如点名者</t>
  </si>
  <si>
    <t>[1]=false,</t>
  </si>
  <si>
    <t>白云</t>
  </si>
  <si>
    <t>BUFF_LOSE</t>
  </si>
  <si>
    <t>失去BUFF</t>
  </si>
  <si>
    <t>{$receiver}</t>
  </si>
  <si>
    <t>该事件受影响者的名字，如被点名的队友</t>
  </si>
  <si>
    <t>[2]=false,</t>
  </si>
  <si>
    <t>小剑</t>
  </si>
  <si>
    <t>NPC_ENTER</t>
  </si>
  <si>
    <t>NPC进入场景</t>
  </si>
  <si>
    <t>{$team}</t>
  </si>
  <si>
    <t>团队玩家的名字，包含自己的名字，只有在团队中方可使用，用于喊话系统</t>
  </si>
  <si>
    <t>[3]=false,</t>
  </si>
  <si>
    <t>斧头</t>
  </si>
  <si>
    <t>NPC_LEAVE</t>
  </si>
  <si>
    <t>NPC离开场景</t>
  </si>
  <si>
    <t>{$B188}</t>
  </si>
  <si>
    <t>ID为188的气劲名称</t>
  </si>
  <si>
    <t>[4]=false,</t>
  </si>
  <si>
    <t>钩子</t>
  </si>
  <si>
    <t>NPC_TALK</t>
  </si>
  <si>
    <t>NPC说话信息(未使用)</t>
  </si>
  <si>
    <t>{$B188,2}</t>
  </si>
  <si>
    <t>ID为188，等级为2的气劲名称</t>
  </si>
  <si>
    <t>[5]=false,</t>
  </si>
  <si>
    <t>红鼓</t>
  </si>
  <si>
    <t>NPC_LIFE</t>
  </si>
  <si>
    <t>NPC气血值监控</t>
  </si>
  <si>
    <t>{$S188}</t>
  </si>
  <si>
    <t>ID为188的武学招式名称</t>
  </si>
  <si>
    <t>[6]=false,</t>
  </si>
  <si>
    <t>剪刀</t>
  </si>
  <si>
    <t>NPC_FIGHT</t>
  </si>
  <si>
    <t>NPC进入战斗</t>
  </si>
  <si>
    <t>{$S188,2}</t>
  </si>
  <si>
    <t>ID为188，等级为2的武学招式名称5.</t>
  </si>
  <si>
    <t>[7]=false,</t>
  </si>
  <si>
    <t>棒槌</t>
  </si>
  <si>
    <t>SKILL_BEGIN</t>
  </si>
  <si>
    <t>技能开始释放(运功)</t>
  </si>
  <si>
    <t>{$N188}</t>
  </si>
  <si>
    <t>模板ID为188的系统角色名称</t>
  </si>
  <si>
    <t>[8]=false,</t>
  </si>
  <si>
    <t>如意</t>
  </si>
  <si>
    <t>SKILL_END</t>
  </si>
  <si>
    <t>技能成功释放(结束)</t>
  </si>
  <si>
    <t>{$D188}</t>
  </si>
  <si>
    <t>模板ID为188的交互物件名称</t>
  </si>
  <si>
    <t>[9]=false,</t>
  </si>
  <si>
    <t>飞镖</t>
  </si>
  <si>
    <t>SYS_TALK</t>
  </si>
  <si>
    <t>系统聊天信息(未使用)</t>
  </si>
  <si>
    <t>{$M188}</t>
  </si>
  <si>
    <t>地图ID为188的场景名称</t>
  </si>
  <si>
    <t>[10]=false,</t>
  </si>
  <si>
    <t>扇子</t>
  </si>
  <si>
    <t>NPC_ALLLEAVE</t>
  </si>
  <si>
    <t>所有同一个NPC离开场景</t>
  </si>
  <si>
    <t>NPC_DEATH</t>
  </si>
  <si>
    <t>NPC死亡</t>
  </si>
  <si>
    <t>使用时省略下标</t>
  </si>
  <si>
    <t>NPC_ALLDEATH</t>
  </si>
  <si>
    <t>所有同一个NPC死亡</t>
  </si>
  <si>
    <t>需要标记云、剑、斧则写</t>
  </si>
  <si>
    <t>tMark={true,true,true,false,false,false,false,false,false,false,},</t>
  </si>
  <si>
    <t>TALK_MONITOR</t>
  </si>
  <si>
    <t>聊天监控(喊话监控使用)</t>
  </si>
  <si>
    <t>COMMON</t>
  </si>
  <si>
    <t>NPC_MANA</t>
  </si>
  <si>
    <t>NPC内力值监控</t>
  </si>
  <si>
    <t>DOODAD_ENTER</t>
  </si>
  <si>
    <t>互动物品进入场景</t>
  </si>
  <si>
    <t>DOODAD_LEAVE</t>
  </si>
  <si>
    <t>互动物品离开场景</t>
  </si>
  <si>
    <t>DOODAD_ALLLEAVE</t>
  </si>
  <si>
    <t>所有同一个互动物品离开场景</t>
  </si>
  <si>
    <t>CHAT_MONITOR</t>
  </si>
  <si>
    <t>触发监听系统信息(系统聊天监控使用)</t>
  </si>
  <si>
    <t>团队面板</t>
  </si>
  <si>
    <t>多个条件面板，必须最高条件放前，低条件放后，且每个条件面板的优先级需依次+1</t>
  </si>
  <si>
    <t>nStackNum</t>
  </si>
  <si>
    <t>触发层数</t>
  </si>
  <si>
    <t>nStackNum = 3</t>
  </si>
  <si>
    <t>例：春泥护花，第一个条件&gt;=8层、优先级5，第二条件&gt;=4、优先级6，第三条件&gt;=1、优先级7</t>
  </si>
  <si>
    <t>szStackOp</t>
  </si>
  <si>
    <t>触发逻辑（数学比较运算符）</t>
  </si>
  <si>
    <t>szStackOp = "="</t>
  </si>
  <si>
    <t>bOnlyMine</t>
  </si>
  <si>
    <t>仅来源自己</t>
  </si>
  <si>
    <t>bOnlyMine = true</t>
  </si>
  <si>
    <t>此气劲来源自己的监控，常用于治疗心法的hot</t>
  </si>
  <si>
    <t>bOnlyMe</t>
  </si>
  <si>
    <t>仅监控自己</t>
  </si>
  <si>
    <t>bOnlyMe = true</t>
  </si>
  <si>
    <t>szReminder</t>
  </si>
  <si>
    <t>备注</t>
  </si>
  <si>
    <t>szReminder = "xxx"</t>
  </si>
  <si>
    <t>仅生效第一个字符，例：这是一个备注，显示时只显示“这”</t>
  </si>
  <si>
    <t>nPriority</t>
  </si>
  <si>
    <t>优先级（越小越高，0为最高）</t>
  </si>
  <si>
    <t>nPriority = 2</t>
  </si>
  <si>
    <t>不建议使用0、1，因为在excel表格中0，1可能代表布尔值，干扰公式结果，建议从5开始，留下2，3，4给PVE中BOSS秒杀等重要气劲使用</t>
  </si>
  <si>
    <t>蒙版颜色 + 描边颜色</t>
  </si>
  <si>
    <t>col = "#3FDFBFA9"</t>
  </si>
  <si>
    <t>最后2位控制透明度，00 - 透明，FF - 完全不透明</t>
  </si>
  <si>
    <t>nColAlpha</t>
  </si>
  <si>
    <t>整数（0-255）</t>
  </si>
  <si>
    <t>描边透明度</t>
  </si>
  <si>
    <t>nColAlpha = 169</t>
  </si>
  <si>
    <t>0 - 透明，255 - 完全不透明</t>
  </si>
  <si>
    <t>bAttention</t>
  </si>
  <si>
    <t>蒙版警告</t>
  </si>
  <si>
    <t>bAttention = true</t>
  </si>
  <si>
    <t>开启头顶提示</t>
  </si>
  <si>
    <t>colScreenHead</t>
  </si>
  <si>
    <t>头顶提示颜色</t>
  </si>
  <si>
    <t>colScreenHead = "#DFBF3F"</t>
  </si>
  <si>
    <t>bCaution</t>
  </si>
  <si>
    <t>开启特效警告</t>
  </si>
  <si>
    <t>bCaution = true</t>
  </si>
  <si>
    <t>焦点列表</t>
  </si>
  <si>
    <t>多个焦点数组，关系建议先写敌对，后友方，最后全部</t>
  </si>
  <si>
    <t>tRelation</t>
  </si>
  <si>
    <t>目标关系</t>
  </si>
  <si>
    <t>tRelation = {			--目标关系
    bAll = false,			--全部
    bEnemy = false,			--敌对目标
    bAlly = true,			--非敌对目标
},</t>
  </si>
  <si>
    <t>例：第一条件，敌方血量&lt;100，第二条件非敌方血量&lt;100，第三条件全部</t>
  </si>
  <si>
    <t>tLife</t>
  </si>
  <si>
    <t>目标血量百分比</t>
  </si>
  <si>
    <t>tLife = {				--目标气血限制
    bEnable = true,			--是否启用
    szOperator = "&gt;=",		--触发逻辑（对应气血百分比，=、!=、&lt;、&gt;=、&gt;、&lt;=）
    nValue = 60,			--气血百分比
},</t>
  </si>
  <si>
    <t>例：第一条件，敌方血量&gt;0，最大距离60尺，第二条件非敌方血量&gt;0，最大距离30尺，第三条件全部，血量&gt;0，最大距离10尺</t>
  </si>
  <si>
    <t>nMaxDistance</t>
  </si>
  <si>
    <t>数字</t>
  </si>
  <si>
    <t>最大距离</t>
  </si>
  <si>
    <t>nMaxDistance = 10</t>
  </si>
  <si>
    <t>szDisplay</t>
  </si>
  <si>
    <t>名称显示</t>
  </si>
  <si>
    <t>szDisplay = "xxxx"</t>
  </si>
  <si>
    <t>dwMapID</t>
  </si>
  <si>
    <t>生效地图ID</t>
  </si>
  <si>
    <t>dwMapID = -1</t>
  </si>
  <si>
    <t>倒计时条</t>
  </si>
  <si>
    <t>倒计时条以{},形式保存，且每条轴占一个单元格，从return列后依次增加列</t>
  </si>
  <si>
    <t>nClass</t>
  </si>
  <si>
    <t>动态属性编号</t>
  </si>
  <si>
    <t>nClass = 9</t>
  </si>
  <si>
    <t>计时条图标</t>
  </si>
  <si>
    <t>nIcon = 894</t>
  </si>
  <si>
    <t>倒计时条背景色（0橙,1粉,2红,3黄,4灰,5深蓝,6绿,7浅蓝,8紫,其他为透明）</t>
  </si>
  <si>
    <t>nFrame = 1</t>
  </si>
  <si>
    <t>透明建议使用-1</t>
  </si>
  <si>
    <t>bHold</t>
  </si>
  <si>
    <t>倒计时过图不消失</t>
  </si>
  <si>
    <t>bHold = true</t>
  </si>
  <si>
    <t>倒计时条显示文字</t>
  </si>
  <si>
    <t>szName = "倒计时 {$S565}"</t>
  </si>
  <si>
    <t>是否开启团队喊话报警</t>
  </si>
  <si>
    <t>nTime</t>
  </si>
  <si>
    <t>数字/字符串</t>
  </si>
  <si>
    <t>倒计时时间</t>
  </si>
  <si>
    <t>nTime = 10</t>
  </si>
  <si>
    <t>-1:删除倒计时条的显示，但不清除CD。-2:与-1相反，清除CD，但不删除倒计时条。0:-1与-2两个功能合并，既删除倒计时条，又清除CD</t>
  </si>
  <si>
    <t>nRefresh</t>
  </si>
  <si>
    <t>重复调用时间限制</t>
  </si>
  <si>
    <t>nRefresh = 5</t>
  </si>
  <si>
    <t>key</t>
  </si>
  <si>
    <t>倒计时唯一标识</t>
  </si>
  <si>
    <t>key = "demo"</t>
  </si>
  <si>
    <t>倒计时条调用标识，标识符由自己规定，但注意关键字请最最最最好用全名。因为标识符可以设置模板字符，你可以跨区域用模板字符调用终止，用了缩写则很难在别处用模板调用</t>
  </si>
  <si>
    <t>例：春泥护花，你可以自由添加各种符号写“气劲·减伤·【春泥护花】”，但请不要写“气劲·减伤·【春泥】”</t>
  </si>
  <si>
    <t>例：阴山大草原，可以设置标识符为地图·[阴山大草原]，但不要设置为地图·[阴山]或地图·[大草原]</t>
  </si>
  <si>
    <t>例：王遗风，可以设置为NPC·王遗风，但不要设置为NPC·老王</t>
  </si>
  <si>
    <t>地图ID</t>
  </si>
  <si>
    <t>地图名称</t>
  </si>
  <si>
    <t>门派</t>
  </si>
  <si>
    <t>School ID</t>
  </si>
  <si>
    <t>Force ID</t>
  </si>
  <si>
    <t>心法</t>
  </si>
  <si>
    <t>Mount ID</t>
  </si>
  <si>
    <t>Kungfu ID</t>
  </si>
  <si>
    <t>武学套路说明</t>
  </si>
  <si>
    <t>颜色表</t>
  </si>
  <si>
    <t>RGB</t>
  </si>
  <si>
    <t>DEC2HEX</t>
  </si>
  <si>
    <t>站位走位</t>
  </si>
  <si>
    <t>语音唯一标识符</t>
  </si>
  <si>
    <t>内容示例</t>
  </si>
  <si>
    <t>服务器</t>
  </si>
  <si>
    <t>pet_Type</t>
  </si>
  <si>
    <t>Source</t>
  </si>
  <si>
    <t>出行饲料</t>
  </si>
  <si>
    <t>宠物对应饲料</t>
  </si>
  <si>
    <t>宠物类型</t>
  </si>
  <si>
    <t>江湖</t>
  </si>
  <si>
    <t>10005;10010;10095;10082</t>
  </si>
  <si>
    <t>防身武艺;基础招式;混元气功;江湖轻功</t>
  </si>
  <si>
    <t>浩气盟</t>
  </si>
  <si>
    <t>60,128,220,</t>
  </si>
  <si>
    <t>准备承伤</t>
  </si>
  <si>
    <t>ChengShang_P</t>
  </si>
  <si>
    <t>都来准备承伤</t>
  </si>
  <si>
    <t>绝代天骄</t>
  </si>
  <si>
    <t>电信八区</t>
  </si>
  <si>
    <t>鱼虾类</t>
  </si>
  <si>
    <t>小鱼虾</t>
  </si>
  <si>
    <t>禽鸟</t>
  </si>
  <si>
    <t>杂粮谷物</t>
  </si>
  <si>
    <t>猪</t>
  </si>
  <si>
    <t>家畜</t>
  </si>
  <si>
    <t>天策</t>
  </si>
  <si>
    <t>易筋经</t>
  </si>
  <si>
    <t>10031;10032;10033;10034</t>
  </si>
  <si>
    <t>罗汉棍法;龙爪功;袈裟伏魔功;达摩武诀</t>
  </si>
  <si>
    <t>恶人谷</t>
  </si>
  <si>
    <t>160,30,30,</t>
  </si>
  <si>
    <t>准备抱团</t>
  </si>
  <si>
    <t>BaoTuan_P</t>
  </si>
  <si>
    <t>准备抱团啦</t>
  </si>
  <si>
    <t>斗转星移</t>
  </si>
  <si>
    <t>电信五区</t>
  </si>
  <si>
    <t>水族</t>
  </si>
  <si>
    <t>锦绣霓裳活动</t>
  </si>
  <si>
    <t>谷物类</t>
  </si>
  <si>
    <t>羊</t>
  </si>
  <si>
    <t>万花</t>
  </si>
  <si>
    <t>洗髓经</t>
  </si>
  <si>
    <t>少林</t>
  </si>
  <si>
    <t>255,178,95,</t>
  </si>
  <si>
    <t>准备分散</t>
  </si>
  <si>
    <t>FenSan_P</t>
  </si>
  <si>
    <t>准备分散呀</t>
  </si>
  <si>
    <t>唯我独尊</t>
  </si>
  <si>
    <t>大师赛竞猜</t>
  </si>
  <si>
    <t>肉类</t>
  </si>
  <si>
    <t>封家小块肉排</t>
  </si>
  <si>
    <t>皇竹草</t>
  </si>
  <si>
    <t>马</t>
  </si>
  <si>
    <t>纯阳</t>
  </si>
  <si>
    <t>太虚剑意</t>
  </si>
  <si>
    <t>10000;10009;10011;10012</t>
  </si>
  <si>
    <t>纯阳诀;北冥剑气;天道剑势;坐忘经</t>
  </si>
  <si>
    <t>196,152,255,</t>
  </si>
  <si>
    <t>准备移动</t>
  </si>
  <si>
    <t>YiDong_P</t>
  </si>
  <si>
    <t>乾坤一掷</t>
  </si>
  <si>
    <t>走兽</t>
  </si>
  <si>
    <t>积分福袋</t>
  </si>
  <si>
    <t>机关组装零件</t>
  </si>
  <si>
    <t>猫科</t>
  </si>
  <si>
    <t>七秀</t>
  </si>
  <si>
    <t>紫霞功</t>
  </si>
  <si>
    <t>255,111,83,</t>
  </si>
  <si>
    <t>准备原地不动</t>
  </si>
  <si>
    <t>YuanDiBuDong_P</t>
  </si>
  <si>
    <t>准备原地停留</t>
  </si>
  <si>
    <t>横刀断浪</t>
  </si>
  <si>
    <t>机关</t>
  </si>
  <si>
    <t>未知</t>
  </si>
  <si>
    <t>啮齿类</t>
  </si>
  <si>
    <t>磨牙棒</t>
  </si>
  <si>
    <t>犬科</t>
  </si>
  <si>
    <t>花间游</t>
  </si>
  <si>
    <t>10018;10019;10088;10089</t>
  </si>
  <si>
    <t>养心诀;太素九针;点穴截脉;百花拂穴手</t>
  </si>
  <si>
    <t>22,216,216,</t>
  </si>
  <si>
    <t>准备背对</t>
  </si>
  <si>
    <t>BeiDui_P</t>
  </si>
  <si>
    <t>剑胆琴心</t>
  </si>
  <si>
    <t>世界奇遇</t>
  </si>
  <si>
    <t>异宠类</t>
  </si>
  <si>
    <t>草饼</t>
  </si>
  <si>
    <t>啮齿</t>
  </si>
  <si>
    <t>藏剑</t>
  </si>
  <si>
    <t>离经易道</t>
  </si>
  <si>
    <t>255,129,176,</t>
  </si>
  <si>
    <t>准备引导</t>
  </si>
  <si>
    <t>YinDao_P</t>
  </si>
  <si>
    <t>幽月轮</t>
  </si>
  <si>
    <t>积分回馈</t>
  </si>
  <si>
    <t>草料类</t>
  </si>
  <si>
    <t>丐帮</t>
  </si>
  <si>
    <t>傲血战意</t>
  </si>
  <si>
    <t>10017;10023;10024;10061</t>
  </si>
  <si>
    <t>羽林枪法;虎牙令;奔雷枪术;游龙骑法</t>
  </si>
  <si>
    <t>五毒</t>
  </si>
  <si>
    <t>55,147,255,</t>
  </si>
  <si>
    <t>远离boss</t>
  </si>
  <si>
    <t>YuanLiBoss</t>
  </si>
  <si>
    <t>快远离boss</t>
  </si>
  <si>
    <t>梦江南</t>
  </si>
  <si>
    <t>秘境奇遇</t>
  </si>
  <si>
    <t>异宠</t>
  </si>
  <si>
    <t>明教</t>
  </si>
  <si>
    <t>铁牢律</t>
  </si>
  <si>
    <t>唐门</t>
  </si>
  <si>
    <t>121,183,54,</t>
  </si>
  <si>
    <t>Boss拉走</t>
  </si>
  <si>
    <t>BossLaZou</t>
  </si>
  <si>
    <t>把boss拉走</t>
  </si>
  <si>
    <t>执子之手</t>
  </si>
  <si>
    <t>门派特有</t>
  </si>
  <si>
    <t>任何</t>
  </si>
  <si>
    <t>蜀黍</t>
  </si>
  <si>
    <t>冰心诀</t>
  </si>
  <si>
    <t>10068;10069;10070;10072</t>
  </si>
  <si>
    <t>猿公剑法;霓裳羽衣;西河剑器;剑器浑脱</t>
  </si>
  <si>
    <t>214,249,93,</t>
  </si>
  <si>
    <t>小怪拉走</t>
  </si>
  <si>
    <t>XiaoGuaiLaZou</t>
  </si>
  <si>
    <t>把小怪拉走</t>
  </si>
  <si>
    <t>飞龙在天</t>
  </si>
  <si>
    <t>双线二区</t>
  </si>
  <si>
    <t>游戏活动</t>
  </si>
  <si>
    <t>云裳心经</t>
  </si>
  <si>
    <t>205,133,63,</t>
  </si>
  <si>
    <t>承伤抱团</t>
  </si>
  <si>
    <t>ChengShang_T</t>
  </si>
  <si>
    <t>一起抱团承伤</t>
  </si>
  <si>
    <t>破阵子</t>
  </si>
  <si>
    <t>双线一区</t>
  </si>
  <si>
    <t>限时宠物</t>
  </si>
  <si>
    <t>苍云</t>
  </si>
  <si>
    <t>毒经</t>
  </si>
  <si>
    <t>10171;10172;10173;10174</t>
  </si>
  <si>
    <t>千劫万毒手;引魂蛊术;驭虫奇术;补天心经</t>
  </si>
  <si>
    <t>240,70,96,</t>
  </si>
  <si>
    <t>找T抱团</t>
  </si>
  <si>
    <t>BaoTuan_T_sp</t>
  </si>
  <si>
    <t>天鹅坪</t>
  </si>
  <si>
    <t>运营活动</t>
  </si>
  <si>
    <t>长歌</t>
  </si>
  <si>
    <t>补天诀</t>
  </si>
  <si>
    <t>180,60,0,</t>
  </si>
  <si>
    <t>人群抱团</t>
  </si>
  <si>
    <t>BaoTuan_T_sp2</t>
  </si>
  <si>
    <t>长安城</t>
  </si>
  <si>
    <t>电信一区</t>
  </si>
  <si>
    <t>霸刀</t>
  </si>
  <si>
    <t>惊羽诀</t>
  </si>
  <si>
    <t>10216;10218;10219;10220</t>
  </si>
  <si>
    <t>乾坤一掷;百步穿杨;九宫飞星;天魔无相</t>
  </si>
  <si>
    <t>100,250,180,</t>
  </si>
  <si>
    <t>点名抱团</t>
  </si>
  <si>
    <t>BaoTuan_T_s</t>
  </si>
  <si>
    <t>点名玩家抱团</t>
  </si>
  <si>
    <t>蝶恋花</t>
  </si>
  <si>
    <t>竞技地图</t>
  </si>
  <si>
    <t>蓬莱</t>
  </si>
  <si>
    <t>天罗诡道</t>
  </si>
  <si>
    <t>106,108,189,</t>
  </si>
  <si>
    <t>boss脚下抱团</t>
  </si>
  <si>
    <t>BaoTuan_T_sp3</t>
  </si>
  <si>
    <t>龙争虎斗</t>
  </si>
  <si>
    <t>八荒横鉴</t>
  </si>
  <si>
    <t>凌雪</t>
  </si>
  <si>
    <t>问水诀</t>
  </si>
  <si>
    <t>10146;10148;10149;10150</t>
  </si>
  <si>
    <t>秀水剑法;灵峰剑式;君子风;西子情</t>
  </si>
  <si>
    <t>171,227,250,</t>
  </si>
  <si>
    <t>npc脚下抱团</t>
  </si>
  <si>
    <t>BaoTuan_T_sp4</t>
  </si>
  <si>
    <t>青梅煮酒</t>
  </si>
  <si>
    <t>双线四区</t>
  </si>
  <si>
    <t>家园</t>
  </si>
  <si>
    <t>衍天</t>
  </si>
  <si>
    <t>山居剑意</t>
  </si>
  <si>
    <t>161,9,34,</t>
  </si>
  <si>
    <t>保持分散</t>
  </si>
  <si>
    <t>FenSan_T</t>
  </si>
  <si>
    <t>保持分散 散开</t>
  </si>
  <si>
    <t>奉天证道</t>
  </si>
  <si>
    <t>列镜虚境</t>
  </si>
  <si>
    <t>药宗</t>
  </si>
  <si>
    <t>笑尘诀</t>
  </si>
  <si>
    <t>10263;10264;10296;10265</t>
  </si>
  <si>
    <t>打狗棒法;降龙掌·上;降龙掌·下;逍遥行</t>
  </si>
  <si>
    <t>166,83,251,</t>
  </si>
  <si>
    <t>保持移动</t>
  </si>
  <si>
    <t>YiDong_T</t>
  </si>
  <si>
    <t>保持移动 别停</t>
  </si>
  <si>
    <t>百战通用</t>
  </si>
  <si>
    <t>刀宗</t>
  </si>
  <si>
    <t>焚影圣诀</t>
  </si>
  <si>
    <t>10235;10236;10237;10238</t>
  </si>
  <si>
    <t>日月净世;幻魔妙相;御暗烬灭令;大圣明尊法</t>
  </si>
  <si>
    <t>0,172,153,</t>
  </si>
  <si>
    <t>别动</t>
  </si>
  <si>
    <t>YuanDiBuDong_T</t>
  </si>
  <si>
    <t>站原地别动</t>
  </si>
  <si>
    <t>李渡鬼域</t>
  </si>
  <si>
    <t>明尊琉璃体</t>
  </si>
  <si>
    <t>107,183,242,</t>
  </si>
  <si>
    <t>背对boss</t>
  </si>
  <si>
    <t>BeiDui_T</t>
  </si>
  <si>
    <t>面向背对boss</t>
  </si>
  <si>
    <t>绝境战场</t>
  </si>
  <si>
    <t>铁骨衣</t>
  </si>
  <si>
    <t>10385;10386;10384;10383</t>
  </si>
  <si>
    <t>云城盾;苍雪刀;破阵令;寒铁诀</t>
  </si>
  <si>
    <t>万灵</t>
  </si>
  <si>
    <t>235,215,115,</t>
  </si>
  <si>
    <t>注意引导</t>
  </si>
  <si>
    <t>YinDao_T</t>
  </si>
  <si>
    <t>注意准备引导</t>
  </si>
  <si>
    <t>战场</t>
  </si>
  <si>
    <t>分山劲</t>
  </si>
  <si>
    <t>白色</t>
  </si>
  <si>
    <t>255,255,255,</t>
  </si>
  <si>
    <t>点名引导</t>
  </si>
  <si>
    <t>YinDao_T_s</t>
  </si>
  <si>
    <t>点名玩家引导</t>
  </si>
  <si>
    <t>回收站</t>
  </si>
  <si>
    <t>莫问</t>
  </si>
  <si>
    <t>10440;10441;10442;10443</t>
  </si>
  <si>
    <t>音;曲;气;影</t>
  </si>
  <si>
    <t>红色</t>
  </si>
  <si>
    <t>255,50,50,</t>
  </si>
  <si>
    <t>点名</t>
  </si>
  <si>
    <t>名剑大会</t>
  </si>
  <si>
    <t>相知</t>
  </si>
  <si>
    <t>橙色</t>
  </si>
  <si>
    <t>255,150,0,</t>
  </si>
  <si>
    <t>准备点名</t>
  </si>
  <si>
    <t>DianMing_P</t>
  </si>
  <si>
    <t>野外地图</t>
  </si>
  <si>
    <t>北傲诀</t>
  </si>
  <si>
    <t>10465;10466;10467;10468</t>
  </si>
  <si>
    <t>殷雷腿;秀明尘身;松烟竹雾;雪絮金屏</t>
  </si>
  <si>
    <t>黄色</t>
  </si>
  <si>
    <t>255,255,0,</t>
  </si>
  <si>
    <t>远离点名</t>
  </si>
  <si>
    <t>DianMing_T_sp</t>
  </si>
  <si>
    <t>远离点名玩家</t>
  </si>
  <si>
    <t>浪客行</t>
  </si>
  <si>
    <t>凌海诀</t>
  </si>
  <si>
    <t>10535;10539;10540;10541</t>
  </si>
  <si>
    <t>风起云扬诀;长空破云式;九霄踏云步;碧海缥缈掌</t>
  </si>
  <si>
    <t>绿色</t>
  </si>
  <si>
    <t>0,255,0,</t>
  </si>
  <si>
    <t>点名出人群</t>
  </si>
  <si>
    <t>DianMing_T_sp2</t>
  </si>
  <si>
    <t>点名玩家出人群</t>
  </si>
  <si>
    <t>团队秘境</t>
  </si>
  <si>
    <t>隐龙诀</t>
  </si>
  <si>
    <t>10586;10588;10589;10590</t>
  </si>
  <si>
    <t>断水刃;隐雷鞭;冲云链;山河令</t>
  </si>
  <si>
    <t>青色</t>
  </si>
  <si>
    <t>0,255,255,</t>
  </si>
  <si>
    <t>点名躲技能</t>
  </si>
  <si>
    <t>DianMing_T_sp3</t>
  </si>
  <si>
    <t>点名玩家多好技能</t>
  </si>
  <si>
    <t>小队秘境</t>
  </si>
  <si>
    <t>太玄经</t>
  </si>
  <si>
    <t>10614;10617;10618;10619</t>
  </si>
  <si>
    <t>九字诀;占术;奇门;天机</t>
  </si>
  <si>
    <t>蓝色</t>
  </si>
  <si>
    <t>0,50,255,</t>
  </si>
  <si>
    <t>点名上点</t>
  </si>
  <si>
    <t>DianMing_T_sp4</t>
  </si>
  <si>
    <t>点名玩家前往指定点</t>
  </si>
  <si>
    <t>秘境</t>
  </si>
  <si>
    <t>灵素</t>
  </si>
  <si>
    <t>10622;10623;10624;10625</t>
  </si>
  <si>
    <t>行忌制方;行宜列药;凌波飞叶令;神农百草诀</t>
  </si>
  <si>
    <t>紫色</t>
  </si>
  <si>
    <t>255,50,255,</t>
  </si>
  <si>
    <t>点名不动</t>
  </si>
  <si>
    <t>DianMing_T_sp5</t>
  </si>
  <si>
    <t>点名玩家原地别动</t>
  </si>
  <si>
    <t>主城</t>
  </si>
  <si>
    <t>无方</t>
  </si>
  <si>
    <t>淡黄</t>
  </si>
  <si>
    <t>223,191,31,</t>
  </si>
  <si>
    <t>点名遛怪</t>
  </si>
  <si>
    <t>DianMing_T_sp6</t>
  </si>
  <si>
    <t>点名玩家遛怪</t>
  </si>
  <si>
    <t>通用</t>
  </si>
  <si>
    <t>10697;10706;10707;10708</t>
  </si>
  <si>
    <t>流云势法;游风步;破浪三式;骤雨劲</t>
  </si>
  <si>
    <t>嫩绿</t>
  </si>
  <si>
    <t>179,238,74,</t>
  </si>
  <si>
    <t>技能释放</t>
  </si>
  <si>
    <t>粉色</t>
  </si>
  <si>
    <t>255,153,204,</t>
  </si>
  <si>
    <t>准备驱散</t>
  </si>
  <si>
    <t>QuSan_P</t>
  </si>
  <si>
    <t>稻香村</t>
  </si>
  <si>
    <t>灰色</t>
  </si>
  <si>
    <t>170,170,170,</t>
  </si>
  <si>
    <t>准备减伤</t>
  </si>
  <si>
    <t>JianShang_P</t>
  </si>
  <si>
    <t>准备开减伤</t>
  </si>
  <si>
    <t>金色</t>
  </si>
  <si>
    <t>255,204,0,</t>
  </si>
  <si>
    <t>准备控怪</t>
  </si>
  <si>
    <t>KongGuai_P</t>
  </si>
  <si>
    <t>1024_蓝天白云</t>
  </si>
  <si>
    <t>淡紫</t>
  </si>
  <si>
    <t>165,96,232,</t>
  </si>
  <si>
    <t>准备打断</t>
  </si>
  <si>
    <t>DaDuan_P</t>
  </si>
  <si>
    <t>淡绿</t>
  </si>
  <si>
    <t>0,238,0,</t>
  </si>
  <si>
    <t>准备连续打断</t>
  </si>
  <si>
    <t>LianXuDaDuan_P</t>
  </si>
  <si>
    <t>扬州</t>
  </si>
  <si>
    <t>准备抬血</t>
  </si>
  <si>
    <t>TaiXie_P</t>
  </si>
  <si>
    <t>治疗准备抬血</t>
  </si>
  <si>
    <t>准备断读条</t>
  </si>
  <si>
    <t>DuanDuTiao_P</t>
  </si>
  <si>
    <t>洛阳</t>
  </si>
  <si>
    <t>驱散T</t>
  </si>
  <si>
    <t>QuSan_T_sp</t>
  </si>
  <si>
    <t>快驱散T</t>
  </si>
  <si>
    <t>洛道</t>
  </si>
  <si>
    <t>驱散点名</t>
  </si>
  <si>
    <t>QuSan_T_sp2</t>
  </si>
  <si>
    <t>驱散点名玩家</t>
  </si>
  <si>
    <t>寇岛</t>
  </si>
  <si>
    <t>驱散boss</t>
  </si>
  <si>
    <t>QuSan_T_sp3</t>
  </si>
  <si>
    <t>驱散npc</t>
  </si>
  <si>
    <t>QuSan_T_sp4</t>
  </si>
  <si>
    <t>驱散Npc</t>
  </si>
  <si>
    <t>枫华谷</t>
  </si>
  <si>
    <t>快开减伤</t>
  </si>
  <si>
    <t>JianShang_T</t>
  </si>
  <si>
    <t>快开减伤！</t>
  </si>
  <si>
    <t>金水镇</t>
  </si>
  <si>
    <t>给点名减伤</t>
  </si>
  <si>
    <t>JianShang_T_s</t>
  </si>
  <si>
    <t>给被点玩家减伤！</t>
  </si>
  <si>
    <t>灵霄峡</t>
  </si>
  <si>
    <t>注意控怪</t>
  </si>
  <si>
    <t>KongGuai_T</t>
  </si>
  <si>
    <t>注意控制目标</t>
  </si>
  <si>
    <t>长安</t>
  </si>
  <si>
    <t>打断！</t>
  </si>
  <si>
    <t>DaDuan_T</t>
  </si>
  <si>
    <t>快打断！</t>
  </si>
  <si>
    <t>打断注意接断</t>
  </si>
  <si>
    <t>LianXuDaDuan_T</t>
  </si>
  <si>
    <t>准备继续打断</t>
  </si>
  <si>
    <t>天工坊</t>
  </si>
  <si>
    <t>注意团血</t>
  </si>
  <si>
    <t>TaiXie_T</t>
  </si>
  <si>
    <t>无盐岛</t>
  </si>
  <si>
    <t>点名给大加</t>
  </si>
  <si>
    <t>TaiXie_T_s</t>
  </si>
  <si>
    <t>给点名玩家大加！</t>
  </si>
  <si>
    <t>空雾峰</t>
  </si>
  <si>
    <t>别用读条技能</t>
  </si>
  <si>
    <t>DuanDuTiao_T</t>
  </si>
  <si>
    <t>断读条，别用读条技能</t>
  </si>
  <si>
    <t>天地三才阵</t>
  </si>
  <si>
    <t>目标</t>
  </si>
  <si>
    <t>巴陵县</t>
  </si>
  <si>
    <t>准备转火</t>
  </si>
  <si>
    <t>ZhuanHuo_P</t>
  </si>
  <si>
    <t>南屏山</t>
  </si>
  <si>
    <t>准备停手</t>
  </si>
  <si>
    <t>TingShou_P</t>
  </si>
  <si>
    <t>龙门荒漠</t>
  </si>
  <si>
    <t>准备停奶</t>
  </si>
  <si>
    <t>TingNai_P</t>
  </si>
  <si>
    <t>治疗准备停奶</t>
  </si>
  <si>
    <t>准备换仇</t>
  </si>
  <si>
    <t>HuanChou_P</t>
  </si>
  <si>
    <t>T准备换仇</t>
  </si>
  <si>
    <t>荻花宫前山</t>
  </si>
  <si>
    <t>停手别打了</t>
  </si>
  <si>
    <t>TingShou_T</t>
  </si>
  <si>
    <t>DPS停手!</t>
  </si>
  <si>
    <t>治疗停手</t>
  </si>
  <si>
    <t>TingNai_T</t>
  </si>
  <si>
    <t>治疗停手!</t>
  </si>
  <si>
    <t>日轮山城</t>
  </si>
  <si>
    <t>注意换仇</t>
  </si>
  <si>
    <t>HuanChou_T</t>
  </si>
  <si>
    <t>T注意换仇</t>
  </si>
  <si>
    <t>五十级云湖天池</t>
  </si>
  <si>
    <t>其它</t>
  </si>
  <si>
    <t>昆仑</t>
  </si>
  <si>
    <t>准备转阶段</t>
  </si>
  <si>
    <t>ZhuanJieDuan</t>
  </si>
  <si>
    <t>特殊光照地图2</t>
  </si>
  <si>
    <t>准备QTE</t>
  </si>
  <si>
    <t>QTE</t>
  </si>
  <si>
    <t>战宝迦兰</t>
  </si>
  <si>
    <t>使用道具</t>
  </si>
  <si>
    <t>ShiYongDaoJu</t>
  </si>
  <si>
    <t>使用特殊道具</t>
  </si>
  <si>
    <t>天子峰</t>
  </si>
  <si>
    <t>使用特殊技能</t>
  </si>
  <si>
    <t>ShiYongTeShuJiNeng</t>
  </si>
  <si>
    <t>风雨稻香村</t>
  </si>
  <si>
    <t>转火</t>
  </si>
  <si>
    <t>瞿塘峡</t>
  </si>
  <si>
    <t>转火白云</t>
  </si>
  <si>
    <t>ZhuanHuo_T_BY</t>
  </si>
  <si>
    <t>英雄天地三才阵</t>
  </si>
  <si>
    <t>转火小剑</t>
  </si>
  <si>
    <t>ZhuanHuo_T_XJ</t>
  </si>
  <si>
    <t>英雄天工坊</t>
  </si>
  <si>
    <t>转火斧头</t>
  </si>
  <si>
    <t>ZhuanHuo_T_FT</t>
  </si>
  <si>
    <t>神农洇</t>
  </si>
  <si>
    <t>转火钩子</t>
  </si>
  <si>
    <t>ZhuanHuo_T_GZ</t>
  </si>
  <si>
    <t>四十级云湖天池</t>
  </si>
  <si>
    <t>转火红鼓</t>
  </si>
  <si>
    <t>ZhuanHuo_T_HG</t>
  </si>
  <si>
    <t>英雄荻花宫前山</t>
  </si>
  <si>
    <t>转火剪刀</t>
  </si>
  <si>
    <t>ZhuanHuo_T_JD</t>
  </si>
  <si>
    <t>英雄无盐岛</t>
  </si>
  <si>
    <t>转火棒槌</t>
  </si>
  <si>
    <t>ZhuanHuo_T_BCh</t>
  </si>
  <si>
    <t>英雄天子峰</t>
  </si>
  <si>
    <t>转火如意</t>
  </si>
  <si>
    <t>ZhuanHuo_T_RY</t>
  </si>
  <si>
    <t>英雄空雾峰</t>
  </si>
  <si>
    <t>转火飞镖</t>
  </si>
  <si>
    <t>ZhuanHuo_T_FB</t>
  </si>
  <si>
    <t>英雄日轮山城</t>
  </si>
  <si>
    <t>转火扇子</t>
  </si>
  <si>
    <t>ZhuanHuo_T_ShZ</t>
  </si>
  <si>
    <t>转火扇子 </t>
  </si>
  <si>
    <t>英雄灵霄峡</t>
  </si>
  <si>
    <t>近战转火白云</t>
  </si>
  <si>
    <t>ZhuanHuo_T_BY_sp</t>
  </si>
  <si>
    <t>英雄战宝迦兰</t>
  </si>
  <si>
    <t>近战转火小剑</t>
  </si>
  <si>
    <t>ZhuanHuo_T_XJ_sp</t>
  </si>
  <si>
    <t>英雄风雨稻香村</t>
  </si>
  <si>
    <t>近战转火斧头</t>
  </si>
  <si>
    <t>ZhuanHuo_T_FT_sp</t>
  </si>
  <si>
    <t>珍珑棋谷</t>
  </si>
  <si>
    <t>近战转火钩子</t>
  </si>
  <si>
    <t>ZhuanHuo_T_GZ_sp</t>
  </si>
  <si>
    <t>藏剑山庄</t>
  </si>
  <si>
    <t>近战转火红鼓</t>
  </si>
  <si>
    <t>ZhuanHuo_T_HG_sp</t>
  </si>
  <si>
    <t>丝绸之路</t>
  </si>
  <si>
    <t>近战转火剪刀</t>
  </si>
  <si>
    <t>ZhuanHuo_T_JD_sp</t>
  </si>
  <si>
    <t>剑冢</t>
  </si>
  <si>
    <t>近战转火棒槌</t>
  </si>
  <si>
    <t>ZhuanHuo_T_BCh_sp</t>
  </si>
  <si>
    <t>七十级云湖天池</t>
  </si>
  <si>
    <t>近战转火如意</t>
  </si>
  <si>
    <t>ZhuanHuo_T_RY_sp</t>
  </si>
  <si>
    <t>邀星坪_夜射天狼</t>
  </si>
  <si>
    <t>近战转火飞镖</t>
  </si>
  <si>
    <t>ZhuanHuo_T_FB_sp</t>
  </si>
  <si>
    <t>守株围场_打猎</t>
  </si>
  <si>
    <t>近战转火扇子</t>
  </si>
  <si>
    <t>ZhuanHuo_T_ShZ_sp</t>
  </si>
  <si>
    <t>困龙岭_梅花桩</t>
  </si>
  <si>
    <t>远程转火白云</t>
  </si>
  <si>
    <t>ZhuanHuo_T_BY_sp2</t>
  </si>
  <si>
    <t>陷空坳_宇文宝藏</t>
  </si>
  <si>
    <t>远程转火小剑</t>
  </si>
  <si>
    <t>ZhuanHuo_T_XJ_sp2</t>
  </si>
  <si>
    <t>百草园</t>
  </si>
  <si>
    <t>远程转火斧头</t>
  </si>
  <si>
    <t>ZhuanHuo_T_FT_sp2</t>
  </si>
  <si>
    <t>持国天王殿</t>
  </si>
  <si>
    <t>远程转火钩子</t>
  </si>
  <si>
    <t>ZhuanHuo_T_GZ_sp2</t>
  </si>
  <si>
    <t>宫中神武遗迹</t>
  </si>
  <si>
    <t>远程转火红鼓</t>
  </si>
  <si>
    <t>ZhuanHuo_T_HG_sp2</t>
  </si>
  <si>
    <t>英雄剑冢</t>
  </si>
  <si>
    <t>远程转火剪刀</t>
  </si>
  <si>
    <t>ZhuanHuo_T_JD_sp2</t>
  </si>
  <si>
    <t>英雄宫中神武遗迹</t>
  </si>
  <si>
    <t>远程转火棒槌</t>
  </si>
  <si>
    <t>ZhuanHuo_T_BCh_sp2</t>
  </si>
  <si>
    <t>25人普通宫中神武遗迹</t>
  </si>
  <si>
    <t>远程转火如意</t>
  </si>
  <si>
    <t>ZhuanHuo_T_RY_sp2</t>
  </si>
  <si>
    <t>25人普通持国天王殿</t>
  </si>
  <si>
    <t>远程转火飞镖</t>
  </si>
  <si>
    <t>ZhuanHuo_T_FB_sp2</t>
  </si>
  <si>
    <t>英雄持国天王殿</t>
  </si>
  <si>
    <t>远程转火扇子</t>
  </si>
  <si>
    <t>ZhuanHuo_T_ShZ_sp2</t>
  </si>
  <si>
    <t>荻花宫后山</t>
  </si>
  <si>
    <t>内功转火白云</t>
  </si>
  <si>
    <t>ZhuanHuo_T_BY_sp3</t>
  </si>
  <si>
    <t>荻花圣殿</t>
  </si>
  <si>
    <t>内功转火小剑</t>
  </si>
  <si>
    <t>ZhuanHuo_T_XJ_sp3</t>
  </si>
  <si>
    <t>10人英雄荻花圣殿</t>
  </si>
  <si>
    <t>内功转火斧头</t>
  </si>
  <si>
    <t>ZhuanHuo_T_FT_sp3</t>
  </si>
  <si>
    <t>25人普通荻花圣殿</t>
  </si>
  <si>
    <t>内功转火钩子</t>
  </si>
  <si>
    <t>ZhuanHuo_T_GZ_sp3</t>
  </si>
  <si>
    <t>仙踪林</t>
  </si>
  <si>
    <t>内功转火红鼓</t>
  </si>
  <si>
    <t>ZhuanHuo_T_HG_sp3</t>
  </si>
  <si>
    <t>25人英雄荻花圣殿</t>
  </si>
  <si>
    <t>内功转火剪刀</t>
  </si>
  <si>
    <t>ZhuanHuo_T_JD_sp3</t>
  </si>
  <si>
    <t>英雄荻花宫后山</t>
  </si>
  <si>
    <t>内功转火棒槌</t>
  </si>
  <si>
    <t>ZhuanHuo_T_BCh_sp3</t>
  </si>
  <si>
    <t>帮会领地</t>
  </si>
  <si>
    <t>内功转火如意</t>
  </si>
  <si>
    <t>ZhuanHuo_T_RY_sp3</t>
  </si>
  <si>
    <t>毒神殿</t>
  </si>
  <si>
    <t>内功转火飞镖</t>
  </si>
  <si>
    <t>ZhuanHuo_T_FB_sp3</t>
  </si>
  <si>
    <t>白龙口</t>
  </si>
  <si>
    <t>内功转火扇子</t>
  </si>
  <si>
    <t>ZhuanHuo_T_ShZ_sp3</t>
  </si>
  <si>
    <t>无量山</t>
  </si>
  <si>
    <t>外功转火白云</t>
  </si>
  <si>
    <t>ZhuanHuo_T_BY_sp4</t>
  </si>
  <si>
    <t>外功转火小剑</t>
  </si>
  <si>
    <t>ZhuanHuo_T_XJ_sp4</t>
  </si>
  <si>
    <t>融天岭</t>
  </si>
  <si>
    <t>外功转火斧头</t>
  </si>
  <si>
    <t>ZhuanHuo_T_FT_sp4</t>
  </si>
  <si>
    <t>黑龙沼</t>
  </si>
  <si>
    <t>外功转火钩子</t>
  </si>
  <si>
    <t>ZhuanHuo_T_GZ_sp4</t>
  </si>
  <si>
    <t>苍山洱海</t>
  </si>
  <si>
    <t>外功转火红鼓</t>
  </si>
  <si>
    <t>ZhuanHuo_T_HG_sp4</t>
  </si>
  <si>
    <t>法王窟</t>
  </si>
  <si>
    <t>外功转火剪刀</t>
  </si>
  <si>
    <t>ZhuanHuo_T_JD_sp4</t>
  </si>
  <si>
    <t>无量宫</t>
  </si>
  <si>
    <t>外功转火棒槌</t>
  </si>
  <si>
    <t>ZhuanHuo_T_BCh_sp4</t>
  </si>
  <si>
    <t>成都</t>
  </si>
  <si>
    <t>外功转火如意</t>
  </si>
  <si>
    <t>ZhuanHuo_T_RY_sp4</t>
  </si>
  <si>
    <t>龙渊泽</t>
  </si>
  <si>
    <t>外功转火飞镖</t>
  </si>
  <si>
    <t>ZhuanHuo_T_FB_sp4</t>
  </si>
  <si>
    <t>寂灭厅</t>
  </si>
  <si>
    <t>外功转火扇子</t>
  </si>
  <si>
    <t>ZhuanHuo_T_ShZ_sp4</t>
  </si>
  <si>
    <t>英雄仙踪林</t>
  </si>
  <si>
    <t>治疗奶白云</t>
  </si>
  <si>
    <t>ZhiLiao_BY</t>
  </si>
  <si>
    <t>英雄毒神殿</t>
  </si>
  <si>
    <t>治疗奶小剑</t>
  </si>
  <si>
    <t>ZhiLiao_XJ</t>
  </si>
  <si>
    <t>英雄寂灭厅</t>
  </si>
  <si>
    <t>治疗奶斧头</t>
  </si>
  <si>
    <t>ZhiLiao_FT</t>
  </si>
  <si>
    <t>英雄无量宫</t>
  </si>
  <si>
    <t>治疗奶钩子</t>
  </si>
  <si>
    <t>ZhiLiao_GZ</t>
  </si>
  <si>
    <t>英雄法王窟</t>
  </si>
  <si>
    <t>治疗奶红鼓</t>
  </si>
  <si>
    <t>ZhiLiao_HG</t>
  </si>
  <si>
    <t>低级仙踪林</t>
  </si>
  <si>
    <t>治疗奶剪刀</t>
  </si>
  <si>
    <t>ZhiLiao_JD</t>
  </si>
  <si>
    <t>25人英雄龙渊泽</t>
  </si>
  <si>
    <t>治疗奶棒槌</t>
  </si>
  <si>
    <t>ZhiLiao_BCh</t>
  </si>
  <si>
    <t>25人普通龙渊泽</t>
  </si>
  <si>
    <t>治疗奶如意</t>
  </si>
  <si>
    <t>ZhiLiao_RY</t>
  </si>
  <si>
    <t>10人英雄龙渊泽</t>
  </si>
  <si>
    <t>治疗奶飞镖</t>
  </si>
  <si>
    <t>ZhiLiao_FB</t>
  </si>
  <si>
    <t>荻花洞窟</t>
  </si>
  <si>
    <t>治疗奶扇子</t>
  </si>
  <si>
    <t>ZhiLiao_ShZ</t>
  </si>
  <si>
    <t>英雄神农洇</t>
  </si>
  <si>
    <t>范围技能处理</t>
  </si>
  <si>
    <t> 语音唯一标识符</t>
  </si>
  <si>
    <t>准备躲面向</t>
  </si>
  <si>
    <t>DuoMianXiang_P</t>
  </si>
  <si>
    <t>低级唐门密室</t>
  </si>
  <si>
    <t>准备连续面向</t>
  </si>
  <si>
    <t>LianXuMianXiang_P</t>
  </si>
  <si>
    <t>唐门密室</t>
  </si>
  <si>
    <t>准备进面向</t>
  </si>
  <si>
    <t>JinMianXiang_P</t>
  </si>
  <si>
    <t>神剑冢</t>
  </si>
  <si>
    <t>准备躲矩形</t>
  </si>
  <si>
    <t>DuoJuXing_P</t>
  </si>
  <si>
    <t>天山碎冰谷</t>
  </si>
  <si>
    <t>准备躲圈</t>
  </si>
  <si>
    <t>DuoQuan_P</t>
  </si>
  <si>
    <t>乐山大佛窟</t>
  </si>
  <si>
    <t>准备连续躲圈</t>
  </si>
  <si>
    <t>LianXuDuoQuan_P</t>
  </si>
  <si>
    <t>华山之巅</t>
  </si>
  <si>
    <t>准备进圈</t>
  </si>
  <si>
    <t>JinQuan_P</t>
  </si>
  <si>
    <t>英雄荻花洞窟</t>
  </si>
  <si>
    <t>准备躲线</t>
  </si>
  <si>
    <t>DuoXian_P</t>
  </si>
  <si>
    <t>持国天王回忆录</t>
  </si>
  <si>
    <t>准备挡线</t>
  </si>
  <si>
    <t>DangXian_P</t>
  </si>
  <si>
    <t>25人英雄烛龙殿</t>
  </si>
  <si>
    <t>准备跳环</t>
  </si>
  <si>
    <t>TiaoHuan_P</t>
  </si>
  <si>
    <t>烛龙殿</t>
  </si>
  <si>
    <t>准备跳绳</t>
  </si>
  <si>
    <t>TiaoSheng_P</t>
  </si>
  <si>
    <t>三国古战场</t>
  </si>
  <si>
    <t>面向快躲</t>
  </si>
  <si>
    <t>DuoMianXiang_T</t>
  </si>
  <si>
    <t>会战唐门</t>
  </si>
  <si>
    <t>躲面向不要停</t>
  </si>
  <si>
    <t>LianXuMianXiang_T</t>
  </si>
  <si>
    <t>大漠楼兰</t>
  </si>
  <si>
    <t>快进面向</t>
  </si>
  <si>
    <t>JinMianXiang_T</t>
  </si>
  <si>
    <t>25人英雄会战唐门</t>
  </si>
  <si>
    <t>矩形快躲</t>
  </si>
  <si>
    <t>DuoJuXing_T</t>
  </si>
  <si>
    <t>枫华谷·战乱</t>
  </si>
  <si>
    <t>快躲圈</t>
  </si>
  <si>
    <t>DuoQuan_T</t>
  </si>
  <si>
    <t>南诏皇宫</t>
  </si>
  <si>
    <t>躲圈躲圈躲圈</t>
  </si>
  <si>
    <t>LianXuDuoQuan_T</t>
  </si>
  <si>
    <t>光明顶秘道</t>
  </si>
  <si>
    <t>快进圈</t>
  </si>
  <si>
    <t>JinQuan_T</t>
  </si>
  <si>
    <t>低级光明顶秘道</t>
  </si>
  <si>
    <t>连线快躲</t>
  </si>
  <si>
    <t>DuoXian_T</t>
  </si>
  <si>
    <t>试炼之地</t>
  </si>
  <si>
    <t>快挡线</t>
  </si>
  <si>
    <t>DangXian_T</t>
  </si>
  <si>
    <t>开始跳环</t>
  </si>
  <si>
    <t>TiaoHuan_T</t>
  </si>
  <si>
    <t>开始跳绳</t>
  </si>
  <si>
    <t>TiaoSheng_T</t>
  </si>
  <si>
    <t>小轻功</t>
  </si>
  <si>
    <t>准备扶摇</t>
  </si>
  <si>
    <t>FuYao_P</t>
  </si>
  <si>
    <t>英雄持国回忆录</t>
  </si>
  <si>
    <t>准备二段跳</t>
  </si>
  <si>
    <t>ErDuanTiao_P</t>
  </si>
  <si>
    <t>雪原争锋</t>
  </si>
  <si>
    <t>准备后跳</t>
  </si>
  <si>
    <t>HouTiao_P</t>
  </si>
  <si>
    <t>准备蹑云</t>
  </si>
  <si>
    <t>NieYun_P</t>
  </si>
  <si>
    <t>洛阳·战乱</t>
  </si>
  <si>
    <t>扶摇起跳</t>
  </si>
  <si>
    <t>FuYao_T</t>
  </si>
  <si>
    <t>大唐监狱</t>
  </si>
  <si>
    <t>扶摇起跳并滞空</t>
  </si>
  <si>
    <t>FuYao_T_sp</t>
  </si>
  <si>
    <t>马嵬驿</t>
  </si>
  <si>
    <t>点名扶摇跳</t>
  </si>
  <si>
    <t>FuYao_T_s</t>
  </si>
  <si>
    <t>英雄南诏皇宫</t>
  </si>
  <si>
    <t>开始二段跳</t>
  </si>
  <si>
    <t>ErDuanTiao_T</t>
  </si>
  <si>
    <t>长安·战乱</t>
  </si>
  <si>
    <t>点名二段跳</t>
  </si>
  <si>
    <t>ErDuanTiao_T_s</t>
  </si>
  <si>
    <t>英雄一线天</t>
  </si>
  <si>
    <t>开始后跳</t>
  </si>
  <si>
    <t>HouTiao_T</t>
  </si>
  <si>
    <t>天策·战乱</t>
  </si>
  <si>
    <t>点名快后跳</t>
  </si>
  <si>
    <t>HouTiao_T_s</t>
  </si>
  <si>
    <t>蹑云快跑</t>
  </si>
  <si>
    <t>NieYun_T</t>
  </si>
  <si>
    <t>战宝军械库</t>
  </si>
  <si>
    <t>魔盒</t>
  </si>
  <si>
    <t>华清宫</t>
  </si>
  <si>
    <t>剑三欢迎你</t>
  </si>
  <si>
    <t>jx3box_1</t>
  </si>
  <si>
    <t>英雄华清宫</t>
  </si>
  <si>
    <t>魔盒真好用</t>
  </si>
  <si>
    <t>jx3box_2</t>
  </si>
  <si>
    <t>华清宫回忆录</t>
  </si>
  <si>
    <t>倒数：5、4、3、2、1！</t>
  </si>
  <si>
    <t>jx3box_3</t>
  </si>
  <si>
    <t>大明宫</t>
  </si>
  <si>
    <t>脱战</t>
  </si>
  <si>
    <t>jx3box_4</t>
  </si>
  <si>
    <t>快脱战！快跑！</t>
  </si>
  <si>
    <t>英雄大明宫</t>
  </si>
  <si>
    <t>自绝经脉</t>
  </si>
  <si>
    <t>jx3box_5</t>
  </si>
  <si>
    <t>快自绝经脉</t>
  </si>
  <si>
    <t>一线天</t>
  </si>
  <si>
    <t>jx3box_6</t>
  </si>
  <si>
    <t>流离岛</t>
  </si>
  <si>
    <t>宝贝快开门！我知道你在家！</t>
  </si>
  <si>
    <t>jx3box_7</t>
  </si>
  <si>
    <t>英雄流离岛</t>
  </si>
  <si>
    <t>下把一定</t>
  </si>
  <si>
    <t>jx3box_8</t>
  </si>
  <si>
    <t>英雄战宝军械库</t>
  </si>
  <si>
    <t>齐物阁</t>
  </si>
  <si>
    <t>迷仙引</t>
  </si>
  <si>
    <t>血战天策</t>
  </si>
  <si>
    <t>英雄血战天策</t>
  </si>
  <si>
    <t>风雪稻香村</t>
  </si>
  <si>
    <t>英雄风雪稻香村</t>
  </si>
  <si>
    <t>直城门</t>
  </si>
  <si>
    <t>狼影殿</t>
  </si>
  <si>
    <t>秦皇陵</t>
  </si>
  <si>
    <t>英雄秦皇陵</t>
  </si>
  <si>
    <t>墨家秘殿</t>
  </si>
  <si>
    <t>浮香丘</t>
  </si>
  <si>
    <t>春明门</t>
  </si>
  <si>
    <t>藏宝洞·野人谷</t>
  </si>
  <si>
    <t>藏宝洞·夜狼山</t>
  </si>
  <si>
    <t>太原之战·夜守孤城</t>
  </si>
  <si>
    <t>太原之战·逐虎驱狼</t>
  </si>
  <si>
    <t>太原</t>
  </si>
  <si>
    <t>雁门关之役</t>
  </si>
  <si>
    <t>普通雁门关之役</t>
  </si>
  <si>
    <t>苍云血誓</t>
  </si>
  <si>
    <t>英雄太原之战·夜守孤城</t>
  </si>
  <si>
    <t>英雄太原之战·逐虎驱狼</t>
  </si>
  <si>
    <t>璨翠海厅</t>
  </si>
  <si>
    <t>天泣林</t>
  </si>
  <si>
    <t>阴山圣泉</t>
  </si>
  <si>
    <t>挑战太原之战·夜守孤城</t>
  </si>
  <si>
    <t>挑战太原之战·逐虎驱狼</t>
  </si>
  <si>
    <t>梵空禅院</t>
  </si>
  <si>
    <t>10人挑战太原之战·夜守孤城</t>
  </si>
  <si>
    <t>10人挑战太原之战·逐虎驱狼</t>
  </si>
  <si>
    <t>长歌门</t>
  </si>
  <si>
    <t>五台山</t>
  </si>
  <si>
    <t>千岛湖</t>
  </si>
  <si>
    <t>阴山大草原</t>
  </si>
  <si>
    <t>黑戈壁</t>
  </si>
  <si>
    <t>引仙水榭</t>
  </si>
  <si>
    <t>微山书院</t>
  </si>
  <si>
    <t>永王行宫_仙侣庭园</t>
  </si>
  <si>
    <t>永王行宫_花月别院</t>
  </si>
  <si>
    <t>挑战璨翠海厅</t>
  </si>
  <si>
    <t>英雄天泣林</t>
  </si>
  <si>
    <t>英雄微山书院</t>
  </si>
  <si>
    <t>英雄阴山圣泉</t>
  </si>
  <si>
    <t>英雄梵空禅院</t>
  </si>
  <si>
    <t>英雄引仙水榭</t>
  </si>
  <si>
    <t>英雄永王行宫_花月别院</t>
  </si>
  <si>
    <t>英雄永王行宫_仙侣庭园</t>
  </si>
  <si>
    <t>试炼永王行宫_仙侣庭园</t>
  </si>
  <si>
    <t>试炼永王行宫_花月别院</t>
  </si>
  <si>
    <t>10人挑战永王行宫_仙侣庭园</t>
  </si>
  <si>
    <t>10人挑战永王行宫_花月别院</t>
  </si>
  <si>
    <t>25人挑战永王行宫_仙侣庭园</t>
  </si>
  <si>
    <t>25人挑战永王行宫_花月别院</t>
  </si>
  <si>
    <t>青竹书院</t>
  </si>
  <si>
    <t>洛阳城</t>
  </si>
  <si>
    <t>上阳宫_观风殿</t>
  </si>
  <si>
    <t>上阳宫_双曜亭</t>
  </si>
  <si>
    <t>白帝水宫</t>
  </si>
  <si>
    <t>霸刀山庄</t>
  </si>
  <si>
    <t>挑战白帝水宫</t>
  </si>
  <si>
    <t>大梦迷境</t>
  </si>
  <si>
    <t>星海幻景</t>
  </si>
  <si>
    <t>梦回稻香</t>
  </si>
  <si>
    <t>英雄上阳宫_观风殿</t>
  </si>
  <si>
    <t>英雄上阳宫_双曜亭</t>
  </si>
  <si>
    <t>试炼上阳宫_观风殿</t>
  </si>
  <si>
    <t>试炼上阳宫_双曜亭</t>
  </si>
  <si>
    <t>夕颜阁</t>
  </si>
  <si>
    <t>英雄夕颜阁</t>
  </si>
  <si>
    <t>素月清秋</t>
  </si>
  <si>
    <t>竞技大师_华山之巅</t>
  </si>
  <si>
    <t>挑战夕颜阁</t>
  </si>
  <si>
    <t>天街灯市</t>
  </si>
  <si>
    <t>刀轮海厅</t>
  </si>
  <si>
    <t>风雷刀谷_锻刀厅</t>
  </si>
  <si>
    <t>风雷刀谷_千雷殿</t>
  </si>
  <si>
    <t>天街灯市·春节·福</t>
  </si>
  <si>
    <t>天街灯市·春节·禄</t>
  </si>
  <si>
    <t>天街灯市·春节·寿</t>
  </si>
  <si>
    <t>天街灯市·春节·祥</t>
  </si>
  <si>
    <t>天街灯市·春节·禧</t>
  </si>
  <si>
    <t>英雄风雷刀谷_千雷殿</t>
  </si>
  <si>
    <t>英雄风雷刀谷_锻刀厅</t>
  </si>
  <si>
    <t>帮会风雷刀谷_千雷殿</t>
  </si>
  <si>
    <t>帮会风雷刀谷_锻刀厅</t>
  </si>
  <si>
    <t>挑战刀轮海厅</t>
  </si>
  <si>
    <t>拭剑园</t>
  </si>
  <si>
    <t>拭剑台</t>
  </si>
  <si>
    <t>狼牙堡_战兽山</t>
  </si>
  <si>
    <t>狼牙堡_燕然峰</t>
  </si>
  <si>
    <t>银雾湖</t>
  </si>
  <si>
    <t>英雄狼牙堡_战兽山</t>
  </si>
  <si>
    <t>英雄狼牙堡_燕然峰</t>
  </si>
  <si>
    <t>帮会狼牙堡_战兽山</t>
  </si>
  <si>
    <t>帮会狼牙堡_燕然峰</t>
  </si>
  <si>
    <t>挑战银雾湖</t>
  </si>
  <si>
    <t>稻香秘事</t>
  </si>
  <si>
    <t>英雄稻香秘事</t>
  </si>
  <si>
    <t>拭剑园战场</t>
  </si>
  <si>
    <t>1024_商城默认</t>
  </si>
  <si>
    <t>挑战稻香秘事</t>
  </si>
  <si>
    <t>龙门绝境</t>
  </si>
  <si>
    <t>龙门绝境·夜</t>
  </si>
  <si>
    <t>狼牙堡·辉天堑</t>
  </si>
  <si>
    <t>狼牙堡_狼神殿</t>
  </si>
  <si>
    <t>英雄狼牙堡·辉天堑</t>
  </si>
  <si>
    <t>英雄狼牙堡·狼神殿</t>
  </si>
  <si>
    <t>云梦幽泽</t>
  </si>
  <si>
    <t>历战_空雾峰</t>
  </si>
  <si>
    <t>历战_天子峰</t>
  </si>
  <si>
    <t>历战_寂灭厅</t>
  </si>
  <si>
    <t>历战_毒神殿</t>
  </si>
  <si>
    <t>历战_荻花圣殿</t>
  </si>
  <si>
    <t>历战_风雷刀谷</t>
  </si>
  <si>
    <t>历战_风雨稻香村</t>
  </si>
  <si>
    <t>历战_灵霄峡</t>
  </si>
  <si>
    <t>历战_南诏皇宫</t>
  </si>
  <si>
    <t>历战_日轮山城</t>
  </si>
  <si>
    <t>历战_天地三才阵</t>
  </si>
  <si>
    <t>历战_无盐岛</t>
  </si>
  <si>
    <t>历战_英雄风雨稻香村</t>
  </si>
  <si>
    <t>历战_荻花洞窟</t>
  </si>
  <si>
    <t>历战_烛龙殿</t>
  </si>
  <si>
    <t>历战_持国天王殿</t>
  </si>
  <si>
    <t>思过园</t>
  </si>
  <si>
    <t>帮会狼牙堡_辉天堑</t>
  </si>
  <si>
    <t>帮会狼牙堡_狼神殿</t>
  </si>
  <si>
    <t>洞天福地岛</t>
  </si>
  <si>
    <t>龙泉府</t>
  </si>
  <si>
    <t>九寨沟</t>
  </si>
  <si>
    <t>侠客岛</t>
  </si>
  <si>
    <t>经首道源岛</t>
  </si>
  <si>
    <t>泥兰洞天</t>
  </si>
  <si>
    <t>1024_昼夜循环</t>
  </si>
  <si>
    <t>大衍盘丝洞</t>
  </si>
  <si>
    <t>镜泊湖</t>
  </si>
  <si>
    <t>冰火岛·荒血路</t>
  </si>
  <si>
    <t>九辩馆</t>
  </si>
  <si>
    <t>英雄迷渊岛</t>
  </si>
  <si>
    <t>浮丘岛</t>
  </si>
  <si>
    <t>冰火岛·青莲狱</t>
  </si>
  <si>
    <t>英雄冰火岛·青莲狱</t>
  </si>
  <si>
    <t>挑战冰火岛·青莲狱</t>
  </si>
  <si>
    <t>试炼冰火岛·青莲狱</t>
  </si>
  <si>
    <t>英雄冰火岛·荒血路</t>
  </si>
  <si>
    <t>英雄大衍盘丝洞</t>
  </si>
  <si>
    <t>英雄泥兰洞天</t>
  </si>
  <si>
    <t>英雄镜泊湖</t>
  </si>
  <si>
    <t>迷渊岛</t>
  </si>
  <si>
    <t>英雄九辩馆</t>
  </si>
  <si>
    <t>挑战冰火岛·荒血路</t>
  </si>
  <si>
    <t>试炼冰火岛·荒血路</t>
  </si>
  <si>
    <t>墟海之眼</t>
  </si>
  <si>
    <t>尘归海·巨冥湾</t>
  </si>
  <si>
    <t>英雄尘归海·巨冥湾</t>
  </si>
  <si>
    <t>挑战尘归海·巨冥湾</t>
  </si>
  <si>
    <t>尘归海·饕餮洞</t>
  </si>
  <si>
    <t>英雄尘归海·饕餮洞</t>
  </si>
  <si>
    <t>挑战尘归海·饕餮洞</t>
  </si>
  <si>
    <t>英雄周天屿</t>
  </si>
  <si>
    <t>挑战周天屿</t>
  </si>
  <si>
    <t>沧溟绝境</t>
  </si>
  <si>
    <t>鲲鹏岛</t>
  </si>
  <si>
    <t>列星岛</t>
  </si>
  <si>
    <t>望扬镇_压力测试</t>
  </si>
  <si>
    <t>扬州_望扬镇_家园_004</t>
  </si>
  <si>
    <t>野狸岛</t>
  </si>
  <si>
    <t>HD登陆界面_蓬莱001</t>
  </si>
  <si>
    <t>HD商城_001_1024</t>
  </si>
  <si>
    <t>凌雪阁</t>
  </si>
  <si>
    <t>HD登陆界面002_空</t>
  </si>
  <si>
    <t>浪客行·悬棺裂谷</t>
  </si>
  <si>
    <t>浪客行·桑珠草原</t>
  </si>
  <si>
    <t>浪客行·东水寨</t>
  </si>
  <si>
    <t>浪客行·湘竹溪</t>
  </si>
  <si>
    <t>浪客行·荒魂镇</t>
  </si>
  <si>
    <t>敖龙岛</t>
  </si>
  <si>
    <t>25人普通敖龙岛</t>
  </si>
  <si>
    <t>25人英雄敖龙岛</t>
  </si>
  <si>
    <t>玄鹤别院</t>
  </si>
  <si>
    <t>英雄玄鹤别院</t>
  </si>
  <si>
    <t>浪客行·有间客栈</t>
  </si>
  <si>
    <t>浪客行·绥梦山</t>
  </si>
  <si>
    <t>浪客行·华清宫</t>
  </si>
  <si>
    <t>浪客行·枫阳村</t>
  </si>
  <si>
    <t>浪客行·荒雪路</t>
  </si>
  <si>
    <t>浪客行·古祭坛</t>
  </si>
  <si>
    <t>浪客行·雾荧洞</t>
  </si>
  <si>
    <t>浪客行·阴风峡</t>
  </si>
  <si>
    <t>浪客行·翡翠瑶池</t>
  </si>
  <si>
    <t>浪客行·胡杨林道</t>
  </si>
  <si>
    <t>浪客行·浮景峰</t>
  </si>
  <si>
    <t>蔷薇列岛</t>
  </si>
  <si>
    <t>江南府邸</t>
  </si>
  <si>
    <t>HD商城_001</t>
  </si>
  <si>
    <t>HD登陆界面_凌雪阁003</t>
  </si>
  <si>
    <t>miniscene角色光照无地形</t>
  </si>
  <si>
    <t>雪山温泉</t>
  </si>
  <si>
    <t>范阳夜变</t>
  </si>
  <si>
    <t>25人普通范阳夜变</t>
  </si>
  <si>
    <t>25人英雄范阳夜变</t>
  </si>
  <si>
    <t>广陵邑</t>
  </si>
  <si>
    <t>望扬镇_单房屋测试</t>
  </si>
  <si>
    <t>1024_昼夜循环_家园</t>
  </si>
  <si>
    <t>范阳</t>
  </si>
  <si>
    <t>1024_格子图</t>
  </si>
  <si>
    <t>浪客行·落樱林</t>
  </si>
  <si>
    <t>九寨沟·镜海</t>
  </si>
  <si>
    <t>七秀_家园</t>
  </si>
  <si>
    <t>衍天宗</t>
  </si>
  <si>
    <t>望扬镇_单房屋</t>
  </si>
  <si>
    <t>HD家园商城001</t>
  </si>
  <si>
    <t>幻灵境</t>
  </si>
  <si>
    <t>剑冢惊变</t>
  </si>
  <si>
    <t>英雄剑冢惊变</t>
  </si>
  <si>
    <t>星海蜃影·零</t>
  </si>
  <si>
    <t>枫叶泊·乐苑</t>
  </si>
  <si>
    <t>万花·乱世</t>
  </si>
  <si>
    <t>七秀·乱世</t>
  </si>
  <si>
    <t>少林·乱世</t>
  </si>
  <si>
    <t>梦入集真岛</t>
  </si>
  <si>
    <t>梧桐山庄</t>
  </si>
  <si>
    <t>英雄梧桐山庄</t>
  </si>
  <si>
    <t>罗汉门</t>
  </si>
  <si>
    <t>英雄罗汉门</t>
  </si>
  <si>
    <t>英雄梦入集真岛</t>
  </si>
  <si>
    <t>达摩洞</t>
  </si>
  <si>
    <t>25人普通达摩洞</t>
  </si>
  <si>
    <t>25人英雄达摩洞</t>
  </si>
  <si>
    <t>枫叶泊·天苑</t>
  </si>
  <si>
    <t>镜花别院</t>
  </si>
  <si>
    <t>藏剑山庄·乱世</t>
  </si>
  <si>
    <t>月落三星</t>
  </si>
  <si>
    <t>英雄月落三星</t>
  </si>
  <si>
    <t>星海蜃影·一</t>
  </si>
  <si>
    <t>星海蜃影·二</t>
  </si>
  <si>
    <t>星海蜃影·三</t>
  </si>
  <si>
    <t>星海蜃影·四</t>
  </si>
  <si>
    <t>星海蜃影·五</t>
  </si>
  <si>
    <t>星海蜃影·六</t>
  </si>
  <si>
    <t>星海蜃影·七</t>
  </si>
  <si>
    <t>星海蜃影·八</t>
  </si>
  <si>
    <t>星海蜃影·九</t>
  </si>
  <si>
    <t>星海蜃影·十</t>
  </si>
  <si>
    <t>星海蜃影·十一</t>
  </si>
  <si>
    <t>星海蜃影·十二</t>
  </si>
  <si>
    <t>星海蜃影·十三</t>
  </si>
  <si>
    <t>星海蜃影·十四</t>
  </si>
  <si>
    <t>星海蜃影·十五</t>
  </si>
  <si>
    <t>星海蜃影·十六</t>
  </si>
  <si>
    <t>星海蜃影·十七</t>
  </si>
  <si>
    <t>星海蜃影·十八</t>
  </si>
  <si>
    <t>星海蜃影·十九</t>
  </si>
  <si>
    <t>星海蜃影·二十</t>
  </si>
  <si>
    <t>龙泉府_风雪镜泊湖</t>
  </si>
  <si>
    <t>白龙绝境</t>
  </si>
  <si>
    <t>HD登陆界面_衍天宗001</t>
  </si>
  <si>
    <t>雪龙风原</t>
  </si>
  <si>
    <t>1024_昼夜循环_标准2020</t>
  </si>
  <si>
    <t>少林_乱世_修罗挑战</t>
  </si>
  <si>
    <t>白帝江关</t>
  </si>
  <si>
    <t>25人普通白帝江关</t>
  </si>
  <si>
    <t>25人英雄白帝江关</t>
  </si>
  <si>
    <t>英雄漳水南路</t>
  </si>
  <si>
    <t>挑战漳水南路</t>
  </si>
  <si>
    <t>北墟河堤</t>
  </si>
  <si>
    <t>赤岬山城</t>
  </si>
  <si>
    <t>黑山林海</t>
  </si>
  <si>
    <t>北天药宗</t>
  </si>
  <si>
    <t>浪客行·浮丘岛</t>
  </si>
  <si>
    <t>浪客行·桂林</t>
  </si>
  <si>
    <t>藏剑武库</t>
  </si>
  <si>
    <t>墟海之眼·演武场</t>
  </si>
  <si>
    <t>东水寨</t>
  </si>
  <si>
    <t>天原绝境</t>
  </si>
  <si>
    <t>大唐幻夜·一</t>
  </si>
  <si>
    <t>大唐幻夜·二</t>
  </si>
  <si>
    <t>大唐幻夜·三</t>
  </si>
  <si>
    <t>大唐幻夜·四</t>
  </si>
  <si>
    <t>大唐幻夜·五</t>
  </si>
  <si>
    <t>大唐幻夜·六</t>
  </si>
  <si>
    <t>大唐幻夜·七</t>
  </si>
  <si>
    <t>大唐幻夜·八</t>
  </si>
  <si>
    <t>大唐幻夜·九</t>
  </si>
  <si>
    <t>大唐幻夜·十</t>
  </si>
  <si>
    <t>大唐幻夜·十一</t>
  </si>
  <si>
    <t>大唐幻夜·十二</t>
  </si>
  <si>
    <t>大唐幻夜·十三</t>
  </si>
  <si>
    <t>大唐幻夜·十四</t>
  </si>
  <si>
    <t>大唐幻夜·十五</t>
  </si>
  <si>
    <t>大唐幻夜·十六</t>
  </si>
  <si>
    <t>大唐幻夜·十七</t>
  </si>
  <si>
    <t>大唐幻夜·十八</t>
  </si>
  <si>
    <t>大唐幻夜·十九</t>
  </si>
  <si>
    <t>大唐幻夜·二十</t>
  </si>
  <si>
    <t>雷域大泽</t>
  </si>
  <si>
    <t>25人普通雷域大泽</t>
  </si>
  <si>
    <t>25人英雄雷域大泽</t>
  </si>
  <si>
    <t>百战异闻录</t>
  </si>
  <si>
    <t>北天药宗_武氏别院</t>
  </si>
  <si>
    <t>英雄北天药宗_武氏别院</t>
  </si>
  <si>
    <t>私邸宅园</t>
  </si>
  <si>
    <t>盘扎寨</t>
  </si>
  <si>
    <t>原野奇踪</t>
  </si>
  <si>
    <t>HD登陆界面_北天药宗003</t>
  </si>
  <si>
    <t>个人家园_天池</t>
  </si>
  <si>
    <t>个人家园_海底</t>
  </si>
  <si>
    <t>HD商城_外装展示测试</t>
  </si>
  <si>
    <t>个人家园_广陵邑_野外</t>
  </si>
  <si>
    <t>河阳之战</t>
  </si>
  <si>
    <t>25人普通河阳之战</t>
  </si>
  <si>
    <t>25人英雄河阳之战</t>
  </si>
  <si>
    <t>河阳</t>
  </si>
  <si>
    <t>个人家园_薰风渡</t>
  </si>
  <si>
    <t>百溪</t>
  </si>
  <si>
    <t>烂柯山</t>
  </si>
  <si>
    <t>楚州</t>
  </si>
  <si>
    <t>晟江</t>
  </si>
  <si>
    <t>尘世曼舞·冰雪盛会</t>
  </si>
  <si>
    <t>JX3_StandardEnv_002</t>
  </si>
  <si>
    <t>个人家园_云海</t>
  </si>
  <si>
    <t>西津渡</t>
  </si>
  <si>
    <t>25人普通西津渡</t>
  </si>
  <si>
    <t>25人英雄西津渡</t>
  </si>
  <si>
    <t>羊村大作战</t>
  </si>
  <si>
    <t>羊村</t>
  </si>
  <si>
    <t>霸刀山庄·大婚</t>
  </si>
  <si>
    <t>1024_积雪交互测试</t>
  </si>
  <si>
    <t>剧本杀测试场景02</t>
  </si>
  <si>
    <t>沃石院</t>
  </si>
  <si>
    <t>英雄沃石院</t>
  </si>
  <si>
    <t>镇海阁地井</t>
  </si>
  <si>
    <t>英雄镇海阁地井</t>
  </si>
  <si>
    <t>个人家园_大唐盛世</t>
  </si>
  <si>
    <t>万象游园会</t>
  </si>
  <si>
    <t>时光长廊</t>
  </si>
  <si>
    <t>天苏奇谭</t>
  </si>
  <si>
    <t>且绘青山</t>
  </si>
  <si>
    <t>银浦流光</t>
  </si>
  <si>
    <t>幽藤馆</t>
  </si>
  <si>
    <t>英雄幽藤馆</t>
  </si>
  <si>
    <t>个人家园_社区</t>
  </si>
  <si>
    <t>琼宫银阙</t>
  </si>
  <si>
    <t>千灯天衢</t>
  </si>
  <si>
    <t>烟岫迷踪</t>
  </si>
  <si>
    <t>渊穆灵宫</t>
  </si>
  <si>
    <t>观园幻景</t>
  </si>
  <si>
    <t>落帆归潮</t>
  </si>
  <si>
    <t>江山入画</t>
  </si>
  <si>
    <t>晨间喵苑</t>
  </si>
  <si>
    <t>泊云海墅</t>
  </si>
  <si>
    <t>闲野归园</t>
  </si>
  <si>
    <t>首领扮演范阳夜变</t>
  </si>
  <si>
    <t>磐渊</t>
  </si>
  <si>
    <t>江天夜宴</t>
  </si>
  <si>
    <t>英雄江天夜宴</t>
  </si>
  <si>
    <t>沃石火狱</t>
  </si>
  <si>
    <t>浮生剧坊</t>
  </si>
  <si>
    <t>HD登陆界面_刀宗001</t>
  </si>
  <si>
    <t>跨服·烂柯山</t>
  </si>
  <si>
    <t>个人家园_红叶</t>
  </si>
  <si>
    <t>古剑台</t>
  </si>
  <si>
    <t>天街灯市·明宵灯暖</t>
  </si>
  <si>
    <t>浪客行·沙海迷踪</t>
  </si>
  <si>
    <t>尘世曼舞·万象长安</t>
  </si>
  <si>
    <t>个人家园_明宵灯暖</t>
  </si>
  <si>
    <t>天街灯市·蜃墟</t>
  </si>
  <si>
    <t>武狱黑牢</t>
  </si>
  <si>
    <t>25人普通武狱黑牢</t>
  </si>
  <si>
    <t>25人英雄武狱黑牢</t>
  </si>
  <si>
    <t>英雄鹿桥驿</t>
  </si>
  <si>
    <t>挑战鹿桥驿</t>
  </si>
  <si>
    <t>万灵山庄</t>
  </si>
  <si>
    <t>张家界·相遇</t>
  </si>
  <si>
    <t>黄龙洞</t>
  </si>
  <si>
    <t>洱海绝境</t>
  </si>
  <si>
    <t>个人家园_沙漠</t>
  </si>
  <si>
    <t>银霜口</t>
  </si>
  <si>
    <t>九老洞</t>
  </si>
  <si>
    <t>25人普通九老洞</t>
  </si>
  <si>
    <t>25人英雄九老洞</t>
  </si>
  <si>
    <t>武陵源</t>
  </si>
  <si>
    <t>落日丘</t>
  </si>
  <si>
    <t>稻香村_桃园非梦</t>
  </si>
  <si>
    <t>神霄天境</t>
  </si>
  <si>
    <t>重霄阆苑</t>
  </si>
  <si>
    <t>阴山大草原·分线</t>
  </si>
  <si>
    <t>栖灵洞天</t>
  </si>
  <si>
    <t>英雄栖灵洞天</t>
  </si>
  <si>
    <t>新旧贴花测试_新</t>
  </si>
  <si>
    <t>新旧贴画测试_旧</t>
  </si>
  <si>
    <t>罗小黑建木海</t>
  </si>
  <si>
    <t>登陆界面_2023_001</t>
  </si>
  <si>
    <t>八荒衡鉴·仙踪林</t>
  </si>
  <si>
    <t>标识</t>
  </si>
  <si>
    <t>地图id</t>
  </si>
  <si>
    <t>层数</t>
  </si>
  <si>
    <t>图标</t>
  </si>
  <si>
    <t>名称</t>
  </si>
  <si>
    <t>区分等级</t>
  </si>
  <si>
    <t>监控对象</t>
  </si>
  <si>
    <t>心法要求</t>
  </si>
  <si>
    <t>通用颜色</t>
  </si>
  <si>
    <t>标记.获得气劲</t>
  </si>
  <si>
    <t>语音报警.获得气劲</t>
  </si>
  <si>
    <t>自身播放.获得气劲</t>
  </si>
  <si>
    <t>团队报警.获得气劲</t>
  </si>
  <si>
    <t>密聊报警.获得气劲</t>
  </si>
  <si>
    <t>中央报警.获得气劲</t>
  </si>
  <si>
    <t>头顶警报.获得气劲</t>
  </si>
  <si>
    <t>团队气劲列表.获得气劲</t>
  </si>
  <si>
    <t>自身气劲列表.获得气劲</t>
  </si>
  <si>
    <t>全屏泛光.获得气劲</t>
  </si>
  <si>
    <t>团队面板.获得气劲</t>
  </si>
  <si>
    <t>仅来源自己.获得气劲</t>
  </si>
  <si>
    <t>语音报警.失去气劲</t>
  </si>
  <si>
    <t>自身播放.失去气劲</t>
  </si>
  <si>
    <t>团队警报.失去气劲</t>
  </si>
  <si>
    <t>密聊警报.失去气劲</t>
  </si>
  <si>
    <t>中央警报.失去气劲</t>
  </si>
  <si>
    <t>触发层数.面板</t>
  </si>
  <si>
    <t>触发逻辑.面板</t>
  </si>
  <si>
    <t>仅来源自己.面板</t>
  </si>
  <si>
    <t>仅监控自己.面板</t>
  </si>
  <si>
    <t>备注.面板</t>
  </si>
  <si>
    <t>优先级.面板</t>
  </si>
  <si>
    <t>蒙版颜色.面板</t>
  </si>
  <si>
    <t>头顶颜色.面板</t>
  </si>
  <si>
    <t>描边透明度.面板</t>
  </si>
  <si>
    <t>蒙版警告.面板</t>
  </si>
  <si>
    <t>特效警告.面板</t>
  </si>
  <si>
    <t>头顶提示.面板</t>
  </si>
  <si>
    <t>保留数组.面板</t>
  </si>
  <si>
    <t>return {BUFF={</t>
  </si>
  <si>
    <t>return {DEBUFF={</t>
  </si>
  <si>
    <t>标记.招式释放</t>
  </si>
  <si>
    <t>语音报警.招式释放</t>
  </si>
  <si>
    <t>团队报警.招式释放</t>
  </si>
  <si>
    <t>密聊报警.招式释放</t>
  </si>
  <si>
    <t>中央报警.招式释放</t>
  </si>
  <si>
    <t>标记.招式运功</t>
  </si>
  <si>
    <t>语音报警.招式运功</t>
  </si>
  <si>
    <t>团队报警.招式运功</t>
  </si>
  <si>
    <t>密聊报警.招式运功</t>
  </si>
  <si>
    <t>中央报警.招式运功</t>
  </si>
  <si>
    <t>头顶警报.招式运功</t>
  </si>
  <si>
    <t>全屏泛光.招式运功</t>
  </si>
  <si>
    <t>return {CASTING={</t>
  </si>
  <si>
    <t>数量</t>
  </si>
  <si>
    <t>全部消失</t>
  </si>
  <si>
    <t>标记.NPC进入</t>
  </si>
  <si>
    <t>语音报警.NPC进入</t>
  </si>
  <si>
    <t>团队报警.NPC进入</t>
  </si>
  <si>
    <t>密聊报警.NPC进入</t>
  </si>
  <si>
    <t>中央报警.NPC进入</t>
  </si>
  <si>
    <t>头顶报警.NPC进入</t>
  </si>
  <si>
    <t>全屏泛光.NPC进入</t>
  </si>
  <si>
    <t>语音报警.NPC离开</t>
  </si>
  <si>
    <t>团队报警.NPC离开</t>
  </si>
  <si>
    <t>密聊报警.NPC离开</t>
  </si>
  <si>
    <t>中央报警.NPC离开</t>
  </si>
  <si>
    <t>return {NPC={</t>
  </si>
  <si>
    <t>李霖</t>
  </si>
  <si>
    <t>{dwMapID=-1,szDisplay="李霖·300分",nMaxDistance=0,tRelation={bAll=true,bEnemy=false,bAlly=false,},tLife={bEnable=false,szOperator="&gt;",nValue=0,},},</t>
  </si>
  <si>
    <t>凤妞</t>
  </si>
  <si>
    <t>{dwMapID=-1,szDisplay="凤妞·100分",nMaxDistance=0,tRelation={bAll=true,bEnemy=false,bAlly=false,},tLife={bEnable=false,szOperator="&gt;",nValue=0,},},</t>
  </si>
  <si>
    <t>陈士美</t>
  </si>
  <si>
    <t>{dwMapID=-1,szDisplay="陈士美·200分",nMaxDistance=0,tRelation={bAll=true,bEnemy=false,bAlly=false,},tLife={bEnable=false,szOperator="&gt;",nValue=0,},},</t>
  </si>
  <si>
    <t>黄剑翔</t>
  </si>
  <si>
    <t>{dwMapID=-1,szDisplay="黄剑翔·100分",nMaxDistance=0,tRelation={bAll=true,bEnemy=false,bAlly=false,},tLife={bEnable=false,szOperator="&gt;",nValue=0,},},</t>
  </si>
  <si>
    <t>韩非子</t>
  </si>
  <si>
    <t>{dwMapID=-1,szDisplay="韩非子·300分",nMaxDistance=0,tRelation={bAll=true,bEnemy=false,bAlly=false,},tLife={bEnable=false,szOperator="&gt;",nValue=0,},},</t>
  </si>
  <si>
    <t>邵卿城</t>
  </si>
  <si>
    <t>{dwMapID=-1,szDisplay="邵卿城·500分",nMaxDistance=0,tRelation={bAll=true,bEnemy=false,bAlly=false,},tLife={bEnable=false,szOperator="&gt;",nValue=0,},},</t>
  </si>
  <si>
    <t>高九问</t>
  </si>
  <si>
    <t>{dwMapID=-1,szDisplay="高九问·500分",nMaxDistance=0,tRelation={bAll=true,bEnemy=false,bAlly=false,},tLife={bEnable=false,szOperator="&gt;",nValue=0,},},</t>
  </si>
  <si>
    <t>雄爷</t>
  </si>
  <si>
    <t>{dwMapID=-1,szDisplay="雄爷·200分",nMaxDistance=0,tRelation={bAll=true,bEnemy=false,bAlly=false,},tLife={bEnable=false,szOperator="&gt;",nValue=0,},},</t>
  </si>
  <si>
    <t>贾扁</t>
  </si>
  <si>
    <t>{dwMapID=-1,szDisplay="贾扁·100分",nMaxDistance=0,tRelation={bAll=true,bEnemy=false,bAlly=false,},tLife={bEnable=false,szOperator="&gt;",nValue=0,},},</t>
  </si>
  <si>
    <t>甄琦</t>
  </si>
  <si>
    <t>{dwMapID=-1,szDisplay="甄琦·100分",nMaxDistance=0,tRelation={bAll=true,bEnemy=false,bAlly=false,},tLife={bEnable=false,szOperator="&gt;",nValue=0,},},</t>
  </si>
  <si>
    <t>三石叔</t>
  </si>
  <si>
    <t>{dwMapID=-1,szDisplay="三石叔·100分",nMaxDistance=0,tRelation={bAll=true,bEnemy=false,bAlly=false,},tLife={bEnable=false,szOperator="&gt;",nValue=0,},},</t>
  </si>
  <si>
    <t>韩荞生</t>
  </si>
  <si>
    <t>{dwMapID=-1,szDisplay="韩荞生·100分",nMaxDistance=0,tRelation={bAll=true,bEnemy=false,bAlly=false,},tLife={bEnable=false,szOperator="&gt;",nValue=0,},},</t>
  </si>
  <si>
    <t>鲁印</t>
  </si>
  <si>
    <t>{dwMapID=-1,szDisplay="鲁印·300分",nMaxDistance=0,tRelation={bAll=true,bEnemy=false,bAlly=false,},tLife={bEnable=false,szOperator="&gt;",nValue=0,},},</t>
  </si>
  <si>
    <t>苏不尘</t>
  </si>
  <si>
    <t>{dwMapID=-1,szDisplay="苏不尘·300分",nMaxDistance=0,tRelation={bAll=true,bEnemy=false,bAlly=false,},tLife={bEnable=false,szOperator="&gt;",nValue=0,},},</t>
  </si>
  <si>
    <t>梦香菲</t>
  </si>
  <si>
    <t>{dwMapID=-1,szDisplay="梦香菲·100分",nMaxDistance=0,tRelation={bAll=true,bEnemy=false,bAlly=false,},tLife={bEnable=false,szOperator="&gt;",nValue=0,},},</t>
  </si>
  <si>
    <t>凯风</t>
  </si>
  <si>
    <t>{dwMapID=-1,szDisplay="凯风·100分",nMaxDistance=0,tRelation={bAll=true,bEnemy=false,bAlly=false,},tLife={bEnable=false,szOperator="&gt;",nValue=0,},},</t>
  </si>
  <si>
    <t>帮会大旗</t>
  </si>
  <si>
    <t>{dwMapID=-1,szDisplay="帮会大旗·800分",nMaxDistance=0,tRelation={bAll=true,bEnemy=false,bAlly=false,},tLife={bEnable=false,szOperator="&gt;",nValue=0,},},</t>
  </si>
  <si>
    <t>{nClass=12,nIcon=591,nFrame=1,szName="帮会大旗·损毁·800分",nTime=30,key="帮会大旗·退场",},</t>
  </si>
  <si>
    <t>语音报警.物件进入</t>
  </si>
  <si>
    <t>团队报警.物件进入</t>
  </si>
  <si>
    <t>密聊报警.物件进入</t>
  </si>
  <si>
    <t>中央报警.物件进入</t>
  </si>
  <si>
    <t>头顶警报.物件进入</t>
  </si>
  <si>
    <t>全屏泛光.物件进入</t>
  </si>
  <si>
    <t>语音报警.物件离开</t>
  </si>
  <si>
    <t>团队报警.物件离开</t>
  </si>
  <si>
    <t>密聊报警.物件离开</t>
  </si>
  <si>
    <t>中央报警.物件离开</t>
  </si>
  <si>
    <t>return {DOODAD={</t>
  </si>
  <si>
    <t>战利品宝堆</t>
  </si>
  <si>
    <t>{dwMapID=-1,nMaxDistance=60,tRelation={bAll=true,bEnemy=false,bAlly=false,},tLife={bEnable=false,szOperator="&gt;",nValue=0,},},</t>
  </si>
  <si>
    <t>喊话内容</t>
  </si>
  <si>
    <t>首领地点</t>
  </si>
  <si>
    <t>退场分数</t>
  </si>
  <si>
    <t>子串搜索</t>
  </si>
  <si>
    <t>正则匹配</t>
  </si>
  <si>
    <t>语音报警.喊话</t>
  </si>
  <si>
    <t>团队报警.喊话</t>
  </si>
  <si>
    <t>密聊警报.喊话</t>
  </si>
  <si>
    <t>中央报警.喊话</t>
  </si>
  <si>
    <t>头顶报警.喊话</t>
  </si>
  <si>
    <t>全屏泛光.喊话</t>
  </si>
  <si>
    <t>return {TALK={</t>
  </si>
  <si>
    <t>帮会的兄弟们，我且先修整下！</t>
  </si>
  <si>
    <t>山水田园·</t>
  </si>
  <si>
    <t>200分</t>
  </si>
  <si>
    <t>落日牧场·</t>
  </si>
  <si>
    <t>100分</t>
  </si>
  <si>
    <t>流星赶月·</t>
  </si>
  <si>
    <t>大旗西侧方·</t>
  </si>
  <si>
    <t>大旗东侧·</t>
  </si>
  <si>
    <t>屋檐顶西北·</t>
  </si>
  <si>
    <t>帮会内宴席·</t>
  </si>
  <si>
    <t>帮会书柜旁·</t>
  </si>
  <si>
    <t>会友台东侧·</t>
  </si>
  <si>
    <t>300分</t>
  </si>
  <si>
    <t>帮会天工·</t>
  </si>
  <si>
    <t>500分</t>
  </si>
  <si>
    <t>帮会药师·</t>
  </si>
  <si>
    <t>祈星台北·</t>
  </si>
  <si>
    <t>唱晚池鱼塘·</t>
  </si>
  <si>
    <t>屋前西侧·</t>
  </si>
  <si>
    <t>屋门前东侧·</t>
  </si>
  <si>
    <t>%</t>
  </si>
  <si>
    <t>{$sender}·退场</t>
  </si>
  <si>
    <t>{nClass=14,nIcon=13,nFrame=1,szName="{$sender}·退场",nTime=30,key="{$sender}·退场",nRefresh=1,},</t>
  </si>
  <si>
    <t>[帮会宣战][帮会大旗]已被敌方攻破！诸位兄弟！团结一致！</t>
  </si>
  <si>
    <t>帮会大旗·退场·800分</t>
  </si>
  <si>
    <t>{nClass=14,nIcon=591,nFrame=1,szName="帮会大旗·损毁·800分",nTime=30,key="帮会大旗·退场",nRefresh=1,},</t>
  </si>
  <si>
    <t>恭喜侠士帮会宣战·领地获胜！已为您添加增益状态。</t>
  </si>
  <si>
    <t>帮会宣战·领地·获胜</t>
  </si>
  <si>
    <t>{nClass=14,nIcon=13,nFrame=0,szName="帮会宣战·领地·获胜",nTime=30,key="帮会宣战",},</t>
  </si>
  <si>
    <t>{nClass=14,nIcon=13,szName="诛恶事件",nTime=-2,key="诛恶事件",},{nClass=14,nIcon=13,szName="通用事件",nTime=-2,key="通用事件",},{nClass=14,nIcon=13,nTime=-2,szName="金水镇",key="金水镇",},{nClass=14,nIcon=13,nTime=-2,szName="巴陵县",key="巴陵县",},{nClass=14,nIcon=13,nTime=-2,szName="龙门荒漠",key="龙门荒漠",},{nClass=14,nIcon=13,nTime=-2,szName="南屏山",key="南屏山",},{nClass=14,nIcon=13,nTime=-2,szName="昆仑",key="昆仑",},{nClass=14,nIcon=13,nTime=-2,szName="白龙口",key="白龙口",},{nClass=14,nIcon=13,nTime=-2,szName="无量山",key="无量山",},{nClass=14,nIcon=13,nTime=-2,szName="黑龙沼",key="黑龙沼",},{nClass=14,nIcon=13,nTime=-2,szName="阴山大草原",key="阴山大草原",},{nClass=14,nIcon=13,nTime=-2,szName="黑戈壁",key="黑戈壁",},{nClass=14,nIcon=13,nTime=-2,szName="鲲鹏岛",key="鲲鹏岛",},</t>
  </si>
  <si>
    <t>最近七天内，帮会宣战·领地失利，已为侠士添加不利状态。</t>
  </si>
  <si>
    <t>帮会宣战·领地·失败</t>
  </si>
  <si>
    <t>{nClass=14,nIcon=13,nFrame=8,szName="帮会宣战·领地·失败",nTime=30,key="帮会宣战",},</t>
  </si>
  <si>
    <t>通用的地图</t>
  </si>
  <si>
    <t>(.-)【(.+)】帮会(.-)发起为期(%d+)小时的野外宣战，各位非中立成员</t>
  </si>
  <si>
    <t>帮战·[{$2}]·{$4}小时</t>
  </si>
  <si>
    <t>{nClass=14,key="帮会宣战·野外",nTime=20,szName="帮战·[{$2}]·{$4}小时",nFrame=8,nIcon=3750,},</t>
  </si>
  <si>
    <t>主城的地图</t>
  </si>
  <si>
    <t>当前已开战，请直接对话进入被宣战方帮会领地。</t>
  </si>
  <si>
    <t>帮会宣战·领地·正式开始</t>
  </si>
  <si>
    <t>{nClass=14,nIcon=13,nFrame=4,szName="帮会宣战·领地·正式开启",nTime=5,key="帮会宣战",},</t>
  </si>
  <si>
    <t>本次宣战进攻将在10秒后正式开始。</t>
  </si>
  <si>
    <t>帮会宣战·领地·10秒</t>
  </si>
  <si>
    <t>{nClass=14,nIcon=13,nFrame=4,szName="帮会宣战·领地·开启剩余",nTime="10,帮会宣战·领地·开启剩余;15,帮会宣战·领地·正式开启",key="帮会宣战",nRefresh=0,},</t>
  </si>
  <si>
    <t>本次宣战进攻将在30秒后正式开始。</t>
  </si>
  <si>
    <t>帮会宣战·领地·30秒</t>
  </si>
  <si>
    <t>{nClass=14,nIcon=13,nFrame=4,szName="帮会宣战·领地·开启剩余",nTime="30,帮会宣战·领地·开启剩余;35,帮会宣战·领地·正式开启",key="帮会宣战",nRefresh=0,},</t>
  </si>
  <si>
    <t>野外的地图</t>
  </si>
  <si>
    <t>^%[帮会宣战%]%[(.-)%]：我在“(.-)”被敌帮的“(.-)”侠士重伤，请速来支援！</t>
  </si>
  <si>
    <t>帮战·{$2}·[{$3}]击伤[{$1}]</t>
  </si>
  <si>
    <t>{nClass=14,key="帮会宣战·重伤",nTime=5,szName="帮战·{$2}·[{$3}]击伤[{$1}]",nIcon=13,nFrame=8,},</t>
  </si>
  <si>
    <t>门派的地图</t>
  </si>
  <si>
    <t>return {CHAT={</t>
  </si>
  <si>
    <t>帮会宣战·领地正式开始！\n</t>
  </si>
  <si>
    <t>{nClass=20,nIcon=13,nFrame=4,szName="宣战·正式开始",nTime=5,key="帮会宣战",},</t>
  </si>
  <si>
    <t>{nClass=20,nIcon=13,szName="诛恶事件",nTime=-1,nRefresh=2700,key="诛恶事件",},{nClass=20,nIcon=13,szName="通用事件",nTime=-1,nRefresh=2700,key="通用事件",},</t>
  </si>
  <si>
    <t>{nClass=20,nIcon=13,nTime=-1,szName="金水镇",nRefresh=2700,key="金水镇",},{nClass=20,nIcon=13,nTime=-1,szName="巴陵县",nRefresh=2700,key="巴陵县",},{nClass=20,nIcon=13,nTime=-1,szName="龙门荒漠",nRefresh=2700,key="龙门荒漠",},{nClass=20,nIcon=13,nTime=-1,szName="南屏山",nRefresh=2700,key="南屏山",},{nClass=20,nIcon=13,nTime=-1,szName="昆仑",nRefresh=2700,key="昆仑",},{nClass=20,nIcon=13,nTime=-1,szName="白龙口",nRefresh=2700,key="白龙口",},{nClass=20,nIcon=13,nTime=-1,szName="无量山",nRefresh=2700,key="无量山",},{nClass=20,nIcon=13,nTime=-1,szName="黑龙沼",nRefresh=2700,key="黑龙沼",},{nClass=20,nIcon=13,nTime=-1,szName="阴山大草原",nRefresh=2700,key="阴山大草原",},{nClass=20,nIcon=13,nTime=-1,szName="黑戈壁",nRefresh=2700,key="黑戈壁",},{nClass=20,nIcon=13,nTime=-1,szName="鲲鹏岛",nRefresh=2700,key="鲲鹏岛",},</t>
  </si>
  <si>
    <t>本次宣战进攻将在10秒后正式开始。\n</t>
  </si>
  <si>
    <t>{nClass=20,nIcon=13,nFrame=4,szName="宣战·开始剩余",nTime=10,key="帮会宣战",},</t>
  </si>
  <si>
    <t>本次宣战进攻将在30秒后正式开始。\n</t>
  </si>
  <si>
    <t>{nClass=20,nIcon=13,nFrame=4,szName="宣战·开始剩余",nTime=30,key="帮会宣战",},</t>
  </si>
  <si>
    <t>本帮今日防守领地失败，望上下一心，团结一致。\n</t>
  </si>
  <si>
    <t>{nClass=20,nIcon=13,nFrame=8,szName="帮会应战·领地·防守失败",nTime=30,key="帮会宣战",},</t>
  </si>
  <si>
    <t xml:space="preserve">(.-)已被击伤，留下拥有逐鹿中原战略物资%[神机雷%]，进攻方侠士可拾取，切莫错过！ </t>
  </si>
  <si>
    <t>{nClass=20,nIcon=13,nFrame=1,szName="{$1}·退场",nTime=30,key="{$1}·退场",},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</si>
</sst>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</font>
    <font>
      <sz val="11"/>
      <color rgb="FF9C0006"/>
      <name val="宋体"/>
      <charset val="134"/>
    </font>
    <font>
      <sz val="11"/>
      <color rgb="FF006100"/>
      <name val="宋体"/>
      <charset val="134"/>
    </font>
    <font>
      <b/>
      <sz val="11"/>
      <color rgb="FFFF0000"/>
      <name val="宋体"/>
      <charset val="134"/>
    </font>
    <font>
      <u/>
      <sz val="11"/>
      <color theme="10"/>
      <name val="宋体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宋体"/>
      <charset val="134"/>
    </font>
    <font>
      <sz val="18"/>
      <color theme="3"/>
      <name val="等线 Light"/>
      <charset val="134"/>
      <scheme val="major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theme="0"/>
      <name val="宋体"/>
      <charset val="134"/>
    </font>
    <font>
      <sz val="11"/>
      <color rgb="FFFA7D00"/>
      <name val="宋体"/>
      <charset val="134"/>
    </font>
    <font>
      <sz val="11"/>
      <color rgb="FF9C57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23" applyBorder="1" applyAlignment="1">
      <alignment horizontal="center" vertical="center"/>
    </xf>
    <xf numFmtId="0" fontId="1" fillId="3" borderId="2" xfId="23" applyBorder="1" applyAlignment="1">
      <alignment horizontal="center" vertical="center"/>
    </xf>
    <xf numFmtId="0" fontId="1" fillId="3" borderId="3" xfId="2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>
      <alignment vertical="center"/>
    </xf>
    <xf numFmtId="0" fontId="2" fillId="4" borderId="1" xfId="22" applyBorder="1">
      <alignment vertical="center"/>
    </xf>
    <xf numFmtId="0" fontId="0" fillId="2" borderId="1" xfId="0" applyFill="1" applyBorder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6" applyBorder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3" borderId="1" xfId="23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3" borderId="1" xfId="23" applyBorder="1" applyAlignment="1">
      <alignment horizontal="left" vertical="center"/>
    </xf>
    <xf numFmtId="0" fontId="1" fillId="3" borderId="1" xfId="23" applyBorder="1">
      <alignment vertical="center"/>
    </xf>
    <xf numFmtId="0" fontId="1" fillId="3" borderId="7" xfId="23" applyBorder="1">
      <alignment vertical="center"/>
    </xf>
    <xf numFmtId="0" fontId="1" fillId="3" borderId="9" xfId="23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3" fillId="2" borderId="1" xfId="0" applyFont="1" applyFill="1" applyBorder="1">
      <alignment vertical="center"/>
    </xf>
    <xf numFmtId="0" fontId="0" fillId="2" borderId="1" xfId="0" applyFill="1" applyBorder="1" applyAlignment="1" quotePrefix="1">
      <alignment vertical="center"/>
    </xf>
    <xf numFmtId="3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x3box.com/tool/60356" TargetMode="External"/><Relationship Id="rId2" Type="http://schemas.openxmlformats.org/officeDocument/2006/relationships/hyperlink" Target="https://www.jx3box.com/tool/74098" TargetMode="External"/><Relationship Id="rId1" Type="http://schemas.openxmlformats.org/officeDocument/2006/relationships/hyperlink" Target="https://www.jx3box.com/tool/173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8"/>
  <sheetViews>
    <sheetView zoomScale="90" zoomScaleNormal="90" topLeftCell="A73" workbookViewId="0">
      <selection activeCell="C109" sqref="C109"/>
    </sheetView>
  </sheetViews>
  <sheetFormatPr defaultColWidth="9" defaultRowHeight="13.5" outlineLevelCol="6"/>
  <cols>
    <col min="1" max="1" width="28.25" customWidth="1"/>
    <col min="2" max="2" width="23.625" customWidth="1"/>
    <col min="3" max="4" width="30.625" customWidth="1"/>
    <col min="5" max="5" width="110.375" customWidth="1"/>
    <col min="6" max="6" width="12.625" customWidth="1"/>
    <col min="7" max="7" width="15.125" customWidth="1"/>
    <col min="8" max="8" width="31.75" customWidth="1"/>
  </cols>
  <sheetData>
    <row r="1" spans="1:7">
      <c r="A1" s="17" t="s">
        <v>0</v>
      </c>
      <c r="B1" s="18" t="s">
        <v>1</v>
      </c>
      <c r="C1" s="19" t="s">
        <v>2</v>
      </c>
    </row>
    <row r="2" spans="1:7">
      <c r="A2" s="17" t="s">
        <v>3</v>
      </c>
      <c r="B2" s="20" t="s">
        <v>4</v>
      </c>
      <c r="C2" s="19" t="s">
        <v>2</v>
      </c>
      <c r="D2" s="20" t="s">
        <v>5</v>
      </c>
      <c r="E2" s="21" t="s">
        <v>6</v>
      </c>
    </row>
    <row r="3" spans="1:7">
      <c r="A3" s="17" t="s">
        <v>7</v>
      </c>
      <c r="B3" s="20" t="s">
        <v>8</v>
      </c>
      <c r="C3" s="19" t="s">
        <v>2</v>
      </c>
      <c r="D3" s="20" t="s">
        <v>9</v>
      </c>
      <c r="E3" s="21" t="s">
        <v>10</v>
      </c>
    </row>
    <row r="4" spans="1:7">
      <c r="A4" s="17" t="str">
        <f ca="1">"nTimeStamp = "&amp;((NOW()-70*365-19)*86400-8*3600)*1000&amp;","</f>
        <v>nTimeStamp = 1786553329000,</v>
      </c>
      <c r="B4" s="20" t="s">
        <v>11</v>
      </c>
      <c r="C4" s="19" t="s">
        <v>2</v>
      </c>
      <c r="D4" s="18" t="s">
        <v>12</v>
      </c>
      <c r="E4" s="18"/>
    </row>
    <row r="5" spans="1:7">
      <c r="A5" s="17" t="s">
        <v>13</v>
      </c>
      <c r="B5" s="20" t="s">
        <v>14</v>
      </c>
      <c r="C5" s="19" t="s">
        <v>2</v>
      </c>
      <c r="D5" s="18" t="s">
        <v>15</v>
      </c>
      <c r="E5" s="18"/>
    </row>
    <row r="6" spans="1:7">
      <c r="A6" s="17" t="s">
        <v>16</v>
      </c>
      <c r="B6" s="20" t="s">
        <v>17</v>
      </c>
      <c r="C6" s="19" t="s">
        <v>2</v>
      </c>
      <c r="D6" s="18" t="s">
        <v>18</v>
      </c>
      <c r="E6" s="18"/>
    </row>
    <row r="7" spans="1:7">
      <c r="A7" s="17" t="s">
        <v>19</v>
      </c>
      <c r="B7" s="20" t="s">
        <v>20</v>
      </c>
      <c r="C7" s="19" t="s">
        <v>2</v>
      </c>
      <c r="D7" s="18" t="s">
        <v>21</v>
      </c>
      <c r="E7" s="18"/>
    </row>
    <row r="8" spans="1:7">
      <c r="A8" s="17" t="s">
        <v>22</v>
      </c>
      <c r="B8" s="20"/>
      <c r="C8" s="19" t="s">
        <v>2</v>
      </c>
      <c r="D8" s="18" t="s">
        <v>23</v>
      </c>
      <c r="E8" s="18"/>
    </row>
    <row r="9" spans="1:7">
      <c r="C9" s="19" t="s">
        <v>2</v>
      </c>
    </row>
    <row r="10" spans="1:7">
      <c r="A10" s="20" t="s">
        <v>24</v>
      </c>
      <c r="B10" s="20"/>
      <c r="C10" s="19" t="s">
        <v>2</v>
      </c>
      <c r="D10" s="20"/>
    </row>
    <row r="11" spans="1:7">
      <c r="A11" s="22" t="s">
        <v>25</v>
      </c>
      <c r="B11" s="22" t="s">
        <v>26</v>
      </c>
      <c r="C11" s="19" t="s">
        <v>2</v>
      </c>
      <c r="D11" s="22" t="s">
        <v>25</v>
      </c>
      <c r="E11" s="23"/>
      <c r="F11" s="23"/>
      <c r="G11" s="23"/>
    </row>
    <row r="12" spans="1:7">
      <c r="A12" s="22" t="s">
        <v>27</v>
      </c>
      <c r="B12" s="22" t="s">
        <v>28</v>
      </c>
      <c r="C12" s="19" t="s">
        <v>2</v>
      </c>
      <c r="D12" s="22" t="s">
        <v>27</v>
      </c>
      <c r="E12" s="23"/>
      <c r="F12" s="23"/>
      <c r="G12" s="23"/>
    </row>
    <row r="13" spans="1:7">
      <c r="A13" s="22" t="s">
        <v>29</v>
      </c>
      <c r="B13" s="22" t="s">
        <v>30</v>
      </c>
      <c r="C13" s="19" t="s">
        <v>2</v>
      </c>
      <c r="D13" s="22" t="s">
        <v>29</v>
      </c>
      <c r="E13" s="23"/>
      <c r="F13" s="23"/>
      <c r="G13" s="23"/>
    </row>
    <row r="14" spans="1:7">
      <c r="A14" s="22" t="s">
        <v>31</v>
      </c>
      <c r="B14" s="22" t="s">
        <v>32</v>
      </c>
      <c r="C14" s="19" t="s">
        <v>2</v>
      </c>
      <c r="D14" s="22" t="s">
        <v>31</v>
      </c>
      <c r="E14" s="23"/>
      <c r="F14" s="23"/>
      <c r="G14" s="23"/>
    </row>
    <row r="15" spans="1:7">
      <c r="A15" s="22" t="s">
        <v>33</v>
      </c>
      <c r="B15" s="22" t="s">
        <v>34</v>
      </c>
      <c r="C15" s="19" t="s">
        <v>2</v>
      </c>
      <c r="D15" s="22" t="s">
        <v>33</v>
      </c>
      <c r="E15" s="23"/>
      <c r="F15" s="23"/>
      <c r="G15" s="23"/>
    </row>
    <row r="16" spans="1:7">
      <c r="A16" s="22" t="s">
        <v>35</v>
      </c>
      <c r="B16" s="22" t="s">
        <v>36</v>
      </c>
      <c r="C16" s="19" t="s">
        <v>2</v>
      </c>
      <c r="D16" s="22" t="s">
        <v>35</v>
      </c>
      <c r="E16" s="23"/>
      <c r="F16" s="23"/>
      <c r="G16" s="23"/>
    </row>
    <row r="17" spans="1:7">
      <c r="A17" s="22" t="s">
        <v>37</v>
      </c>
      <c r="B17" s="22" t="s">
        <v>38</v>
      </c>
      <c r="C17" s="19" t="s">
        <v>2</v>
      </c>
      <c r="D17" s="22" t="s">
        <v>37</v>
      </c>
      <c r="E17" s="23"/>
      <c r="F17" s="23"/>
      <c r="G17" s="23"/>
    </row>
    <row r="18" spans="1:7">
      <c r="A18" s="23"/>
      <c r="B18" s="23"/>
      <c r="C18" s="19" t="s">
        <v>2</v>
      </c>
      <c r="D18" s="23"/>
      <c r="E18" s="23"/>
      <c r="F18" s="23"/>
      <c r="G18" s="23"/>
    </row>
    <row r="19" spans="1:7">
      <c r="F19" s="23"/>
      <c r="G19" s="23"/>
    </row>
    <row r="20" spans="1:7">
      <c r="A20" s="24" t="s">
        <v>39</v>
      </c>
      <c r="B20" s="24"/>
      <c r="C20" s="24"/>
      <c r="D20" s="24"/>
      <c r="E20" s="24"/>
      <c r="F20" s="24"/>
      <c r="G20" s="24"/>
    </row>
    <row r="21" spans="1:7">
      <c r="A21" s="22" t="s">
        <v>40</v>
      </c>
      <c r="B21" s="22" t="s">
        <v>41</v>
      </c>
      <c r="C21" s="22" t="s">
        <v>42</v>
      </c>
      <c r="D21" s="22" t="s">
        <v>43</v>
      </c>
      <c r="E21" s="22" t="s">
        <v>44</v>
      </c>
      <c r="F21" s="22" t="s">
        <v>45</v>
      </c>
      <c r="G21" s="22" t="s">
        <v>46</v>
      </c>
    </row>
    <row r="22" spans="1:7">
      <c r="A22" s="22" t="s">
        <v>47</v>
      </c>
      <c r="B22" s="22" t="s">
        <v>48</v>
      </c>
      <c r="C22" s="22" t="s">
        <v>49</v>
      </c>
      <c r="D22" s="22" t="s">
        <v>50</v>
      </c>
      <c r="E22" s="22" t="s">
        <v>51</v>
      </c>
      <c r="F22" s="22" t="s">
        <v>52</v>
      </c>
      <c r="G22" s="22" t="s">
        <v>53</v>
      </c>
    </row>
    <row r="23" spans="1:7">
      <c r="A23" s="22" t="s">
        <v>54</v>
      </c>
      <c r="B23" s="22" t="s">
        <v>55</v>
      </c>
      <c r="C23" s="22" t="s">
        <v>56</v>
      </c>
      <c r="D23" s="25" t="s">
        <v>57</v>
      </c>
      <c r="E23" s="22" t="s">
        <v>51</v>
      </c>
      <c r="F23" s="22" t="s">
        <v>52</v>
      </c>
      <c r="G23" s="22" t="s">
        <v>53</v>
      </c>
    </row>
    <row r="24" spans="1:7">
      <c r="A24" s="22" t="s">
        <v>58</v>
      </c>
      <c r="B24" s="22" t="s">
        <v>55</v>
      </c>
      <c r="C24" s="22" t="s">
        <v>59</v>
      </c>
      <c r="D24" s="22" t="s">
        <v>60</v>
      </c>
      <c r="E24" s="22" t="s">
        <v>51</v>
      </c>
      <c r="F24" s="22" t="s">
        <v>52</v>
      </c>
      <c r="G24" s="22" t="s">
        <v>53</v>
      </c>
    </row>
    <row r="25" spans="1:7">
      <c r="A25" s="22" t="s">
        <v>61</v>
      </c>
      <c r="B25" s="22"/>
      <c r="C25" s="22"/>
      <c r="D25" s="22"/>
      <c r="E25" s="22"/>
      <c r="F25" s="22"/>
      <c r="G25" s="22"/>
    </row>
    <row r="26" spans="1:7">
      <c r="A26" s="22" t="s">
        <v>40</v>
      </c>
      <c r="B26" s="22" t="s">
        <v>41</v>
      </c>
      <c r="C26" s="22" t="s">
        <v>42</v>
      </c>
      <c r="D26" s="22" t="s">
        <v>43</v>
      </c>
      <c r="E26" s="22" t="s">
        <v>44</v>
      </c>
      <c r="F26" s="22" t="s">
        <v>45</v>
      </c>
      <c r="G26" s="22" t="s">
        <v>46</v>
      </c>
    </row>
    <row r="27" spans="1:7">
      <c r="A27" s="22" t="s">
        <v>62</v>
      </c>
      <c r="B27" s="22" t="s">
        <v>63</v>
      </c>
      <c r="C27" s="22" t="s">
        <v>64</v>
      </c>
      <c r="D27" s="22" t="s">
        <v>65</v>
      </c>
      <c r="E27" s="22" t="s">
        <v>66</v>
      </c>
      <c r="F27" s="22" t="s">
        <v>53</v>
      </c>
      <c r="G27" s="22" t="s">
        <v>52</v>
      </c>
    </row>
    <row r="28" spans="1:7">
      <c r="A28" s="22" t="s">
        <v>67</v>
      </c>
      <c r="B28" s="22" t="s">
        <v>63</v>
      </c>
      <c r="C28" s="22" t="s">
        <v>68</v>
      </c>
      <c r="D28" s="22" t="s">
        <v>69</v>
      </c>
      <c r="E28" s="22" t="s">
        <v>70</v>
      </c>
      <c r="F28" s="22" t="s">
        <v>53</v>
      </c>
      <c r="G28" s="22" t="s">
        <v>52</v>
      </c>
    </row>
    <row r="29" spans="1:7">
      <c r="A29" s="22" t="s">
        <v>71</v>
      </c>
      <c r="B29" s="22" t="s">
        <v>72</v>
      </c>
      <c r="C29" s="22" t="s">
        <v>73</v>
      </c>
      <c r="D29" s="22" t="s">
        <v>74</v>
      </c>
      <c r="E29" s="22" t="s">
        <v>70</v>
      </c>
      <c r="F29" s="22" t="s">
        <v>52</v>
      </c>
      <c r="G29" s="22" t="s">
        <v>53</v>
      </c>
    </row>
    <row r="30" spans="1:7">
      <c r="A30" s="22" t="s">
        <v>75</v>
      </c>
      <c r="B30" s="22" t="s">
        <v>63</v>
      </c>
      <c r="C30" s="22" t="s">
        <v>76</v>
      </c>
      <c r="D30" s="22" t="s">
        <v>77</v>
      </c>
      <c r="E30" s="22" t="s">
        <v>78</v>
      </c>
      <c r="F30" s="22" t="s">
        <v>52</v>
      </c>
      <c r="G30" s="22" t="s">
        <v>53</v>
      </c>
    </row>
    <row r="31" spans="1:7">
      <c r="A31" s="22" t="s">
        <v>79</v>
      </c>
      <c r="B31" s="22" t="s">
        <v>48</v>
      </c>
      <c r="C31" s="22" t="s">
        <v>80</v>
      </c>
      <c r="D31" s="22" t="s">
        <v>81</v>
      </c>
      <c r="E31" s="22" t="s">
        <v>66</v>
      </c>
      <c r="F31" s="22" t="s">
        <v>52</v>
      </c>
      <c r="G31" s="22" t="s">
        <v>53</v>
      </c>
    </row>
    <row r="32" spans="1:7">
      <c r="A32" s="22" t="s">
        <v>82</v>
      </c>
      <c r="B32" s="22" t="s">
        <v>63</v>
      </c>
      <c r="C32" s="22" t="s">
        <v>83</v>
      </c>
      <c r="D32" s="22" t="s">
        <v>84</v>
      </c>
      <c r="E32" s="22" t="s">
        <v>66</v>
      </c>
      <c r="F32" s="22" t="s">
        <v>52</v>
      </c>
      <c r="G32" s="22" t="s">
        <v>53</v>
      </c>
    </row>
    <row r="33" spans="1:7">
      <c r="A33" s="22" t="s">
        <v>85</v>
      </c>
      <c r="B33" s="22" t="s">
        <v>63</v>
      </c>
      <c r="C33" s="22" t="s">
        <v>86</v>
      </c>
      <c r="D33" s="22" t="s">
        <v>87</v>
      </c>
      <c r="E33" s="22" t="s">
        <v>70</v>
      </c>
      <c r="F33" s="22" t="s">
        <v>52</v>
      </c>
      <c r="G33" s="22" t="s">
        <v>53</v>
      </c>
    </row>
    <row r="34" spans="1:7">
      <c r="A34" s="22" t="s">
        <v>88</v>
      </c>
      <c r="B34" s="22" t="s">
        <v>89</v>
      </c>
      <c r="C34" s="22" t="s">
        <v>90</v>
      </c>
      <c r="D34" s="22" t="s">
        <v>91</v>
      </c>
      <c r="E34" s="22" t="s">
        <v>66</v>
      </c>
      <c r="F34" s="22" t="s">
        <v>52</v>
      </c>
      <c r="G34" s="22" t="s">
        <v>53</v>
      </c>
    </row>
    <row r="35" spans="1:7">
      <c r="A35" s="22" t="s">
        <v>92</v>
      </c>
      <c r="B35" s="22" t="s">
        <v>55</v>
      </c>
      <c r="C35" s="22" t="s">
        <v>93</v>
      </c>
      <c r="D35" s="22" t="s">
        <v>94</v>
      </c>
      <c r="E35" s="22" t="s">
        <v>95</v>
      </c>
      <c r="F35" s="22" t="s">
        <v>52</v>
      </c>
      <c r="G35" s="22" t="s">
        <v>53</v>
      </c>
    </row>
    <row r="36" spans="1:7">
      <c r="A36" s="22" t="s">
        <v>96</v>
      </c>
      <c r="B36" s="22" t="s">
        <v>72</v>
      </c>
      <c r="C36" s="22" t="s">
        <v>97</v>
      </c>
      <c r="D36" s="22" t="s">
        <v>98</v>
      </c>
      <c r="E36" s="22" t="s">
        <v>29</v>
      </c>
      <c r="F36" s="22" t="s">
        <v>52</v>
      </c>
      <c r="G36" s="22" t="s">
        <v>53</v>
      </c>
    </row>
    <row r="37" spans="1:7">
      <c r="A37" s="22" t="s">
        <v>99</v>
      </c>
      <c r="B37" s="22" t="s">
        <v>63</v>
      </c>
      <c r="C37" s="22" t="s">
        <v>100</v>
      </c>
      <c r="D37" s="22" t="s">
        <v>101</v>
      </c>
      <c r="E37" s="22" t="s">
        <v>31</v>
      </c>
      <c r="F37" s="22" t="s">
        <v>53</v>
      </c>
      <c r="G37" s="22" t="s">
        <v>52</v>
      </c>
    </row>
    <row r="38" spans="1:7">
      <c r="A38" s="22" t="s">
        <v>102</v>
      </c>
      <c r="B38" s="22" t="s">
        <v>72</v>
      </c>
      <c r="C38" s="22" t="s">
        <v>103</v>
      </c>
      <c r="D38" s="22" t="s">
        <v>104</v>
      </c>
      <c r="E38" s="22" t="s">
        <v>105</v>
      </c>
      <c r="F38" s="22" t="s">
        <v>52</v>
      </c>
      <c r="G38" s="22" t="s">
        <v>53</v>
      </c>
    </row>
    <row r="39" spans="1:7">
      <c r="A39" s="22" t="s">
        <v>106</v>
      </c>
      <c r="B39" s="22" t="s">
        <v>55</v>
      </c>
      <c r="C39" s="22" t="s">
        <v>107</v>
      </c>
      <c r="D39" s="22" t="s">
        <v>108</v>
      </c>
      <c r="E39" s="22" t="s">
        <v>105</v>
      </c>
      <c r="F39" s="22" t="s">
        <v>52</v>
      </c>
      <c r="G39" s="22" t="s">
        <v>53</v>
      </c>
    </row>
    <row r="40" spans="1:7">
      <c r="A40" s="22" t="s">
        <v>109</v>
      </c>
      <c r="B40" s="22" t="s">
        <v>48</v>
      </c>
      <c r="C40" s="22" t="s">
        <v>110</v>
      </c>
      <c r="D40" s="22" t="s">
        <v>111</v>
      </c>
      <c r="E40" s="22" t="s">
        <v>35</v>
      </c>
      <c r="F40" s="22" t="s">
        <v>52</v>
      </c>
      <c r="G40" s="22" t="s">
        <v>53</v>
      </c>
    </row>
    <row r="41" spans="1:7">
      <c r="A41" s="26" t="s">
        <v>112</v>
      </c>
      <c r="B41" s="26" t="s">
        <v>48</v>
      </c>
      <c r="C41" s="26" t="s">
        <v>113</v>
      </c>
      <c r="D41" s="26" t="s">
        <v>114</v>
      </c>
      <c r="E41" s="27" t="s">
        <v>115</v>
      </c>
      <c r="F41" s="26" t="s">
        <v>52</v>
      </c>
      <c r="G41" s="26" t="s">
        <v>53</v>
      </c>
    </row>
    <row r="42" spans="1:7">
      <c r="A42" s="22" t="s">
        <v>116</v>
      </c>
      <c r="B42" s="22" t="s">
        <v>72</v>
      </c>
      <c r="C42" s="22" t="s">
        <v>117</v>
      </c>
      <c r="D42" s="22" t="s">
        <v>118</v>
      </c>
      <c r="E42" s="22" t="s">
        <v>119</v>
      </c>
      <c r="F42" s="22" t="s">
        <v>52</v>
      </c>
      <c r="G42" s="22" t="s">
        <v>52</v>
      </c>
    </row>
    <row r="43" spans="1:7">
      <c r="A43" s="22" t="s">
        <v>120</v>
      </c>
      <c r="B43" s="22" t="s">
        <v>72</v>
      </c>
      <c r="C43" s="22" t="s">
        <v>121</v>
      </c>
      <c r="D43" s="22" t="s">
        <v>122</v>
      </c>
      <c r="E43" s="22" t="s">
        <v>119</v>
      </c>
      <c r="F43" s="22" t="s">
        <v>52</v>
      </c>
      <c r="G43" s="22" t="s">
        <v>52</v>
      </c>
    </row>
    <row r="45" spans="1:7">
      <c r="A45" s="28" t="s">
        <v>123</v>
      </c>
      <c r="B45" s="28"/>
      <c r="C45" s="28"/>
      <c r="D45" s="29"/>
      <c r="E45" s="29"/>
      <c r="F45" s="29"/>
      <c r="G45" s="29"/>
    </row>
    <row r="46" spans="1:7">
      <c r="A46" s="22" t="s">
        <v>124</v>
      </c>
      <c r="B46" s="22" t="s">
        <v>41</v>
      </c>
      <c r="C46" s="22" t="s">
        <v>42</v>
      </c>
      <c r="D46" s="22" t="s">
        <v>43</v>
      </c>
      <c r="E46" s="22" t="s">
        <v>44</v>
      </c>
      <c r="F46" s="22"/>
      <c r="G46" s="22"/>
    </row>
    <row r="47" spans="1:7">
      <c r="A47" s="22" t="s">
        <v>125</v>
      </c>
      <c r="B47" s="22" t="s">
        <v>55</v>
      </c>
      <c r="C47" s="22" t="s">
        <v>126</v>
      </c>
      <c r="D47" s="22" t="s">
        <v>127</v>
      </c>
      <c r="E47" s="22" t="s">
        <v>70</v>
      </c>
      <c r="F47" s="22"/>
      <c r="G47" s="22"/>
    </row>
    <row r="48" spans="1:7">
      <c r="A48" s="22" t="s">
        <v>128</v>
      </c>
      <c r="B48" s="22" t="s">
        <v>72</v>
      </c>
      <c r="C48" s="22" t="s">
        <v>129</v>
      </c>
      <c r="D48" s="22" t="s">
        <v>130</v>
      </c>
      <c r="E48" s="22" t="s">
        <v>51</v>
      </c>
      <c r="F48" s="22"/>
      <c r="G48" s="22"/>
    </row>
    <row r="49" spans="1:7">
      <c r="A49" s="22" t="s">
        <v>131</v>
      </c>
      <c r="B49" s="22" t="s">
        <v>72</v>
      </c>
      <c r="C49" s="22" t="s">
        <v>132</v>
      </c>
      <c r="D49" s="22" t="s">
        <v>133</v>
      </c>
      <c r="E49" s="22" t="s">
        <v>51</v>
      </c>
      <c r="F49" s="22"/>
      <c r="G49" s="22"/>
    </row>
    <row r="50" spans="1:7">
      <c r="A50" s="22" t="s">
        <v>134</v>
      </c>
      <c r="B50" s="22" t="s">
        <v>72</v>
      </c>
      <c r="C50" s="22" t="s">
        <v>135</v>
      </c>
      <c r="D50" s="22" t="s">
        <v>136</v>
      </c>
      <c r="E50" s="22" t="s">
        <v>51</v>
      </c>
      <c r="F50" s="22"/>
      <c r="G50" s="22"/>
    </row>
    <row r="51" spans="1:7">
      <c r="A51" s="22" t="s">
        <v>137</v>
      </c>
      <c r="B51" s="22" t="s">
        <v>72</v>
      </c>
      <c r="C51" s="22" t="s">
        <v>138</v>
      </c>
      <c r="D51" s="22" t="s">
        <v>139</v>
      </c>
      <c r="E51" s="22" t="s">
        <v>140</v>
      </c>
      <c r="F51" s="22"/>
      <c r="G51" s="22"/>
    </row>
    <row r="52" spans="1:7">
      <c r="A52" s="22" t="s">
        <v>141</v>
      </c>
      <c r="B52" s="22" t="s">
        <v>72</v>
      </c>
      <c r="C52" s="22" t="s">
        <v>142</v>
      </c>
      <c r="D52" s="22" t="s">
        <v>143</v>
      </c>
      <c r="E52" s="22" t="s">
        <v>95</v>
      </c>
      <c r="F52" s="22"/>
      <c r="G52" s="22"/>
    </row>
    <row r="53" spans="1:7">
      <c r="A53" s="22" t="s">
        <v>144</v>
      </c>
      <c r="B53" s="22" t="s">
        <v>72</v>
      </c>
      <c r="C53" s="22" t="s">
        <v>145</v>
      </c>
      <c r="D53" s="22" t="s">
        <v>146</v>
      </c>
      <c r="E53" s="22" t="s">
        <v>95</v>
      </c>
      <c r="F53" s="22"/>
      <c r="G53" s="22"/>
    </row>
    <row r="54" spans="1:7">
      <c r="A54" s="22" t="s">
        <v>147</v>
      </c>
      <c r="B54" s="22" t="s">
        <v>72</v>
      </c>
      <c r="C54" s="22" t="s">
        <v>148</v>
      </c>
      <c r="D54" s="22" t="s">
        <v>149</v>
      </c>
      <c r="E54" s="22" t="s">
        <v>95</v>
      </c>
      <c r="F54" s="22"/>
      <c r="G54" s="22"/>
    </row>
    <row r="55" spans="1:7">
      <c r="A55" s="22" t="s">
        <v>150</v>
      </c>
      <c r="B55" s="22" t="s">
        <v>72</v>
      </c>
      <c r="C55" s="22" t="s">
        <v>151</v>
      </c>
      <c r="D55" s="22" t="s">
        <v>152</v>
      </c>
      <c r="E55" s="22" t="s">
        <v>95</v>
      </c>
      <c r="F55" s="22"/>
      <c r="G55" s="22"/>
    </row>
    <row r="56" spans="1:7">
      <c r="A56" s="22" t="s">
        <v>153</v>
      </c>
      <c r="B56" s="22" t="s">
        <v>48</v>
      </c>
      <c r="C56" s="22" t="s">
        <v>154</v>
      </c>
      <c r="D56" s="22" t="s">
        <v>155</v>
      </c>
      <c r="E56" s="22" t="s">
        <v>70</v>
      </c>
      <c r="F56" s="22" t="s">
        <v>52</v>
      </c>
      <c r="G56" s="22" t="s">
        <v>53</v>
      </c>
    </row>
    <row r="57" spans="1:7">
      <c r="A57" s="22" t="s">
        <v>156</v>
      </c>
      <c r="B57" s="22" t="s">
        <v>72</v>
      </c>
      <c r="C57" s="22" t="s">
        <v>157</v>
      </c>
      <c r="D57" s="22" t="s">
        <v>158</v>
      </c>
      <c r="E57" s="22" t="s">
        <v>70</v>
      </c>
      <c r="F57" s="22" t="s">
        <v>52</v>
      </c>
      <c r="G57" s="22" t="s">
        <v>53</v>
      </c>
    </row>
    <row r="58" spans="1:7">
      <c r="A58" s="22" t="s">
        <v>159</v>
      </c>
      <c r="B58" s="22" t="s">
        <v>72</v>
      </c>
      <c r="C58" s="22" t="s">
        <v>160</v>
      </c>
      <c r="D58" s="22" t="s">
        <v>161</v>
      </c>
      <c r="E58" s="22" t="s">
        <v>70</v>
      </c>
      <c r="F58" s="22" t="s">
        <v>52</v>
      </c>
      <c r="G58" s="22" t="s">
        <v>53</v>
      </c>
    </row>
    <row r="61" spans="1:7">
      <c r="A61" s="28" t="s">
        <v>162</v>
      </c>
      <c r="B61" s="28" t="s">
        <v>40</v>
      </c>
      <c r="C61" s="28" t="s">
        <v>42</v>
      </c>
      <c r="D61" s="30" t="s">
        <v>163</v>
      </c>
      <c r="E61" s="31" t="s">
        <v>164</v>
      </c>
      <c r="F61" s="28" t="s">
        <v>165</v>
      </c>
      <c r="G61" s="28" t="s">
        <v>166</v>
      </c>
    </row>
    <row r="62" spans="1:7">
      <c r="A62" s="32">
        <v>0</v>
      </c>
      <c r="B62" s="32" t="s">
        <v>167</v>
      </c>
      <c r="C62" s="32" t="s">
        <v>168</v>
      </c>
      <c r="D62" s="20" t="s">
        <v>169</v>
      </c>
      <c r="E62" s="33" t="s">
        <v>170</v>
      </c>
      <c r="F62" s="33" t="s">
        <v>171</v>
      </c>
      <c r="G62" s="20"/>
    </row>
    <row r="63" spans="1:7">
      <c r="A63" s="34">
        <v>1</v>
      </c>
      <c r="B63" s="34" t="s">
        <v>172</v>
      </c>
      <c r="C63" s="34" t="s">
        <v>173</v>
      </c>
      <c r="D63" s="20" t="s">
        <v>174</v>
      </c>
      <c r="E63" s="33" t="s">
        <v>175</v>
      </c>
      <c r="F63" s="20" t="s">
        <v>176</v>
      </c>
      <c r="G63" s="20" t="s">
        <v>177</v>
      </c>
    </row>
    <row r="64" spans="1:7">
      <c r="A64" s="34">
        <v>2</v>
      </c>
      <c r="B64" s="34" t="s">
        <v>178</v>
      </c>
      <c r="C64" s="34" t="s">
        <v>179</v>
      </c>
      <c r="D64" s="20" t="s">
        <v>180</v>
      </c>
      <c r="E64" s="33" t="s">
        <v>181</v>
      </c>
      <c r="F64" s="20" t="s">
        <v>182</v>
      </c>
      <c r="G64" s="20" t="s">
        <v>183</v>
      </c>
    </row>
    <row r="65" spans="1:7">
      <c r="A65" s="34">
        <v>3</v>
      </c>
      <c r="B65" s="34" t="s">
        <v>184</v>
      </c>
      <c r="C65" s="34" t="s">
        <v>185</v>
      </c>
      <c r="D65" s="20" t="s">
        <v>186</v>
      </c>
      <c r="E65" s="33" t="s">
        <v>187</v>
      </c>
      <c r="F65" s="20" t="s">
        <v>188</v>
      </c>
      <c r="G65" s="20" t="s">
        <v>189</v>
      </c>
    </row>
    <row r="66" ht="15" customHeight="1" spans="1:7">
      <c r="A66" s="34">
        <v>4</v>
      </c>
      <c r="B66" s="34" t="s">
        <v>190</v>
      </c>
      <c r="C66" s="34" t="s">
        <v>191</v>
      </c>
      <c r="D66" s="20" t="s">
        <v>192</v>
      </c>
      <c r="E66" s="33" t="s">
        <v>193</v>
      </c>
      <c r="F66" s="20" t="s">
        <v>194</v>
      </c>
      <c r="G66" s="20" t="s">
        <v>195</v>
      </c>
    </row>
    <row r="67" spans="1:7">
      <c r="A67" s="34">
        <v>5</v>
      </c>
      <c r="B67" s="34" t="s">
        <v>196</v>
      </c>
      <c r="C67" s="34" t="s">
        <v>197</v>
      </c>
      <c r="D67" s="20" t="s">
        <v>198</v>
      </c>
      <c r="E67" s="33" t="s">
        <v>199</v>
      </c>
      <c r="F67" s="20" t="s">
        <v>200</v>
      </c>
      <c r="G67" s="20" t="s">
        <v>201</v>
      </c>
    </row>
    <row r="68" spans="1:7">
      <c r="A68" s="34">
        <v>6</v>
      </c>
      <c r="B68" s="34" t="s">
        <v>202</v>
      </c>
      <c r="C68" s="34" t="s">
        <v>203</v>
      </c>
      <c r="D68" s="20" t="s">
        <v>204</v>
      </c>
      <c r="E68" s="33" t="s">
        <v>205</v>
      </c>
      <c r="F68" s="20" t="s">
        <v>206</v>
      </c>
      <c r="G68" s="20" t="s">
        <v>207</v>
      </c>
    </row>
    <row r="69" spans="1:7">
      <c r="A69" s="34">
        <v>7</v>
      </c>
      <c r="B69" s="34" t="s">
        <v>208</v>
      </c>
      <c r="C69" s="34" t="s">
        <v>209</v>
      </c>
      <c r="D69" s="20" t="s">
        <v>210</v>
      </c>
      <c r="E69" s="33" t="s">
        <v>211</v>
      </c>
      <c r="F69" s="20" t="s">
        <v>212</v>
      </c>
      <c r="G69" s="20" t="s">
        <v>213</v>
      </c>
    </row>
    <row r="70" spans="1:7">
      <c r="A70" s="34">
        <v>8</v>
      </c>
      <c r="B70" s="34" t="s">
        <v>214</v>
      </c>
      <c r="C70" s="34" t="s">
        <v>215</v>
      </c>
      <c r="D70" s="20" t="s">
        <v>216</v>
      </c>
      <c r="E70" s="33" t="s">
        <v>217</v>
      </c>
      <c r="F70" s="20" t="s">
        <v>218</v>
      </c>
      <c r="G70" s="20" t="s">
        <v>219</v>
      </c>
    </row>
    <row r="71" spans="1:7">
      <c r="A71" s="34">
        <v>9</v>
      </c>
      <c r="B71" s="34" t="s">
        <v>220</v>
      </c>
      <c r="C71" s="34" t="s">
        <v>221</v>
      </c>
      <c r="D71" s="20" t="s">
        <v>222</v>
      </c>
      <c r="E71" s="33" t="s">
        <v>223</v>
      </c>
      <c r="F71" s="20" t="s">
        <v>224</v>
      </c>
      <c r="G71" s="20" t="s">
        <v>225</v>
      </c>
    </row>
    <row r="72" spans="1:7">
      <c r="A72" s="34">
        <v>10</v>
      </c>
      <c r="B72" s="34" t="s">
        <v>226</v>
      </c>
      <c r="C72" s="34" t="s">
        <v>227</v>
      </c>
      <c r="D72" s="20" t="s">
        <v>228</v>
      </c>
      <c r="E72" s="33" t="s">
        <v>229</v>
      </c>
      <c r="F72" s="20" t="s">
        <v>230</v>
      </c>
      <c r="G72" s="20" t="s">
        <v>231</v>
      </c>
    </row>
    <row r="73" spans="1:7">
      <c r="A73" s="34">
        <v>11</v>
      </c>
      <c r="B73" s="34" t="s">
        <v>232</v>
      </c>
      <c r="C73" s="34" t="s">
        <v>233</v>
      </c>
      <c r="F73" s="20" t="s">
        <v>22</v>
      </c>
      <c r="G73" s="20"/>
    </row>
    <row r="74" spans="1:7">
      <c r="A74" s="34">
        <v>12</v>
      </c>
      <c r="B74" s="34" t="s">
        <v>234</v>
      </c>
      <c r="C74" s="34" t="s">
        <v>235</v>
      </c>
      <c r="F74" s="32" t="s">
        <v>236</v>
      </c>
      <c r="G74" s="18"/>
    </row>
    <row r="75" spans="1:7">
      <c r="A75" s="34">
        <v>13</v>
      </c>
      <c r="B75" s="34" t="s">
        <v>237</v>
      </c>
      <c r="C75" s="34" t="s">
        <v>238</v>
      </c>
      <c r="F75" s="18" t="s">
        <v>239</v>
      </c>
      <c r="G75" s="32" t="s">
        <v>240</v>
      </c>
    </row>
    <row r="76" spans="1:7">
      <c r="A76" s="34">
        <v>14</v>
      </c>
      <c r="B76" s="34" t="s">
        <v>241</v>
      </c>
      <c r="C76" s="34" t="s">
        <v>242</v>
      </c>
    </row>
    <row r="77" spans="1:7">
      <c r="A77" s="34">
        <v>15</v>
      </c>
      <c r="B77" s="34" t="s">
        <v>243</v>
      </c>
      <c r="C77" s="34"/>
    </row>
    <row r="78" spans="1:7">
      <c r="A78" s="34">
        <v>16</v>
      </c>
      <c r="B78" s="34" t="s">
        <v>244</v>
      </c>
      <c r="C78" s="34" t="s">
        <v>245</v>
      </c>
    </row>
    <row r="79" spans="1:7">
      <c r="A79" s="34">
        <v>17</v>
      </c>
      <c r="B79" s="34" t="s">
        <v>246</v>
      </c>
      <c r="C79" s="34" t="s">
        <v>247</v>
      </c>
    </row>
    <row r="80" spans="1:7">
      <c r="A80" s="34">
        <v>18</v>
      </c>
      <c r="B80" s="34" t="s">
        <v>248</v>
      </c>
      <c r="C80" s="34" t="s">
        <v>249</v>
      </c>
    </row>
    <row r="81" spans="1:5">
      <c r="A81" s="34">
        <v>19</v>
      </c>
      <c r="B81" s="34" t="s">
        <v>250</v>
      </c>
      <c r="C81" s="34" t="s">
        <v>251</v>
      </c>
    </row>
    <row r="82" spans="1:5">
      <c r="A82" s="34">
        <v>20</v>
      </c>
      <c r="B82" s="34" t="s">
        <v>252</v>
      </c>
      <c r="C82" s="34" t="s">
        <v>253</v>
      </c>
    </row>
    <row r="84" spans="1:5">
      <c r="A84" s="24" t="s">
        <v>40</v>
      </c>
      <c r="B84" s="24" t="s">
        <v>41</v>
      </c>
      <c r="C84" s="24" t="s">
        <v>42</v>
      </c>
      <c r="D84" s="24" t="s">
        <v>43</v>
      </c>
      <c r="E84" s="24"/>
    </row>
    <row r="85" spans="1:5">
      <c r="A85" s="26" t="s">
        <v>254</v>
      </c>
      <c r="B85" s="26"/>
      <c r="C85" s="26"/>
      <c r="D85" s="26"/>
      <c r="E85" s="26" t="s">
        <v>255</v>
      </c>
    </row>
    <row r="86" customHeight="1" spans="1:5">
      <c r="A86" s="22" t="s">
        <v>256</v>
      </c>
      <c r="B86" s="22" t="s">
        <v>63</v>
      </c>
      <c r="C86" s="22" t="s">
        <v>257</v>
      </c>
      <c r="D86" s="22" t="s">
        <v>258</v>
      </c>
      <c r="E86" s="22" t="s">
        <v>259</v>
      </c>
    </row>
    <row r="87" customHeight="1" spans="1:5">
      <c r="A87" s="22" t="s">
        <v>260</v>
      </c>
      <c r="B87" s="22" t="s">
        <v>48</v>
      </c>
      <c r="C87" s="22" t="s">
        <v>261</v>
      </c>
      <c r="D87" s="22" t="s">
        <v>262</v>
      </c>
      <c r="E87" s="22"/>
    </row>
    <row r="88" customHeight="1" spans="1:5">
      <c r="A88" s="22" t="s">
        <v>263</v>
      </c>
      <c r="B88" s="22" t="s">
        <v>72</v>
      </c>
      <c r="C88" s="22" t="s">
        <v>264</v>
      </c>
      <c r="D88" s="22" t="s">
        <v>265</v>
      </c>
      <c r="E88" s="22" t="s">
        <v>266</v>
      </c>
    </row>
    <row r="89" customHeight="1" spans="1:5">
      <c r="A89" s="22" t="s">
        <v>267</v>
      </c>
      <c r="B89" s="22" t="s">
        <v>72</v>
      </c>
      <c r="C89" s="22" t="s">
        <v>268</v>
      </c>
      <c r="D89" s="22" t="s">
        <v>269</v>
      </c>
      <c r="E89" s="22"/>
    </row>
    <row r="90" customHeight="1" spans="1:5">
      <c r="A90" s="22" t="s">
        <v>270</v>
      </c>
      <c r="B90" s="22" t="s">
        <v>48</v>
      </c>
      <c r="C90" s="22" t="s">
        <v>271</v>
      </c>
      <c r="D90" s="22" t="s">
        <v>272</v>
      </c>
      <c r="E90" s="22" t="s">
        <v>273</v>
      </c>
    </row>
    <row r="91" customHeight="1" spans="1:5">
      <c r="A91" s="26" t="s">
        <v>274</v>
      </c>
      <c r="B91" s="26" t="s">
        <v>63</v>
      </c>
      <c r="C91" s="26" t="s">
        <v>275</v>
      </c>
      <c r="D91" s="26" t="s">
        <v>276</v>
      </c>
      <c r="E91" s="26" t="s">
        <v>277</v>
      </c>
    </row>
    <row r="92" spans="1:5">
      <c r="A92" s="22" t="s">
        <v>58</v>
      </c>
      <c r="B92" s="22" t="s">
        <v>48</v>
      </c>
      <c r="C92" s="22" t="s">
        <v>278</v>
      </c>
      <c r="D92" s="22" t="s">
        <v>279</v>
      </c>
      <c r="E92" s="22" t="s">
        <v>280</v>
      </c>
    </row>
    <row r="93" spans="1:5">
      <c r="A93" s="22" t="s">
        <v>281</v>
      </c>
      <c r="B93" s="22" t="s">
        <v>282</v>
      </c>
      <c r="C93" s="22" t="s">
        <v>283</v>
      </c>
      <c r="D93" s="22" t="s">
        <v>284</v>
      </c>
      <c r="E93" s="22" t="s">
        <v>285</v>
      </c>
    </row>
    <row r="94" spans="1:5">
      <c r="A94" s="22" t="s">
        <v>286</v>
      </c>
      <c r="B94" s="22" t="s">
        <v>72</v>
      </c>
      <c r="C94" s="22" t="s">
        <v>287</v>
      </c>
      <c r="D94" s="22" t="s">
        <v>288</v>
      </c>
      <c r="E94" s="22"/>
    </row>
    <row r="95" spans="1:5">
      <c r="A95" s="22" t="s">
        <v>137</v>
      </c>
      <c r="B95" s="22" t="s">
        <v>72</v>
      </c>
      <c r="C95" s="22" t="s">
        <v>289</v>
      </c>
      <c r="D95" s="22" t="s">
        <v>139</v>
      </c>
      <c r="E95" s="22"/>
    </row>
    <row r="96" spans="1:5">
      <c r="A96" s="22" t="s">
        <v>290</v>
      </c>
      <c r="B96" s="22" t="s">
        <v>48</v>
      </c>
      <c r="C96" s="22" t="s">
        <v>291</v>
      </c>
      <c r="D96" s="22" t="s">
        <v>292</v>
      </c>
      <c r="E96" s="22"/>
    </row>
    <row r="97" spans="1:5">
      <c r="A97" s="22" t="s">
        <v>293</v>
      </c>
      <c r="B97" s="22" t="s">
        <v>72</v>
      </c>
      <c r="C97" s="22" t="s">
        <v>294</v>
      </c>
      <c r="D97" s="22" t="s">
        <v>295</v>
      </c>
      <c r="E97" s="22"/>
    </row>
    <row r="98" spans="1:5">
      <c r="A98" s="23"/>
      <c r="B98" s="23"/>
      <c r="C98" s="23"/>
      <c r="D98" s="23"/>
      <c r="E98" s="23"/>
    </row>
    <row r="99" spans="1:5">
      <c r="A99" s="26" t="s">
        <v>296</v>
      </c>
      <c r="B99" s="26"/>
      <c r="C99" s="26"/>
      <c r="D99" s="26"/>
      <c r="E99" s="26" t="s">
        <v>297</v>
      </c>
    </row>
    <row r="100" spans="1:5">
      <c r="A100" s="22" t="s">
        <v>298</v>
      </c>
      <c r="B100" s="22" t="s">
        <v>89</v>
      </c>
      <c r="C100" s="22" t="s">
        <v>299</v>
      </c>
      <c r="D100" s="22" t="s">
        <v>300</v>
      </c>
      <c r="E100" s="26" t="s">
        <v>301</v>
      </c>
    </row>
    <row r="101" spans="1:5">
      <c r="A101" s="22" t="s">
        <v>302</v>
      </c>
      <c r="B101" s="22" t="s">
        <v>89</v>
      </c>
      <c r="C101" s="22" t="s">
        <v>303</v>
      </c>
      <c r="D101" s="22" t="s">
        <v>304</v>
      </c>
      <c r="E101" s="26" t="s">
        <v>305</v>
      </c>
    </row>
    <row r="102" spans="1:5">
      <c r="A102" s="22" t="s">
        <v>306</v>
      </c>
      <c r="B102" s="22" t="s">
        <v>307</v>
      </c>
      <c r="C102" s="22" t="s">
        <v>308</v>
      </c>
      <c r="D102" s="22" t="s">
        <v>309</v>
      </c>
      <c r="E102" s="22"/>
    </row>
    <row r="103" spans="1:5">
      <c r="A103" s="22" t="s">
        <v>310</v>
      </c>
      <c r="B103" s="22" t="s">
        <v>48</v>
      </c>
      <c r="C103" s="22" t="s">
        <v>311</v>
      </c>
      <c r="D103" s="22" t="s">
        <v>312</v>
      </c>
      <c r="E103" s="22"/>
    </row>
    <row r="104" spans="1:5">
      <c r="A104" s="22" t="s">
        <v>313</v>
      </c>
      <c r="B104" s="22" t="s">
        <v>63</v>
      </c>
      <c r="C104" s="22" t="s">
        <v>314</v>
      </c>
      <c r="D104" s="22" t="s">
        <v>315</v>
      </c>
      <c r="E104" s="22"/>
    </row>
    <row r="105" spans="1:5">
      <c r="A105" s="23"/>
      <c r="B105" s="23"/>
      <c r="C105" s="23"/>
      <c r="D105" s="23"/>
      <c r="E105" s="23"/>
    </row>
    <row r="106" spans="1:5">
      <c r="A106" s="26" t="s">
        <v>316</v>
      </c>
      <c r="B106" s="26"/>
      <c r="C106" s="26"/>
      <c r="D106" s="26"/>
      <c r="E106" s="26" t="s">
        <v>317</v>
      </c>
    </row>
    <row r="107" spans="1:5">
      <c r="A107" s="22" t="s">
        <v>318</v>
      </c>
      <c r="B107" s="22" t="s">
        <v>63</v>
      </c>
      <c r="C107" s="22" t="s">
        <v>319</v>
      </c>
      <c r="D107" s="22" t="s">
        <v>320</v>
      </c>
      <c r="E107" s="22"/>
    </row>
    <row r="108" spans="1:5">
      <c r="A108" s="22" t="s">
        <v>82</v>
      </c>
      <c r="B108" s="22" t="s">
        <v>63</v>
      </c>
      <c r="C108" s="22" t="s">
        <v>321</v>
      </c>
      <c r="D108" s="22" t="s">
        <v>322</v>
      </c>
      <c r="E108" s="22"/>
    </row>
    <row r="109" spans="1:5">
      <c r="A109" s="26" t="s">
        <v>99</v>
      </c>
      <c r="B109" s="26" t="s">
        <v>63</v>
      </c>
      <c r="C109" s="26" t="s">
        <v>323</v>
      </c>
      <c r="D109" s="26" t="s">
        <v>324</v>
      </c>
      <c r="E109" s="26" t="s">
        <v>325</v>
      </c>
    </row>
    <row r="110" spans="1:5">
      <c r="A110" s="22" t="s">
        <v>326</v>
      </c>
      <c r="B110" s="22" t="s">
        <v>72</v>
      </c>
      <c r="C110" s="22" t="s">
        <v>327</v>
      </c>
      <c r="D110" s="22" t="s">
        <v>328</v>
      </c>
      <c r="E110" s="22"/>
    </row>
    <row r="111" spans="1:5">
      <c r="A111" s="22" t="s">
        <v>79</v>
      </c>
      <c r="B111" s="22" t="s">
        <v>48</v>
      </c>
      <c r="C111" s="22" t="s">
        <v>329</v>
      </c>
      <c r="D111" s="22" t="s">
        <v>330</v>
      </c>
      <c r="E111" s="22"/>
    </row>
    <row r="112" spans="1:5">
      <c r="A112" s="22" t="s">
        <v>128</v>
      </c>
      <c r="B112" s="22" t="s">
        <v>72</v>
      </c>
      <c r="C112" s="22" t="s">
        <v>331</v>
      </c>
      <c r="D112" s="22" t="s">
        <v>130</v>
      </c>
      <c r="E112" s="22"/>
    </row>
    <row r="113" spans="1:5">
      <c r="A113" s="22" t="s">
        <v>332</v>
      </c>
      <c r="B113" s="22" t="s">
        <v>333</v>
      </c>
      <c r="C113" s="22" t="s">
        <v>334</v>
      </c>
      <c r="D113" s="22" t="s">
        <v>335</v>
      </c>
      <c r="E113" s="37" t="s">
        <v>336</v>
      </c>
    </row>
    <row r="114" spans="1:5">
      <c r="A114" s="22" t="s">
        <v>337</v>
      </c>
      <c r="B114" s="22" t="s">
        <v>307</v>
      </c>
      <c r="C114" s="22" t="s">
        <v>338</v>
      </c>
      <c r="D114" s="22" t="s">
        <v>339</v>
      </c>
      <c r="E114" s="22"/>
    </row>
    <row r="115" spans="1:5">
      <c r="A115" s="26" t="s">
        <v>340</v>
      </c>
      <c r="B115" s="26" t="s">
        <v>48</v>
      </c>
      <c r="C115" s="26" t="s">
        <v>341</v>
      </c>
      <c r="D115" s="35" t="s">
        <v>342</v>
      </c>
      <c r="E115" s="27" t="s">
        <v>343</v>
      </c>
    </row>
    <row r="116" spans="1:5">
      <c r="E116" s="36" t="s">
        <v>344</v>
      </c>
    </row>
    <row r="117" spans="1:5">
      <c r="E117" s="36" t="s">
        <v>345</v>
      </c>
    </row>
    <row r="118" spans="1:5">
      <c r="E118" s="36" t="s">
        <v>346</v>
      </c>
    </row>
  </sheetData>
  <hyperlinks>
    <hyperlink ref="C107" r:id="rId1" display="动态属性编号"/>
    <hyperlink ref="E3" r:id="rId2" display="https://www.jx3box.com/tool/74098"/>
    <hyperlink ref="E2" r:id="rId3" display="https://www.jx3box.com/tool/60356"/>
  </hyperlink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79"/>
  <sheetViews>
    <sheetView topLeftCell="A136" workbookViewId="0">
      <selection activeCell="B156" sqref="B156"/>
    </sheetView>
  </sheetViews>
  <sheetFormatPr defaultColWidth="9" defaultRowHeight="13.5"/>
  <cols>
    <col min="1" max="1" width="6.625" style="2" customWidth="1"/>
    <col min="2" max="2" width="24.625" style="2" customWidth="1"/>
    <col min="3" max="5" width="6.625" style="3" customWidth="1"/>
    <col min="6" max="9" width="10.625" style="3" customWidth="1"/>
    <col min="10" max="10" width="8.625" style="3" customWidth="1"/>
    <col min="11" max="11" width="12.625" style="3" customWidth="1"/>
    <col min="12" max="12" width="8.625" style="3" customWidth="1"/>
    <col min="13" max="13" width="16.625" customWidth="1"/>
    <col min="14" max="15" width="18.625" customWidth="1"/>
    <col min="16" max="17" width="9" style="3"/>
    <col min="18" max="20" width="6.625" style="3" customWidth="1"/>
    <col min="21" max="23" width="10.625" customWidth="1"/>
    <col min="24" max="24" width="6.625" customWidth="1"/>
    <col min="25" max="25" width="10.625" customWidth="1"/>
    <col min="26" max="27" width="6.625" customWidth="1"/>
  </cols>
  <sheetData>
    <row r="1" spans="1:29">
      <c r="A1" s="4" t="s">
        <v>347</v>
      </c>
      <c r="B1" s="4" t="s">
        <v>348</v>
      </c>
      <c r="C1" s="4" t="s">
        <v>349</v>
      </c>
      <c r="D1" s="4" t="s">
        <v>350</v>
      </c>
      <c r="E1" s="4" t="s">
        <v>351</v>
      </c>
      <c r="F1" s="5" t="s">
        <v>352</v>
      </c>
      <c r="G1" s="5" t="s">
        <v>353</v>
      </c>
      <c r="H1" s="5" t="s">
        <v>354</v>
      </c>
      <c r="I1" s="5" t="s">
        <v>355</v>
      </c>
      <c r="J1" s="4" t="s">
        <v>356</v>
      </c>
      <c r="K1" s="4" t="s">
        <v>357</v>
      </c>
      <c r="L1" s="4" t="s">
        <v>358</v>
      </c>
      <c r="M1" s="4" t="s">
        <v>359</v>
      </c>
      <c r="N1" s="4" t="s">
        <v>360</v>
      </c>
      <c r="O1" s="4" t="s">
        <v>361</v>
      </c>
      <c r="P1" s="4" t="s">
        <v>362</v>
      </c>
      <c r="Q1" s="4"/>
      <c r="R1" s="4" t="s">
        <v>351</v>
      </c>
      <c r="S1" s="4" t="s">
        <v>363</v>
      </c>
      <c r="T1" s="4" t="s">
        <v>364</v>
      </c>
      <c r="U1" s="4"/>
      <c r="V1" s="4" t="s">
        <v>365</v>
      </c>
      <c r="W1" s="4"/>
      <c r="X1" s="6" t="s">
        <v>366</v>
      </c>
      <c r="Y1" s="5"/>
      <c r="Z1" s="6" t="s">
        <v>367</v>
      </c>
      <c r="AA1" s="5"/>
    </row>
    <row r="2" spans="1:29">
      <c r="A2" s="7">
        <v>-31</v>
      </c>
      <c r="B2" s="7"/>
      <c r="C2" s="7" t="s">
        <v>368</v>
      </c>
      <c r="D2" s="7">
        <v>0</v>
      </c>
      <c r="E2" s="7">
        <v>0</v>
      </c>
      <c r="F2" s="7" t="s">
        <v>368</v>
      </c>
      <c r="G2" s="7">
        <v>0</v>
      </c>
      <c r="H2" s="7" t="s">
        <v>369</v>
      </c>
      <c r="I2" s="7" t="s">
        <v>370</v>
      </c>
      <c r="J2" s="7" t="s">
        <v>371</v>
      </c>
      <c r="K2" s="38" t="s">
        <v>372</v>
      </c>
      <c r="L2" s="38" t="str">
        <f>DEC2HEX(LEFT(K2,FIND(",",K2)-1),2)&amp;DEC2HEX(LEFT(RIGHT(K2,LEN(K2)-LEN(LEFT(K2,FIND(",",K2)-1))-1),FIND(",",RIGHT(K2,LEN(K2)-LEN(LEFT(K2,FIND(",",K2)-1))-1))-1),2)&amp;DEC2HEX(LEFT(RIGHT(K2,LEN(K2)-LEN(LEFT(RIGHT(K2,LEN(K2)-LEN(LEFT(K2,FIND(",",K2)-1))-1),FIND(",",RIGHT(K2,LEN(K2)-LEN(LEFT(K2,FIND(",",K2)-1))-1))-1))-LEN(LEFT(K2,FIND(",",K2)-1))-2),FIND(",",RIGHT(K2,LEN(K2)-LEN(LEFT(RIGHT(K2,LEN(K2)-LEN(LEFT(K2,FIND(",",K2)-1))-1),FIND(",",RIGHT(K2,LEN(K2)-LEN(LEFT(K2,FIND(",",K2)-1))-1))-1))-LEN(LEFT(K2,FIND(",",K2)-1))-2))-1),2)</f>
        <v>3C80DC</v>
      </c>
      <c r="M2" s="7" t="s">
        <v>373</v>
      </c>
      <c r="N2" s="7" t="s">
        <v>374</v>
      </c>
      <c r="O2" s="7" t="s">
        <v>375</v>
      </c>
      <c r="P2" s="7" t="s">
        <v>376</v>
      </c>
      <c r="Q2" s="7" t="s">
        <v>377</v>
      </c>
      <c r="R2" s="7">
        <v>0</v>
      </c>
      <c r="S2" s="7" t="str">
        <f>""</f>
        <v/>
      </c>
      <c r="T2" s="7">
        <v>0</v>
      </c>
      <c r="U2" s="7" t="str">
        <f>""</f>
        <v/>
      </c>
      <c r="V2" s="7" t="s">
        <v>378</v>
      </c>
      <c r="W2" s="9" t="s">
        <v>379</v>
      </c>
      <c r="X2" s="7" t="s">
        <v>380</v>
      </c>
      <c r="Y2" s="7" t="s">
        <v>381</v>
      </c>
      <c r="Z2" s="7" t="s">
        <v>382</v>
      </c>
      <c r="AA2" s="7" t="s">
        <v>383</v>
      </c>
    </row>
    <row r="3" spans="1:29">
      <c r="A3" s="7">
        <v>-30</v>
      </c>
      <c r="B3" s="7"/>
      <c r="C3" s="7" t="s">
        <v>384</v>
      </c>
      <c r="D3" s="7">
        <v>1</v>
      </c>
      <c r="E3" s="7">
        <v>3</v>
      </c>
      <c r="F3" s="7" t="s">
        <v>385</v>
      </c>
      <c r="G3" s="7">
        <v>10003</v>
      </c>
      <c r="H3" s="7" t="s">
        <v>386</v>
      </c>
      <c r="I3" s="7" t="s">
        <v>387</v>
      </c>
      <c r="J3" s="7" t="s">
        <v>388</v>
      </c>
      <c r="K3" s="7" t="s">
        <v>389</v>
      </c>
      <c r="L3" s="38" t="str">
        <f>DEC2HEX(LEFT(K3,FIND(",",K3)-1),2)&amp;DEC2HEX(LEFT(RIGHT(K3,LEN(K3)-LEN(LEFT(K3,FIND(",",K3)-1))-1),FIND(",",RIGHT(K3,LEN(K3)-LEN(LEFT(K3,FIND(",",K3)-1))-1))-1),2)&amp;DEC2HEX(LEFT(RIGHT(K3,LEN(K3)-LEN(LEFT(RIGHT(K3,LEN(K3)-LEN(LEFT(K3,FIND(",",K3)-1))-1),FIND(",",RIGHT(K3,LEN(K3)-LEN(LEFT(K3,FIND(",",K3)-1))-1))-1))-LEN(LEFT(K3,FIND(",",K3)-1))-2),FIND(",",RIGHT(K3,LEN(K3)-LEN(LEFT(RIGHT(K3,LEN(K3)-LEN(LEFT(K3,FIND(",",K3)-1))-1),FIND(",",RIGHT(K3,LEN(K3)-LEN(LEFT(K3,FIND(",",K3)-1))-1))-1))-LEN(LEFT(K3,FIND(",",K3)-1))-2))-1),2)</f>
        <v>A01E1E</v>
      </c>
      <c r="M3" s="7" t="s">
        <v>390</v>
      </c>
      <c r="N3" s="7" t="s">
        <v>391</v>
      </c>
      <c r="O3" s="7" t="s">
        <v>392</v>
      </c>
      <c r="P3" s="7" t="s">
        <v>393</v>
      </c>
      <c r="Q3" s="7" t="s">
        <v>394</v>
      </c>
      <c r="R3" s="7">
        <v>1</v>
      </c>
      <c r="S3" s="7" t="s">
        <v>395</v>
      </c>
      <c r="T3" s="7">
        <v>1</v>
      </c>
      <c r="U3" s="7" t="s">
        <v>396</v>
      </c>
      <c r="V3" s="7" t="s">
        <v>397</v>
      </c>
      <c r="W3" s="9" t="s">
        <v>381</v>
      </c>
      <c r="X3" s="7" t="s">
        <v>395</v>
      </c>
      <c r="Y3" s="7" t="s">
        <v>379</v>
      </c>
      <c r="Z3" s="7" t="s">
        <v>398</v>
      </c>
      <c r="AA3" s="7" t="s">
        <v>383</v>
      </c>
    </row>
    <row r="4" spans="1:29">
      <c r="A4" s="7">
        <v>-29</v>
      </c>
      <c r="B4" s="7"/>
      <c r="C4" s="7" t="s">
        <v>399</v>
      </c>
      <c r="D4" s="7">
        <v>2</v>
      </c>
      <c r="E4" s="7">
        <v>2</v>
      </c>
      <c r="F4" s="7" t="s">
        <v>400</v>
      </c>
      <c r="G4" s="7">
        <v>10002</v>
      </c>
      <c r="H4" s="7" t="s">
        <v>386</v>
      </c>
      <c r="I4" s="7" t="s">
        <v>387</v>
      </c>
      <c r="J4" s="7" t="s">
        <v>401</v>
      </c>
      <c r="K4" s="7" t="s">
        <v>402</v>
      </c>
      <c r="L4" s="38" t="str">
        <f t="shared" ref="L4:L37" si="0">DEC2HEX(LEFT(K4,FIND(",",K4)-1),2)&amp;DEC2HEX(LEFT(RIGHT(K4,LEN(K4)-LEN(LEFT(K4,FIND(",",K4)-1))-1),FIND(",",RIGHT(K4,LEN(K4)-LEN(LEFT(K4,FIND(",",K4)-1))-1))-1),2)&amp;DEC2HEX(LEFT(RIGHT(K4,LEN(K4)-LEN(LEFT(RIGHT(K4,LEN(K4)-LEN(LEFT(K4,FIND(",",K4)-1))-1),FIND(",",RIGHT(K4,LEN(K4)-LEN(LEFT(K4,FIND(",",K4)-1))-1))-1))-LEN(LEFT(K4,FIND(",",K4)-1))-2),FIND(",",RIGHT(K4,LEN(K4)-LEN(LEFT(RIGHT(K4,LEN(K4)-LEN(LEFT(K4,FIND(",",K4)-1))-1),FIND(",",RIGHT(K4,LEN(K4)-LEN(LEFT(K4,FIND(",",K4)-1))-1))-1))-LEN(LEFT(K4,FIND(",",K4)-1))-2))-1),2)</f>
        <v>FFB25F</v>
      </c>
      <c r="M4" s="7" t="s">
        <v>403</v>
      </c>
      <c r="N4" s="7" t="s">
        <v>404</v>
      </c>
      <c r="O4" s="7" t="s">
        <v>405</v>
      </c>
      <c r="P4" s="7" t="s">
        <v>406</v>
      </c>
      <c r="Q4" s="7" t="s">
        <v>394</v>
      </c>
      <c r="R4" s="7">
        <v>2</v>
      </c>
      <c r="S4" s="7" t="s">
        <v>380</v>
      </c>
      <c r="T4" s="7">
        <v>2</v>
      </c>
      <c r="U4" s="7" t="s">
        <v>407</v>
      </c>
      <c r="V4" s="7" t="s">
        <v>408</v>
      </c>
      <c r="W4" s="9" t="s">
        <v>409</v>
      </c>
      <c r="X4" s="7" t="s">
        <v>383</v>
      </c>
      <c r="Y4" s="7" t="s">
        <v>410</v>
      </c>
      <c r="Z4" s="7" t="s">
        <v>411</v>
      </c>
      <c r="AA4" s="7" t="s">
        <v>383</v>
      </c>
    </row>
    <row r="5" spans="1:29">
      <c r="A5" s="7">
        <v>-28</v>
      </c>
      <c r="B5" s="7"/>
      <c r="C5" s="7" t="s">
        <v>412</v>
      </c>
      <c r="D5" s="7">
        <v>3</v>
      </c>
      <c r="E5" s="7">
        <v>4</v>
      </c>
      <c r="F5" s="7" t="s">
        <v>413</v>
      </c>
      <c r="G5" s="7">
        <v>10015</v>
      </c>
      <c r="H5" s="7" t="s">
        <v>414</v>
      </c>
      <c r="I5" s="7" t="s">
        <v>415</v>
      </c>
      <c r="J5" s="7" t="s">
        <v>399</v>
      </c>
      <c r="K5" s="38" t="s">
        <v>416</v>
      </c>
      <c r="L5" s="38" t="str">
        <f t="shared" si="0"/>
        <v>C498FF</v>
      </c>
      <c r="M5" s="7" t="s">
        <v>417</v>
      </c>
      <c r="N5" s="7" t="s">
        <v>418</v>
      </c>
      <c r="O5" s="7" t="s">
        <v>417</v>
      </c>
      <c r="P5" s="7" t="s">
        <v>419</v>
      </c>
      <c r="Q5" s="7" t="s">
        <v>394</v>
      </c>
      <c r="R5" s="7">
        <v>3</v>
      </c>
      <c r="S5" s="7" t="s">
        <v>420</v>
      </c>
      <c r="T5" s="7">
        <v>3</v>
      </c>
      <c r="U5" s="7" t="s">
        <v>421</v>
      </c>
      <c r="V5" s="7" t="s">
        <v>422</v>
      </c>
      <c r="W5" s="9" t="s">
        <v>422</v>
      </c>
      <c r="X5" s="7" t="s">
        <v>423</v>
      </c>
      <c r="Y5" s="9" t="s">
        <v>409</v>
      </c>
      <c r="Z5" s="10"/>
      <c r="AA5" s="11"/>
      <c r="AB5" s="12"/>
      <c r="AC5" s="12"/>
    </row>
    <row r="6" spans="1:29">
      <c r="A6" s="7">
        <v>-27</v>
      </c>
      <c r="B6" s="7"/>
      <c r="C6" s="7" t="s">
        <v>424</v>
      </c>
      <c r="D6" s="7">
        <v>4</v>
      </c>
      <c r="E6" s="7">
        <v>5</v>
      </c>
      <c r="F6" s="7" t="s">
        <v>425</v>
      </c>
      <c r="G6" s="7">
        <v>10014</v>
      </c>
      <c r="H6" s="7" t="s">
        <v>414</v>
      </c>
      <c r="I6" s="7" t="s">
        <v>415</v>
      </c>
      <c r="J6" s="7" t="s">
        <v>384</v>
      </c>
      <c r="K6" s="7" t="s">
        <v>426</v>
      </c>
      <c r="L6" s="38" t="str">
        <f t="shared" si="0"/>
        <v>FF6F53</v>
      </c>
      <c r="M6" s="7" t="s">
        <v>427</v>
      </c>
      <c r="N6" s="7" t="s">
        <v>428</v>
      </c>
      <c r="O6" s="7" t="s">
        <v>429</v>
      </c>
      <c r="P6" s="7" t="s">
        <v>430</v>
      </c>
      <c r="Q6" s="7" t="s">
        <v>394</v>
      </c>
      <c r="R6" s="7">
        <v>4</v>
      </c>
      <c r="S6" s="7" t="s">
        <v>431</v>
      </c>
      <c r="T6" s="7">
        <v>4</v>
      </c>
      <c r="U6" s="7" t="s">
        <v>432</v>
      </c>
      <c r="V6" s="7" t="s">
        <v>433</v>
      </c>
      <c r="W6" s="9" t="s">
        <v>434</v>
      </c>
      <c r="X6" s="7" t="s">
        <v>435</v>
      </c>
      <c r="Y6" s="9" t="s">
        <v>409</v>
      </c>
      <c r="Z6" s="13"/>
      <c r="AA6" s="2"/>
      <c r="AB6" s="12"/>
      <c r="AC6" s="12"/>
    </row>
    <row r="7" spans="1:29">
      <c r="A7" s="7">
        <v>-26</v>
      </c>
      <c r="B7" s="7"/>
      <c r="C7" s="7" t="s">
        <v>401</v>
      </c>
      <c r="D7" s="7">
        <v>5</v>
      </c>
      <c r="E7" s="7">
        <v>1</v>
      </c>
      <c r="F7" s="7" t="s">
        <v>436</v>
      </c>
      <c r="G7" s="7">
        <v>10021</v>
      </c>
      <c r="H7" s="7" t="s">
        <v>437</v>
      </c>
      <c r="I7" s="7" t="s">
        <v>438</v>
      </c>
      <c r="J7" s="7" t="s">
        <v>412</v>
      </c>
      <c r="K7" s="38" t="s">
        <v>439</v>
      </c>
      <c r="L7" s="38" t="str">
        <f t="shared" si="0"/>
        <v>16D8D8</v>
      </c>
      <c r="M7" s="7" t="s">
        <v>440</v>
      </c>
      <c r="N7" s="7" t="s">
        <v>441</v>
      </c>
      <c r="O7" s="7" t="s">
        <v>440</v>
      </c>
      <c r="P7" s="7" t="s">
        <v>442</v>
      </c>
      <c r="Q7" s="7" t="s">
        <v>394</v>
      </c>
      <c r="T7" s="7">
        <v>5</v>
      </c>
      <c r="U7" s="7" t="s">
        <v>443</v>
      </c>
      <c r="V7" s="14" t="s">
        <v>444</v>
      </c>
      <c r="W7" s="10" t="s">
        <v>445</v>
      </c>
      <c r="X7" s="7" t="s">
        <v>446</v>
      </c>
      <c r="Y7" s="9" t="s">
        <v>434</v>
      </c>
      <c r="Z7" s="13"/>
      <c r="AA7" s="2"/>
      <c r="AB7" s="12"/>
      <c r="AC7" s="12"/>
    </row>
    <row r="8" spans="1:29">
      <c r="A8" s="7">
        <v>-25</v>
      </c>
      <c r="B8" s="7"/>
      <c r="C8" s="7" t="s">
        <v>447</v>
      </c>
      <c r="D8" s="7">
        <v>6</v>
      </c>
      <c r="E8" s="7">
        <v>8</v>
      </c>
      <c r="F8" s="7" t="s">
        <v>448</v>
      </c>
      <c r="G8" s="7">
        <v>10028</v>
      </c>
      <c r="H8" s="7" t="s">
        <v>437</v>
      </c>
      <c r="I8" s="7" t="s">
        <v>438</v>
      </c>
      <c r="J8" s="7" t="s">
        <v>424</v>
      </c>
      <c r="K8" s="38" t="s">
        <v>449</v>
      </c>
      <c r="L8" s="38" t="str">
        <f t="shared" si="0"/>
        <v>FF81B0</v>
      </c>
      <c r="M8" s="7" t="s">
        <v>450</v>
      </c>
      <c r="N8" s="7" t="s">
        <v>451</v>
      </c>
      <c r="O8" s="7" t="s">
        <v>450</v>
      </c>
      <c r="P8" s="7" t="s">
        <v>452</v>
      </c>
      <c r="Q8" s="7" t="s">
        <v>394</v>
      </c>
      <c r="T8" s="7">
        <v>6</v>
      </c>
      <c r="U8" s="9" t="s">
        <v>453</v>
      </c>
      <c r="V8" s="7" t="s">
        <v>454</v>
      </c>
      <c r="W8" s="7" t="s">
        <v>410</v>
      </c>
      <c r="X8" s="7" t="s">
        <v>431</v>
      </c>
      <c r="Y8" s="9" t="s">
        <v>422</v>
      </c>
      <c r="Z8" s="13"/>
      <c r="AA8" s="2"/>
      <c r="AB8" s="12"/>
      <c r="AC8" s="12"/>
    </row>
    <row r="9" spans="1:29">
      <c r="A9" s="7">
        <v>-24</v>
      </c>
      <c r="B9" s="7"/>
      <c r="C9" s="7" t="s">
        <v>455</v>
      </c>
      <c r="D9" s="7">
        <v>7</v>
      </c>
      <c r="E9" s="7">
        <v>9</v>
      </c>
      <c r="F9" s="7" t="s">
        <v>456</v>
      </c>
      <c r="G9" s="7">
        <v>10026</v>
      </c>
      <c r="H9" s="7" t="s">
        <v>457</v>
      </c>
      <c r="I9" s="7" t="s">
        <v>458</v>
      </c>
      <c r="J9" s="7" t="s">
        <v>459</v>
      </c>
      <c r="K9" s="38" t="s">
        <v>460</v>
      </c>
      <c r="L9" s="38" t="str">
        <f t="shared" si="0"/>
        <v>3793FF</v>
      </c>
      <c r="M9" s="7" t="s">
        <v>461</v>
      </c>
      <c r="N9" s="7" t="s">
        <v>462</v>
      </c>
      <c r="O9" s="7" t="s">
        <v>463</v>
      </c>
      <c r="P9" s="7" t="s">
        <v>464</v>
      </c>
      <c r="Q9" s="7" t="s">
        <v>394</v>
      </c>
      <c r="T9" s="7">
        <v>7</v>
      </c>
      <c r="U9" s="9" t="s">
        <v>465</v>
      </c>
      <c r="V9" s="13"/>
      <c r="W9" s="15"/>
      <c r="X9" s="7" t="s">
        <v>466</v>
      </c>
      <c r="Y9" s="7" t="s">
        <v>445</v>
      </c>
      <c r="Z9" s="3"/>
      <c r="AA9" s="2"/>
      <c r="AB9" s="12"/>
      <c r="AC9" s="12"/>
    </row>
    <row r="10" spans="1:29">
      <c r="A10" s="7">
        <v>-23</v>
      </c>
      <c r="B10" s="7"/>
      <c r="C10" s="7" t="s">
        <v>467</v>
      </c>
      <c r="D10" s="7">
        <v>8</v>
      </c>
      <c r="E10" s="7">
        <v>10</v>
      </c>
      <c r="F10" s="7" t="s">
        <v>468</v>
      </c>
      <c r="G10" s="7">
        <v>10062</v>
      </c>
      <c r="H10" s="7" t="s">
        <v>457</v>
      </c>
      <c r="I10" s="7" t="s">
        <v>458</v>
      </c>
      <c r="J10" s="7" t="s">
        <v>469</v>
      </c>
      <c r="K10" s="7" t="s">
        <v>470</v>
      </c>
      <c r="L10" s="38" t="str">
        <f t="shared" si="0"/>
        <v>79B736</v>
      </c>
      <c r="M10" s="7" t="s">
        <v>471</v>
      </c>
      <c r="N10" s="7" t="s">
        <v>472</v>
      </c>
      <c r="O10" s="7" t="s">
        <v>473</v>
      </c>
      <c r="P10" s="7" t="s">
        <v>474</v>
      </c>
      <c r="Q10" s="7" t="s">
        <v>394</v>
      </c>
      <c r="T10" s="7">
        <v>8</v>
      </c>
      <c r="U10" s="9" t="s">
        <v>475</v>
      </c>
      <c r="V10" s="13"/>
      <c r="W10" s="15"/>
      <c r="X10" s="7" t="s">
        <v>476</v>
      </c>
      <c r="Y10" s="7" t="s">
        <v>477</v>
      </c>
      <c r="Z10" s="3"/>
      <c r="AA10" s="3"/>
      <c r="AB10" s="12"/>
      <c r="AC10" s="12"/>
    </row>
    <row r="11" spans="1:29">
      <c r="A11" s="7">
        <v>-22</v>
      </c>
      <c r="B11" s="7"/>
      <c r="C11" s="7" t="s">
        <v>459</v>
      </c>
      <c r="D11" s="7">
        <v>9</v>
      </c>
      <c r="E11" s="7">
        <v>6</v>
      </c>
      <c r="F11" s="7" t="s">
        <v>478</v>
      </c>
      <c r="G11" s="7">
        <v>10081</v>
      </c>
      <c r="H11" s="7" t="s">
        <v>479</v>
      </c>
      <c r="I11" s="7" t="s">
        <v>480</v>
      </c>
      <c r="J11" s="7" t="s">
        <v>447</v>
      </c>
      <c r="K11" s="7" t="s">
        <v>481</v>
      </c>
      <c r="L11" s="38" t="str">
        <f t="shared" si="0"/>
        <v>D6F95D</v>
      </c>
      <c r="M11" s="7" t="s">
        <v>482</v>
      </c>
      <c r="N11" s="7" t="s">
        <v>483</v>
      </c>
      <c r="O11" s="7" t="s">
        <v>484</v>
      </c>
      <c r="P11" s="7" t="s">
        <v>485</v>
      </c>
      <c r="Q11" s="7" t="s">
        <v>486</v>
      </c>
      <c r="T11" s="7">
        <v>9</v>
      </c>
      <c r="U11" s="9" t="s">
        <v>487</v>
      </c>
      <c r="V11" s="13"/>
      <c r="W11" s="3"/>
      <c r="X11" s="3"/>
      <c r="Y11" s="3"/>
      <c r="Z11" s="3"/>
      <c r="AA11" s="3"/>
      <c r="AB11" s="12"/>
      <c r="AC11" s="12"/>
    </row>
    <row r="12" spans="1:29">
      <c r="A12" s="7">
        <v>-21</v>
      </c>
      <c r="B12" s="7"/>
      <c r="C12" s="7" t="s">
        <v>469</v>
      </c>
      <c r="D12" s="7">
        <v>10</v>
      </c>
      <c r="E12" s="7">
        <v>7</v>
      </c>
      <c r="F12" s="7" t="s">
        <v>488</v>
      </c>
      <c r="G12" s="7">
        <v>10080</v>
      </c>
      <c r="H12" s="7" t="s">
        <v>479</v>
      </c>
      <c r="I12" s="7" t="s">
        <v>480</v>
      </c>
      <c r="J12" s="7" t="s">
        <v>455</v>
      </c>
      <c r="K12" s="7" t="s">
        <v>489</v>
      </c>
      <c r="L12" s="38" t="str">
        <f t="shared" si="0"/>
        <v>CD853F</v>
      </c>
      <c r="M12" s="7" t="s">
        <v>490</v>
      </c>
      <c r="N12" s="7" t="s">
        <v>491</v>
      </c>
      <c r="O12" s="7" t="s">
        <v>492</v>
      </c>
      <c r="P12" s="7" t="s">
        <v>493</v>
      </c>
      <c r="Q12" s="7" t="s">
        <v>494</v>
      </c>
      <c r="T12" s="7">
        <v>10</v>
      </c>
      <c r="U12" s="9" t="s">
        <v>495</v>
      </c>
      <c r="V12" s="13"/>
      <c r="W12" s="3"/>
      <c r="X12" s="3"/>
      <c r="AA12" s="3"/>
    </row>
    <row r="13" spans="1:29">
      <c r="A13" s="7">
        <v>-20</v>
      </c>
      <c r="B13" s="7"/>
      <c r="C13" s="7" t="s">
        <v>496</v>
      </c>
      <c r="D13" s="7">
        <v>18</v>
      </c>
      <c r="E13" s="7">
        <v>21</v>
      </c>
      <c r="F13" s="7" t="s">
        <v>497</v>
      </c>
      <c r="G13" s="7">
        <v>10175</v>
      </c>
      <c r="H13" s="7" t="s">
        <v>498</v>
      </c>
      <c r="I13" s="7" t="s">
        <v>499</v>
      </c>
      <c r="J13" s="7" t="s">
        <v>467</v>
      </c>
      <c r="K13" s="7" t="s">
        <v>500</v>
      </c>
      <c r="L13" s="38" t="str">
        <f t="shared" si="0"/>
        <v>F04660</v>
      </c>
      <c r="M13" s="7" t="s">
        <v>501</v>
      </c>
      <c r="N13" s="7" t="s">
        <v>502</v>
      </c>
      <c r="O13" s="7" t="s">
        <v>501</v>
      </c>
      <c r="P13" s="7" t="s">
        <v>503</v>
      </c>
      <c r="Q13" s="7" t="s">
        <v>494</v>
      </c>
      <c r="T13" s="7">
        <v>11</v>
      </c>
      <c r="U13" s="9" t="s">
        <v>504</v>
      </c>
      <c r="V13" s="16"/>
    </row>
    <row r="14" spans="1:29">
      <c r="A14" s="7">
        <v>-19</v>
      </c>
      <c r="B14" s="7"/>
      <c r="C14" s="7" t="s">
        <v>505</v>
      </c>
      <c r="D14" s="7">
        <v>19</v>
      </c>
      <c r="E14" s="7">
        <v>22</v>
      </c>
      <c r="F14" s="7" t="s">
        <v>506</v>
      </c>
      <c r="G14" s="7">
        <v>10176</v>
      </c>
      <c r="H14" s="7" t="s">
        <v>498</v>
      </c>
      <c r="I14" s="7" t="s">
        <v>499</v>
      </c>
      <c r="J14" s="7" t="s">
        <v>496</v>
      </c>
      <c r="K14" s="7" t="s">
        <v>507</v>
      </c>
      <c r="L14" s="38" t="str">
        <f t="shared" si="0"/>
        <v>B43C00</v>
      </c>
      <c r="M14" s="7" t="s">
        <v>508</v>
      </c>
      <c r="N14" s="7" t="s">
        <v>509</v>
      </c>
      <c r="O14" s="7" t="s">
        <v>508</v>
      </c>
      <c r="P14" s="7" t="s">
        <v>510</v>
      </c>
      <c r="Q14" s="7" t="s">
        <v>511</v>
      </c>
    </row>
    <row r="15" spans="1:29">
      <c r="A15" s="7">
        <v>-18</v>
      </c>
      <c r="B15" s="7"/>
      <c r="C15" s="7" t="s">
        <v>512</v>
      </c>
      <c r="D15" s="7">
        <v>20</v>
      </c>
      <c r="E15" s="7">
        <v>23</v>
      </c>
      <c r="F15" s="7" t="s">
        <v>513</v>
      </c>
      <c r="G15" s="7">
        <v>10224</v>
      </c>
      <c r="H15" s="7" t="s">
        <v>514</v>
      </c>
      <c r="I15" s="7" t="s">
        <v>515</v>
      </c>
      <c r="J15" s="7" t="s">
        <v>505</v>
      </c>
      <c r="K15" s="38" t="s">
        <v>516</v>
      </c>
      <c r="L15" s="38" t="str">
        <f t="shared" si="0"/>
        <v>64FAB4</v>
      </c>
      <c r="M15" s="7" t="s">
        <v>517</v>
      </c>
      <c r="N15" s="7" t="s">
        <v>518</v>
      </c>
      <c r="O15" s="7" t="s">
        <v>519</v>
      </c>
      <c r="P15" s="7" t="s">
        <v>520</v>
      </c>
      <c r="Q15" s="7" t="s">
        <v>511</v>
      </c>
    </row>
    <row r="16" spans="1:29">
      <c r="A16" s="7">
        <v>-17</v>
      </c>
      <c r="B16" s="7" t="s">
        <v>521</v>
      </c>
      <c r="C16" s="7" t="s">
        <v>522</v>
      </c>
      <c r="D16" s="7">
        <v>21</v>
      </c>
      <c r="E16" s="7">
        <v>24</v>
      </c>
      <c r="F16" s="7" t="s">
        <v>523</v>
      </c>
      <c r="G16" s="7">
        <v>10225</v>
      </c>
      <c r="H16" s="7" t="s">
        <v>514</v>
      </c>
      <c r="I16" s="7" t="s">
        <v>515</v>
      </c>
      <c r="J16" s="7" t="s">
        <v>512</v>
      </c>
      <c r="K16" s="38" t="s">
        <v>524</v>
      </c>
      <c r="L16" s="38" t="str">
        <f t="shared" si="0"/>
        <v>6A6CBD</v>
      </c>
      <c r="M16" s="7" t="s">
        <v>525</v>
      </c>
      <c r="N16" s="7" t="s">
        <v>526</v>
      </c>
      <c r="O16" s="7" t="s">
        <v>525</v>
      </c>
      <c r="P16" s="7" t="s">
        <v>527</v>
      </c>
      <c r="Q16" s="7" t="s">
        <v>511</v>
      </c>
    </row>
    <row r="17" spans="1:17">
      <c r="A17" s="7">
        <v>-16</v>
      </c>
      <c r="B17" s="7" t="s">
        <v>528</v>
      </c>
      <c r="C17" s="7" t="s">
        <v>529</v>
      </c>
      <c r="D17" s="7">
        <v>22</v>
      </c>
      <c r="E17" s="7">
        <v>25</v>
      </c>
      <c r="F17" s="7" t="s">
        <v>530</v>
      </c>
      <c r="G17" s="7">
        <v>10144</v>
      </c>
      <c r="H17" s="7" t="s">
        <v>531</v>
      </c>
      <c r="I17" s="7" t="s">
        <v>532</v>
      </c>
      <c r="J17" s="7" t="s">
        <v>522</v>
      </c>
      <c r="K17" s="38" t="s">
        <v>533</v>
      </c>
      <c r="L17" s="38" t="str">
        <f t="shared" si="0"/>
        <v>ABE3FA</v>
      </c>
      <c r="M17" s="7" t="s">
        <v>534</v>
      </c>
      <c r="N17" s="7" t="s">
        <v>535</v>
      </c>
      <c r="O17" s="7" t="s">
        <v>534</v>
      </c>
      <c r="P17" s="7" t="s">
        <v>536</v>
      </c>
      <c r="Q17" s="7" t="s">
        <v>537</v>
      </c>
    </row>
    <row r="18" spans="1:17">
      <c r="A18" s="7">
        <v>-15</v>
      </c>
      <c r="B18" s="7" t="s">
        <v>538</v>
      </c>
      <c r="C18" s="7" t="s">
        <v>539</v>
      </c>
      <c r="D18" s="7">
        <v>23</v>
      </c>
      <c r="E18" s="7">
        <v>211</v>
      </c>
      <c r="F18" s="7" t="s">
        <v>540</v>
      </c>
      <c r="G18" s="7">
        <v>10145</v>
      </c>
      <c r="H18" s="7" t="s">
        <v>531</v>
      </c>
      <c r="I18" s="7" t="s">
        <v>532</v>
      </c>
      <c r="J18" s="7" t="s">
        <v>529</v>
      </c>
      <c r="K18" s="7" t="s">
        <v>541</v>
      </c>
      <c r="L18" s="38" t="str">
        <f t="shared" si="0"/>
        <v>A10922</v>
      </c>
      <c r="M18" s="7" t="s">
        <v>542</v>
      </c>
      <c r="N18" s="7" t="s">
        <v>543</v>
      </c>
      <c r="O18" s="7" t="s">
        <v>544</v>
      </c>
      <c r="P18" s="7" t="s">
        <v>545</v>
      </c>
      <c r="Q18" s="7" t="s">
        <v>537</v>
      </c>
    </row>
    <row r="19" spans="1:17">
      <c r="A19" s="7">
        <v>-14</v>
      </c>
      <c r="B19" s="7" t="s">
        <v>546</v>
      </c>
      <c r="C19" s="7" t="s">
        <v>547</v>
      </c>
      <c r="D19" s="7">
        <v>24</v>
      </c>
      <c r="E19" s="7">
        <v>212</v>
      </c>
      <c r="F19" s="7" t="s">
        <v>548</v>
      </c>
      <c r="G19" s="7">
        <v>10268</v>
      </c>
      <c r="H19" s="7" t="s">
        <v>549</v>
      </c>
      <c r="I19" s="7" t="s">
        <v>550</v>
      </c>
      <c r="J19" s="7" t="s">
        <v>539</v>
      </c>
      <c r="K19" s="7" t="s">
        <v>551</v>
      </c>
      <c r="L19" s="38" t="str">
        <f t="shared" si="0"/>
        <v>A653FB</v>
      </c>
      <c r="M19" s="7" t="s">
        <v>552</v>
      </c>
      <c r="N19" s="7" t="s">
        <v>553</v>
      </c>
      <c r="O19" s="7" t="s">
        <v>554</v>
      </c>
    </row>
    <row r="20" spans="1:17">
      <c r="A20" s="7">
        <v>-13</v>
      </c>
      <c r="B20" s="7" t="s">
        <v>555</v>
      </c>
      <c r="C20" s="7" t="s">
        <v>556</v>
      </c>
      <c r="D20" s="7">
        <v>26</v>
      </c>
      <c r="E20" s="7">
        <v>213</v>
      </c>
      <c r="F20" s="7" t="s">
        <v>557</v>
      </c>
      <c r="G20" s="7">
        <v>10242</v>
      </c>
      <c r="H20" s="7" t="s">
        <v>558</v>
      </c>
      <c r="I20" s="7" t="s">
        <v>559</v>
      </c>
      <c r="J20" s="7" t="s">
        <v>547</v>
      </c>
      <c r="K20" s="7" t="s">
        <v>560</v>
      </c>
      <c r="L20" s="38" t="str">
        <f t="shared" si="0"/>
        <v>00AC99</v>
      </c>
      <c r="M20" s="7" t="s">
        <v>561</v>
      </c>
      <c r="N20" s="7" t="s">
        <v>562</v>
      </c>
      <c r="O20" s="7" t="s">
        <v>563</v>
      </c>
    </row>
    <row r="21" spans="1:17">
      <c r="A21" s="7">
        <v>-12</v>
      </c>
      <c r="B21" s="7" t="s">
        <v>564</v>
      </c>
      <c r="F21" s="7" t="s">
        <v>565</v>
      </c>
      <c r="G21" s="7">
        <v>10243</v>
      </c>
      <c r="H21" s="7" t="s">
        <v>558</v>
      </c>
      <c r="I21" s="7" t="s">
        <v>559</v>
      </c>
      <c r="J21" s="7" t="s">
        <v>556</v>
      </c>
      <c r="K21" s="38" t="s">
        <v>566</v>
      </c>
      <c r="L21" s="38" t="str">
        <f t="shared" si="0"/>
        <v>6BB7F2</v>
      </c>
      <c r="M21" s="7" t="s">
        <v>567</v>
      </c>
      <c r="N21" s="7" t="s">
        <v>568</v>
      </c>
      <c r="O21" s="7" t="s">
        <v>569</v>
      </c>
    </row>
    <row r="22" spans="1:17">
      <c r="A22" s="7">
        <v>-11</v>
      </c>
      <c r="B22" s="7" t="s">
        <v>570</v>
      </c>
      <c r="F22" s="7" t="s">
        <v>571</v>
      </c>
      <c r="G22" s="7">
        <v>10389</v>
      </c>
      <c r="H22" s="7" t="s">
        <v>572</v>
      </c>
      <c r="I22" s="7" t="s">
        <v>573</v>
      </c>
      <c r="J22" s="7" t="s">
        <v>574</v>
      </c>
      <c r="K22" s="38" t="s">
        <v>575</v>
      </c>
      <c r="L22" s="38" t="str">
        <f t="shared" si="0"/>
        <v>EBD773</v>
      </c>
      <c r="M22" s="7" t="s">
        <v>576</v>
      </c>
      <c r="N22" s="7" t="s">
        <v>577</v>
      </c>
      <c r="O22" s="7" t="s">
        <v>578</v>
      </c>
    </row>
    <row r="23" spans="1:17">
      <c r="A23" s="7">
        <v>-10</v>
      </c>
      <c r="B23" s="7" t="s">
        <v>579</v>
      </c>
      <c r="F23" s="7" t="s">
        <v>580</v>
      </c>
      <c r="G23" s="7">
        <v>10390</v>
      </c>
      <c r="H23" s="7" t="s">
        <v>572</v>
      </c>
      <c r="I23" s="7" t="s">
        <v>573</v>
      </c>
      <c r="J23" s="7" t="s">
        <v>581</v>
      </c>
      <c r="K23" s="38" t="s">
        <v>582</v>
      </c>
      <c r="L23" s="38" t="str">
        <f t="shared" si="0"/>
        <v>FFFFFF</v>
      </c>
      <c r="M23" s="7" t="s">
        <v>583</v>
      </c>
      <c r="N23" s="7" t="s">
        <v>584</v>
      </c>
      <c r="O23" s="7" t="s">
        <v>585</v>
      </c>
    </row>
    <row r="24" spans="1:17">
      <c r="A24" s="7">
        <v>-9</v>
      </c>
      <c r="B24" s="7" t="s">
        <v>586</v>
      </c>
      <c r="F24" s="7" t="s">
        <v>587</v>
      </c>
      <c r="G24" s="7">
        <v>10447</v>
      </c>
      <c r="H24" s="7" t="s">
        <v>588</v>
      </c>
      <c r="I24" s="7" t="s">
        <v>589</v>
      </c>
      <c r="J24" s="7" t="s">
        <v>590</v>
      </c>
      <c r="K24" s="7" t="s">
        <v>591</v>
      </c>
      <c r="L24" s="38" t="str">
        <f t="shared" si="0"/>
        <v>FF3232</v>
      </c>
      <c r="M24" s="4" t="s">
        <v>592</v>
      </c>
      <c r="N24" s="4" t="s">
        <v>360</v>
      </c>
      <c r="O24" s="4" t="s">
        <v>361</v>
      </c>
    </row>
    <row r="25" spans="1:17">
      <c r="A25" s="7">
        <v>-8</v>
      </c>
      <c r="B25" s="7" t="s">
        <v>593</v>
      </c>
      <c r="F25" s="7" t="s">
        <v>594</v>
      </c>
      <c r="G25" s="7">
        <v>10448</v>
      </c>
      <c r="H25" s="7" t="s">
        <v>588</v>
      </c>
      <c r="I25" s="7" t="s">
        <v>589</v>
      </c>
      <c r="J25" s="7" t="s">
        <v>595</v>
      </c>
      <c r="K25" s="7" t="s">
        <v>596</v>
      </c>
      <c r="L25" s="38" t="str">
        <f t="shared" si="0"/>
        <v>FF9600</v>
      </c>
      <c r="M25" s="7" t="s">
        <v>597</v>
      </c>
      <c r="N25" s="7" t="s">
        <v>598</v>
      </c>
      <c r="O25" s="7" t="s">
        <v>597</v>
      </c>
    </row>
    <row r="26" spans="1:17">
      <c r="A26" s="7">
        <v>-7</v>
      </c>
      <c r="B26" s="7" t="s">
        <v>599</v>
      </c>
      <c r="F26" s="7" t="s">
        <v>600</v>
      </c>
      <c r="G26" s="7">
        <v>10464</v>
      </c>
      <c r="H26" s="7" t="s">
        <v>601</v>
      </c>
      <c r="I26" s="7" t="s">
        <v>602</v>
      </c>
      <c r="J26" s="7" t="s">
        <v>603</v>
      </c>
      <c r="K26" s="7" t="s">
        <v>604</v>
      </c>
      <c r="L26" s="38" t="str">
        <f t="shared" si="0"/>
        <v>FFFF00</v>
      </c>
      <c r="M26" s="7" t="s">
        <v>605</v>
      </c>
      <c r="N26" s="7" t="s">
        <v>606</v>
      </c>
      <c r="O26" s="7" t="s">
        <v>607</v>
      </c>
    </row>
    <row r="27" spans="1:17">
      <c r="A27" s="7">
        <v>-6</v>
      </c>
      <c r="B27" s="7" t="s">
        <v>608</v>
      </c>
      <c r="F27" s="7" t="s">
        <v>609</v>
      </c>
      <c r="G27" s="7">
        <v>10533</v>
      </c>
      <c r="H27" s="7" t="s">
        <v>610</v>
      </c>
      <c r="I27" s="7" t="s">
        <v>611</v>
      </c>
      <c r="J27" s="7" t="s">
        <v>612</v>
      </c>
      <c r="K27" s="7" t="s">
        <v>613</v>
      </c>
      <c r="L27" s="38" t="str">
        <f t="shared" si="0"/>
        <v>00FF00</v>
      </c>
      <c r="M27" s="7" t="s">
        <v>614</v>
      </c>
      <c r="N27" s="7" t="s">
        <v>615</v>
      </c>
      <c r="O27" s="7" t="s">
        <v>616</v>
      </c>
    </row>
    <row r="28" spans="1:17">
      <c r="A28" s="7">
        <v>-5</v>
      </c>
      <c r="B28" s="7" t="s">
        <v>617</v>
      </c>
      <c r="F28" s="7" t="s">
        <v>618</v>
      </c>
      <c r="G28" s="7">
        <v>10585</v>
      </c>
      <c r="H28" s="7" t="s">
        <v>619</v>
      </c>
      <c r="I28" s="7" t="s">
        <v>620</v>
      </c>
      <c r="J28" s="7" t="s">
        <v>621</v>
      </c>
      <c r="K28" s="7" t="s">
        <v>622</v>
      </c>
      <c r="L28" s="38" t="str">
        <f t="shared" si="0"/>
        <v>00FFFF</v>
      </c>
      <c r="M28" s="7" t="s">
        <v>623</v>
      </c>
      <c r="N28" s="7" t="s">
        <v>624</v>
      </c>
      <c r="O28" s="7" t="s">
        <v>625</v>
      </c>
    </row>
    <row r="29" spans="1:17">
      <c r="A29" s="7">
        <v>-4</v>
      </c>
      <c r="B29" s="7" t="s">
        <v>626</v>
      </c>
      <c r="F29" s="7" t="s">
        <v>627</v>
      </c>
      <c r="G29" s="7">
        <v>10615</v>
      </c>
      <c r="H29" s="7" t="s">
        <v>628</v>
      </c>
      <c r="I29" s="7" t="s">
        <v>629</v>
      </c>
      <c r="J29" s="7" t="s">
        <v>630</v>
      </c>
      <c r="K29" s="7" t="s">
        <v>631</v>
      </c>
      <c r="L29" s="38" t="str">
        <f t="shared" si="0"/>
        <v>0032FF</v>
      </c>
      <c r="M29" s="7" t="s">
        <v>632</v>
      </c>
      <c r="N29" s="7" t="s">
        <v>633</v>
      </c>
      <c r="O29" s="7" t="s">
        <v>634</v>
      </c>
    </row>
    <row r="30" spans="1:17">
      <c r="A30" s="7">
        <v>-3</v>
      </c>
      <c r="B30" s="7" t="s">
        <v>635</v>
      </c>
      <c r="F30" s="7" t="s">
        <v>636</v>
      </c>
      <c r="G30" s="7">
        <v>10626</v>
      </c>
      <c r="H30" s="7" t="s">
        <v>637</v>
      </c>
      <c r="I30" s="7" t="s">
        <v>638</v>
      </c>
      <c r="J30" s="7" t="s">
        <v>639</v>
      </c>
      <c r="K30" s="7" t="s">
        <v>640</v>
      </c>
      <c r="L30" s="38" t="str">
        <f t="shared" si="0"/>
        <v>FF32FF</v>
      </c>
      <c r="M30" s="7" t="s">
        <v>641</v>
      </c>
      <c r="N30" s="7" t="s">
        <v>642</v>
      </c>
      <c r="O30" s="7" t="s">
        <v>643</v>
      </c>
    </row>
    <row r="31" spans="1:17">
      <c r="A31" s="7">
        <v>-2</v>
      </c>
      <c r="B31" s="7" t="s">
        <v>644</v>
      </c>
      <c r="F31" s="7" t="s">
        <v>645</v>
      </c>
      <c r="G31" s="7">
        <v>10627</v>
      </c>
      <c r="H31" s="7" t="s">
        <v>637</v>
      </c>
      <c r="I31" s="7" t="s">
        <v>638</v>
      </c>
      <c r="J31" s="7" t="s">
        <v>646</v>
      </c>
      <c r="K31" s="7" t="s">
        <v>647</v>
      </c>
      <c r="L31" s="38" t="str">
        <f t="shared" si="0"/>
        <v>DFBF1F</v>
      </c>
      <c r="M31" s="7" t="s">
        <v>648</v>
      </c>
      <c r="N31" s="7" t="s">
        <v>649</v>
      </c>
      <c r="O31" s="7" t="s">
        <v>650</v>
      </c>
    </row>
    <row r="32" spans="1:17">
      <c r="A32" s="7">
        <v>-1</v>
      </c>
      <c r="B32" s="7" t="s">
        <v>651</v>
      </c>
      <c r="F32" s="7" t="s">
        <v>556</v>
      </c>
      <c r="G32" s="7">
        <v>10698</v>
      </c>
      <c r="H32" s="7" t="s">
        <v>652</v>
      </c>
      <c r="I32" s="7" t="s">
        <v>653</v>
      </c>
      <c r="J32" s="7" t="s">
        <v>654</v>
      </c>
      <c r="K32" s="7" t="s">
        <v>655</v>
      </c>
      <c r="L32" s="38" t="str">
        <f t="shared" si="0"/>
        <v>B3EE4A</v>
      </c>
      <c r="M32" s="4" t="s">
        <v>656</v>
      </c>
      <c r="N32" s="4" t="s">
        <v>360</v>
      </c>
      <c r="O32" s="4" t="s">
        <v>361</v>
      </c>
    </row>
    <row r="33" spans="1:15">
      <c r="A33" s="7">
        <v>0</v>
      </c>
      <c r="B33" s="7" t="str">
        <f>""</f>
        <v/>
      </c>
      <c r="F33" s="7" t="s">
        <v>574</v>
      </c>
      <c r="G33" s="7">
        <v>10756</v>
      </c>
      <c r="J33" s="7" t="s">
        <v>657</v>
      </c>
      <c r="K33" s="38" t="s">
        <v>658</v>
      </c>
      <c r="L33" s="38" t="str">
        <f t="shared" si="0"/>
        <v>FF99CC</v>
      </c>
      <c r="M33" s="7" t="s">
        <v>659</v>
      </c>
      <c r="N33" s="7" t="s">
        <v>660</v>
      </c>
      <c r="O33" s="7" t="s">
        <v>659</v>
      </c>
    </row>
    <row r="34" spans="1:15">
      <c r="A34" s="7">
        <v>1</v>
      </c>
      <c r="B34" s="7" t="s">
        <v>661</v>
      </c>
      <c r="J34" s="7" t="s">
        <v>662</v>
      </c>
      <c r="K34" s="38" t="s">
        <v>663</v>
      </c>
      <c r="L34" s="38" t="str">
        <f t="shared" si="0"/>
        <v>AAAAAA</v>
      </c>
      <c r="M34" s="7" t="s">
        <v>664</v>
      </c>
      <c r="N34" s="7" t="s">
        <v>665</v>
      </c>
      <c r="O34" s="7" t="s">
        <v>666</v>
      </c>
    </row>
    <row r="35" spans="1:15">
      <c r="A35" s="7">
        <v>2</v>
      </c>
      <c r="B35" s="7" t="s">
        <v>399</v>
      </c>
      <c r="J35" s="7" t="s">
        <v>667</v>
      </c>
      <c r="K35" s="7" t="s">
        <v>668</v>
      </c>
      <c r="L35" s="38" t="str">
        <f t="shared" si="0"/>
        <v>FFCC00</v>
      </c>
      <c r="M35" s="7" t="s">
        <v>669</v>
      </c>
      <c r="N35" s="7" t="s">
        <v>670</v>
      </c>
      <c r="O35" s="7" t="s">
        <v>669</v>
      </c>
    </row>
    <row r="36" spans="1:15">
      <c r="A36" s="7">
        <v>3</v>
      </c>
      <c r="B36" s="7" t="s">
        <v>671</v>
      </c>
      <c r="J36" s="7" t="s">
        <v>672</v>
      </c>
      <c r="K36" s="7" t="s">
        <v>673</v>
      </c>
      <c r="L36" s="38" t="str">
        <f t="shared" si="0"/>
        <v>A560E8</v>
      </c>
      <c r="M36" s="7" t="s">
        <v>674</v>
      </c>
      <c r="N36" s="7" t="s">
        <v>675</v>
      </c>
      <c r="O36" s="7" t="s">
        <v>674</v>
      </c>
    </row>
    <row r="37" spans="1:15">
      <c r="A37" s="7">
        <v>5</v>
      </c>
      <c r="B37" s="7" t="s">
        <v>401</v>
      </c>
      <c r="J37" s="7" t="s">
        <v>676</v>
      </c>
      <c r="K37" s="7" t="s">
        <v>677</v>
      </c>
      <c r="L37" s="38" t="str">
        <f t="shared" si="0"/>
        <v>00EE00</v>
      </c>
      <c r="M37" s="7" t="s">
        <v>678</v>
      </c>
      <c r="N37" s="7" t="s">
        <v>679</v>
      </c>
      <c r="O37" s="7" t="s">
        <v>678</v>
      </c>
    </row>
    <row r="38" spans="1:15">
      <c r="A38" s="7">
        <v>6</v>
      </c>
      <c r="B38" s="7" t="s">
        <v>680</v>
      </c>
      <c r="L38" s="8"/>
      <c r="M38" s="7" t="s">
        <v>681</v>
      </c>
      <c r="N38" s="7" t="s">
        <v>682</v>
      </c>
      <c r="O38" s="7" t="s">
        <v>683</v>
      </c>
    </row>
    <row r="39" spans="1:15">
      <c r="A39" s="7">
        <v>7</v>
      </c>
      <c r="B39" s="7" t="s">
        <v>412</v>
      </c>
      <c r="L39" s="8"/>
      <c r="M39" s="7" t="s">
        <v>684</v>
      </c>
      <c r="N39" s="7" t="s">
        <v>685</v>
      </c>
      <c r="O39" s="7" t="s">
        <v>684</v>
      </c>
    </row>
    <row r="40" spans="1:15">
      <c r="A40" s="7">
        <v>8</v>
      </c>
      <c r="B40" s="7" t="s">
        <v>686</v>
      </c>
      <c r="L40" s="8"/>
      <c r="M40" s="7" t="s">
        <v>687</v>
      </c>
      <c r="N40" s="7" t="s">
        <v>688</v>
      </c>
      <c r="O40" s="7" t="s">
        <v>689</v>
      </c>
    </row>
    <row r="41" spans="1:15">
      <c r="A41" s="7">
        <v>9</v>
      </c>
      <c r="B41" s="7" t="s">
        <v>690</v>
      </c>
      <c r="M41" s="7" t="s">
        <v>691</v>
      </c>
      <c r="N41" s="7" t="s">
        <v>692</v>
      </c>
      <c r="O41" s="7" t="s">
        <v>693</v>
      </c>
    </row>
    <row r="42" spans="1:15">
      <c r="A42" s="7">
        <v>10</v>
      </c>
      <c r="B42" s="7" t="s">
        <v>694</v>
      </c>
      <c r="M42" s="7" t="s">
        <v>695</v>
      </c>
      <c r="N42" s="7" t="s">
        <v>696</v>
      </c>
      <c r="O42" s="7" t="s">
        <v>695</v>
      </c>
    </row>
    <row r="43" spans="1:15">
      <c r="A43" s="7">
        <v>11</v>
      </c>
      <c r="B43" s="7" t="s">
        <v>384</v>
      </c>
      <c r="M43" s="7" t="s">
        <v>697</v>
      </c>
      <c r="N43" s="7" t="s">
        <v>698</v>
      </c>
      <c r="O43" s="7" t="s">
        <v>699</v>
      </c>
    </row>
    <row r="44" spans="1:15">
      <c r="A44" s="7">
        <v>12</v>
      </c>
      <c r="B44" s="7" t="s">
        <v>700</v>
      </c>
      <c r="M44" s="7" t="s">
        <v>701</v>
      </c>
      <c r="N44" s="7" t="s">
        <v>702</v>
      </c>
      <c r="O44" s="7" t="s">
        <v>703</v>
      </c>
    </row>
    <row r="45" spans="1:15">
      <c r="A45" s="7">
        <v>13</v>
      </c>
      <c r="B45" s="7" t="s">
        <v>704</v>
      </c>
      <c r="M45" s="7" t="s">
        <v>705</v>
      </c>
      <c r="N45" s="7" t="s">
        <v>706</v>
      </c>
      <c r="O45" s="7" t="s">
        <v>707</v>
      </c>
    </row>
    <row r="46" spans="1:15">
      <c r="A46" s="7">
        <v>14</v>
      </c>
      <c r="B46" s="7" t="s">
        <v>708</v>
      </c>
      <c r="M46" s="7" t="s">
        <v>709</v>
      </c>
      <c r="N46" s="7" t="s">
        <v>710</v>
      </c>
      <c r="O46" s="7" t="s">
        <v>711</v>
      </c>
    </row>
    <row r="47" spans="1:15">
      <c r="A47" s="7">
        <v>15</v>
      </c>
      <c r="B47" s="7" t="s">
        <v>712</v>
      </c>
      <c r="M47" s="7" t="s">
        <v>713</v>
      </c>
      <c r="N47" s="7" t="s">
        <v>714</v>
      </c>
      <c r="O47" s="7" t="s">
        <v>715</v>
      </c>
    </row>
    <row r="48" spans="1:15">
      <c r="A48" s="7">
        <v>16</v>
      </c>
      <c r="B48" s="7" t="s">
        <v>424</v>
      </c>
      <c r="M48" s="7" t="s">
        <v>716</v>
      </c>
      <c r="N48" s="7" t="s">
        <v>717</v>
      </c>
      <c r="O48" s="7" t="s">
        <v>718</v>
      </c>
    </row>
    <row r="49" spans="1:15">
      <c r="A49" s="7">
        <v>17</v>
      </c>
      <c r="B49" s="7" t="s">
        <v>719</v>
      </c>
      <c r="M49" s="7" t="s">
        <v>720</v>
      </c>
      <c r="N49" s="7" t="s">
        <v>721</v>
      </c>
      <c r="O49" s="7" t="s">
        <v>720</v>
      </c>
    </row>
    <row r="50" spans="1:15">
      <c r="A50" s="7">
        <v>18</v>
      </c>
      <c r="B50" s="7" t="s">
        <v>722</v>
      </c>
      <c r="M50" s="7" t="s">
        <v>723</v>
      </c>
      <c r="N50" s="7" t="s">
        <v>724</v>
      </c>
      <c r="O50" s="7" t="s">
        <v>725</v>
      </c>
    </row>
    <row r="51" spans="1:15">
      <c r="A51" s="7">
        <v>19</v>
      </c>
      <c r="B51" s="7" t="s">
        <v>726</v>
      </c>
      <c r="M51" s="7" t="s">
        <v>727</v>
      </c>
      <c r="N51" s="7" t="s">
        <v>728</v>
      </c>
      <c r="O51" s="7" t="s">
        <v>729</v>
      </c>
    </row>
    <row r="52" spans="1:15">
      <c r="A52" s="7">
        <v>20</v>
      </c>
      <c r="B52" s="7" t="s">
        <v>730</v>
      </c>
      <c r="M52" s="4" t="s">
        <v>731</v>
      </c>
      <c r="N52" s="4" t="s">
        <v>360</v>
      </c>
      <c r="O52" s="4" t="s">
        <v>361</v>
      </c>
    </row>
    <row r="53" spans="1:15">
      <c r="A53" s="7">
        <v>21</v>
      </c>
      <c r="B53" s="7" t="s">
        <v>732</v>
      </c>
      <c r="M53" s="7" t="s">
        <v>733</v>
      </c>
      <c r="N53" s="7" t="s">
        <v>734</v>
      </c>
      <c r="O53" s="7" t="s">
        <v>733</v>
      </c>
    </row>
    <row r="54" spans="1:15">
      <c r="A54" s="7">
        <v>22</v>
      </c>
      <c r="B54" s="7" t="s">
        <v>735</v>
      </c>
      <c r="M54" s="7" t="s">
        <v>736</v>
      </c>
      <c r="N54" s="7" t="s">
        <v>737</v>
      </c>
      <c r="O54" s="7" t="s">
        <v>736</v>
      </c>
    </row>
    <row r="55" spans="1:15">
      <c r="A55" s="7">
        <v>23</v>
      </c>
      <c r="B55" s="7" t="s">
        <v>738</v>
      </c>
      <c r="M55" s="7" t="s">
        <v>739</v>
      </c>
      <c r="N55" s="7" t="s">
        <v>740</v>
      </c>
      <c r="O55" s="7" t="s">
        <v>741</v>
      </c>
    </row>
    <row r="56" spans="1:15">
      <c r="A56" s="7">
        <v>25</v>
      </c>
      <c r="B56" s="7" t="s">
        <v>371</v>
      </c>
      <c r="M56" s="7" t="s">
        <v>742</v>
      </c>
      <c r="N56" s="7" t="s">
        <v>743</v>
      </c>
      <c r="O56" s="7" t="s">
        <v>744</v>
      </c>
    </row>
    <row r="57" spans="1:15">
      <c r="A57" s="7">
        <v>26</v>
      </c>
      <c r="B57" s="7" t="s">
        <v>745</v>
      </c>
      <c r="M57" s="7" t="s">
        <v>746</v>
      </c>
      <c r="N57" s="7" t="s">
        <v>747</v>
      </c>
      <c r="O57" s="7" t="s">
        <v>748</v>
      </c>
    </row>
    <row r="58" spans="1:15">
      <c r="A58" s="7">
        <v>27</v>
      </c>
      <c r="B58" s="7" t="s">
        <v>388</v>
      </c>
      <c r="M58" s="7" t="s">
        <v>749</v>
      </c>
      <c r="N58" s="7" t="s">
        <v>750</v>
      </c>
      <c r="O58" s="7" t="s">
        <v>751</v>
      </c>
    </row>
    <row r="59" spans="1:15">
      <c r="A59" s="7">
        <v>28</v>
      </c>
      <c r="B59" s="7" t="s">
        <v>752</v>
      </c>
      <c r="M59" s="7" t="s">
        <v>753</v>
      </c>
      <c r="N59" s="7" t="s">
        <v>754</v>
      </c>
      <c r="O59" s="7" t="s">
        <v>755</v>
      </c>
    </row>
    <row r="60" spans="1:15">
      <c r="A60" s="7">
        <v>29</v>
      </c>
      <c r="B60" s="7" t="s">
        <v>756</v>
      </c>
      <c r="M60" s="4" t="s">
        <v>757</v>
      </c>
      <c r="N60" s="4" t="s">
        <v>360</v>
      </c>
      <c r="O60" s="4" t="s">
        <v>361</v>
      </c>
    </row>
    <row r="61" spans="1:15">
      <c r="A61" s="7">
        <v>30</v>
      </c>
      <c r="B61" s="7" t="s">
        <v>758</v>
      </c>
      <c r="M61" s="7" t="s">
        <v>759</v>
      </c>
      <c r="N61" s="7" t="s">
        <v>760</v>
      </c>
      <c r="O61" s="7" t="s">
        <v>759</v>
      </c>
    </row>
    <row r="62" spans="1:15">
      <c r="A62" s="7">
        <v>31</v>
      </c>
      <c r="B62" s="7" t="s">
        <v>761</v>
      </c>
      <c r="M62" s="7" t="s">
        <v>762</v>
      </c>
      <c r="N62" s="7" t="s">
        <v>763</v>
      </c>
      <c r="O62" s="7" t="s">
        <v>762</v>
      </c>
    </row>
    <row r="63" spans="1:15">
      <c r="A63" s="7">
        <v>32</v>
      </c>
      <c r="B63" s="7" t="s">
        <v>764</v>
      </c>
      <c r="M63" s="7" t="s">
        <v>765</v>
      </c>
      <c r="N63" s="7" t="s">
        <v>766</v>
      </c>
      <c r="O63" s="7" t="s">
        <v>767</v>
      </c>
    </row>
    <row r="64" spans="1:15">
      <c r="A64" s="7">
        <v>33</v>
      </c>
      <c r="B64" s="7" t="s">
        <v>768</v>
      </c>
      <c r="M64" s="7" t="s">
        <v>769</v>
      </c>
      <c r="N64" s="7" t="s">
        <v>770</v>
      </c>
      <c r="O64" s="7" t="s">
        <v>769</v>
      </c>
    </row>
    <row r="65" spans="1:15">
      <c r="A65" s="7">
        <v>34</v>
      </c>
      <c r="B65" s="7" t="s">
        <v>771</v>
      </c>
      <c r="M65" s="4" t="s">
        <v>772</v>
      </c>
      <c r="N65" s="4" t="s">
        <v>360</v>
      </c>
      <c r="O65" s="4" t="s">
        <v>361</v>
      </c>
    </row>
    <row r="66" spans="1:15">
      <c r="A66" s="7">
        <v>35</v>
      </c>
      <c r="B66" s="7" t="s">
        <v>773</v>
      </c>
      <c r="M66" s="7" t="s">
        <v>774</v>
      </c>
      <c r="N66" s="7" t="s">
        <v>775</v>
      </c>
      <c r="O66" s="7" t="s">
        <v>774</v>
      </c>
    </row>
    <row r="67" spans="1:15">
      <c r="A67" s="7">
        <v>36</v>
      </c>
      <c r="B67" s="7" t="s">
        <v>776</v>
      </c>
      <c r="M67" s="7" t="s">
        <v>777</v>
      </c>
      <c r="N67" s="7" t="s">
        <v>778</v>
      </c>
      <c r="O67" s="7" t="s">
        <v>777</v>
      </c>
    </row>
    <row r="68" spans="1:15">
      <c r="A68" s="7">
        <v>37</v>
      </c>
      <c r="B68" s="7" t="s">
        <v>779</v>
      </c>
      <c r="M68" s="7" t="s">
        <v>780</v>
      </c>
      <c r="N68" s="7" t="s">
        <v>781</v>
      </c>
      <c r="O68" s="7" t="s">
        <v>780</v>
      </c>
    </row>
    <row r="69" spans="1:15">
      <c r="A69" s="7">
        <v>38</v>
      </c>
      <c r="B69" s="7" t="s">
        <v>782</v>
      </c>
      <c r="M69" s="7" t="s">
        <v>783</v>
      </c>
      <c r="N69" s="7" t="s">
        <v>784</v>
      </c>
      <c r="O69" s="7" t="s">
        <v>783</v>
      </c>
    </row>
    <row r="70" spans="1:15">
      <c r="A70" s="7">
        <v>39</v>
      </c>
      <c r="B70" s="7" t="s">
        <v>785</v>
      </c>
      <c r="M70" s="7" t="s">
        <v>786</v>
      </c>
      <c r="N70" s="7" t="s">
        <v>787</v>
      </c>
      <c r="O70" s="7" t="s">
        <v>786</v>
      </c>
    </row>
    <row r="71" spans="1:15">
      <c r="A71" s="7">
        <v>40</v>
      </c>
      <c r="B71" s="7" t="s">
        <v>788</v>
      </c>
      <c r="M71" s="7" t="s">
        <v>789</v>
      </c>
      <c r="N71" s="7" t="s">
        <v>790</v>
      </c>
      <c r="O71" s="7" t="s">
        <v>789</v>
      </c>
    </row>
    <row r="72" spans="1:15">
      <c r="A72" s="7">
        <v>41</v>
      </c>
      <c r="B72" s="7" t="s">
        <v>791</v>
      </c>
      <c r="M72" s="7" t="s">
        <v>792</v>
      </c>
      <c r="N72" s="7" t="s">
        <v>793</v>
      </c>
      <c r="O72" s="7" t="s">
        <v>792</v>
      </c>
    </row>
    <row r="73" spans="1:15">
      <c r="A73" s="7">
        <v>42</v>
      </c>
      <c r="B73" s="7" t="s">
        <v>794</v>
      </c>
      <c r="M73" s="7" t="s">
        <v>795</v>
      </c>
      <c r="N73" s="7" t="s">
        <v>796</v>
      </c>
      <c r="O73" s="7" t="s">
        <v>795</v>
      </c>
    </row>
    <row r="74" spans="1:15">
      <c r="A74" s="7">
        <v>43</v>
      </c>
      <c r="B74" s="7" t="s">
        <v>797</v>
      </c>
      <c r="M74" s="7" t="s">
        <v>798</v>
      </c>
      <c r="N74" s="7" t="s">
        <v>799</v>
      </c>
      <c r="O74" s="7" t="s">
        <v>798</v>
      </c>
    </row>
    <row r="75" spans="1:15">
      <c r="A75" s="7">
        <v>44</v>
      </c>
      <c r="B75" s="7" t="s">
        <v>800</v>
      </c>
      <c r="M75" s="7" t="s">
        <v>801</v>
      </c>
      <c r="N75" s="7" t="s">
        <v>802</v>
      </c>
      <c r="O75" s="7" t="s">
        <v>803</v>
      </c>
    </row>
    <row r="76" spans="1:15">
      <c r="A76" s="7">
        <v>45</v>
      </c>
      <c r="B76" s="7" t="s">
        <v>804</v>
      </c>
      <c r="M76" s="7" t="s">
        <v>805</v>
      </c>
      <c r="N76" s="7" t="s">
        <v>806</v>
      </c>
      <c r="O76" s="7" t="s">
        <v>805</v>
      </c>
    </row>
    <row r="77" spans="1:15">
      <c r="A77" s="7">
        <v>46</v>
      </c>
      <c r="B77" s="7" t="s">
        <v>807</v>
      </c>
      <c r="M77" s="7" t="s">
        <v>808</v>
      </c>
      <c r="N77" s="7" t="s">
        <v>809</v>
      </c>
      <c r="O77" s="7" t="s">
        <v>808</v>
      </c>
    </row>
    <row r="78" spans="1:15">
      <c r="A78" s="7">
        <v>47</v>
      </c>
      <c r="B78" s="7" t="s">
        <v>810</v>
      </c>
      <c r="M78" s="7" t="s">
        <v>811</v>
      </c>
      <c r="N78" s="7" t="s">
        <v>812</v>
      </c>
      <c r="O78" s="7" t="s">
        <v>811</v>
      </c>
    </row>
    <row r="79" spans="1:15">
      <c r="A79" s="7">
        <v>48</v>
      </c>
      <c r="B79" s="7" t="s">
        <v>813</v>
      </c>
      <c r="M79" s="7" t="s">
        <v>814</v>
      </c>
      <c r="N79" s="7" t="s">
        <v>815</v>
      </c>
      <c r="O79" s="7" t="s">
        <v>814</v>
      </c>
    </row>
    <row r="80" spans="1:15">
      <c r="A80" s="7">
        <v>49</v>
      </c>
      <c r="B80" s="7" t="s">
        <v>816</v>
      </c>
      <c r="M80" s="7" t="s">
        <v>817</v>
      </c>
      <c r="N80" s="7" t="s">
        <v>818</v>
      </c>
      <c r="O80" s="7" t="s">
        <v>817</v>
      </c>
    </row>
    <row r="81" spans="1:15">
      <c r="A81" s="7">
        <v>50</v>
      </c>
      <c r="B81" s="7" t="s">
        <v>819</v>
      </c>
      <c r="M81" s="7" t="s">
        <v>820</v>
      </c>
      <c r="N81" s="7" t="s">
        <v>821</v>
      </c>
      <c r="O81" s="7" t="s">
        <v>820</v>
      </c>
    </row>
    <row r="82" spans="1:15">
      <c r="A82" s="7">
        <v>51</v>
      </c>
      <c r="B82" s="7" t="s">
        <v>822</v>
      </c>
      <c r="M82" s="7" t="s">
        <v>823</v>
      </c>
      <c r="N82" s="7" t="s">
        <v>824</v>
      </c>
      <c r="O82" s="7" t="s">
        <v>823</v>
      </c>
    </row>
    <row r="83" spans="1:15">
      <c r="A83" s="7">
        <v>52</v>
      </c>
      <c r="B83" s="7" t="s">
        <v>825</v>
      </c>
      <c r="M83" s="7" t="s">
        <v>826</v>
      </c>
      <c r="N83" s="7" t="s">
        <v>827</v>
      </c>
      <c r="O83" s="7" t="s">
        <v>826</v>
      </c>
    </row>
    <row r="84" spans="1:15">
      <c r="A84" s="7">
        <v>53</v>
      </c>
      <c r="B84" s="7" t="s">
        <v>828</v>
      </c>
      <c r="M84" s="7" t="s">
        <v>829</v>
      </c>
      <c r="N84" s="7" t="s">
        <v>830</v>
      </c>
      <c r="O84" s="7" t="s">
        <v>829</v>
      </c>
    </row>
    <row r="85" spans="1:15">
      <c r="A85" s="7">
        <v>55</v>
      </c>
      <c r="B85" s="7" t="s">
        <v>831</v>
      </c>
      <c r="M85" s="7" t="s">
        <v>832</v>
      </c>
      <c r="N85" s="7" t="s">
        <v>833</v>
      </c>
      <c r="O85" s="7" t="s">
        <v>832</v>
      </c>
    </row>
    <row r="86" spans="1:15">
      <c r="A86" s="7">
        <v>56</v>
      </c>
      <c r="B86" s="7" t="s">
        <v>834</v>
      </c>
      <c r="M86" s="7" t="s">
        <v>835</v>
      </c>
      <c r="N86" s="7" t="s">
        <v>836</v>
      </c>
      <c r="O86" s="7" t="s">
        <v>835</v>
      </c>
    </row>
    <row r="87" spans="1:15">
      <c r="A87" s="7">
        <v>57</v>
      </c>
      <c r="B87" s="7" t="s">
        <v>837</v>
      </c>
      <c r="M87" s="7" t="s">
        <v>838</v>
      </c>
      <c r="N87" s="7" t="s">
        <v>839</v>
      </c>
      <c r="O87" s="7" t="s">
        <v>838</v>
      </c>
    </row>
    <row r="88" spans="1:15">
      <c r="A88" s="7">
        <v>58</v>
      </c>
      <c r="B88" s="7" t="s">
        <v>840</v>
      </c>
      <c r="M88" s="7" t="s">
        <v>841</v>
      </c>
      <c r="N88" s="7" t="s">
        <v>842</v>
      </c>
      <c r="O88" s="7" t="s">
        <v>841</v>
      </c>
    </row>
    <row r="89" spans="1:15">
      <c r="A89" s="7">
        <v>60</v>
      </c>
      <c r="B89" s="7" t="s">
        <v>843</v>
      </c>
      <c r="M89" s="7" t="s">
        <v>844</v>
      </c>
      <c r="N89" s="7" t="s">
        <v>845</v>
      </c>
      <c r="O89" s="7" t="s">
        <v>844</v>
      </c>
    </row>
    <row r="90" spans="1:15">
      <c r="A90" s="7">
        <v>61</v>
      </c>
      <c r="B90" s="7" t="s">
        <v>846</v>
      </c>
      <c r="M90" s="7" t="s">
        <v>847</v>
      </c>
      <c r="N90" s="7" t="s">
        <v>848</v>
      </c>
      <c r="O90" s="7" t="s">
        <v>847</v>
      </c>
    </row>
    <row r="91" spans="1:15">
      <c r="A91" s="7">
        <v>62</v>
      </c>
      <c r="B91" s="7" t="s">
        <v>849</v>
      </c>
      <c r="M91" s="7" t="s">
        <v>850</v>
      </c>
      <c r="N91" s="7" t="s">
        <v>851</v>
      </c>
      <c r="O91" s="7" t="s">
        <v>850</v>
      </c>
    </row>
    <row r="92" spans="1:15">
      <c r="A92" s="7">
        <v>63</v>
      </c>
      <c r="B92" s="7" t="s">
        <v>852</v>
      </c>
      <c r="M92" s="7" t="s">
        <v>853</v>
      </c>
      <c r="N92" s="7" t="s">
        <v>854</v>
      </c>
      <c r="O92" s="7" t="s">
        <v>853</v>
      </c>
    </row>
    <row r="93" spans="1:15">
      <c r="A93" s="7">
        <v>64</v>
      </c>
      <c r="B93" s="7" t="s">
        <v>855</v>
      </c>
      <c r="M93" s="7" t="s">
        <v>856</v>
      </c>
      <c r="N93" s="7" t="s">
        <v>857</v>
      </c>
      <c r="O93" s="7" t="s">
        <v>856</v>
      </c>
    </row>
    <row r="94" spans="1:15">
      <c r="A94" s="7">
        <v>65</v>
      </c>
      <c r="B94" s="7" t="s">
        <v>858</v>
      </c>
      <c r="M94" s="7" t="s">
        <v>859</v>
      </c>
      <c r="N94" s="7" t="s">
        <v>860</v>
      </c>
      <c r="O94" s="7" t="s">
        <v>859</v>
      </c>
    </row>
    <row r="95" spans="1:15">
      <c r="A95" s="7">
        <v>66</v>
      </c>
      <c r="B95" s="7" t="s">
        <v>861</v>
      </c>
      <c r="M95" s="7" t="s">
        <v>862</v>
      </c>
      <c r="N95" s="7" t="s">
        <v>863</v>
      </c>
      <c r="O95" s="7" t="s">
        <v>862</v>
      </c>
    </row>
    <row r="96" spans="1:15">
      <c r="A96" s="7">
        <v>67</v>
      </c>
      <c r="B96" s="7" t="s">
        <v>864</v>
      </c>
      <c r="M96" s="7" t="s">
        <v>865</v>
      </c>
      <c r="N96" s="7" t="s">
        <v>866</v>
      </c>
      <c r="O96" s="7" t="s">
        <v>865</v>
      </c>
    </row>
    <row r="97" spans="1:15">
      <c r="A97" s="7">
        <v>68</v>
      </c>
      <c r="B97" s="7" t="s">
        <v>867</v>
      </c>
      <c r="M97" s="7" t="s">
        <v>868</v>
      </c>
      <c r="N97" s="7" t="s">
        <v>869</v>
      </c>
      <c r="O97" s="7" t="s">
        <v>868</v>
      </c>
    </row>
    <row r="98" spans="1:15">
      <c r="A98" s="7">
        <v>69</v>
      </c>
      <c r="B98" s="7" t="s">
        <v>870</v>
      </c>
      <c r="M98" s="7" t="s">
        <v>871</v>
      </c>
      <c r="N98" s="7" t="s">
        <v>872</v>
      </c>
      <c r="O98" s="7" t="s">
        <v>871</v>
      </c>
    </row>
    <row r="99" spans="1:15">
      <c r="A99" s="7">
        <v>70</v>
      </c>
      <c r="B99" s="7" t="s">
        <v>873</v>
      </c>
      <c r="M99" s="7" t="s">
        <v>874</v>
      </c>
      <c r="N99" s="7" t="s">
        <v>875</v>
      </c>
      <c r="O99" s="7" t="s">
        <v>874</v>
      </c>
    </row>
    <row r="100" spans="1:15">
      <c r="A100" s="7">
        <v>71</v>
      </c>
      <c r="B100" s="7" t="s">
        <v>876</v>
      </c>
      <c r="M100" s="7" t="s">
        <v>877</v>
      </c>
      <c r="N100" s="7" t="s">
        <v>878</v>
      </c>
      <c r="O100" s="7" t="s">
        <v>877</v>
      </c>
    </row>
    <row r="101" spans="1:15">
      <c r="A101" s="7">
        <v>72</v>
      </c>
      <c r="B101" s="7" t="s">
        <v>879</v>
      </c>
      <c r="M101" s="7" t="s">
        <v>880</v>
      </c>
      <c r="N101" s="7" t="s">
        <v>881</v>
      </c>
      <c r="O101" s="7" t="s">
        <v>880</v>
      </c>
    </row>
    <row r="102" spans="1:15">
      <c r="A102" s="7">
        <v>73</v>
      </c>
      <c r="B102" s="7" t="s">
        <v>882</v>
      </c>
      <c r="M102" s="7" t="s">
        <v>883</v>
      </c>
      <c r="N102" s="7" t="s">
        <v>884</v>
      </c>
      <c r="O102" s="7" t="s">
        <v>883</v>
      </c>
    </row>
    <row r="103" spans="1:15">
      <c r="A103" s="7">
        <v>74</v>
      </c>
      <c r="B103" s="7" t="s">
        <v>885</v>
      </c>
      <c r="M103" s="7" t="s">
        <v>886</v>
      </c>
      <c r="N103" s="7" t="s">
        <v>887</v>
      </c>
      <c r="O103" s="7" t="s">
        <v>886</v>
      </c>
    </row>
    <row r="104" spans="1:15">
      <c r="A104" s="7">
        <v>75</v>
      </c>
      <c r="B104" s="7" t="s">
        <v>888</v>
      </c>
      <c r="M104" s="7" t="s">
        <v>889</v>
      </c>
      <c r="N104" s="7" t="s">
        <v>890</v>
      </c>
      <c r="O104" s="7" t="s">
        <v>889</v>
      </c>
    </row>
    <row r="105" spans="1:15">
      <c r="A105" s="7">
        <v>100</v>
      </c>
      <c r="B105" s="7" t="s">
        <v>891</v>
      </c>
      <c r="M105" s="7" t="s">
        <v>892</v>
      </c>
      <c r="N105" s="7" t="s">
        <v>893</v>
      </c>
      <c r="O105" s="7" t="s">
        <v>892</v>
      </c>
    </row>
    <row r="106" spans="1:15">
      <c r="A106" s="7">
        <v>101</v>
      </c>
      <c r="B106" s="7" t="s">
        <v>894</v>
      </c>
      <c r="M106" s="7" t="s">
        <v>895</v>
      </c>
      <c r="N106" s="7" t="s">
        <v>896</v>
      </c>
      <c r="O106" s="7" t="s">
        <v>895</v>
      </c>
    </row>
    <row r="107" spans="1:15">
      <c r="A107" s="7">
        <v>102</v>
      </c>
      <c r="B107" s="7" t="s">
        <v>459</v>
      </c>
      <c r="M107" s="7" t="s">
        <v>897</v>
      </c>
      <c r="N107" s="7" t="s">
        <v>898</v>
      </c>
      <c r="O107" s="7" t="s">
        <v>897</v>
      </c>
    </row>
    <row r="108" spans="1:15">
      <c r="A108" s="7">
        <v>103</v>
      </c>
      <c r="B108" s="7" t="s">
        <v>899</v>
      </c>
      <c r="M108" s="7" t="s">
        <v>900</v>
      </c>
      <c r="N108" s="7" t="s">
        <v>901</v>
      </c>
      <c r="O108" s="7" t="s">
        <v>900</v>
      </c>
    </row>
    <row r="109" spans="1:15">
      <c r="A109" s="7">
        <v>104</v>
      </c>
      <c r="B109" s="7" t="s">
        <v>902</v>
      </c>
      <c r="M109" s="7" t="s">
        <v>903</v>
      </c>
      <c r="N109" s="7" t="s">
        <v>904</v>
      </c>
      <c r="O109" s="7" t="s">
        <v>903</v>
      </c>
    </row>
    <row r="110" spans="1:15">
      <c r="A110" s="7">
        <v>105</v>
      </c>
      <c r="B110" s="7" t="s">
        <v>905</v>
      </c>
      <c r="M110" s="7" t="s">
        <v>906</v>
      </c>
      <c r="N110" s="7" t="s">
        <v>907</v>
      </c>
      <c r="O110" s="7" t="s">
        <v>906</v>
      </c>
    </row>
    <row r="111" spans="1:15">
      <c r="A111" s="7">
        <v>106</v>
      </c>
      <c r="B111" s="7" t="s">
        <v>908</v>
      </c>
      <c r="M111" s="7" t="s">
        <v>909</v>
      </c>
      <c r="N111" s="7" t="s">
        <v>910</v>
      </c>
      <c r="O111" s="7" t="s">
        <v>909</v>
      </c>
    </row>
    <row r="112" spans="1:15">
      <c r="A112" s="7">
        <v>107</v>
      </c>
      <c r="B112" s="7" t="s">
        <v>911</v>
      </c>
      <c r="M112" s="7" t="s">
        <v>912</v>
      </c>
      <c r="N112" s="7" t="s">
        <v>913</v>
      </c>
      <c r="O112" s="7" t="s">
        <v>912</v>
      </c>
    </row>
    <row r="113" spans="1:15">
      <c r="A113" s="7">
        <v>108</v>
      </c>
      <c r="B113" s="7" t="s">
        <v>914</v>
      </c>
      <c r="M113" s="7" t="s">
        <v>915</v>
      </c>
      <c r="N113" s="7" t="s">
        <v>916</v>
      </c>
      <c r="O113" s="7" t="s">
        <v>915</v>
      </c>
    </row>
    <row r="114" spans="1:15">
      <c r="A114" s="7">
        <v>109</v>
      </c>
      <c r="B114" s="7" t="s">
        <v>917</v>
      </c>
      <c r="M114" s="7" t="s">
        <v>918</v>
      </c>
      <c r="N114" s="7" t="s">
        <v>919</v>
      </c>
      <c r="O114" s="7" t="s">
        <v>918</v>
      </c>
    </row>
    <row r="115" spans="1:15">
      <c r="A115" s="7">
        <v>110</v>
      </c>
      <c r="B115" s="7" t="s">
        <v>920</v>
      </c>
      <c r="M115" s="7" t="s">
        <v>921</v>
      </c>
      <c r="N115" s="7" t="s">
        <v>922</v>
      </c>
      <c r="O115" s="7" t="s">
        <v>921</v>
      </c>
    </row>
    <row r="116" spans="1:15">
      <c r="A116" s="7">
        <v>111</v>
      </c>
      <c r="B116" s="7" t="s">
        <v>923</v>
      </c>
      <c r="M116" s="7" t="s">
        <v>924</v>
      </c>
      <c r="N116" s="7" t="s">
        <v>925</v>
      </c>
      <c r="O116" s="7" t="s">
        <v>924</v>
      </c>
    </row>
    <row r="117" spans="1:15">
      <c r="A117" s="7">
        <v>112</v>
      </c>
      <c r="B117" s="7" t="s">
        <v>926</v>
      </c>
      <c r="M117" s="7" t="s">
        <v>927</v>
      </c>
      <c r="N117" s="7" t="s">
        <v>928</v>
      </c>
      <c r="O117" s="7" t="s">
        <v>927</v>
      </c>
    </row>
    <row r="118" spans="1:15">
      <c r="A118" s="7">
        <v>113</v>
      </c>
      <c r="B118" s="7" t="s">
        <v>929</v>
      </c>
      <c r="M118" s="7" t="s">
        <v>930</v>
      </c>
      <c r="N118" s="7" t="s">
        <v>931</v>
      </c>
      <c r="O118" s="7" t="s">
        <v>930</v>
      </c>
    </row>
    <row r="119" spans="1:15">
      <c r="A119" s="7">
        <v>114</v>
      </c>
      <c r="B119" s="7" t="s">
        <v>932</v>
      </c>
      <c r="M119" s="7" t="s">
        <v>933</v>
      </c>
      <c r="N119" s="7" t="s">
        <v>934</v>
      </c>
      <c r="O119" s="7" t="s">
        <v>933</v>
      </c>
    </row>
    <row r="120" spans="1:15">
      <c r="A120" s="7">
        <v>115</v>
      </c>
      <c r="B120" s="7" t="s">
        <v>935</v>
      </c>
      <c r="M120" s="7" t="s">
        <v>936</v>
      </c>
      <c r="N120" s="7" t="s">
        <v>937</v>
      </c>
      <c r="O120" s="7" t="s">
        <v>936</v>
      </c>
    </row>
    <row r="121" spans="1:15">
      <c r="A121" s="7">
        <v>116</v>
      </c>
      <c r="B121" s="7" t="s">
        <v>938</v>
      </c>
      <c r="M121" s="7" t="s">
        <v>939</v>
      </c>
      <c r="N121" s="7" t="s">
        <v>940</v>
      </c>
      <c r="O121" s="7" t="s">
        <v>939</v>
      </c>
    </row>
    <row r="122" spans="1:15">
      <c r="A122" s="7">
        <v>117</v>
      </c>
      <c r="B122" s="7" t="s">
        <v>941</v>
      </c>
      <c r="M122" s="7" t="s">
        <v>942</v>
      </c>
      <c r="N122" s="7" t="s">
        <v>943</v>
      </c>
      <c r="O122" s="7" t="s">
        <v>942</v>
      </c>
    </row>
    <row r="123" spans="1:15">
      <c r="A123" s="7">
        <v>118</v>
      </c>
      <c r="B123" s="7" t="s">
        <v>944</v>
      </c>
      <c r="M123" s="7" t="s">
        <v>945</v>
      </c>
      <c r="N123" s="7" t="s">
        <v>946</v>
      </c>
      <c r="O123" s="7" t="s">
        <v>945</v>
      </c>
    </row>
    <row r="124" spans="1:15">
      <c r="A124" s="7">
        <v>119</v>
      </c>
      <c r="B124" s="7" t="s">
        <v>947</v>
      </c>
      <c r="M124" s="7" t="s">
        <v>948</v>
      </c>
      <c r="N124" s="7" t="s">
        <v>949</v>
      </c>
      <c r="O124" s="7" t="s">
        <v>948</v>
      </c>
    </row>
    <row r="125" spans="1:15">
      <c r="A125" s="7">
        <v>120</v>
      </c>
      <c r="B125" s="7" t="s">
        <v>950</v>
      </c>
      <c r="M125" s="7" t="s">
        <v>951</v>
      </c>
      <c r="N125" s="7" t="s">
        <v>952</v>
      </c>
      <c r="O125" s="7" t="s">
        <v>951</v>
      </c>
    </row>
    <row r="126" spans="1:15">
      <c r="A126" s="7">
        <v>121</v>
      </c>
      <c r="B126" s="7" t="s">
        <v>953</v>
      </c>
      <c r="M126" s="4" t="s">
        <v>954</v>
      </c>
      <c r="N126" s="4" t="s">
        <v>955</v>
      </c>
      <c r="O126" s="4" t="s">
        <v>361</v>
      </c>
    </row>
    <row r="127" spans="1:15">
      <c r="A127" s="7">
        <v>122</v>
      </c>
      <c r="B127" s="7" t="s">
        <v>469</v>
      </c>
      <c r="M127" s="7" t="s">
        <v>956</v>
      </c>
      <c r="N127" s="7" t="s">
        <v>957</v>
      </c>
      <c r="O127" s="7" t="s">
        <v>956</v>
      </c>
    </row>
    <row r="128" spans="1:15">
      <c r="A128" s="7">
        <v>123</v>
      </c>
      <c r="B128" s="7" t="s">
        <v>958</v>
      </c>
      <c r="M128" s="7" t="s">
        <v>959</v>
      </c>
      <c r="N128" s="7" t="s">
        <v>960</v>
      </c>
      <c r="O128" s="7" t="s">
        <v>959</v>
      </c>
    </row>
    <row r="129" spans="1:15">
      <c r="A129" s="7">
        <v>125</v>
      </c>
      <c r="B129" s="7" t="s">
        <v>961</v>
      </c>
      <c r="M129" s="7" t="s">
        <v>962</v>
      </c>
      <c r="N129" s="7" t="s">
        <v>963</v>
      </c>
      <c r="O129" s="7" t="s">
        <v>962</v>
      </c>
    </row>
    <row r="130" spans="1:15">
      <c r="A130" s="7">
        <v>126</v>
      </c>
      <c r="B130" s="7" t="s">
        <v>964</v>
      </c>
      <c r="M130" s="7" t="s">
        <v>965</v>
      </c>
      <c r="N130" s="7" t="s">
        <v>966</v>
      </c>
      <c r="O130" s="7" t="s">
        <v>965</v>
      </c>
    </row>
    <row r="131" spans="1:15">
      <c r="A131" s="7">
        <v>127</v>
      </c>
      <c r="B131" s="7" t="s">
        <v>967</v>
      </c>
      <c r="M131" s="7" t="s">
        <v>968</v>
      </c>
      <c r="N131" s="7" t="s">
        <v>969</v>
      </c>
      <c r="O131" s="7" t="s">
        <v>968</v>
      </c>
    </row>
    <row r="132" spans="1:15">
      <c r="A132" s="7">
        <v>128</v>
      </c>
      <c r="B132" s="7" t="s">
        <v>970</v>
      </c>
      <c r="M132" s="7" t="s">
        <v>971</v>
      </c>
      <c r="N132" s="7" t="s">
        <v>972</v>
      </c>
      <c r="O132" s="7" t="s">
        <v>971</v>
      </c>
    </row>
    <row r="133" spans="1:15">
      <c r="A133" s="7">
        <v>129</v>
      </c>
      <c r="B133" s="7" t="s">
        <v>973</v>
      </c>
      <c r="M133" s="7" t="s">
        <v>974</v>
      </c>
      <c r="N133" s="7" t="s">
        <v>975</v>
      </c>
      <c r="O133" s="7" t="s">
        <v>974</v>
      </c>
    </row>
    <row r="134" spans="1:15">
      <c r="A134" s="7">
        <v>130</v>
      </c>
      <c r="B134" s="7" t="s">
        <v>976</v>
      </c>
      <c r="M134" s="7" t="s">
        <v>977</v>
      </c>
      <c r="N134" s="7" t="s">
        <v>978</v>
      </c>
      <c r="O134" s="7" t="s">
        <v>977</v>
      </c>
    </row>
    <row r="135" spans="1:15">
      <c r="A135" s="7">
        <v>131</v>
      </c>
      <c r="B135" s="7" t="s">
        <v>979</v>
      </c>
      <c r="M135" s="7" t="s">
        <v>980</v>
      </c>
      <c r="N135" s="7" t="s">
        <v>981</v>
      </c>
      <c r="O135" s="7" t="s">
        <v>980</v>
      </c>
    </row>
    <row r="136" spans="1:15">
      <c r="A136" s="7">
        <v>133</v>
      </c>
      <c r="B136" s="7" t="s">
        <v>982</v>
      </c>
      <c r="M136" s="7" t="s">
        <v>983</v>
      </c>
      <c r="N136" s="7" t="s">
        <v>984</v>
      </c>
      <c r="O136" s="7" t="s">
        <v>983</v>
      </c>
    </row>
    <row r="137" spans="1:15">
      <c r="A137" s="7">
        <v>134</v>
      </c>
      <c r="B137" s="7" t="s">
        <v>985</v>
      </c>
      <c r="M137" s="7" t="s">
        <v>986</v>
      </c>
      <c r="N137" s="7" t="s">
        <v>987</v>
      </c>
      <c r="O137" s="7" t="s">
        <v>986</v>
      </c>
    </row>
    <row r="138" spans="1:15">
      <c r="A138" s="7">
        <v>135</v>
      </c>
      <c r="B138" s="7" t="s">
        <v>988</v>
      </c>
      <c r="M138" s="7" t="s">
        <v>989</v>
      </c>
      <c r="N138" s="7" t="s">
        <v>990</v>
      </c>
      <c r="O138" s="7" t="s">
        <v>989</v>
      </c>
    </row>
    <row r="139" spans="1:15">
      <c r="A139" s="7">
        <v>136</v>
      </c>
      <c r="B139" s="7" t="s">
        <v>991</v>
      </c>
      <c r="M139" s="7" t="s">
        <v>992</v>
      </c>
      <c r="N139" s="7" t="s">
        <v>993</v>
      </c>
      <c r="O139" s="7" t="s">
        <v>992</v>
      </c>
    </row>
    <row r="140" spans="1:15">
      <c r="A140" s="7">
        <v>137</v>
      </c>
      <c r="B140" s="7" t="s">
        <v>994</v>
      </c>
      <c r="M140" s="7" t="s">
        <v>995</v>
      </c>
      <c r="N140" s="7" t="s">
        <v>996</v>
      </c>
      <c r="O140" s="7" t="s">
        <v>995</v>
      </c>
    </row>
    <row r="141" spans="1:15">
      <c r="A141" s="7">
        <v>138</v>
      </c>
      <c r="B141" s="7" t="s">
        <v>997</v>
      </c>
      <c r="M141" s="7" t="s">
        <v>998</v>
      </c>
      <c r="N141" s="7" t="s">
        <v>999</v>
      </c>
      <c r="O141" s="7" t="s">
        <v>998</v>
      </c>
    </row>
    <row r="142" spans="1:15">
      <c r="A142" s="7">
        <v>139</v>
      </c>
      <c r="B142" s="7" t="s">
        <v>1000</v>
      </c>
      <c r="M142" s="7" t="s">
        <v>1001</v>
      </c>
      <c r="N142" s="7" t="s">
        <v>1002</v>
      </c>
      <c r="O142" s="7" t="s">
        <v>1001</v>
      </c>
    </row>
    <row r="143" spans="1:15">
      <c r="A143" s="7">
        <v>140</v>
      </c>
      <c r="B143" s="7" t="s">
        <v>1003</v>
      </c>
      <c r="M143" s="7" t="s">
        <v>1004</v>
      </c>
      <c r="N143" s="7" t="s">
        <v>1005</v>
      </c>
      <c r="O143" s="7" t="s">
        <v>1004</v>
      </c>
    </row>
    <row r="144" spans="1:15">
      <c r="A144" s="7">
        <v>141</v>
      </c>
      <c r="B144" s="7" t="s">
        <v>1006</v>
      </c>
      <c r="M144" s="7" t="s">
        <v>1007</v>
      </c>
      <c r="N144" s="7" t="s">
        <v>1008</v>
      </c>
      <c r="O144" s="7" t="s">
        <v>1007</v>
      </c>
    </row>
    <row r="145" spans="1:15">
      <c r="A145" s="7">
        <v>142</v>
      </c>
      <c r="B145" s="7" t="s">
        <v>1009</v>
      </c>
      <c r="M145" s="7" t="s">
        <v>1010</v>
      </c>
      <c r="N145" s="7" t="s">
        <v>1011</v>
      </c>
      <c r="O145" s="7" t="s">
        <v>1010</v>
      </c>
    </row>
    <row r="146" spans="1:15">
      <c r="A146" s="7">
        <v>143</v>
      </c>
      <c r="B146" s="7" t="s">
        <v>1012</v>
      </c>
      <c r="M146" s="7" t="s">
        <v>1013</v>
      </c>
      <c r="N146" s="7" t="s">
        <v>1014</v>
      </c>
      <c r="O146" s="7" t="s">
        <v>1013</v>
      </c>
    </row>
    <row r="147" spans="1:15">
      <c r="A147" s="7">
        <v>144</v>
      </c>
      <c r="B147" s="7" t="s">
        <v>1012</v>
      </c>
      <c r="M147" s="7" t="s">
        <v>1015</v>
      </c>
      <c r="N147" s="7" t="s">
        <v>1016</v>
      </c>
      <c r="O147" s="7" t="s">
        <v>1015</v>
      </c>
    </row>
    <row r="148" spans="1:15">
      <c r="A148" s="7">
        <v>145</v>
      </c>
      <c r="B148" s="7" t="s">
        <v>1012</v>
      </c>
      <c r="M148" s="7" t="s">
        <v>1017</v>
      </c>
      <c r="N148" s="7" t="s">
        <v>1018</v>
      </c>
      <c r="O148" s="7" t="s">
        <v>1017</v>
      </c>
    </row>
    <row r="149" spans="1:15">
      <c r="A149" s="7">
        <v>146</v>
      </c>
      <c r="B149" s="7" t="s">
        <v>1012</v>
      </c>
      <c r="M149" s="4" t="s">
        <v>1019</v>
      </c>
      <c r="N149" s="4" t="s">
        <v>360</v>
      </c>
      <c r="O149" s="4" t="s">
        <v>361</v>
      </c>
    </row>
    <row r="150" spans="1:15">
      <c r="A150" s="7">
        <v>147</v>
      </c>
      <c r="B150" s="7" t="s">
        <v>1012</v>
      </c>
      <c r="M150" s="7" t="s">
        <v>1020</v>
      </c>
      <c r="N150" s="7" t="s">
        <v>1021</v>
      </c>
      <c r="O150" s="7" t="s">
        <v>1020</v>
      </c>
    </row>
    <row r="151" spans="1:15">
      <c r="A151" s="7">
        <v>148</v>
      </c>
      <c r="B151" s="7" t="s">
        <v>1022</v>
      </c>
      <c r="M151" s="7" t="s">
        <v>1023</v>
      </c>
      <c r="N151" s="7" t="s">
        <v>1024</v>
      </c>
      <c r="O151" s="7" t="s">
        <v>1023</v>
      </c>
    </row>
    <row r="152" spans="1:15">
      <c r="A152" s="7">
        <v>149</v>
      </c>
      <c r="B152" s="7" t="s">
        <v>1025</v>
      </c>
      <c r="M152" s="7" t="s">
        <v>1026</v>
      </c>
      <c r="N152" s="7" t="s">
        <v>1027</v>
      </c>
      <c r="O152" s="7" t="s">
        <v>1026</v>
      </c>
    </row>
    <row r="153" spans="1:15">
      <c r="A153" s="7">
        <v>150</v>
      </c>
      <c r="B153" s="7" t="s">
        <v>467</v>
      </c>
      <c r="M153" s="7" t="s">
        <v>1028</v>
      </c>
      <c r="N153" s="7" t="s">
        <v>1029</v>
      </c>
      <c r="O153" s="7" t="s">
        <v>1028</v>
      </c>
    </row>
    <row r="154" spans="1:15">
      <c r="A154" s="7">
        <v>151</v>
      </c>
      <c r="B154" s="7" t="s">
        <v>1030</v>
      </c>
      <c r="M154" s="7" t="s">
        <v>1031</v>
      </c>
      <c r="N154" s="7" t="s">
        <v>1032</v>
      </c>
      <c r="O154" s="7" t="s">
        <v>1031</v>
      </c>
    </row>
    <row r="155" spans="1:15">
      <c r="A155" s="7">
        <v>152</v>
      </c>
      <c r="B155" s="7" t="s">
        <v>1033</v>
      </c>
      <c r="M155" s="7" t="s">
        <v>1034</v>
      </c>
      <c r="N155" s="7" t="s">
        <v>1035</v>
      </c>
      <c r="O155" s="7" t="s">
        <v>1034</v>
      </c>
    </row>
    <row r="156" spans="1:15">
      <c r="A156" s="7">
        <v>153</v>
      </c>
      <c r="B156" s="7" t="s">
        <v>1036</v>
      </c>
      <c r="M156" s="7" t="s">
        <v>1037</v>
      </c>
      <c r="N156" s="7" t="s">
        <v>1038</v>
      </c>
      <c r="O156" s="7" t="s">
        <v>1037</v>
      </c>
    </row>
    <row r="157" spans="1:15">
      <c r="A157" s="7">
        <v>155</v>
      </c>
      <c r="B157" s="7" t="s">
        <v>1039</v>
      </c>
      <c r="M157" s="7" t="s">
        <v>1040</v>
      </c>
      <c r="N157" s="7" t="s">
        <v>1041</v>
      </c>
      <c r="O157" s="7" t="s">
        <v>1040</v>
      </c>
    </row>
    <row r="158" spans="1:15">
      <c r="A158" s="7">
        <v>156</v>
      </c>
      <c r="B158" s="7" t="s">
        <v>1042</v>
      </c>
      <c r="M158" s="7" t="s">
        <v>1043</v>
      </c>
      <c r="N158" s="7" t="s">
        <v>1044</v>
      </c>
      <c r="O158" s="7" t="s">
        <v>1043</v>
      </c>
    </row>
    <row r="159" spans="1:15">
      <c r="A159" s="7">
        <v>157</v>
      </c>
      <c r="B159" s="7" t="s">
        <v>1045</v>
      </c>
      <c r="M159" s="7" t="s">
        <v>1046</v>
      </c>
      <c r="N159" s="7" t="s">
        <v>1047</v>
      </c>
      <c r="O159" s="7" t="s">
        <v>1046</v>
      </c>
    </row>
    <row r="160" spans="1:15">
      <c r="A160" s="7">
        <v>158</v>
      </c>
      <c r="B160" s="7" t="s">
        <v>1048</v>
      </c>
      <c r="M160" s="7" t="s">
        <v>1049</v>
      </c>
      <c r="N160" s="7" t="s">
        <v>1050</v>
      </c>
      <c r="O160" s="7" t="s">
        <v>1049</v>
      </c>
    </row>
    <row r="161" spans="1:15">
      <c r="A161" s="7">
        <v>159</v>
      </c>
      <c r="B161" s="7" t="s">
        <v>455</v>
      </c>
      <c r="M161" s="7" t="s">
        <v>1051</v>
      </c>
      <c r="N161" s="7" t="s">
        <v>1052</v>
      </c>
      <c r="O161" s="7" t="s">
        <v>1051</v>
      </c>
    </row>
    <row r="162" spans="1:15">
      <c r="A162" s="7">
        <v>160</v>
      </c>
      <c r="B162" s="7" t="s">
        <v>1053</v>
      </c>
      <c r="M162" s="4" t="s">
        <v>1054</v>
      </c>
      <c r="N162" s="4" t="s">
        <v>360</v>
      </c>
      <c r="O162" s="4" t="s">
        <v>361</v>
      </c>
    </row>
    <row r="163" spans="1:15">
      <c r="A163" s="7">
        <v>161</v>
      </c>
      <c r="B163" s="7" t="s">
        <v>1055</v>
      </c>
      <c r="M163" s="7" t="s">
        <v>1056</v>
      </c>
      <c r="N163" s="7" t="s">
        <v>1057</v>
      </c>
      <c r="O163" s="7" t="s">
        <v>1056</v>
      </c>
    </row>
    <row r="164" spans="1:15">
      <c r="A164" s="7">
        <v>162</v>
      </c>
      <c r="B164" s="7" t="s">
        <v>1058</v>
      </c>
      <c r="M164" s="7" t="s">
        <v>1059</v>
      </c>
      <c r="N164" s="7" t="s">
        <v>1060</v>
      </c>
      <c r="O164" s="7" t="s">
        <v>1059</v>
      </c>
    </row>
    <row r="165" spans="1:15">
      <c r="A165" s="7">
        <v>163</v>
      </c>
      <c r="B165" s="7" t="s">
        <v>1061</v>
      </c>
      <c r="M165" s="7" t="s">
        <v>1062</v>
      </c>
      <c r="N165" s="7" t="s">
        <v>1063</v>
      </c>
      <c r="O165" s="7" t="s">
        <v>1062</v>
      </c>
    </row>
    <row r="166" spans="1:15">
      <c r="A166" s="7">
        <v>164</v>
      </c>
      <c r="B166" s="7" t="s">
        <v>1064</v>
      </c>
      <c r="M166" s="7" t="s">
        <v>1065</v>
      </c>
      <c r="N166" s="7" t="s">
        <v>1066</v>
      </c>
      <c r="O166" s="7" t="s">
        <v>1067</v>
      </c>
    </row>
    <row r="167" spans="1:15">
      <c r="A167" s="7">
        <v>165</v>
      </c>
      <c r="B167" s="7" t="s">
        <v>1068</v>
      </c>
      <c r="M167" s="7" t="s">
        <v>1069</v>
      </c>
      <c r="N167" s="7" t="s">
        <v>1070</v>
      </c>
      <c r="O167" s="7" t="s">
        <v>1071</v>
      </c>
    </row>
    <row r="168" spans="1:15">
      <c r="A168" s="7">
        <v>167</v>
      </c>
      <c r="B168" s="7" t="s">
        <v>1072</v>
      </c>
      <c r="M168" s="7">
        <v>666666</v>
      </c>
      <c r="N168" s="7" t="s">
        <v>1073</v>
      </c>
      <c r="O168" s="7">
        <v>666666</v>
      </c>
    </row>
    <row r="169" spans="1:15">
      <c r="A169" s="7">
        <v>169</v>
      </c>
      <c r="B169" s="7" t="s">
        <v>1074</v>
      </c>
      <c r="M169" s="7" t="s">
        <v>1075</v>
      </c>
      <c r="N169" s="7" t="s">
        <v>1076</v>
      </c>
      <c r="O169" s="7" t="s">
        <v>1075</v>
      </c>
    </row>
    <row r="170" spans="1:15">
      <c r="A170" s="7">
        <v>170</v>
      </c>
      <c r="B170" s="7" t="s">
        <v>1077</v>
      </c>
      <c r="M170" s="7" t="s">
        <v>1078</v>
      </c>
      <c r="N170" s="7" t="s">
        <v>1079</v>
      </c>
      <c r="O170" s="7" t="s">
        <v>1078</v>
      </c>
    </row>
    <row r="171" spans="1:15">
      <c r="A171" s="7">
        <v>171</v>
      </c>
      <c r="B171" s="7" t="s">
        <v>1080</v>
      </c>
      <c r="M171" s="7"/>
      <c r="N171" s="7"/>
      <c r="O171" s="7"/>
    </row>
    <row r="172" spans="1:15">
      <c r="A172" s="7">
        <v>172</v>
      </c>
      <c r="B172" s="7" t="s">
        <v>510</v>
      </c>
      <c r="M172" s="7"/>
      <c r="N172" s="7"/>
      <c r="O172" s="7"/>
    </row>
    <row r="173" spans="1:15">
      <c r="A173" s="7">
        <v>173</v>
      </c>
      <c r="B173" s="7" t="s">
        <v>1081</v>
      </c>
      <c r="M173" s="7"/>
      <c r="N173" s="7"/>
      <c r="O173" s="7"/>
    </row>
    <row r="174" spans="1:15">
      <c r="A174" s="7">
        <v>174</v>
      </c>
      <c r="B174" s="7" t="s">
        <v>1082</v>
      </c>
      <c r="M174" s="7"/>
      <c r="N174" s="7"/>
      <c r="O174" s="7"/>
    </row>
    <row r="175" spans="1:15">
      <c r="A175" s="7">
        <v>175</v>
      </c>
      <c r="B175" s="7" t="s">
        <v>1083</v>
      </c>
      <c r="M175" s="7"/>
      <c r="N175" s="7"/>
      <c r="O175" s="7"/>
    </row>
    <row r="176" spans="1:15">
      <c r="A176" s="7">
        <v>176</v>
      </c>
      <c r="B176" s="7" t="s">
        <v>1084</v>
      </c>
      <c r="M176" s="7"/>
      <c r="N176" s="7"/>
      <c r="O176" s="7"/>
    </row>
    <row r="177" spans="1:15">
      <c r="A177" s="7">
        <v>177</v>
      </c>
      <c r="B177" s="7" t="s">
        <v>1085</v>
      </c>
      <c r="M177" s="7"/>
      <c r="N177" s="7"/>
      <c r="O177" s="7"/>
    </row>
    <row r="178" spans="1:15">
      <c r="A178" s="7">
        <v>178</v>
      </c>
      <c r="B178" s="7" t="s">
        <v>1086</v>
      </c>
      <c r="M178" s="7"/>
      <c r="N178" s="7"/>
      <c r="O178" s="7"/>
    </row>
    <row r="179" spans="1:15">
      <c r="A179" s="7">
        <v>179</v>
      </c>
      <c r="B179" s="7" t="s">
        <v>1087</v>
      </c>
      <c r="M179" s="7"/>
      <c r="N179" s="7"/>
      <c r="O179" s="7"/>
    </row>
    <row r="180" spans="1:15">
      <c r="A180" s="7">
        <v>181</v>
      </c>
      <c r="B180" s="7" t="s">
        <v>1088</v>
      </c>
      <c r="M180" s="7"/>
      <c r="N180" s="7"/>
      <c r="O180" s="7"/>
    </row>
    <row r="181" spans="1:15">
      <c r="A181" s="7">
        <v>182</v>
      </c>
      <c r="B181" s="7" t="s">
        <v>1089</v>
      </c>
      <c r="M181" s="7"/>
      <c r="N181" s="7"/>
      <c r="O181" s="7"/>
    </row>
    <row r="182" spans="1:15">
      <c r="A182" s="7">
        <v>183</v>
      </c>
      <c r="B182" s="7" t="s">
        <v>1090</v>
      </c>
      <c r="M182" s="7"/>
      <c r="N182" s="7"/>
      <c r="O182" s="7"/>
    </row>
    <row r="183" spans="1:15">
      <c r="A183" s="7">
        <v>184</v>
      </c>
      <c r="B183" s="7" t="s">
        <v>1091</v>
      </c>
      <c r="M183" s="7"/>
      <c r="N183" s="7"/>
      <c r="O183" s="7"/>
    </row>
    <row r="184" spans="1:15">
      <c r="A184" s="7">
        <v>186</v>
      </c>
      <c r="B184" s="7" t="s">
        <v>1092</v>
      </c>
      <c r="M184" s="7"/>
      <c r="N184" s="7"/>
      <c r="O184" s="7"/>
    </row>
    <row r="185" spans="1:15">
      <c r="A185" s="7">
        <v>187</v>
      </c>
      <c r="B185" s="7" t="s">
        <v>1093</v>
      </c>
      <c r="M185" s="7"/>
      <c r="N185" s="7"/>
      <c r="O185" s="7"/>
    </row>
    <row r="186" spans="1:15">
      <c r="A186" s="7">
        <v>189</v>
      </c>
      <c r="B186" s="7" t="s">
        <v>1094</v>
      </c>
      <c r="M186" s="7"/>
      <c r="N186" s="7"/>
      <c r="O186" s="7"/>
    </row>
    <row r="187" spans="1:15">
      <c r="A187" s="7">
        <v>190</v>
      </c>
      <c r="B187" s="7" t="s">
        <v>1095</v>
      </c>
      <c r="M187" s="7"/>
      <c r="N187" s="7"/>
      <c r="O187" s="7"/>
    </row>
    <row r="188" spans="1:15">
      <c r="A188" s="7">
        <v>191</v>
      </c>
      <c r="B188" s="7" t="s">
        <v>1096</v>
      </c>
      <c r="M188" s="7"/>
      <c r="N188" s="7"/>
      <c r="O188" s="7"/>
    </row>
    <row r="189" spans="1:15">
      <c r="A189" s="7">
        <v>192</v>
      </c>
      <c r="B189" s="7" t="s">
        <v>1097</v>
      </c>
      <c r="M189" s="7"/>
      <c r="N189" s="7"/>
      <c r="O189" s="7"/>
    </row>
    <row r="190" spans="1:15">
      <c r="A190" s="7">
        <v>193</v>
      </c>
      <c r="B190" s="7" t="s">
        <v>496</v>
      </c>
      <c r="M190" s="7"/>
      <c r="N190" s="7"/>
      <c r="O190" s="7"/>
    </row>
    <row r="191" spans="1:15">
      <c r="A191" s="7">
        <v>194</v>
      </c>
      <c r="B191" s="7" t="s">
        <v>1098</v>
      </c>
      <c r="M191" s="7"/>
      <c r="N191" s="7"/>
      <c r="O191" s="7"/>
    </row>
    <row r="192" spans="1:15">
      <c r="A192" s="7">
        <v>195</v>
      </c>
      <c r="B192" s="7" t="s">
        <v>1099</v>
      </c>
      <c r="M192" s="7"/>
      <c r="N192" s="7"/>
      <c r="O192" s="7"/>
    </row>
    <row r="193" spans="1:15">
      <c r="A193" s="7">
        <v>196</v>
      </c>
      <c r="B193" s="7" t="s">
        <v>1100</v>
      </c>
      <c r="M193" s="7"/>
      <c r="N193" s="7"/>
      <c r="O193" s="7"/>
    </row>
    <row r="194" spans="1:15">
      <c r="A194" s="7">
        <v>197</v>
      </c>
      <c r="B194" s="7" t="s">
        <v>1101</v>
      </c>
      <c r="M194" s="7"/>
      <c r="N194" s="7"/>
      <c r="O194" s="7"/>
    </row>
    <row r="195" spans="1:15">
      <c r="A195" s="7">
        <v>198</v>
      </c>
      <c r="B195" s="7" t="s">
        <v>1102</v>
      </c>
      <c r="M195" s="7"/>
      <c r="N195" s="7"/>
      <c r="O195" s="7"/>
    </row>
    <row r="196" spans="1:15">
      <c r="A196" s="7">
        <v>199</v>
      </c>
      <c r="B196" s="7" t="s">
        <v>1103</v>
      </c>
      <c r="M196" s="7"/>
      <c r="N196" s="7"/>
      <c r="O196" s="7"/>
    </row>
    <row r="197" spans="1:15">
      <c r="A197" s="7">
        <v>200</v>
      </c>
      <c r="B197" s="7" t="s">
        <v>1104</v>
      </c>
      <c r="M197" s="7"/>
      <c r="N197" s="7"/>
      <c r="O197" s="7"/>
    </row>
    <row r="198" spans="1:15">
      <c r="A198" s="7">
        <v>203</v>
      </c>
      <c r="B198" s="7" t="s">
        <v>1105</v>
      </c>
      <c r="M198" s="7"/>
      <c r="N198" s="7"/>
      <c r="O198" s="7"/>
    </row>
    <row r="199" spans="1:15">
      <c r="A199" s="7">
        <v>204</v>
      </c>
      <c r="B199" s="7" t="s">
        <v>1106</v>
      </c>
      <c r="M199" s="7"/>
      <c r="N199" s="7"/>
      <c r="O199" s="7"/>
    </row>
    <row r="200" spans="1:15">
      <c r="A200" s="7">
        <v>205</v>
      </c>
      <c r="B200" s="7" t="s">
        <v>1107</v>
      </c>
      <c r="M200" s="7"/>
      <c r="N200" s="7"/>
      <c r="O200" s="7"/>
    </row>
    <row r="201" spans="1:15">
      <c r="A201" s="7">
        <v>206</v>
      </c>
      <c r="B201" s="7" t="s">
        <v>1108</v>
      </c>
      <c r="M201" s="7"/>
      <c r="N201" s="7"/>
      <c r="O201" s="7"/>
    </row>
    <row r="202" spans="1:15">
      <c r="A202" s="7">
        <v>209</v>
      </c>
      <c r="B202" s="7" t="s">
        <v>1109</v>
      </c>
      <c r="M202" s="7"/>
      <c r="N202" s="7"/>
      <c r="O202" s="7"/>
    </row>
    <row r="203" spans="1:15">
      <c r="A203" s="7">
        <v>211</v>
      </c>
      <c r="B203" s="7" t="s">
        <v>1110</v>
      </c>
      <c r="M203" s="7"/>
      <c r="N203" s="7"/>
      <c r="O203" s="7"/>
    </row>
    <row r="204" spans="1:15">
      <c r="A204" s="7">
        <v>212</v>
      </c>
      <c r="B204" s="7" t="s">
        <v>1111</v>
      </c>
      <c r="M204" s="7"/>
      <c r="N204" s="7"/>
      <c r="O204" s="7"/>
    </row>
    <row r="205" spans="1:15">
      <c r="A205" s="7">
        <v>213</v>
      </c>
      <c r="B205" s="7" t="s">
        <v>1112</v>
      </c>
      <c r="M205" s="7"/>
      <c r="N205" s="7"/>
      <c r="O205" s="7"/>
    </row>
    <row r="206" spans="1:15">
      <c r="A206" s="7">
        <v>214</v>
      </c>
      <c r="B206" s="7" t="s">
        <v>1113</v>
      </c>
      <c r="M206" s="7"/>
      <c r="N206" s="7"/>
      <c r="O206" s="7"/>
    </row>
    <row r="207" spans="1:15">
      <c r="A207" s="7">
        <v>215</v>
      </c>
      <c r="B207" s="7" t="s">
        <v>1114</v>
      </c>
      <c r="M207" s="7"/>
      <c r="N207" s="7"/>
      <c r="O207" s="7"/>
    </row>
    <row r="208" spans="1:15">
      <c r="A208" s="7">
        <v>216</v>
      </c>
      <c r="B208" s="7" t="s">
        <v>1115</v>
      </c>
      <c r="M208" s="7"/>
      <c r="N208" s="7"/>
      <c r="O208" s="7"/>
    </row>
    <row r="209" spans="1:15">
      <c r="A209" s="7">
        <v>217</v>
      </c>
      <c r="B209" s="7" t="s">
        <v>1116</v>
      </c>
      <c r="M209" s="7"/>
      <c r="N209" s="7"/>
      <c r="O209" s="7"/>
    </row>
    <row r="210" spans="1:15">
      <c r="A210" s="7">
        <v>218</v>
      </c>
      <c r="B210" s="7" t="s">
        <v>1117</v>
      </c>
      <c r="M210" s="7"/>
      <c r="N210" s="7"/>
      <c r="O210" s="7"/>
    </row>
    <row r="211" spans="1:15">
      <c r="A211" s="7">
        <v>219</v>
      </c>
      <c r="B211" s="7" t="s">
        <v>1118</v>
      </c>
      <c r="M211" s="7"/>
      <c r="N211" s="7"/>
      <c r="O211" s="7"/>
    </row>
    <row r="212" spans="1:15">
      <c r="A212" s="7">
        <v>220</v>
      </c>
      <c r="B212" s="7" t="s">
        <v>1119</v>
      </c>
      <c r="M212" s="7"/>
      <c r="N212" s="7"/>
      <c r="O212" s="7"/>
    </row>
    <row r="213" spans="1:15">
      <c r="A213" s="7">
        <v>221</v>
      </c>
      <c r="B213" s="7" t="s">
        <v>1120</v>
      </c>
      <c r="M213" s="7"/>
      <c r="N213" s="7"/>
      <c r="O213" s="7"/>
    </row>
    <row r="214" spans="1:15">
      <c r="A214" s="7">
        <v>222</v>
      </c>
      <c r="B214" s="7" t="s">
        <v>1121</v>
      </c>
      <c r="M214" s="7"/>
      <c r="N214" s="7"/>
      <c r="O214" s="7"/>
    </row>
    <row r="215" spans="1:15">
      <c r="A215" s="7">
        <v>224</v>
      </c>
      <c r="B215" s="7" t="s">
        <v>1122</v>
      </c>
      <c r="M215" s="7"/>
      <c r="N215" s="7"/>
      <c r="O215" s="7"/>
    </row>
    <row r="216" spans="1:15">
      <c r="A216" s="7">
        <v>225</v>
      </c>
      <c r="B216" s="7" t="s">
        <v>1123</v>
      </c>
      <c r="M216" s="7"/>
      <c r="N216" s="7"/>
      <c r="O216" s="7"/>
    </row>
    <row r="217" spans="1:15">
      <c r="A217" s="7">
        <v>227</v>
      </c>
      <c r="B217" s="7" t="s">
        <v>1124</v>
      </c>
      <c r="M217" s="7"/>
      <c r="N217" s="7"/>
      <c r="O217" s="7"/>
    </row>
    <row r="218" spans="1:15">
      <c r="A218" s="7">
        <v>228</v>
      </c>
      <c r="B218" s="7" t="s">
        <v>1125</v>
      </c>
      <c r="M218" s="7"/>
      <c r="N218" s="7"/>
      <c r="O218" s="7"/>
    </row>
    <row r="219" spans="1:15">
      <c r="A219" s="7">
        <v>229</v>
      </c>
      <c r="B219" s="7" t="s">
        <v>1126</v>
      </c>
      <c r="M219" s="7"/>
      <c r="N219" s="7"/>
      <c r="O219" s="7"/>
    </row>
    <row r="220" spans="1:15">
      <c r="A220" s="7">
        <v>230</v>
      </c>
      <c r="B220" s="7" t="s">
        <v>1127</v>
      </c>
      <c r="M220" s="7"/>
      <c r="N220" s="7"/>
      <c r="O220" s="7"/>
    </row>
    <row r="221" spans="1:15">
      <c r="A221" s="7">
        <v>231</v>
      </c>
      <c r="B221" s="7" t="s">
        <v>1128</v>
      </c>
      <c r="M221" s="7"/>
      <c r="N221" s="7"/>
      <c r="O221" s="7"/>
    </row>
    <row r="222" spans="1:15">
      <c r="A222" s="7">
        <v>232</v>
      </c>
      <c r="B222" s="7" t="s">
        <v>1129</v>
      </c>
      <c r="M222" s="7"/>
      <c r="N222" s="7"/>
      <c r="O222" s="7"/>
    </row>
    <row r="223" spans="1:15">
      <c r="A223" s="7">
        <v>233</v>
      </c>
      <c r="B223" s="7" t="s">
        <v>1130</v>
      </c>
      <c r="M223" s="7"/>
      <c r="N223" s="7"/>
      <c r="O223" s="7"/>
    </row>
    <row r="224" spans="1:15">
      <c r="A224" s="7">
        <v>234</v>
      </c>
      <c r="B224" s="7" t="s">
        <v>1131</v>
      </c>
      <c r="M224" s="7"/>
      <c r="N224" s="7"/>
      <c r="O224" s="7"/>
    </row>
    <row r="225" spans="1:15">
      <c r="A225" s="7">
        <v>235</v>
      </c>
      <c r="B225" s="7" t="s">
        <v>1132</v>
      </c>
      <c r="M225" s="7"/>
      <c r="N225" s="7"/>
      <c r="O225" s="7"/>
    </row>
    <row r="226" spans="1:15">
      <c r="A226" s="7">
        <v>236</v>
      </c>
      <c r="B226" s="7" t="s">
        <v>1133</v>
      </c>
      <c r="M226" s="7"/>
      <c r="N226" s="7"/>
      <c r="O226" s="7"/>
    </row>
    <row r="227" spans="1:15">
      <c r="A227" s="7">
        <v>237</v>
      </c>
      <c r="B227" s="7" t="s">
        <v>1134</v>
      </c>
      <c r="M227" s="7"/>
      <c r="N227" s="7"/>
      <c r="O227" s="7"/>
    </row>
    <row r="228" spans="1:15">
      <c r="A228" s="7">
        <v>238</v>
      </c>
      <c r="B228" s="7" t="s">
        <v>1135</v>
      </c>
      <c r="M228" s="7"/>
      <c r="N228" s="7"/>
      <c r="O228" s="7"/>
    </row>
    <row r="229" spans="1:15">
      <c r="A229" s="7">
        <v>239</v>
      </c>
      <c r="B229" s="7" t="s">
        <v>1136</v>
      </c>
      <c r="M229" s="7"/>
      <c r="N229" s="7"/>
      <c r="O229" s="7"/>
    </row>
    <row r="230" spans="1:15">
      <c r="A230" s="7">
        <v>240</v>
      </c>
      <c r="B230" s="7" t="s">
        <v>1137</v>
      </c>
      <c r="M230" s="7"/>
      <c r="N230" s="7"/>
      <c r="O230" s="7"/>
    </row>
    <row r="231" spans="1:15">
      <c r="A231" s="7">
        <v>241</v>
      </c>
      <c r="B231" s="7" t="s">
        <v>1138</v>
      </c>
      <c r="M231" s="7"/>
      <c r="N231" s="7"/>
      <c r="O231" s="7"/>
    </row>
    <row r="232" spans="1:15">
      <c r="A232" s="7">
        <v>242</v>
      </c>
      <c r="B232" s="7" t="s">
        <v>1139</v>
      </c>
      <c r="M232" s="7"/>
      <c r="N232" s="7"/>
      <c r="O232" s="7"/>
    </row>
    <row r="233" spans="1:15">
      <c r="A233" s="7">
        <v>243</v>
      </c>
      <c r="B233" s="7" t="s">
        <v>1140</v>
      </c>
      <c r="M233" s="7"/>
      <c r="N233" s="7"/>
      <c r="O233" s="7"/>
    </row>
    <row r="234" spans="1:15">
      <c r="A234" s="7">
        <v>244</v>
      </c>
      <c r="B234" s="7" t="s">
        <v>1141</v>
      </c>
      <c r="M234" s="7"/>
      <c r="N234" s="7"/>
      <c r="O234" s="7"/>
    </row>
    <row r="235" spans="1:15">
      <c r="A235" s="7">
        <v>245</v>
      </c>
      <c r="B235" s="7" t="s">
        <v>1142</v>
      </c>
      <c r="M235" s="7"/>
      <c r="N235" s="7"/>
      <c r="O235" s="7"/>
    </row>
    <row r="236" spans="1:15">
      <c r="A236" s="7">
        <v>246</v>
      </c>
      <c r="B236" s="7" t="s">
        <v>1143</v>
      </c>
      <c r="M236" s="7"/>
      <c r="N236" s="7"/>
      <c r="O236" s="7"/>
    </row>
    <row r="237" spans="1:15">
      <c r="A237" s="7">
        <v>247</v>
      </c>
      <c r="B237" s="7" t="s">
        <v>1144</v>
      </c>
      <c r="M237" s="7"/>
      <c r="N237" s="7"/>
      <c r="O237" s="7"/>
    </row>
    <row r="238" spans="1:15">
      <c r="A238" s="7">
        <v>248</v>
      </c>
      <c r="B238" s="7" t="s">
        <v>1145</v>
      </c>
      <c r="M238" s="7"/>
      <c r="N238" s="7"/>
      <c r="O238" s="7"/>
    </row>
    <row r="239" spans="1:15">
      <c r="A239" s="7">
        <v>249</v>
      </c>
      <c r="B239" s="7" t="s">
        <v>1146</v>
      </c>
      <c r="M239" s="7"/>
      <c r="N239" s="7"/>
      <c r="O239" s="7"/>
    </row>
    <row r="240" spans="1:15">
      <c r="A240" s="7">
        <v>250</v>
      </c>
      <c r="B240" s="7" t="s">
        <v>1147</v>
      </c>
      <c r="M240" s="7"/>
      <c r="N240" s="7"/>
      <c r="O240" s="7"/>
    </row>
    <row r="241" spans="1:15">
      <c r="A241" s="7">
        <v>251</v>
      </c>
      <c r="B241" s="7" t="s">
        <v>1148</v>
      </c>
      <c r="M241" s="7"/>
      <c r="N241" s="7"/>
      <c r="O241" s="7"/>
    </row>
    <row r="242" spans="1:15">
      <c r="A242" s="7">
        <v>256</v>
      </c>
      <c r="B242" s="7" t="s">
        <v>1149</v>
      </c>
      <c r="M242" s="7"/>
      <c r="N242" s="7"/>
      <c r="O242" s="7"/>
    </row>
    <row r="243" spans="1:15">
      <c r="A243" s="7">
        <v>257</v>
      </c>
      <c r="B243" s="7" t="s">
        <v>1150</v>
      </c>
      <c r="M243" s="7"/>
      <c r="N243" s="7"/>
      <c r="O243" s="7"/>
    </row>
    <row r="244" spans="1:15">
      <c r="A244" s="7">
        <v>258</v>
      </c>
      <c r="B244" s="7" t="s">
        <v>1151</v>
      </c>
      <c r="M244" s="7"/>
      <c r="N244" s="7"/>
      <c r="O244" s="7"/>
    </row>
    <row r="245" spans="1:15">
      <c r="A245" s="7">
        <v>259</v>
      </c>
      <c r="B245" s="7" t="s">
        <v>1152</v>
      </c>
      <c r="M245" s="7"/>
      <c r="N245" s="7"/>
      <c r="O245" s="7"/>
    </row>
    <row r="246" spans="1:15">
      <c r="A246" s="7">
        <v>260</v>
      </c>
      <c r="B246" s="7" t="s">
        <v>1153</v>
      </c>
      <c r="M246" s="7"/>
      <c r="N246" s="7"/>
      <c r="O246" s="7"/>
    </row>
    <row r="247" spans="1:15">
      <c r="A247" s="7">
        <v>261</v>
      </c>
      <c r="B247" s="7" t="s">
        <v>1154</v>
      </c>
      <c r="M247" s="7"/>
      <c r="N247" s="7"/>
      <c r="O247" s="7"/>
    </row>
    <row r="248" spans="1:15">
      <c r="A248" s="7">
        <v>262</v>
      </c>
      <c r="B248" s="7" t="s">
        <v>1155</v>
      </c>
      <c r="M248" s="7"/>
      <c r="N248" s="7"/>
      <c r="O248" s="7"/>
    </row>
    <row r="249" spans="1:15">
      <c r="A249" s="7">
        <v>263</v>
      </c>
      <c r="B249" s="7" t="s">
        <v>1156</v>
      </c>
      <c r="M249" s="7"/>
      <c r="N249" s="7"/>
      <c r="O249" s="7"/>
    </row>
    <row r="250" spans="1:15">
      <c r="A250" s="7">
        <v>264</v>
      </c>
      <c r="B250" s="7" t="s">
        <v>1157</v>
      </c>
      <c r="M250" s="7"/>
      <c r="N250" s="7"/>
      <c r="O250" s="7"/>
    </row>
    <row r="251" spans="1:15">
      <c r="A251" s="7">
        <v>265</v>
      </c>
      <c r="B251" s="7" t="s">
        <v>1158</v>
      </c>
      <c r="M251" s="7"/>
      <c r="N251" s="7"/>
      <c r="O251" s="7"/>
    </row>
    <row r="252" spans="1:15">
      <c r="A252" s="7">
        <v>266</v>
      </c>
      <c r="B252" s="7" t="s">
        <v>1159</v>
      </c>
      <c r="M252" s="7"/>
      <c r="N252" s="7"/>
      <c r="O252" s="7"/>
    </row>
    <row r="253" spans="1:15">
      <c r="A253" s="7">
        <v>267</v>
      </c>
      <c r="B253" s="7" t="s">
        <v>1160</v>
      </c>
      <c r="M253" s="7"/>
      <c r="N253" s="7"/>
      <c r="O253" s="7"/>
    </row>
    <row r="254" spans="1:15">
      <c r="A254" s="7">
        <v>268</v>
      </c>
      <c r="B254" s="7" t="s">
        <v>1161</v>
      </c>
      <c r="M254" s="7"/>
      <c r="N254" s="7"/>
      <c r="O254" s="7"/>
    </row>
    <row r="255" spans="1:15">
      <c r="A255" s="7">
        <v>269</v>
      </c>
      <c r="B255" s="7" t="s">
        <v>1162</v>
      </c>
      <c r="M255" s="7"/>
      <c r="N255" s="7"/>
      <c r="O255" s="7"/>
    </row>
    <row r="256" spans="1:15">
      <c r="A256" s="7">
        <v>270</v>
      </c>
      <c r="B256" s="7" t="s">
        <v>1163</v>
      </c>
      <c r="M256" s="7"/>
      <c r="N256" s="7"/>
      <c r="O256" s="7"/>
    </row>
    <row r="257" spans="1:15">
      <c r="A257" s="7">
        <v>271</v>
      </c>
      <c r="B257" s="7" t="s">
        <v>1164</v>
      </c>
      <c r="M257" s="7"/>
      <c r="N257" s="7"/>
      <c r="O257" s="7"/>
    </row>
    <row r="258" spans="1:15">
      <c r="A258" s="7">
        <v>272</v>
      </c>
      <c r="B258" s="7" t="s">
        <v>1165</v>
      </c>
      <c r="M258" s="7"/>
      <c r="N258" s="7"/>
      <c r="O258" s="7"/>
    </row>
    <row r="259" spans="1:15">
      <c r="A259" s="7">
        <v>273</v>
      </c>
      <c r="B259" s="7" t="s">
        <v>1166</v>
      </c>
      <c r="M259" s="7"/>
      <c r="N259" s="7"/>
      <c r="O259" s="7"/>
    </row>
    <row r="260" spans="1:15">
      <c r="A260" s="7">
        <v>274</v>
      </c>
      <c r="B260" s="7" t="s">
        <v>1154</v>
      </c>
      <c r="M260" s="7"/>
      <c r="N260" s="7"/>
      <c r="O260" s="7"/>
    </row>
    <row r="261" spans="1:15">
      <c r="A261" s="7">
        <v>275</v>
      </c>
      <c r="B261" s="7" t="s">
        <v>1167</v>
      </c>
      <c r="M261" s="7"/>
      <c r="N261" s="7"/>
      <c r="O261" s="7"/>
    </row>
    <row r="262" spans="1:15">
      <c r="A262" s="7">
        <v>276</v>
      </c>
      <c r="B262" s="7" t="s">
        <v>1168</v>
      </c>
      <c r="M262" s="7"/>
      <c r="N262" s="7"/>
      <c r="O262" s="7"/>
    </row>
    <row r="263" spans="1:15">
      <c r="A263" s="7">
        <v>277</v>
      </c>
      <c r="B263" s="7" t="s">
        <v>1169</v>
      </c>
      <c r="M263" s="7"/>
      <c r="N263" s="7"/>
      <c r="O263" s="7"/>
    </row>
    <row r="264" spans="1:15">
      <c r="A264" s="7">
        <v>278</v>
      </c>
      <c r="B264" s="7" t="s">
        <v>1168</v>
      </c>
      <c r="M264" s="7"/>
      <c r="N264" s="7"/>
      <c r="O264" s="7"/>
    </row>
    <row r="265" spans="1:15">
      <c r="A265" s="7">
        <v>279</v>
      </c>
      <c r="B265" s="7" t="s">
        <v>1168</v>
      </c>
      <c r="M265" s="7"/>
      <c r="N265" s="7"/>
      <c r="O265" s="7"/>
    </row>
    <row r="266" spans="1:15">
      <c r="A266" s="7">
        <v>280</v>
      </c>
      <c r="B266" s="7" t="s">
        <v>1168</v>
      </c>
      <c r="M266" s="7"/>
      <c r="N266" s="7"/>
      <c r="O266" s="7"/>
    </row>
    <row r="267" spans="1:15">
      <c r="A267" s="7">
        <v>281</v>
      </c>
      <c r="B267" s="7" t="s">
        <v>1168</v>
      </c>
      <c r="M267" s="7"/>
      <c r="N267" s="7"/>
      <c r="O267" s="7"/>
    </row>
    <row r="268" spans="1:15">
      <c r="A268" s="7">
        <v>282</v>
      </c>
      <c r="B268" s="7">
        <v>1024</v>
      </c>
      <c r="M268" s="7"/>
      <c r="N268" s="7"/>
      <c r="O268" s="7"/>
    </row>
    <row r="269" spans="1:15">
      <c r="A269" s="7">
        <v>283</v>
      </c>
      <c r="B269" s="7" t="s">
        <v>1170</v>
      </c>
      <c r="M269" s="7"/>
      <c r="N269" s="7"/>
      <c r="O269" s="7"/>
    </row>
    <row r="270" spans="1:15">
      <c r="A270" s="7">
        <v>284</v>
      </c>
      <c r="B270" s="7" t="s">
        <v>1171</v>
      </c>
      <c r="M270" s="7"/>
      <c r="N270" s="7"/>
      <c r="O270" s="7"/>
    </row>
    <row r="271" spans="1:15">
      <c r="A271" s="7">
        <v>285</v>
      </c>
      <c r="B271" s="7" t="s">
        <v>1172</v>
      </c>
      <c r="M271" s="7"/>
      <c r="N271" s="7"/>
      <c r="O271" s="7"/>
    </row>
    <row r="272" spans="1:15">
      <c r="A272" s="7">
        <v>286</v>
      </c>
      <c r="B272" s="7" t="s">
        <v>1173</v>
      </c>
      <c r="M272" s="7"/>
      <c r="N272" s="7"/>
      <c r="O272" s="7"/>
    </row>
    <row r="273" spans="1:15">
      <c r="A273" s="7">
        <v>287</v>
      </c>
      <c r="B273" s="7" t="s">
        <v>1174</v>
      </c>
      <c r="M273" s="7"/>
      <c r="N273" s="7"/>
      <c r="O273" s="7"/>
    </row>
    <row r="274" spans="1:15">
      <c r="A274" s="7">
        <v>288</v>
      </c>
      <c r="B274" s="7" t="s">
        <v>1175</v>
      </c>
      <c r="M274" s="7"/>
      <c r="N274" s="7"/>
      <c r="O274" s="7"/>
    </row>
    <row r="275" spans="1:15">
      <c r="A275" s="7">
        <v>289</v>
      </c>
      <c r="B275" s="7" t="s">
        <v>1176</v>
      </c>
      <c r="M275" s="7"/>
      <c r="N275" s="7"/>
      <c r="O275" s="7"/>
    </row>
    <row r="276" spans="1:15">
      <c r="A276" s="7">
        <v>290</v>
      </c>
      <c r="B276" s="7" t="s">
        <v>1177</v>
      </c>
      <c r="M276" s="7"/>
      <c r="N276" s="7"/>
      <c r="O276" s="7"/>
    </row>
    <row r="277" spans="1:15">
      <c r="A277" s="7">
        <v>291</v>
      </c>
      <c r="B277" s="7" t="s">
        <v>1178</v>
      </c>
      <c r="M277" s="7"/>
      <c r="N277" s="7"/>
      <c r="O277" s="7"/>
    </row>
    <row r="278" spans="1:15">
      <c r="A278" s="7">
        <v>292</v>
      </c>
      <c r="B278" s="7" t="s">
        <v>1179</v>
      </c>
      <c r="M278" s="7"/>
      <c r="N278" s="7"/>
      <c r="O278" s="7"/>
    </row>
    <row r="279" spans="1:15">
      <c r="A279" s="7">
        <v>293</v>
      </c>
      <c r="B279" s="7" t="s">
        <v>1180</v>
      </c>
      <c r="M279" s="7"/>
      <c r="N279" s="7"/>
      <c r="O279" s="7"/>
    </row>
    <row r="280" spans="1:15">
      <c r="A280" s="7">
        <v>294</v>
      </c>
      <c r="B280" s="7" t="s">
        <v>1181</v>
      </c>
      <c r="M280" s="7"/>
      <c r="N280" s="7"/>
      <c r="O280" s="7"/>
    </row>
    <row r="281" spans="1:15">
      <c r="A281" s="7">
        <v>295</v>
      </c>
      <c r="B281" s="7" t="s">
        <v>1182</v>
      </c>
      <c r="M281" s="7"/>
      <c r="N281" s="7"/>
      <c r="O281" s="7"/>
    </row>
    <row r="282" spans="1:15">
      <c r="A282" s="7">
        <v>296</v>
      </c>
      <c r="B282" s="7" t="s">
        <v>1183</v>
      </c>
      <c r="M282" s="7"/>
      <c r="N282" s="7"/>
      <c r="O282" s="7"/>
    </row>
    <row r="283" spans="1:15">
      <c r="A283" s="7">
        <v>297</v>
      </c>
      <c r="B283" s="7" t="s">
        <v>1184</v>
      </c>
      <c r="M283" s="7"/>
      <c r="N283" s="7"/>
      <c r="O283" s="7"/>
    </row>
    <row r="284" spans="1:15">
      <c r="A284" s="7">
        <v>298</v>
      </c>
      <c r="B284" s="7" t="s">
        <v>1185</v>
      </c>
      <c r="M284" s="7"/>
      <c r="N284" s="7"/>
      <c r="O284" s="7"/>
    </row>
    <row r="285" spans="1:15">
      <c r="A285" s="7">
        <v>299</v>
      </c>
      <c r="B285" s="7" t="s">
        <v>1186</v>
      </c>
      <c r="M285" s="7"/>
      <c r="N285" s="7"/>
      <c r="O285" s="7"/>
    </row>
    <row r="286" spans="1:15">
      <c r="A286" s="7">
        <v>300</v>
      </c>
      <c r="B286" s="7" t="s">
        <v>1187</v>
      </c>
      <c r="M286" s="7"/>
      <c r="N286" s="7"/>
      <c r="O286" s="7"/>
    </row>
    <row r="287" spans="1:15">
      <c r="A287" s="7">
        <v>301</v>
      </c>
      <c r="B287" s="7" t="s">
        <v>1188</v>
      </c>
      <c r="M287" s="7"/>
      <c r="N287" s="7"/>
      <c r="O287" s="7"/>
    </row>
    <row r="288" spans="1:15">
      <c r="A288" s="7">
        <v>302</v>
      </c>
      <c r="B288" s="7" t="s">
        <v>1189</v>
      </c>
      <c r="M288" s="7"/>
      <c r="N288" s="7"/>
      <c r="O288" s="7"/>
    </row>
    <row r="289" spans="1:15">
      <c r="A289" s="7">
        <v>303</v>
      </c>
      <c r="B289" s="7" t="s">
        <v>1190</v>
      </c>
      <c r="M289" s="7"/>
      <c r="N289" s="7"/>
      <c r="O289" s="7"/>
    </row>
    <row r="290" spans="1:15">
      <c r="A290" s="7">
        <v>304</v>
      </c>
      <c r="B290" s="7" t="s">
        <v>1191</v>
      </c>
      <c r="M290" s="7"/>
      <c r="N290" s="7"/>
      <c r="O290" s="7"/>
    </row>
    <row r="291" spans="1:15">
      <c r="A291" s="7">
        <v>305</v>
      </c>
      <c r="B291" s="7" t="s">
        <v>1192</v>
      </c>
      <c r="M291" s="7"/>
      <c r="N291" s="7"/>
      <c r="O291" s="7"/>
    </row>
    <row r="292" spans="1:15">
      <c r="A292" s="7">
        <v>306</v>
      </c>
      <c r="B292" s="7" t="s">
        <v>1193</v>
      </c>
      <c r="M292" s="7"/>
      <c r="N292" s="7"/>
      <c r="O292" s="7"/>
    </row>
    <row r="293" spans="1:15">
      <c r="A293" s="7">
        <v>307</v>
      </c>
      <c r="B293" s="7" t="s">
        <v>1194</v>
      </c>
      <c r="M293" s="7"/>
      <c r="N293" s="7"/>
      <c r="O293" s="7"/>
    </row>
    <row r="294" spans="1:15">
      <c r="A294" s="7">
        <v>308</v>
      </c>
      <c r="B294" s="7" t="s">
        <v>1195</v>
      </c>
      <c r="M294" s="7"/>
      <c r="N294" s="7"/>
      <c r="O294" s="7"/>
    </row>
    <row r="295" spans="1:15">
      <c r="A295" s="7">
        <v>309</v>
      </c>
      <c r="B295" s="7" t="s">
        <v>1196</v>
      </c>
      <c r="M295" s="7"/>
      <c r="N295" s="7"/>
      <c r="O295" s="7"/>
    </row>
    <row r="296" spans="1:15">
      <c r="A296" s="7">
        <v>310</v>
      </c>
      <c r="B296" s="7" t="s">
        <v>1197</v>
      </c>
      <c r="M296" s="7"/>
      <c r="N296" s="7"/>
      <c r="O296" s="7"/>
    </row>
    <row r="297" spans="1:15">
      <c r="A297" s="7">
        <v>311</v>
      </c>
      <c r="B297" s="7" t="s">
        <v>1198</v>
      </c>
      <c r="M297" s="7"/>
      <c r="N297" s="7"/>
      <c r="O297" s="7"/>
    </row>
    <row r="298" spans="1:15">
      <c r="A298" s="7">
        <v>312</v>
      </c>
      <c r="B298" s="7" t="s">
        <v>1199</v>
      </c>
      <c r="M298" s="7"/>
      <c r="N298" s="7"/>
      <c r="O298" s="7"/>
    </row>
    <row r="299" spans="1:15">
      <c r="A299" s="7">
        <v>313</v>
      </c>
      <c r="B299" s="7" t="s">
        <v>1200</v>
      </c>
      <c r="M299" s="7"/>
      <c r="N299" s="7"/>
      <c r="O299" s="7"/>
    </row>
    <row r="300" spans="1:15">
      <c r="A300" s="7">
        <v>314</v>
      </c>
      <c r="B300" s="7" t="s">
        <v>1201</v>
      </c>
      <c r="M300" s="7"/>
      <c r="N300" s="7"/>
      <c r="O300" s="7"/>
    </row>
    <row r="301" spans="1:15">
      <c r="A301" s="7">
        <v>315</v>
      </c>
      <c r="B301" s="7" t="s">
        <v>1202</v>
      </c>
      <c r="M301" s="7"/>
      <c r="N301" s="7"/>
      <c r="O301" s="7"/>
    </row>
    <row r="302" spans="1:15">
      <c r="A302" s="7">
        <v>316</v>
      </c>
      <c r="B302" s="7" t="s">
        <v>1203</v>
      </c>
      <c r="M302" s="7"/>
      <c r="N302" s="7"/>
      <c r="O302" s="7"/>
    </row>
    <row r="303" spans="1:15">
      <c r="A303" s="7">
        <v>317</v>
      </c>
      <c r="B303" s="7" t="s">
        <v>1204</v>
      </c>
      <c r="M303" s="7"/>
      <c r="N303" s="7"/>
      <c r="O303" s="7"/>
    </row>
    <row r="304" spans="1:15">
      <c r="A304" s="7">
        <v>318</v>
      </c>
      <c r="B304" s="7" t="s">
        <v>1205</v>
      </c>
      <c r="M304" s="7"/>
      <c r="N304" s="7"/>
      <c r="O304" s="7"/>
    </row>
    <row r="305" spans="1:15">
      <c r="A305" s="7">
        <v>321</v>
      </c>
      <c r="B305" s="7" t="s">
        <v>1206</v>
      </c>
      <c r="M305" s="7"/>
      <c r="N305" s="7"/>
      <c r="O305" s="7"/>
    </row>
    <row r="306" spans="1:15">
      <c r="A306" s="7">
        <v>322</v>
      </c>
      <c r="B306" s="7" t="s">
        <v>564</v>
      </c>
      <c r="M306" s="7"/>
      <c r="N306" s="7"/>
      <c r="O306" s="7"/>
    </row>
    <row r="307" spans="1:15">
      <c r="A307" s="7">
        <v>323</v>
      </c>
      <c r="B307" s="7" t="s">
        <v>1207</v>
      </c>
      <c r="M307" s="7"/>
      <c r="N307" s="7"/>
      <c r="O307" s="7"/>
    </row>
    <row r="308" spans="1:15">
      <c r="A308" s="7">
        <v>324</v>
      </c>
      <c r="B308" s="7" t="s">
        <v>1208</v>
      </c>
      <c r="M308" s="7"/>
      <c r="N308" s="7"/>
      <c r="O308" s="7"/>
    </row>
    <row r="309" spans="1:15">
      <c r="A309" s="7">
        <v>325</v>
      </c>
      <c r="B309" s="7" t="s">
        <v>1209</v>
      </c>
      <c r="M309" s="7"/>
      <c r="N309" s="7"/>
      <c r="O309" s="7"/>
    </row>
    <row r="310" spans="1:15">
      <c r="A310" s="7">
        <v>330</v>
      </c>
      <c r="B310" s="7" t="s">
        <v>1210</v>
      </c>
      <c r="M310" s="7"/>
      <c r="N310" s="7"/>
      <c r="O310" s="7"/>
    </row>
    <row r="311" spans="1:15">
      <c r="A311" s="7">
        <v>331</v>
      </c>
      <c r="B311" s="7" t="s">
        <v>1211</v>
      </c>
      <c r="M311" s="7"/>
      <c r="N311" s="7"/>
      <c r="O311" s="7"/>
    </row>
    <row r="312" spans="1:15">
      <c r="A312" s="7">
        <v>332</v>
      </c>
      <c r="B312" s="7" t="s">
        <v>1212</v>
      </c>
      <c r="M312" s="7"/>
      <c r="N312" s="7"/>
      <c r="O312" s="7"/>
    </row>
    <row r="313" spans="1:15">
      <c r="A313" s="7">
        <v>333</v>
      </c>
      <c r="B313" s="7" t="s">
        <v>522</v>
      </c>
      <c r="M313" s="7"/>
      <c r="N313" s="7"/>
      <c r="O313" s="7"/>
    </row>
    <row r="314" spans="1:15">
      <c r="A314" s="7">
        <v>334</v>
      </c>
      <c r="B314" s="7" t="s">
        <v>1213</v>
      </c>
      <c r="M314" s="7"/>
      <c r="N314" s="7"/>
      <c r="O314" s="7"/>
    </row>
    <row r="315" spans="1:15">
      <c r="A315" s="7">
        <v>337</v>
      </c>
      <c r="B315" s="7" t="s">
        <v>1214</v>
      </c>
      <c r="M315" s="7"/>
      <c r="N315" s="7"/>
      <c r="O315" s="7"/>
    </row>
    <row r="316" spans="1:15">
      <c r="A316" s="7">
        <v>338</v>
      </c>
      <c r="B316" s="7" t="s">
        <v>1215</v>
      </c>
      <c r="M316" s="7"/>
      <c r="N316" s="7"/>
      <c r="O316" s="7"/>
    </row>
    <row r="317" spans="1:15">
      <c r="A317" s="7">
        <v>339</v>
      </c>
      <c r="B317" s="7" t="s">
        <v>1216</v>
      </c>
      <c r="M317" s="7"/>
      <c r="N317" s="7"/>
      <c r="O317" s="7"/>
    </row>
    <row r="318" spans="1:15">
      <c r="A318" s="7">
        <v>340</v>
      </c>
      <c r="B318" s="7" t="s">
        <v>1217</v>
      </c>
      <c r="M318" s="7"/>
      <c r="N318" s="7"/>
      <c r="O318" s="7"/>
    </row>
    <row r="319" spans="1:15">
      <c r="A319" s="7">
        <v>341</v>
      </c>
      <c r="B319" s="7" t="s">
        <v>1218</v>
      </c>
      <c r="M319" s="7"/>
      <c r="N319" s="7"/>
      <c r="O319" s="7"/>
    </row>
    <row r="320" spans="1:15">
      <c r="A320" s="7">
        <v>342</v>
      </c>
      <c r="B320" s="7" t="s">
        <v>1219</v>
      </c>
      <c r="M320" s="7"/>
      <c r="N320" s="7"/>
      <c r="O320" s="7"/>
    </row>
    <row r="321" spans="1:15">
      <c r="A321" s="7">
        <v>343</v>
      </c>
      <c r="B321" s="7" t="s">
        <v>1220</v>
      </c>
      <c r="M321" s="7"/>
      <c r="N321" s="7"/>
      <c r="O321" s="7"/>
    </row>
    <row r="322" spans="1:15">
      <c r="A322" s="7">
        <v>344</v>
      </c>
      <c r="B322" s="7" t="s">
        <v>1221</v>
      </c>
      <c r="M322" s="7"/>
      <c r="N322" s="7"/>
      <c r="O322" s="7"/>
    </row>
    <row r="323" spans="1:15">
      <c r="A323" s="7">
        <v>347</v>
      </c>
      <c r="B323" s="7" t="s">
        <v>1222</v>
      </c>
      <c r="M323" s="7"/>
      <c r="N323" s="7"/>
      <c r="O323" s="7"/>
    </row>
    <row r="324" spans="1:15">
      <c r="A324" s="7">
        <v>348</v>
      </c>
      <c r="B324" s="7" t="s">
        <v>1223</v>
      </c>
      <c r="M324" s="7"/>
      <c r="N324" s="7"/>
      <c r="O324" s="7"/>
    </row>
    <row r="325" spans="1:15">
      <c r="A325" s="7">
        <v>349</v>
      </c>
      <c r="B325" s="7" t="s">
        <v>1224</v>
      </c>
      <c r="M325" s="7"/>
      <c r="N325" s="7"/>
      <c r="O325" s="7"/>
    </row>
    <row r="326" spans="1:15">
      <c r="A326" s="7">
        <v>350</v>
      </c>
      <c r="B326" s="7" t="s">
        <v>1225</v>
      </c>
      <c r="M326" s="7"/>
      <c r="N326" s="7"/>
      <c r="O326" s="7"/>
    </row>
    <row r="327" spans="1:15">
      <c r="A327" s="7">
        <v>354</v>
      </c>
      <c r="B327" s="7" t="s">
        <v>1226</v>
      </c>
      <c r="M327" s="7"/>
      <c r="N327" s="7"/>
      <c r="O327" s="7"/>
    </row>
    <row r="328" spans="1:15">
      <c r="A328" s="7">
        <v>355</v>
      </c>
      <c r="B328" s="7" t="s">
        <v>1227</v>
      </c>
      <c r="M328" s="7"/>
      <c r="N328" s="7"/>
      <c r="O328" s="7"/>
    </row>
    <row r="329" spans="1:15">
      <c r="A329" s="7">
        <v>356</v>
      </c>
      <c r="B329" s="7" t="s">
        <v>1228</v>
      </c>
      <c r="M329" s="7"/>
      <c r="N329" s="7"/>
      <c r="O329" s="7"/>
    </row>
    <row r="330" spans="1:15">
      <c r="A330" s="7">
        <v>357</v>
      </c>
      <c r="B330" s="7" t="s">
        <v>1229</v>
      </c>
      <c r="M330" s="7"/>
      <c r="N330" s="7"/>
      <c r="O330" s="7"/>
    </row>
    <row r="331" spans="1:15">
      <c r="A331" s="7">
        <v>358</v>
      </c>
      <c r="B331" s="7" t="s">
        <v>1230</v>
      </c>
      <c r="M331" s="7"/>
      <c r="N331" s="7"/>
      <c r="O331" s="7"/>
    </row>
    <row r="332" spans="1:15">
      <c r="A332" s="7">
        <v>359</v>
      </c>
      <c r="B332" s="7" t="s">
        <v>1231</v>
      </c>
      <c r="M332" s="7"/>
      <c r="N332" s="7"/>
      <c r="O332" s="7"/>
    </row>
    <row r="333" spans="1:15">
      <c r="A333" s="7">
        <v>360</v>
      </c>
      <c r="B333" s="7" t="s">
        <v>1232</v>
      </c>
      <c r="M333" s="7"/>
      <c r="N333" s="7"/>
      <c r="O333" s="7"/>
    </row>
    <row r="334" spans="1:15">
      <c r="A334" s="7">
        <v>361</v>
      </c>
      <c r="B334" s="7" t="s">
        <v>1233</v>
      </c>
      <c r="M334" s="7"/>
      <c r="N334" s="7"/>
      <c r="O334" s="7"/>
    </row>
    <row r="335" spans="1:15">
      <c r="A335" s="7">
        <v>362</v>
      </c>
      <c r="B335" s="7" t="s">
        <v>1234</v>
      </c>
    </row>
    <row r="336" spans="1:15">
      <c r="A336" s="7">
        <v>364</v>
      </c>
      <c r="B336" s="7" t="s">
        <v>1235</v>
      </c>
    </row>
    <row r="337" spans="1:2">
      <c r="A337" s="7">
        <v>365</v>
      </c>
      <c r="B337" s="7" t="s">
        <v>1236</v>
      </c>
    </row>
    <row r="338" spans="1:2">
      <c r="A338" s="7">
        <v>366</v>
      </c>
      <c r="B338" s="7" t="s">
        <v>1237</v>
      </c>
    </row>
    <row r="339" spans="1:2">
      <c r="A339" s="7">
        <v>368</v>
      </c>
      <c r="B339" s="7" t="s">
        <v>1238</v>
      </c>
    </row>
    <row r="340" spans="1:2">
      <c r="A340" s="7">
        <v>369</v>
      </c>
      <c r="B340" s="7" t="s">
        <v>1239</v>
      </c>
    </row>
    <row r="341" spans="1:2">
      <c r="A341" s="7">
        <v>370</v>
      </c>
      <c r="B341" s="7" t="s">
        <v>1240</v>
      </c>
    </row>
    <row r="342" spans="1:2">
      <c r="A342" s="7">
        <v>406</v>
      </c>
      <c r="B342" s="7" t="s">
        <v>1241</v>
      </c>
    </row>
    <row r="343" spans="1:2">
      <c r="A343" s="7">
        <v>407</v>
      </c>
      <c r="B343" s="7" t="s">
        <v>1242</v>
      </c>
    </row>
    <row r="344" spans="1:2">
      <c r="A344" s="7">
        <v>410</v>
      </c>
      <c r="B344" s="7" t="s">
        <v>1243</v>
      </c>
    </row>
    <row r="345" spans="1:2">
      <c r="A345" s="7">
        <v>411</v>
      </c>
      <c r="B345" s="7" t="s">
        <v>1244</v>
      </c>
    </row>
    <row r="346" spans="1:2">
      <c r="A346" s="7">
        <v>412</v>
      </c>
      <c r="B346" s="7" t="s">
        <v>1245</v>
      </c>
    </row>
    <row r="347" spans="1:2">
      <c r="A347" s="7">
        <v>413</v>
      </c>
      <c r="B347" s="7" t="s">
        <v>1246</v>
      </c>
    </row>
    <row r="348" spans="1:2">
      <c r="A348" s="7">
        <v>414</v>
      </c>
      <c r="B348" s="7" t="s">
        <v>1247</v>
      </c>
    </row>
    <row r="349" spans="1:2">
      <c r="A349" s="7">
        <v>415</v>
      </c>
      <c r="B349" s="7" t="s">
        <v>1248</v>
      </c>
    </row>
    <row r="350" spans="1:2">
      <c r="A350" s="7">
        <v>417</v>
      </c>
      <c r="B350" s="7" t="s">
        <v>1249</v>
      </c>
    </row>
    <row r="351" spans="1:2">
      <c r="A351" s="7">
        <v>418</v>
      </c>
      <c r="B351" s="7" t="s">
        <v>1250</v>
      </c>
    </row>
    <row r="352" spans="1:2">
      <c r="A352" s="7">
        <v>419</v>
      </c>
      <c r="B352" s="7" t="s">
        <v>1251</v>
      </c>
    </row>
    <row r="353" spans="1:2">
      <c r="A353" s="7">
        <v>420</v>
      </c>
      <c r="B353" s="7" t="s">
        <v>1252</v>
      </c>
    </row>
    <row r="354" spans="1:2">
      <c r="A354" s="7">
        <v>421</v>
      </c>
      <c r="B354" s="7" t="s">
        <v>1253</v>
      </c>
    </row>
    <row r="355" spans="1:2">
      <c r="A355" s="7">
        <v>422</v>
      </c>
      <c r="B355" s="7" t="s">
        <v>1254</v>
      </c>
    </row>
    <row r="356" spans="1:2">
      <c r="A356" s="7">
        <v>423</v>
      </c>
      <c r="B356" s="7" t="s">
        <v>1255</v>
      </c>
    </row>
    <row r="357" spans="1:2">
      <c r="A357" s="7">
        <v>424</v>
      </c>
      <c r="B357" s="7" t="s">
        <v>1256</v>
      </c>
    </row>
    <row r="358" spans="1:2">
      <c r="A358" s="7">
        <v>425</v>
      </c>
      <c r="B358" s="7" t="s">
        <v>1257</v>
      </c>
    </row>
    <row r="359" spans="1:2">
      <c r="A359" s="7">
        <v>426</v>
      </c>
      <c r="B359" s="7" t="s">
        <v>1258</v>
      </c>
    </row>
    <row r="360" spans="1:2">
      <c r="A360" s="7">
        <v>427</v>
      </c>
      <c r="B360" s="7" t="s">
        <v>1259</v>
      </c>
    </row>
    <row r="361" spans="1:2">
      <c r="A361" s="7">
        <v>428</v>
      </c>
      <c r="B361" s="7" t="s">
        <v>1260</v>
      </c>
    </row>
    <row r="362" spans="1:2">
      <c r="A362" s="7">
        <v>431</v>
      </c>
      <c r="B362" s="7" t="s">
        <v>1261</v>
      </c>
    </row>
    <row r="363" spans="1:2">
      <c r="A363" s="7">
        <v>432</v>
      </c>
      <c r="B363" s="7" t="s">
        <v>1262</v>
      </c>
    </row>
    <row r="364" spans="1:2">
      <c r="A364" s="7">
        <v>433</v>
      </c>
      <c r="B364" s="7" t="s">
        <v>1263</v>
      </c>
    </row>
    <row r="365" spans="1:2">
      <c r="A365" s="7">
        <v>434</v>
      </c>
      <c r="B365" s="7" t="s">
        <v>1264</v>
      </c>
    </row>
    <row r="366" spans="1:2">
      <c r="A366" s="7">
        <v>435</v>
      </c>
      <c r="B366" s="7" t="s">
        <v>1265</v>
      </c>
    </row>
    <row r="367" spans="1:2">
      <c r="A367" s="7">
        <v>436</v>
      </c>
      <c r="B367" s="7" t="s">
        <v>1266</v>
      </c>
    </row>
    <row r="368" spans="1:2">
      <c r="A368" s="7">
        <v>437</v>
      </c>
      <c r="B368" s="7" t="s">
        <v>1267</v>
      </c>
    </row>
    <row r="369" spans="1:2">
      <c r="A369" s="7">
        <v>438</v>
      </c>
      <c r="B369" s="7" t="s">
        <v>1268</v>
      </c>
    </row>
    <row r="370" spans="1:2">
      <c r="A370" s="7">
        <v>439</v>
      </c>
      <c r="B370" s="7" t="s">
        <v>1269</v>
      </c>
    </row>
    <row r="371" spans="1:2">
      <c r="A371" s="7">
        <v>440</v>
      </c>
      <c r="B371" s="7" t="s">
        <v>1270</v>
      </c>
    </row>
    <row r="372" spans="1:2">
      <c r="A372" s="7">
        <v>441</v>
      </c>
      <c r="B372" s="7" t="s">
        <v>1271</v>
      </c>
    </row>
    <row r="373" spans="1:2">
      <c r="A373" s="7">
        <v>442</v>
      </c>
      <c r="B373" s="7" t="s">
        <v>1272</v>
      </c>
    </row>
    <row r="374" spans="1:2">
      <c r="A374" s="7">
        <v>443</v>
      </c>
      <c r="B374" s="7" t="s">
        <v>1273</v>
      </c>
    </row>
    <row r="375" spans="1:2">
      <c r="A375" s="7">
        <v>444</v>
      </c>
      <c r="B375" s="7" t="s">
        <v>1274</v>
      </c>
    </row>
    <row r="376" spans="1:2">
      <c r="A376" s="7">
        <v>445</v>
      </c>
      <c r="B376" s="7" t="s">
        <v>1275</v>
      </c>
    </row>
    <row r="377" spans="1:2">
      <c r="A377" s="7">
        <v>446</v>
      </c>
      <c r="B377" s="7" t="s">
        <v>1012</v>
      </c>
    </row>
    <row r="378" spans="1:2">
      <c r="A378" s="7">
        <v>447</v>
      </c>
      <c r="B378" s="7" t="s">
        <v>1276</v>
      </c>
    </row>
    <row r="379" spans="1:2">
      <c r="A379" s="7">
        <v>448</v>
      </c>
      <c r="B379" s="7" t="s">
        <v>1277</v>
      </c>
    </row>
    <row r="380" spans="1:2">
      <c r="A380" s="7">
        <v>450</v>
      </c>
      <c r="B380" s="7" t="s">
        <v>1278</v>
      </c>
    </row>
    <row r="381" spans="1:2">
      <c r="A381" s="7">
        <v>451</v>
      </c>
      <c r="B381" s="7" t="s">
        <v>1279</v>
      </c>
    </row>
    <row r="382" spans="1:2">
      <c r="A382" s="7">
        <v>452</v>
      </c>
      <c r="B382" s="7" t="s">
        <v>1280</v>
      </c>
    </row>
    <row r="383" spans="1:2">
      <c r="A383" s="7">
        <v>453</v>
      </c>
      <c r="B383" s="7" t="s">
        <v>1281</v>
      </c>
    </row>
    <row r="384" spans="1:2">
      <c r="A384" s="7">
        <v>454</v>
      </c>
      <c r="B384" s="7" t="s">
        <v>1282</v>
      </c>
    </row>
    <row r="385" spans="1:2">
      <c r="A385" s="7">
        <v>455</v>
      </c>
      <c r="B385" s="7" t="s">
        <v>1283</v>
      </c>
    </row>
    <row r="386" spans="1:2">
      <c r="A386" s="7">
        <v>457</v>
      </c>
      <c r="B386" s="7" t="s">
        <v>1284</v>
      </c>
    </row>
    <row r="387" spans="1:2">
      <c r="A387" s="7">
        <v>458</v>
      </c>
      <c r="B387" s="7" t="s">
        <v>1285</v>
      </c>
    </row>
    <row r="388" spans="1:2">
      <c r="A388" s="7">
        <v>459</v>
      </c>
      <c r="B388" s="7" t="s">
        <v>1286</v>
      </c>
    </row>
    <row r="389" spans="1:2">
      <c r="A389" s="7">
        <v>460</v>
      </c>
      <c r="B389" s="7" t="s">
        <v>1287</v>
      </c>
    </row>
    <row r="390" spans="1:2">
      <c r="A390" s="7">
        <v>461</v>
      </c>
      <c r="B390" s="7" t="s">
        <v>1288</v>
      </c>
    </row>
    <row r="391" spans="1:2">
      <c r="A391" s="7">
        <v>462</v>
      </c>
      <c r="B391" s="7" t="s">
        <v>1289</v>
      </c>
    </row>
    <row r="392" spans="1:2">
      <c r="A392" s="7">
        <v>463</v>
      </c>
      <c r="B392" s="7" t="s">
        <v>1290</v>
      </c>
    </row>
    <row r="393" spans="1:2">
      <c r="A393" s="7">
        <v>464</v>
      </c>
      <c r="B393" s="7" t="s">
        <v>1291</v>
      </c>
    </row>
    <row r="394" spans="1:2">
      <c r="A394" s="7">
        <v>465</v>
      </c>
      <c r="B394" s="7" t="s">
        <v>1292</v>
      </c>
    </row>
    <row r="395" spans="1:2">
      <c r="A395" s="7">
        <v>466</v>
      </c>
      <c r="B395" s="7" t="s">
        <v>1293</v>
      </c>
    </row>
    <row r="396" spans="1:2">
      <c r="A396" s="7">
        <v>467</v>
      </c>
      <c r="B396" s="7" t="s">
        <v>1294</v>
      </c>
    </row>
    <row r="397" spans="1:2">
      <c r="A397" s="7">
        <v>468</v>
      </c>
      <c r="B397" s="7" t="s">
        <v>1295</v>
      </c>
    </row>
    <row r="398" spans="1:2">
      <c r="A398" s="7">
        <v>469</v>
      </c>
      <c r="B398" s="7" t="s">
        <v>1296</v>
      </c>
    </row>
    <row r="399" spans="1:2">
      <c r="A399" s="7">
        <v>470</v>
      </c>
      <c r="B399" s="7" t="s">
        <v>1297</v>
      </c>
    </row>
    <row r="400" spans="1:2">
      <c r="A400" s="7">
        <v>471</v>
      </c>
      <c r="B400" s="7" t="s">
        <v>1298</v>
      </c>
    </row>
    <row r="401" spans="1:2">
      <c r="A401" s="7">
        <v>473</v>
      </c>
      <c r="B401" s="7" t="s">
        <v>1299</v>
      </c>
    </row>
    <row r="402" spans="1:2">
      <c r="A402" s="7">
        <v>474</v>
      </c>
      <c r="B402" s="7" t="s">
        <v>1300</v>
      </c>
    </row>
    <row r="403" spans="1:2">
      <c r="A403" s="7">
        <v>475</v>
      </c>
      <c r="B403" s="7" t="s">
        <v>1301</v>
      </c>
    </row>
    <row r="404" spans="1:2">
      <c r="A404" s="7">
        <v>476</v>
      </c>
      <c r="B404" s="7" t="s">
        <v>1302</v>
      </c>
    </row>
    <row r="405" spans="1:2">
      <c r="A405" s="7">
        <v>477</v>
      </c>
      <c r="B405" s="7" t="s">
        <v>1303</v>
      </c>
    </row>
    <row r="406" spans="1:2">
      <c r="A406" s="7">
        <v>478</v>
      </c>
      <c r="B406" s="7" t="s">
        <v>1304</v>
      </c>
    </row>
    <row r="407" spans="1:2">
      <c r="A407" s="7">
        <v>479</v>
      </c>
      <c r="B407" s="7" t="s">
        <v>1305</v>
      </c>
    </row>
    <row r="408" spans="1:2">
      <c r="A408" s="7">
        <v>480</v>
      </c>
      <c r="B408" s="7" t="s">
        <v>1306</v>
      </c>
    </row>
    <row r="409" spans="1:2">
      <c r="A409" s="7">
        <v>481</v>
      </c>
      <c r="B409" s="7" t="s">
        <v>1307</v>
      </c>
    </row>
    <row r="410" spans="1:2">
      <c r="A410" s="7">
        <v>482</v>
      </c>
      <c r="B410" s="7" t="s">
        <v>1308</v>
      </c>
    </row>
    <row r="411" spans="1:2">
      <c r="A411" s="7">
        <v>483</v>
      </c>
      <c r="B411" s="7" t="s">
        <v>1309</v>
      </c>
    </row>
    <row r="412" spans="1:2">
      <c r="A412" s="7">
        <v>484</v>
      </c>
      <c r="B412" s="7" t="s">
        <v>1310</v>
      </c>
    </row>
    <row r="413" spans="1:2">
      <c r="A413" s="7">
        <v>486</v>
      </c>
      <c r="B413" s="7" t="s">
        <v>1311</v>
      </c>
    </row>
    <row r="414" spans="1:2">
      <c r="A414" s="7">
        <v>487</v>
      </c>
      <c r="B414" s="7" t="s">
        <v>1312</v>
      </c>
    </row>
    <row r="415" spans="1:2">
      <c r="A415" s="7">
        <v>488</v>
      </c>
      <c r="B415" s="7" t="s">
        <v>1313</v>
      </c>
    </row>
    <row r="416" spans="1:2">
      <c r="A416" s="7">
        <v>489</v>
      </c>
      <c r="B416" s="7" t="s">
        <v>1314</v>
      </c>
    </row>
    <row r="417" spans="1:2">
      <c r="A417" s="7">
        <v>490</v>
      </c>
      <c r="B417" s="7" t="s">
        <v>1315</v>
      </c>
    </row>
    <row r="418" spans="1:2">
      <c r="A418" s="7">
        <v>491</v>
      </c>
      <c r="B418" s="7" t="s">
        <v>1316</v>
      </c>
    </row>
    <row r="419" spans="1:2">
      <c r="A419" s="7">
        <v>492</v>
      </c>
      <c r="B419" s="7" t="s">
        <v>1317</v>
      </c>
    </row>
    <row r="420" spans="1:2">
      <c r="A420" s="7">
        <v>493</v>
      </c>
      <c r="B420" s="7" t="s">
        <v>1318</v>
      </c>
    </row>
    <row r="421" spans="1:2">
      <c r="A421" s="7">
        <v>494</v>
      </c>
      <c r="B421" s="7" t="s">
        <v>1319</v>
      </c>
    </row>
    <row r="422" spans="1:2">
      <c r="A422" s="7">
        <v>495</v>
      </c>
      <c r="B422" s="7" t="s">
        <v>1320</v>
      </c>
    </row>
    <row r="423" spans="1:2">
      <c r="A423" s="7">
        <v>496</v>
      </c>
      <c r="B423" s="7" t="s">
        <v>1321</v>
      </c>
    </row>
    <row r="424" spans="1:2">
      <c r="A424" s="7">
        <v>497</v>
      </c>
      <c r="B424" s="7" t="s">
        <v>1322</v>
      </c>
    </row>
    <row r="425" spans="1:2">
      <c r="A425" s="7">
        <v>498</v>
      </c>
      <c r="B425" s="7" t="s">
        <v>1323</v>
      </c>
    </row>
    <row r="426" spans="1:2">
      <c r="A426" s="7">
        <v>499</v>
      </c>
      <c r="B426" s="7" t="s">
        <v>1324</v>
      </c>
    </row>
    <row r="427" spans="1:2">
      <c r="A427" s="7">
        <v>500</v>
      </c>
      <c r="B427" s="7" t="s">
        <v>1325</v>
      </c>
    </row>
    <row r="428" spans="1:2">
      <c r="A428" s="7">
        <v>501</v>
      </c>
      <c r="B428" s="7" t="s">
        <v>1326</v>
      </c>
    </row>
    <row r="429" spans="1:2">
      <c r="A429" s="7">
        <v>502</v>
      </c>
      <c r="B429" s="7" t="s">
        <v>1327</v>
      </c>
    </row>
    <row r="430" spans="1:2">
      <c r="A430" s="7">
        <v>503</v>
      </c>
      <c r="B430" s="7" t="s">
        <v>1328</v>
      </c>
    </row>
    <row r="431" spans="1:2">
      <c r="A431" s="7">
        <v>504</v>
      </c>
      <c r="B431" s="7" t="s">
        <v>1329</v>
      </c>
    </row>
    <row r="432" spans="1:2">
      <c r="A432" s="7">
        <v>505</v>
      </c>
      <c r="B432" s="7" t="s">
        <v>1330</v>
      </c>
    </row>
    <row r="433" spans="1:2">
      <c r="A433" s="7">
        <v>506</v>
      </c>
      <c r="B433" s="7" t="s">
        <v>1331</v>
      </c>
    </row>
    <row r="434" spans="1:2">
      <c r="A434" s="7">
        <v>507</v>
      </c>
      <c r="B434" s="7" t="s">
        <v>1332</v>
      </c>
    </row>
    <row r="435" spans="1:2">
      <c r="A435" s="7">
        <v>508</v>
      </c>
      <c r="B435" s="7" t="s">
        <v>1333</v>
      </c>
    </row>
    <row r="436" spans="1:2">
      <c r="A436" s="7">
        <v>509</v>
      </c>
      <c r="B436" s="7" t="s">
        <v>1334</v>
      </c>
    </row>
    <row r="437" spans="1:2">
      <c r="A437" s="7">
        <v>510</v>
      </c>
      <c r="B437" s="7" t="s">
        <v>1335</v>
      </c>
    </row>
    <row r="438" spans="1:2">
      <c r="A438" s="7">
        <v>511</v>
      </c>
      <c r="B438" s="7" t="s">
        <v>1336</v>
      </c>
    </row>
    <row r="439" spans="1:2">
      <c r="A439" s="7">
        <v>512</v>
      </c>
      <c r="B439" s="7" t="s">
        <v>1337</v>
      </c>
    </row>
    <row r="440" spans="1:2">
      <c r="A440" s="7">
        <v>513</v>
      </c>
      <c r="B440" s="7" t="s">
        <v>1294</v>
      </c>
    </row>
    <row r="441" spans="1:2">
      <c r="A441" s="7">
        <v>514</v>
      </c>
      <c r="B441" s="7" t="s">
        <v>1338</v>
      </c>
    </row>
    <row r="442" spans="1:2">
      <c r="A442" s="7">
        <v>515</v>
      </c>
      <c r="B442" s="7" t="s">
        <v>1339</v>
      </c>
    </row>
    <row r="443" spans="1:2">
      <c r="A443" s="7">
        <v>516</v>
      </c>
      <c r="B443" s="7" t="s">
        <v>1340</v>
      </c>
    </row>
    <row r="444" spans="1:2">
      <c r="A444" s="7">
        <v>517</v>
      </c>
      <c r="B444" s="7" t="s">
        <v>1341</v>
      </c>
    </row>
    <row r="445" spans="1:2">
      <c r="A445" s="7">
        <v>518</v>
      </c>
      <c r="B445" s="7" t="s">
        <v>1342</v>
      </c>
    </row>
    <row r="446" spans="1:2">
      <c r="A446" s="7">
        <v>519</v>
      </c>
      <c r="B446" s="7" t="s">
        <v>1343</v>
      </c>
    </row>
    <row r="447" spans="1:2">
      <c r="A447" s="7">
        <v>520</v>
      </c>
      <c r="B447" s="7" t="s">
        <v>1344</v>
      </c>
    </row>
    <row r="448" spans="1:2">
      <c r="A448" s="7">
        <v>521</v>
      </c>
      <c r="B448" s="7" t="s">
        <v>1345</v>
      </c>
    </row>
    <row r="449" spans="1:2">
      <c r="A449" s="7">
        <v>522</v>
      </c>
      <c r="B449" s="7" t="s">
        <v>1346</v>
      </c>
    </row>
    <row r="450" spans="1:2">
      <c r="A450" s="7">
        <v>523</v>
      </c>
      <c r="B450" s="7" t="s">
        <v>1347</v>
      </c>
    </row>
    <row r="451" spans="1:2">
      <c r="A451" s="7">
        <v>524</v>
      </c>
      <c r="B451" s="7" t="s">
        <v>1348</v>
      </c>
    </row>
    <row r="452" spans="1:2">
      <c r="A452" s="7">
        <v>525</v>
      </c>
      <c r="B452" s="7" t="s">
        <v>1349</v>
      </c>
    </row>
    <row r="453" spans="1:2">
      <c r="A453" s="7">
        <v>526</v>
      </c>
      <c r="B453" s="7" t="s">
        <v>1350</v>
      </c>
    </row>
    <row r="454" spans="1:2">
      <c r="A454" s="7">
        <v>527</v>
      </c>
      <c r="B454" s="7" t="s">
        <v>1351</v>
      </c>
    </row>
    <row r="455" spans="1:2">
      <c r="A455" s="7">
        <v>528</v>
      </c>
      <c r="B455" s="7" t="s">
        <v>1352</v>
      </c>
    </row>
    <row r="456" spans="1:2">
      <c r="A456" s="7">
        <v>529</v>
      </c>
      <c r="B456" s="7" t="s">
        <v>1353</v>
      </c>
    </row>
    <row r="457" spans="1:2">
      <c r="A457" s="7">
        <v>530</v>
      </c>
      <c r="B457" s="7" t="s">
        <v>1354</v>
      </c>
    </row>
    <row r="458" spans="1:2">
      <c r="A458" s="7">
        <v>531</v>
      </c>
      <c r="B458" s="7" t="s">
        <v>1355</v>
      </c>
    </row>
    <row r="459" spans="1:2">
      <c r="A459" s="7">
        <v>532</v>
      </c>
      <c r="B459" s="7" t="s">
        <v>1356</v>
      </c>
    </row>
    <row r="460" spans="1:2">
      <c r="A460" s="7">
        <v>533</v>
      </c>
      <c r="B460" s="7" t="s">
        <v>1357</v>
      </c>
    </row>
    <row r="461" spans="1:2">
      <c r="A461" s="7">
        <v>534</v>
      </c>
      <c r="B461" s="7" t="s">
        <v>1358</v>
      </c>
    </row>
    <row r="462" spans="1:2">
      <c r="A462" s="7">
        <v>535</v>
      </c>
      <c r="B462" s="7" t="s">
        <v>1359</v>
      </c>
    </row>
    <row r="463" spans="1:2">
      <c r="A463" s="7">
        <v>536</v>
      </c>
      <c r="B463" s="7" t="s">
        <v>1360</v>
      </c>
    </row>
    <row r="464" spans="1:2">
      <c r="A464" s="7">
        <v>537</v>
      </c>
      <c r="B464" s="7" t="s">
        <v>1361</v>
      </c>
    </row>
    <row r="465" spans="1:2">
      <c r="A465" s="7">
        <v>538</v>
      </c>
      <c r="B465" s="7" t="s">
        <v>1362</v>
      </c>
    </row>
    <row r="466" spans="1:2">
      <c r="A466" s="7">
        <v>539</v>
      </c>
      <c r="B466" s="7" t="s">
        <v>1363</v>
      </c>
    </row>
    <row r="467" spans="1:2">
      <c r="A467" s="7">
        <v>540</v>
      </c>
      <c r="B467" s="7" t="s">
        <v>1364</v>
      </c>
    </row>
    <row r="468" spans="1:2">
      <c r="A468" s="7">
        <v>541</v>
      </c>
      <c r="B468" s="7" t="s">
        <v>1365</v>
      </c>
    </row>
    <row r="469" spans="1:2">
      <c r="A469" s="7">
        <v>542</v>
      </c>
      <c r="B469" s="7" t="s">
        <v>1366</v>
      </c>
    </row>
    <row r="470" spans="1:2">
      <c r="A470" s="7">
        <v>543</v>
      </c>
      <c r="B470" s="7" t="s">
        <v>1367</v>
      </c>
    </row>
    <row r="471" spans="1:2">
      <c r="A471" s="7">
        <v>544</v>
      </c>
      <c r="B471" s="7" t="s">
        <v>1368</v>
      </c>
    </row>
    <row r="472" spans="1:2">
      <c r="A472" s="7">
        <v>545</v>
      </c>
      <c r="B472" s="7" t="s">
        <v>1369</v>
      </c>
    </row>
    <row r="473" spans="1:2">
      <c r="A473" s="7">
        <v>546</v>
      </c>
      <c r="B473" s="7" t="s">
        <v>1370</v>
      </c>
    </row>
    <row r="474" spans="1:2">
      <c r="A474" s="7">
        <v>547</v>
      </c>
      <c r="B474" s="7" t="s">
        <v>1371</v>
      </c>
    </row>
    <row r="475" spans="1:2">
      <c r="A475" s="7">
        <v>548</v>
      </c>
      <c r="B475" s="7" t="s">
        <v>1372</v>
      </c>
    </row>
    <row r="476" spans="1:2">
      <c r="A476" s="7">
        <v>549</v>
      </c>
      <c r="B476" s="7" t="s">
        <v>1373</v>
      </c>
    </row>
    <row r="477" spans="1:2">
      <c r="A477" s="7">
        <v>550</v>
      </c>
      <c r="B477" s="7" t="s">
        <v>1374</v>
      </c>
    </row>
    <row r="478" spans="1:2">
      <c r="A478" s="7">
        <v>551</v>
      </c>
      <c r="B478" s="7" t="s">
        <v>1375</v>
      </c>
    </row>
    <row r="479" spans="1:2">
      <c r="A479" s="7">
        <v>552</v>
      </c>
      <c r="B479" s="7" t="s">
        <v>1376</v>
      </c>
    </row>
    <row r="480" spans="1:2">
      <c r="A480" s="7">
        <v>559</v>
      </c>
      <c r="B480" s="7" t="s">
        <v>1377</v>
      </c>
    </row>
    <row r="481" spans="1:2">
      <c r="A481" s="7">
        <v>560</v>
      </c>
      <c r="B481" s="7" t="s">
        <v>1378</v>
      </c>
    </row>
    <row r="482" spans="1:2">
      <c r="A482" s="7">
        <v>561</v>
      </c>
      <c r="B482" s="7" t="s">
        <v>1379</v>
      </c>
    </row>
    <row r="483" spans="1:2">
      <c r="A483" s="7">
        <v>562</v>
      </c>
      <c r="B483" s="7" t="s">
        <v>1380</v>
      </c>
    </row>
    <row r="484" spans="1:2">
      <c r="A484" s="7">
        <v>563</v>
      </c>
      <c r="B484" s="7" t="s">
        <v>1381</v>
      </c>
    </row>
    <row r="485" spans="1:2">
      <c r="A485" s="7">
        <v>564</v>
      </c>
      <c r="B485" s="7" t="s">
        <v>1382</v>
      </c>
    </row>
    <row r="486" spans="1:2">
      <c r="A486" s="7">
        <v>565</v>
      </c>
      <c r="B486" s="7" t="s">
        <v>1383</v>
      </c>
    </row>
    <row r="487" spans="1:2">
      <c r="A487" s="7">
        <v>566</v>
      </c>
      <c r="B487" s="7" t="s">
        <v>1384</v>
      </c>
    </row>
    <row r="488" spans="1:2">
      <c r="A488" s="7">
        <v>567</v>
      </c>
      <c r="B488" s="7" t="s">
        <v>1385</v>
      </c>
    </row>
    <row r="489" spans="1:2">
      <c r="A489" s="7">
        <v>568</v>
      </c>
      <c r="B489" s="7" t="s">
        <v>1386</v>
      </c>
    </row>
    <row r="490" spans="1:2">
      <c r="A490" s="7">
        <v>569</v>
      </c>
      <c r="B490" s="7" t="s">
        <v>1387</v>
      </c>
    </row>
    <row r="491" spans="1:2">
      <c r="A491" s="7">
        <v>570</v>
      </c>
      <c r="B491" s="7" t="s">
        <v>1388</v>
      </c>
    </row>
    <row r="492" spans="1:2">
      <c r="A492" s="7">
        <v>571</v>
      </c>
      <c r="B492" s="7" t="s">
        <v>1389</v>
      </c>
    </row>
    <row r="493" spans="1:2">
      <c r="A493" s="7">
        <v>572</v>
      </c>
      <c r="B493" s="7" t="s">
        <v>1390</v>
      </c>
    </row>
    <row r="494" spans="1:2">
      <c r="A494" s="7">
        <v>573</v>
      </c>
      <c r="B494" s="7" t="s">
        <v>1391</v>
      </c>
    </row>
    <row r="495" spans="1:2">
      <c r="A495" s="7">
        <v>574</v>
      </c>
      <c r="B495" s="7" t="s">
        <v>1392</v>
      </c>
    </row>
    <row r="496" spans="1:2">
      <c r="A496" s="7">
        <v>575</v>
      </c>
      <c r="B496" s="7" t="s">
        <v>1393</v>
      </c>
    </row>
    <row r="497" spans="1:2">
      <c r="A497" s="7">
        <v>576</v>
      </c>
      <c r="B497" s="7" t="s">
        <v>1394</v>
      </c>
    </row>
    <row r="498" spans="1:2">
      <c r="A498" s="7">
        <v>577</v>
      </c>
      <c r="B498" s="7" t="s">
        <v>1395</v>
      </c>
    </row>
    <row r="499" spans="1:2">
      <c r="A499" s="7">
        <v>578</v>
      </c>
      <c r="B499" s="7" t="s">
        <v>556</v>
      </c>
    </row>
    <row r="500" spans="1:2">
      <c r="A500" s="7">
        <v>579</v>
      </c>
      <c r="B500" s="7" t="s">
        <v>1396</v>
      </c>
    </row>
    <row r="501" spans="1:2">
      <c r="A501" s="7">
        <v>580</v>
      </c>
      <c r="B501" s="7" t="s">
        <v>1397</v>
      </c>
    </row>
    <row r="502" spans="1:2">
      <c r="A502" s="7">
        <v>581</v>
      </c>
      <c r="B502" s="7" t="s">
        <v>1398</v>
      </c>
    </row>
    <row r="503" spans="1:2">
      <c r="A503" s="7">
        <v>582</v>
      </c>
      <c r="B503" s="7" t="s">
        <v>1399</v>
      </c>
    </row>
    <row r="504" spans="1:2">
      <c r="A504" s="7">
        <v>583</v>
      </c>
      <c r="B504" s="7" t="s">
        <v>1400</v>
      </c>
    </row>
    <row r="505" spans="1:2">
      <c r="A505" s="7">
        <v>584</v>
      </c>
      <c r="B505" s="7" t="s">
        <v>1401</v>
      </c>
    </row>
    <row r="506" spans="1:2">
      <c r="A506" s="7">
        <v>585</v>
      </c>
      <c r="B506" s="7" t="s">
        <v>1402</v>
      </c>
    </row>
    <row r="507" spans="1:2">
      <c r="A507" s="7">
        <v>586</v>
      </c>
      <c r="B507" s="7" t="s">
        <v>1403</v>
      </c>
    </row>
    <row r="508" spans="1:2">
      <c r="A508" s="7">
        <v>587</v>
      </c>
      <c r="B508" s="7" t="s">
        <v>1404</v>
      </c>
    </row>
    <row r="509" spans="1:2">
      <c r="A509" s="7">
        <v>588</v>
      </c>
      <c r="B509" s="7" t="s">
        <v>1405</v>
      </c>
    </row>
    <row r="510" spans="1:2">
      <c r="A510" s="7">
        <v>589</v>
      </c>
      <c r="B510" s="7" t="s">
        <v>1406</v>
      </c>
    </row>
    <row r="511" spans="1:2">
      <c r="A511" s="7">
        <v>590</v>
      </c>
      <c r="B511" s="7" t="s">
        <v>1407</v>
      </c>
    </row>
    <row r="512" spans="1:2">
      <c r="A512" s="7">
        <v>591</v>
      </c>
      <c r="B512" s="7" t="s">
        <v>1408</v>
      </c>
    </row>
    <row r="513" spans="1:2">
      <c r="A513" s="7">
        <v>593</v>
      </c>
      <c r="B513" s="7" t="s">
        <v>1409</v>
      </c>
    </row>
    <row r="514" spans="1:2">
      <c r="A514" s="7">
        <v>594</v>
      </c>
      <c r="B514" s="7" t="s">
        <v>1410</v>
      </c>
    </row>
    <row r="515" spans="1:2">
      <c r="A515" s="7">
        <v>596</v>
      </c>
      <c r="B515" s="7" t="s">
        <v>1411</v>
      </c>
    </row>
    <row r="516" spans="1:2">
      <c r="A516" s="7">
        <v>597</v>
      </c>
      <c r="B516" s="7" t="s">
        <v>1412</v>
      </c>
    </row>
    <row r="517" spans="1:2">
      <c r="A517" s="7">
        <v>598</v>
      </c>
      <c r="B517" s="7" t="s">
        <v>1413</v>
      </c>
    </row>
    <row r="518" spans="1:2">
      <c r="A518" s="7">
        <v>599</v>
      </c>
      <c r="B518" s="7" t="s">
        <v>1414</v>
      </c>
    </row>
    <row r="519" spans="1:2">
      <c r="A519" s="7">
        <v>600</v>
      </c>
      <c r="B519" s="7" t="s">
        <v>1415</v>
      </c>
    </row>
    <row r="520" spans="1:2">
      <c r="A520" s="7">
        <v>601</v>
      </c>
      <c r="B520" s="7" t="s">
        <v>1416</v>
      </c>
    </row>
    <row r="521" spans="1:2">
      <c r="A521" s="7">
        <v>602</v>
      </c>
      <c r="B521" s="7" t="s">
        <v>1417</v>
      </c>
    </row>
    <row r="522" spans="1:2">
      <c r="A522" s="7">
        <v>603</v>
      </c>
      <c r="B522" s="7" t="s">
        <v>1418</v>
      </c>
    </row>
    <row r="523" spans="1:2">
      <c r="A523" s="7">
        <v>604</v>
      </c>
      <c r="B523" s="7" t="s">
        <v>1419</v>
      </c>
    </row>
    <row r="524" spans="1:2">
      <c r="A524" s="7">
        <v>605</v>
      </c>
      <c r="B524" s="7" t="s">
        <v>1420</v>
      </c>
    </row>
    <row r="525" spans="1:2">
      <c r="A525" s="7">
        <v>606</v>
      </c>
      <c r="B525" s="7" t="s">
        <v>1421</v>
      </c>
    </row>
    <row r="526" spans="1:2">
      <c r="A526" s="7">
        <v>607</v>
      </c>
      <c r="B526" s="7" t="s">
        <v>1422</v>
      </c>
    </row>
    <row r="527" spans="1:2">
      <c r="A527" s="7">
        <v>608</v>
      </c>
      <c r="B527" s="7" t="s">
        <v>1423</v>
      </c>
    </row>
    <row r="528" spans="1:2">
      <c r="A528" s="7">
        <v>609</v>
      </c>
      <c r="B528" s="7" t="s">
        <v>1424</v>
      </c>
    </row>
    <row r="529" spans="1:2">
      <c r="A529" s="7">
        <v>610</v>
      </c>
      <c r="B529" s="7" t="s">
        <v>1425</v>
      </c>
    </row>
    <row r="530" spans="1:2">
      <c r="A530" s="7">
        <v>611</v>
      </c>
      <c r="B530" s="7" t="s">
        <v>1426</v>
      </c>
    </row>
    <row r="531" spans="1:2">
      <c r="A531" s="7">
        <v>612</v>
      </c>
      <c r="B531" s="7" t="s">
        <v>1427</v>
      </c>
    </row>
    <row r="532" spans="1:2">
      <c r="A532" s="7">
        <v>613</v>
      </c>
      <c r="B532" s="7" t="s">
        <v>1428</v>
      </c>
    </row>
    <row r="533" spans="1:2">
      <c r="A533" s="7">
        <v>614</v>
      </c>
      <c r="B533" s="7" t="s">
        <v>1429</v>
      </c>
    </row>
    <row r="534" spans="1:2">
      <c r="A534" s="7">
        <v>615</v>
      </c>
      <c r="B534" s="7" t="s">
        <v>1430</v>
      </c>
    </row>
    <row r="535" spans="1:2">
      <c r="A535" s="7">
        <v>616</v>
      </c>
      <c r="B535" s="7" t="s">
        <v>1431</v>
      </c>
    </row>
    <row r="536" spans="1:2">
      <c r="A536" s="7">
        <v>617</v>
      </c>
      <c r="B536" s="7" t="s">
        <v>1432</v>
      </c>
    </row>
    <row r="537" spans="1:2">
      <c r="A537" s="7">
        <v>618</v>
      </c>
      <c r="B537" s="7" t="s">
        <v>1433</v>
      </c>
    </row>
    <row r="538" spans="1:2">
      <c r="A538" s="7">
        <v>620</v>
      </c>
      <c r="B538" s="7" t="s">
        <v>1434</v>
      </c>
    </row>
    <row r="539" spans="1:2">
      <c r="A539" s="7">
        <v>621</v>
      </c>
      <c r="B539" s="7" t="s">
        <v>1435</v>
      </c>
    </row>
    <row r="540" spans="1:2">
      <c r="A540" s="7">
        <v>622</v>
      </c>
      <c r="B540" s="7" t="s">
        <v>1436</v>
      </c>
    </row>
    <row r="541" spans="1:2">
      <c r="A541" s="7">
        <v>623</v>
      </c>
      <c r="B541" s="7" t="s">
        <v>1437</v>
      </c>
    </row>
    <row r="542" spans="1:2">
      <c r="A542" s="7">
        <v>624</v>
      </c>
      <c r="B542" s="7" t="s">
        <v>1438</v>
      </c>
    </row>
    <row r="543" spans="1:2">
      <c r="A543" s="7">
        <v>625</v>
      </c>
      <c r="B543" s="7" t="s">
        <v>1439</v>
      </c>
    </row>
    <row r="544" spans="1:2">
      <c r="A544" s="7">
        <v>626</v>
      </c>
      <c r="B544" s="7" t="s">
        <v>1440</v>
      </c>
    </row>
    <row r="545" spans="1:2">
      <c r="A545" s="7">
        <v>627</v>
      </c>
      <c r="B545" s="7" t="s">
        <v>1441</v>
      </c>
    </row>
    <row r="546" spans="1:2">
      <c r="A546" s="7">
        <v>628</v>
      </c>
      <c r="B546" s="7" t="s">
        <v>1442</v>
      </c>
    </row>
    <row r="547" spans="1:2">
      <c r="A547" s="7">
        <v>629</v>
      </c>
      <c r="B547" s="7" t="s">
        <v>1443</v>
      </c>
    </row>
    <row r="548" spans="1:2">
      <c r="A548" s="7">
        <v>630</v>
      </c>
      <c r="B548" s="7" t="s">
        <v>1444</v>
      </c>
    </row>
    <row r="549" spans="1:2">
      <c r="A549" s="7">
        <v>631</v>
      </c>
      <c r="B549" s="7" t="s">
        <v>1445</v>
      </c>
    </row>
    <row r="550" spans="1:2">
      <c r="A550" s="7">
        <v>632</v>
      </c>
      <c r="B550" s="7" t="s">
        <v>1446</v>
      </c>
    </row>
    <row r="551" spans="1:2">
      <c r="A551" s="7">
        <v>633</v>
      </c>
      <c r="B551" s="7" t="s">
        <v>1447</v>
      </c>
    </row>
    <row r="552" spans="1:2">
      <c r="A552" s="7">
        <v>634</v>
      </c>
      <c r="B552" s="7" t="s">
        <v>1448</v>
      </c>
    </row>
    <row r="553" spans="1:2">
      <c r="A553" s="7">
        <v>636</v>
      </c>
      <c r="B553" s="7" t="s">
        <v>1449</v>
      </c>
    </row>
    <row r="554" spans="1:2">
      <c r="A554" s="7">
        <v>637</v>
      </c>
      <c r="B554" s="7" t="s">
        <v>1450</v>
      </c>
    </row>
    <row r="555" spans="1:2">
      <c r="A555" s="7">
        <v>638</v>
      </c>
      <c r="B555" s="7" t="s">
        <v>1451</v>
      </c>
    </row>
    <row r="556" spans="1:2">
      <c r="A556" s="7">
        <v>639</v>
      </c>
      <c r="B556" s="7" t="s">
        <v>1452</v>
      </c>
    </row>
    <row r="557" spans="1:2">
      <c r="A557" s="7">
        <v>640</v>
      </c>
      <c r="B557" s="7" t="s">
        <v>1453</v>
      </c>
    </row>
    <row r="558" spans="1:2">
      <c r="A558" s="7">
        <v>642</v>
      </c>
      <c r="B558" s="7" t="s">
        <v>1454</v>
      </c>
    </row>
    <row r="559" spans="1:2">
      <c r="A559" s="7">
        <v>643</v>
      </c>
      <c r="B559" s="7" t="s">
        <v>1455</v>
      </c>
    </row>
    <row r="560" spans="1:2">
      <c r="A560" s="7">
        <v>644</v>
      </c>
      <c r="B560" s="7" t="s">
        <v>1456</v>
      </c>
    </row>
    <row r="561" spans="1:2">
      <c r="A561" s="7">
        <v>645</v>
      </c>
      <c r="B561" s="7" t="s">
        <v>1457</v>
      </c>
    </row>
    <row r="562" spans="1:2">
      <c r="A562" s="7">
        <v>646</v>
      </c>
      <c r="B562" s="7" t="s">
        <v>1458</v>
      </c>
    </row>
    <row r="563" spans="1:2">
      <c r="A563" s="7">
        <v>647</v>
      </c>
      <c r="B563" s="7" t="s">
        <v>1459</v>
      </c>
    </row>
    <row r="564" spans="1:2">
      <c r="A564" s="7">
        <v>648</v>
      </c>
      <c r="B564" s="7" t="s">
        <v>1460</v>
      </c>
    </row>
    <row r="565" spans="1:2">
      <c r="A565" s="7">
        <v>649</v>
      </c>
      <c r="B565" s="7" t="s">
        <v>1461</v>
      </c>
    </row>
    <row r="566" spans="1:2">
      <c r="A566" s="7">
        <v>650</v>
      </c>
      <c r="B566" s="7" t="s">
        <v>1462</v>
      </c>
    </row>
    <row r="567" spans="1:2">
      <c r="A567" s="7">
        <v>651</v>
      </c>
      <c r="B567" s="7" t="s">
        <v>1463</v>
      </c>
    </row>
    <row r="568" spans="1:2">
      <c r="A568" s="7">
        <v>652</v>
      </c>
      <c r="B568" s="7" t="s">
        <v>1464</v>
      </c>
    </row>
    <row r="569" spans="1:2">
      <c r="A569" s="7">
        <v>653</v>
      </c>
      <c r="B569" s="7" t="s">
        <v>1465</v>
      </c>
    </row>
    <row r="570" spans="1:2">
      <c r="A570" s="7">
        <v>654</v>
      </c>
      <c r="B570" s="7" t="s">
        <v>1466</v>
      </c>
    </row>
    <row r="571" spans="1:2">
      <c r="A571" s="7">
        <v>655</v>
      </c>
      <c r="B571" s="7" t="s">
        <v>1467</v>
      </c>
    </row>
    <row r="572" spans="1:2">
      <c r="A572" s="7">
        <v>656</v>
      </c>
      <c r="B572" s="7" t="s">
        <v>1468</v>
      </c>
    </row>
    <row r="573" spans="1:2">
      <c r="A573" s="7">
        <v>658</v>
      </c>
      <c r="B573" s="7" t="s">
        <v>1469</v>
      </c>
    </row>
    <row r="574" spans="1:2">
      <c r="A574" s="7">
        <v>659</v>
      </c>
      <c r="B574" s="7" t="s">
        <v>1470</v>
      </c>
    </row>
    <row r="575" spans="1:2">
      <c r="A575" s="7">
        <v>660</v>
      </c>
      <c r="B575" s="7" t="s">
        <v>1471</v>
      </c>
    </row>
    <row r="576" spans="1:2">
      <c r="A576" s="7">
        <v>661</v>
      </c>
      <c r="B576" s="7" t="s">
        <v>1472</v>
      </c>
    </row>
    <row r="577" spans="1:2">
      <c r="A577" s="7">
        <v>662</v>
      </c>
      <c r="B577" s="7" t="s">
        <v>1473</v>
      </c>
    </row>
    <row r="578" spans="1:2">
      <c r="A578" s="7">
        <v>663</v>
      </c>
      <c r="B578" s="7" t="s">
        <v>1474</v>
      </c>
    </row>
    <row r="579" spans="1:2">
      <c r="A579" s="7">
        <v>995</v>
      </c>
      <c r="B579" s="7" t="s">
        <v>1475</v>
      </c>
    </row>
  </sheetData>
  <mergeCells count="6">
    <mergeCell ref="P1:Q1"/>
    <mergeCell ref="R1:S1"/>
    <mergeCell ref="T1:U1"/>
    <mergeCell ref="V1:W1"/>
    <mergeCell ref="X1:Y1"/>
    <mergeCell ref="Z1:AA1"/>
  </mergeCells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"/>
  <sheetViews>
    <sheetView workbookViewId="0">
      <selection activeCell="A1" sqref="A1"/>
    </sheetView>
  </sheetViews>
  <sheetFormatPr defaultColWidth="9" defaultRowHeight="13.5" outlineLevelRow="2"/>
  <sheetData>
    <row r="1" spans="1:44">
      <c r="A1" t="s">
        <v>1476</v>
      </c>
      <c r="B1" t="s">
        <v>1477</v>
      </c>
      <c r="C1" t="s">
        <v>62</v>
      </c>
      <c r="D1" t="s">
        <v>68</v>
      </c>
      <c r="E1" t="s">
        <v>1478</v>
      </c>
      <c r="F1" t="s">
        <v>1479</v>
      </c>
      <c r="G1" t="s">
        <v>1480</v>
      </c>
      <c r="H1" t="s">
        <v>1481</v>
      </c>
      <c r="I1" t="s">
        <v>1482</v>
      </c>
      <c r="J1" t="s">
        <v>1483</v>
      </c>
      <c r="K1" t="s">
        <v>49</v>
      </c>
      <c r="L1" t="s">
        <v>1484</v>
      </c>
      <c r="M1" t="s">
        <v>1485</v>
      </c>
      <c r="N1" t="s">
        <v>1486</v>
      </c>
      <c r="O1" t="s">
        <v>1487</v>
      </c>
      <c r="P1" t="s">
        <v>1488</v>
      </c>
      <c r="Q1" t="s">
        <v>1489</v>
      </c>
      <c r="R1" t="s">
        <v>1490</v>
      </c>
      <c r="S1" t="s">
        <v>1491</v>
      </c>
      <c r="T1" t="s">
        <v>1492</v>
      </c>
      <c r="U1" t="s">
        <v>1493</v>
      </c>
      <c r="V1" t="s">
        <v>1494</v>
      </c>
      <c r="W1" t="s">
        <v>1495</v>
      </c>
      <c r="X1" t="s">
        <v>1496</v>
      </c>
      <c r="Y1" t="s">
        <v>1497</v>
      </c>
      <c r="Z1" t="s">
        <v>1498</v>
      </c>
      <c r="AA1" t="s">
        <v>1499</v>
      </c>
      <c r="AB1" t="s">
        <v>1500</v>
      </c>
      <c r="AC1" t="s">
        <v>1501</v>
      </c>
      <c r="AD1" t="s">
        <v>1502</v>
      </c>
      <c r="AE1" t="s">
        <v>1503</v>
      </c>
      <c r="AF1" t="s">
        <v>1504</v>
      </c>
      <c r="AG1" t="s">
        <v>1505</v>
      </c>
      <c r="AH1" t="s">
        <v>1506</v>
      </c>
      <c r="AI1" t="s">
        <v>1507</v>
      </c>
      <c r="AJ1" t="s">
        <v>1508</v>
      </c>
      <c r="AK1" t="s">
        <v>1509</v>
      </c>
      <c r="AL1" t="s">
        <v>1510</v>
      </c>
      <c r="AM1" t="s">
        <v>1511</v>
      </c>
      <c r="AN1" t="s">
        <v>1512</v>
      </c>
      <c r="AO1" t="s">
        <v>1513</v>
      </c>
      <c r="AP1" t="s">
        <v>1514</v>
      </c>
      <c r="AQ1" t="s">
        <v>1515</v>
      </c>
      <c r="AR1" t="s">
        <v>316</v>
      </c>
    </row>
    <row r="2" spans="1:44">
      <c r="AQ2" t="str">
        <f t="shared" ref="AQ2:AQ3" si="0"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VoiceSelfOnly=true,","")&amp;IF(P2&gt;0,"bTeamChannel=true,","")&amp;IF(Q2&gt;0,"bWhisperChannel=true,","")&amp;IF(R2&gt;0,"bCenterAlarm=true,","")&amp;IF(S2&gt;0,"bScreenHead=true,","")&amp;IF(T2&gt;0,"bPartyBuffList=true,","")&amp;IF(U2&gt;0,"bBuffList=true,","")&amp;IF(V2&gt;0,"bFullScreen=true,","")&amp;IF(W2&gt;0,"bTeamPanel=true,","")&amp;IF(X2&gt;0,"bOnlySelfSrc=true,","")&amp;"},"&amp;"[2]={"&amp;IF(Y2&lt;&gt;"","szVoice="""&amp;Y2&amp;""",","")&amp;IF(Z2&gt;0,"bVoiceSelfOnly=true,","")&amp;IF(AA2&gt;0,"bTeamChannel=true,","")&amp;IF(AB2&gt;0,"bWhisperChannel=true,","")&amp;IF(AC2&gt;0,"bCenterAlarm=true,","")&amp;"},"&amp;IF(OR(AD2&gt;0,AH2&lt;&gt;"",AI2&gt;0,AJ2&lt;&gt;"",AK2&lt;&gt;"",AL2&gt;0,AM2&gt;0,AN2&gt;0,AO2&gt;0),"aCataclysmBuff={{"&amp;IF(AD2&gt;0,"nStackNum="&amp;AD2&amp;",","")&amp;IF(AE2&lt;&gt;"","szStackOp="""&amp;AE2&amp;""",","")&amp;IF(AF2&gt;0,"bOnlyMine=true,","")&amp;IF(AG2&gt;0,"bOnlyMe=true,","")&amp;IF(AH2&lt;&gt;"","szReminder="""&amp;AH2&amp;""",","")&amp;IF(AI2&gt;0,"nPriority="&amp;AI2&amp;",","")&amp;IF(AJ2&lt;&gt;"","col="""&amp;AJ2&amp;""",","")&amp;IF(AK2&lt;&gt;"","colScreenHead="""&amp;AK2&amp;""",","")&amp;IF(AL2&gt;0,"nColAlpha="&amp;AL2&amp;",","")&amp;IF(AM2&gt;0,"bAttention=true,","")&amp;IF(AN2&gt;0,"bCaution=true,","")&amp;IF(AO2&gt;0,"bScreenHead=true,","")&amp;"},"&amp;AP2&amp;"},","")&amp;IF(AR2&lt;&gt;"","tCountdown={"&amp;_xlfn.TEXTJOIN("",TRUE,AR2:AAC2)&amp;"},","")&amp;"},",IF(C1&gt;0,"},","")&amp;IF(AND(B2="",C2="",OR(B1&lt;&gt;"",C1&lt;&gt;"")),"},}","")))</f>
        <v>},},}</v>
      </c>
    </row>
    <row r="3" spans="1:44">
      <c r="AQ3" t="str">
        <f t="shared" si="0"/>
        <v/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"/>
  <sheetViews>
    <sheetView topLeftCell="T1" workbookViewId="0">
      <selection activeCell="AR9" sqref="AR9"/>
    </sheetView>
  </sheetViews>
  <sheetFormatPr defaultColWidth="9" defaultRowHeight="13.5"/>
  <sheetData>
    <row r="1" spans="1:44">
      <c r="A1" t="s">
        <v>1476</v>
      </c>
      <c r="B1" t="s">
        <v>1477</v>
      </c>
      <c r="C1" t="s">
        <v>62</v>
      </c>
      <c r="D1" t="s">
        <v>68</v>
      </c>
      <c r="E1" t="s">
        <v>1478</v>
      </c>
      <c r="F1" t="s">
        <v>1479</v>
      </c>
      <c r="G1" t="s">
        <v>1480</v>
      </c>
      <c r="H1" t="s">
        <v>1481</v>
      </c>
      <c r="I1" t="s">
        <v>1482</v>
      </c>
      <c r="J1" t="s">
        <v>1483</v>
      </c>
      <c r="K1" t="s">
        <v>49</v>
      </c>
      <c r="L1" t="s">
        <v>1484</v>
      </c>
      <c r="M1" t="s">
        <v>1485</v>
      </c>
      <c r="N1" t="s">
        <v>1486</v>
      </c>
      <c r="O1" t="s">
        <v>1487</v>
      </c>
      <c r="P1" t="s">
        <v>1488</v>
      </c>
      <c r="Q1" t="s">
        <v>1489</v>
      </c>
      <c r="R1" t="s">
        <v>1490</v>
      </c>
      <c r="S1" t="s">
        <v>1491</v>
      </c>
      <c r="T1" t="s">
        <v>1492</v>
      </c>
      <c r="U1" t="s">
        <v>1493</v>
      </c>
      <c r="V1" t="s">
        <v>1494</v>
      </c>
      <c r="W1" t="s">
        <v>1495</v>
      </c>
      <c r="X1" t="s">
        <v>1496</v>
      </c>
      <c r="Y1" t="s">
        <v>1497</v>
      </c>
      <c r="Z1" t="s">
        <v>1498</v>
      </c>
      <c r="AA1" t="s">
        <v>1499</v>
      </c>
      <c r="AB1" t="s">
        <v>1500</v>
      </c>
      <c r="AC1" t="s">
        <v>1501</v>
      </c>
      <c r="AD1" t="s">
        <v>1502</v>
      </c>
      <c r="AE1" t="s">
        <v>1503</v>
      </c>
      <c r="AF1" t="s">
        <v>1504</v>
      </c>
      <c r="AG1" t="s">
        <v>1505</v>
      </c>
      <c r="AH1" t="s">
        <v>1506</v>
      </c>
      <c r="AI1" t="s">
        <v>1507</v>
      </c>
      <c r="AJ1" t="s">
        <v>1508</v>
      </c>
      <c r="AK1" t="s">
        <v>1509</v>
      </c>
      <c r="AL1" t="s">
        <v>1510</v>
      </c>
      <c r="AM1" t="s">
        <v>1511</v>
      </c>
      <c r="AN1" t="s">
        <v>1512</v>
      </c>
      <c r="AO1" t="s">
        <v>1513</v>
      </c>
      <c r="AP1" t="s">
        <v>1514</v>
      </c>
      <c r="AQ1" t="s">
        <v>1516</v>
      </c>
      <c r="AR1" t="s">
        <v>316</v>
      </c>
    </row>
    <row r="2" spans="1:44">
      <c r="A2" t="s">
        <v>885</v>
      </c>
      <c r="B2">
        <v>74</v>
      </c>
      <c r="AQ2" t="str">
        <f t="shared" ref="AQ2:AQ10" si="0"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VoiceSelfOnly=true,","")&amp;IF(P2&gt;0,"bTeamChannel=true,","")&amp;IF(Q2&gt;0,"bWhisperChannel=true,","")&amp;IF(R2&gt;0,"bCenterAlarm=true,","")&amp;IF(S2&gt;0,"bScreenHead=true,","")&amp;IF(T2&gt;0,"bPartyBuffList=true,","")&amp;IF(U2&gt;0,"bBuffList=true,","")&amp;IF(V2&gt;0,"bFullScreen=true,","")&amp;IF(W2&gt;0,"bTeamPanel=true,","")&amp;IF(X2&gt;0,"bOnlySelfSrc=true,","")&amp;"},"&amp;"[2]={"&amp;IF(Y2&lt;&gt;"","szVoice="""&amp;Y2&amp;""",","")&amp;IF(Z2&gt;0,"bVoiceSelfOnly=true,","")&amp;IF(AA2&gt;0,"bTeamChannel=true,","")&amp;IF(AB2&gt;0,"bWhisperChannel=true,","")&amp;IF(AC2&gt;0,"bCenterAlarm=true,","")&amp;"},"&amp;IF(OR(AD2&gt;0,AH2&lt;&gt;"",AI2&gt;0,AJ2&lt;&gt;"",AK2&lt;&gt;"",AL2&gt;0,AM2&gt;0,AN2&gt;0,AO2&gt;0),"aCataclysmBuff={{"&amp;IF(AD2&gt;0,"nStackNum="&amp;AD2&amp;",","")&amp;IF(AE2&lt;&gt;"","szStackOp="""&amp;AE2&amp;""",","")&amp;IF(AF2&gt;0,"bOnlyMine=true,","")&amp;IF(AG2&gt;0,"bOnlyMe=true,","")&amp;IF(AH2&lt;&gt;"","szReminder="""&amp;AH2&amp;""",","")&amp;IF(AI2&gt;0,"nPriority="&amp;AI2&amp;",","")&amp;IF(AJ2&lt;&gt;"","col="""&amp;AJ2&amp;""",","")&amp;IF(AK2&lt;&gt;"","colScreenHead="""&amp;AK2&amp;""",","")&amp;IF(AL2&gt;0,"nColAlpha="&amp;AL2&amp;",","")&amp;IF(AM2&gt;0,"bAttention=true,","")&amp;IF(AN2&gt;0,"bCaution=true,","")&amp;IF(AO2&gt;0,"bScreenHead=true,","")&amp;"},"&amp;AP2&amp;"},","")&amp;IF(AR2&lt;&gt;"","tCountdown={"&amp;_xlfn.TEXTJOIN("",TRUE,AR2:AAC2)&amp;"},","")&amp;"},",IF(C1&gt;0,"},","")&amp;IF(AND(B2="",C2="",OR(B1&lt;&gt;"",C1&lt;&gt;"")),"},}","")))</f>
        <v>[74]={</v>
      </c>
    </row>
    <row r="3" spans="1:44">
      <c r="C3">
        <v>26071</v>
      </c>
      <c r="D3">
        <v>1</v>
      </c>
      <c r="AQ3" t="str">
        <f t="shared" si="0"/>
        <v>{dwID=26071,nLevel=1,[1]={},[2]={},},</v>
      </c>
    </row>
    <row r="4" spans="1:44">
      <c r="C4">
        <v>26151</v>
      </c>
      <c r="D4">
        <v>1</v>
      </c>
      <c r="AQ4" t="str">
        <f t="shared" si="0"/>
        <v>{dwID=26151,nLevel=1,[1]={},[2]={},},</v>
      </c>
    </row>
    <row r="5" spans="1:44">
      <c r="C5">
        <v>26152</v>
      </c>
      <c r="D5">
        <v>1</v>
      </c>
      <c r="AQ5" t="str">
        <f t="shared" si="0"/>
        <v>{dwID=26152,nLevel=1,[1]={},[2]={},},</v>
      </c>
    </row>
    <row r="6" spans="1:44">
      <c r="C6">
        <v>26153</v>
      </c>
      <c r="D6">
        <v>1</v>
      </c>
      <c r="AQ6" t="str">
        <f t="shared" si="0"/>
        <v>{dwID=26153,nLevel=1,[1]={},[2]={},},</v>
      </c>
    </row>
    <row r="7" spans="1:44">
      <c r="C7">
        <v>26157</v>
      </c>
      <c r="D7">
        <v>1</v>
      </c>
      <c r="AQ7" t="str">
        <f t="shared" si="0"/>
        <v>{dwID=26157,nLevel=1,[1]={},[2]={},},</v>
      </c>
    </row>
    <row r="8" spans="1:44">
      <c r="C8">
        <v>26158</v>
      </c>
      <c r="D8">
        <v>1</v>
      </c>
      <c r="AQ8" t="str">
        <f t="shared" si="0"/>
        <v>{dwID=26158,nLevel=1,[1]={},[2]={},},</v>
      </c>
    </row>
    <row r="9" spans="1:44">
      <c r="AQ9" t="str">
        <f t="shared" si="0"/>
        <v>},},}</v>
      </c>
    </row>
    <row r="10" spans="1:44">
      <c r="AQ10" t="str">
        <f t="shared" si="0"/>
        <v/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workbookViewId="0">
      <selection activeCell="A1" sqref="A1"/>
    </sheetView>
  </sheetViews>
  <sheetFormatPr defaultColWidth="9" defaultRowHeight="13.5" outlineLevelRow="2"/>
  <sheetData>
    <row r="1" spans="1:25">
      <c r="A1" t="s">
        <v>1476</v>
      </c>
      <c r="B1" t="s">
        <v>1477</v>
      </c>
      <c r="C1" t="s">
        <v>62</v>
      </c>
      <c r="D1" t="s">
        <v>68</v>
      </c>
      <c r="E1" t="s">
        <v>1479</v>
      </c>
      <c r="F1" t="s">
        <v>1480</v>
      </c>
      <c r="G1" t="s">
        <v>1481</v>
      </c>
      <c r="H1" t="s">
        <v>1482</v>
      </c>
      <c r="I1" t="s">
        <v>1483</v>
      </c>
      <c r="J1" t="s">
        <v>49</v>
      </c>
      <c r="K1" t="s">
        <v>1484</v>
      </c>
      <c r="L1" t="s">
        <v>1517</v>
      </c>
      <c r="M1" t="s">
        <v>1518</v>
      </c>
      <c r="N1" t="s">
        <v>1519</v>
      </c>
      <c r="O1" t="s">
        <v>1520</v>
      </c>
      <c r="P1" t="s">
        <v>1521</v>
      </c>
      <c r="Q1" t="s">
        <v>1522</v>
      </c>
      <c r="R1" t="s">
        <v>1523</v>
      </c>
      <c r="S1" t="s">
        <v>1524</v>
      </c>
      <c r="T1" t="s">
        <v>1525</v>
      </c>
      <c r="U1" t="s">
        <v>1526</v>
      </c>
      <c r="V1" t="s">
        <v>1527</v>
      </c>
      <c r="W1" t="s">
        <v>1528</v>
      </c>
      <c r="X1" t="s">
        <v>1529</v>
      </c>
      <c r="Y1" t="s">
        <v>316</v>
      </c>
    </row>
    <row r="2" spans="1:25">
      <c r="X2" t="str">
        <f t="shared" ref="X2:X3" si="0">IF(ISBLANK(B2)=FALSE,IF(ISBLANK(B1),"},["&amp;B2&amp;"]={","["&amp;B2&amp;"]={"),IF(AND(ISBLANK(B2),ISBLANK(C2),ISBLANK(D2),OR(ISBLANK(B1)=FALSE,ISBLANK(C1)=FALSE,ISBLANK(D1)=FALSE)),"},},}",IF(ISBLANK(C2),"","{dwID="&amp;C2&amp;","&amp;"nLevel="&amp;D2&amp;","&amp;IF(E2&gt;0,"nIcon="&amp;E2&amp;",","")&amp;IF(F2&lt;&gt;"","szName="""&amp;F2&amp;""",","")&amp;IF(G2&gt;0,"bCheckLevel=true"&amp;",","")&amp;IF(H2&gt;0,"nScrutinyType="&amp;H2&amp;",","")&amp;IF(I2&lt;&gt;"","tKungFu={"&amp;I2&amp;"},","")&amp;IF(J2&lt;&gt;"","szNote="""&amp;J2&amp;""",","")&amp;IF(K2&lt;&gt;"","col={"&amp;K2&amp;"},","")&amp;"[9]={"&amp;IF(L2&lt;&gt;"","tMark={"&amp;L2&amp;"},","")&amp;IF(M2&lt;&gt;"","szVoice="""&amp;M2&amp;""",","")&amp;IF(N2&gt;0,"bTeamChannel=true,","")&amp;IF(O2&gt;0,"bWhisperChannel=true,","")&amp;IF(P2&gt;0,"bCenterAlarm=true,","")&amp;"},"&amp;"[8]={"&amp;IF(Q2&lt;&gt;"","tMark={"&amp;Q2&amp;"},","")&amp;IF(R2&lt;&gt;"","szVoice="""&amp;R2&amp;""",","")&amp;IF(S2&gt;0,"bTeamChannel=true,","")&amp;IF(T2&gt;0,"bWhisperChannel=true,","")&amp;IF(U2&gt;0,"bCenterAlarm=true,","")&amp;IF(V2&gt;0,"bScreenHead=true,","")&amp;IF(W2&gt;0,"bFullScreen=true,","")&amp;"},"&amp;IF(Y2&lt;&gt;"","tCountdown={"&amp;_xlfn.TEXTJOIN("",TRUE,Y2:AAC2)&amp;"},","")&amp;"},")))</f>
        <v>},},}</v>
      </c>
    </row>
    <row r="3" spans="1:25">
      <c r="X3" t="str">
        <f t="shared" si="0"/>
        <v/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"/>
  <sheetViews>
    <sheetView topLeftCell="C1" workbookViewId="0">
      <selection activeCell="X19" sqref="X19"/>
    </sheetView>
  </sheetViews>
  <sheetFormatPr defaultColWidth="9" defaultRowHeight="13.5"/>
  <sheetData>
    <row r="1" spans="1:24">
      <c r="A1" t="s">
        <v>1476</v>
      </c>
      <c r="B1" t="s">
        <v>1477</v>
      </c>
      <c r="C1" t="s">
        <v>62</v>
      </c>
      <c r="D1" t="s">
        <v>1479</v>
      </c>
      <c r="E1" t="s">
        <v>1530</v>
      </c>
      <c r="F1" t="s">
        <v>1531</v>
      </c>
      <c r="G1" t="s">
        <v>1480</v>
      </c>
      <c r="H1" t="s">
        <v>1483</v>
      </c>
      <c r="I1" t="s">
        <v>49</v>
      </c>
      <c r="J1" t="s">
        <v>1484</v>
      </c>
      <c r="K1" t="s">
        <v>1532</v>
      </c>
      <c r="L1" t="s">
        <v>1533</v>
      </c>
      <c r="M1" t="s">
        <v>1534</v>
      </c>
      <c r="N1" t="s">
        <v>1535</v>
      </c>
      <c r="O1" t="s">
        <v>1536</v>
      </c>
      <c r="P1" t="s">
        <v>1537</v>
      </c>
      <c r="Q1" t="s">
        <v>1538</v>
      </c>
      <c r="R1" t="s">
        <v>1539</v>
      </c>
      <c r="S1" t="s">
        <v>1540</v>
      </c>
      <c r="T1" t="s">
        <v>1541</v>
      </c>
      <c r="U1" t="s">
        <v>1542</v>
      </c>
      <c r="V1" t="s">
        <v>296</v>
      </c>
      <c r="W1" t="s">
        <v>1543</v>
      </c>
      <c r="X1" t="s">
        <v>316</v>
      </c>
    </row>
    <row r="2" spans="1:24">
      <c r="A2" t="s">
        <v>885</v>
      </c>
      <c r="B2">
        <v>74</v>
      </c>
      <c r="W2" t="str">
        <f t="shared" ref="W2:W21" si="0">IF(ISBLANK(B2)=FALSE,IF(ISBLANK(B1),"},["&amp;B2&amp;"]={","["&amp;B2&amp;"]={"),IF(AND(ISBLANK(B2),ISBLANK(D2),ISBLANK(C2),OR(ISBLANK(B1)=FALSE,ISBLANK(D1)=FALSE,ISBLANK(C1)=FALSE)),"},},}",IF(ISBLANK(C2),"","{dwID="&amp;C2&amp;","&amp;"nFrame="&amp;D2&amp;","&amp;IF(E2&gt;0,"nCount="&amp;E2&amp;",","")&amp;IF(F2&gt;0,"bAllLeave=true,","")&amp;IF(G2&lt;&gt;"","szName="""&amp;G2&amp;""",","")&amp;IF(H2&lt;&gt;"","tKungFu={"&amp;H2&amp;"},","")&amp;IF(I2&lt;&gt;"","szNote="""&amp;I2&amp;""",","")&amp;IF(J2&lt;&gt;"","col={"&amp;J2&amp;"},","")&amp;"[3]={"&amp;IF(K2&lt;&gt;"","tMark={"&amp;K2&amp;"},","")&amp;IF(L2&lt;&gt;"","szVoice="""&amp;L2&amp;""",","")&amp;IF(M2&gt;0,"bTeamChannel=true,","")&amp;IF(N2&gt;0,"bWhisperChannel=true,","")&amp;IF(O2&gt;0,"bCenterAlarm=true,","")&amp;IF(P2&gt;0,"bScreenHead=true,","")&amp;IF(Q2&gt;0,"bFullScreen=true,","")&amp;"},"&amp;"[4]={"&amp;IF(R2&lt;&gt;"","szVoice="""&amp;R2&amp;""",","")&amp;IF(S2&gt;0,"bTeamChannel=true,","")&amp;IF(T2&gt;0,"bWhisperChannel=true,","")&amp;IF(U2&gt;0,"bCenterAlarm=true,","")&amp;"},"&amp;IF(V2&lt;&gt;"","aFocus={"&amp;V2&amp;"},","")&amp;IF(X2&lt;&gt;"","tCountdown={"&amp;_xlfn.TEXTJOIN("",TRUE,X2:AAA2)&amp;"},","")&amp;"},")))</f>
        <v>[74]={</v>
      </c>
    </row>
    <row r="3" spans="1:24">
      <c r="C3">
        <v>122078</v>
      </c>
      <c r="D3">
        <v>47</v>
      </c>
      <c r="I3" t="s">
        <v>1544</v>
      </c>
      <c r="J3" t="s">
        <v>582</v>
      </c>
      <c r="P3">
        <v>1</v>
      </c>
      <c r="V3" t="s">
        <v>1545</v>
      </c>
      <c r="W3" t="str">
        <f t="shared" si="0"/>
        <v>{dwID=122078,nFrame=47,szNote="李霖",col={255,255,255,},[3]={bScreenHead=true,},[4]={},aFocus={{dwMapID=-1,szDisplay="李霖·300分",nMaxDistance=0,tRelation={bAll=true,bEnemy=false,bAlly=false,},tLife={bEnable=false,szOperator="&gt;",nValue=0,},},},},</v>
      </c>
    </row>
    <row r="4" spans="1:24">
      <c r="C4">
        <v>122079</v>
      </c>
      <c r="D4">
        <v>47</v>
      </c>
      <c r="I4" t="s">
        <v>1546</v>
      </c>
      <c r="J4" t="s">
        <v>582</v>
      </c>
      <c r="P4">
        <v>1</v>
      </c>
      <c r="V4" t="s">
        <v>1547</v>
      </c>
      <c r="W4" t="str">
        <f t="shared" si="0"/>
        <v>{dwID=122079,nFrame=47,szNote="凤妞",col={255,255,255,},[3]={bScreenHead=true,},[4]={},aFocus={{dwMapID=-1,szDisplay="凤妞·100分",nMaxDistance=0,tRelation={bAll=true,bEnemy=false,bAlly=false,},tLife={bEnable=false,szOperator="&gt;",nValue=0,},},},},</v>
      </c>
    </row>
    <row r="5" spans="1:24">
      <c r="C5">
        <v>122087</v>
      </c>
      <c r="D5">
        <v>47</v>
      </c>
      <c r="I5" t="s">
        <v>1548</v>
      </c>
      <c r="J5" t="s">
        <v>582</v>
      </c>
      <c r="P5">
        <v>1</v>
      </c>
      <c r="V5" t="s">
        <v>1549</v>
      </c>
      <c r="W5" t="str">
        <f t="shared" si="0"/>
        <v>{dwID=122087,nFrame=47,szNote="陈士美",col={255,255,255,},[3]={bScreenHead=true,},[4]={},aFocus={{dwMapID=-1,szDisplay="陈士美·200分",nMaxDistance=0,tRelation={bAll=true,bEnemy=false,bAlly=false,},tLife={bEnable=false,szOperator="&gt;",nValue=0,},},},},</v>
      </c>
    </row>
    <row r="6" spans="1:24">
      <c r="C6">
        <v>122168</v>
      </c>
      <c r="D6">
        <v>47</v>
      </c>
      <c r="I6" t="s">
        <v>1550</v>
      </c>
      <c r="J6" t="s">
        <v>582</v>
      </c>
      <c r="P6">
        <v>1</v>
      </c>
      <c r="V6" t="s">
        <v>1551</v>
      </c>
      <c r="W6" t="str">
        <f t="shared" si="0"/>
        <v>{dwID=122168,nFrame=47,szNote="黄剑翔",col={255,255,255,},[3]={bScreenHead=true,},[4]={},aFocus={{dwMapID=-1,szDisplay="黄剑翔·100分",nMaxDistance=0,tRelation={bAll=true,bEnemy=false,bAlly=false,},tLife={bEnable=false,szOperator="&gt;",nValue=0,},},},},</v>
      </c>
    </row>
    <row r="7" spans="1:24">
      <c r="C7">
        <v>122170</v>
      </c>
      <c r="D7">
        <v>47</v>
      </c>
      <c r="I7" t="s">
        <v>1552</v>
      </c>
      <c r="J7" t="s">
        <v>582</v>
      </c>
      <c r="P7">
        <v>1</v>
      </c>
      <c r="V7" t="s">
        <v>1553</v>
      </c>
      <c r="W7" t="str">
        <f t="shared" si="0"/>
        <v>{dwID=122170,nFrame=47,szNote="韩非子",col={255,255,255,},[3]={bScreenHead=true,},[4]={},aFocus={{dwMapID=-1,szDisplay="韩非子·300分",nMaxDistance=0,tRelation={bAll=true,bEnemy=false,bAlly=false,},tLife={bEnable=false,szOperator="&gt;",nValue=0,},},},},</v>
      </c>
    </row>
    <row r="8" spans="1:24">
      <c r="C8">
        <v>122171</v>
      </c>
      <c r="D8">
        <v>47</v>
      </c>
      <c r="I8" t="s">
        <v>1554</v>
      </c>
      <c r="J8" t="s">
        <v>582</v>
      </c>
      <c r="P8">
        <v>1</v>
      </c>
      <c r="V8" t="s">
        <v>1555</v>
      </c>
      <c r="W8" t="str">
        <f t="shared" si="0"/>
        <v>{dwID=122171,nFrame=47,szNote="邵卿城",col={255,255,255,},[3]={bScreenHead=true,},[4]={},aFocus={{dwMapID=-1,szDisplay="邵卿城·500分",nMaxDistance=0,tRelation={bAll=true,bEnemy=false,bAlly=false,},tLife={bEnable=false,szOperator="&gt;",nValue=0,},},},},</v>
      </c>
    </row>
    <row r="9" spans="1:24">
      <c r="C9">
        <v>122172</v>
      </c>
      <c r="D9">
        <v>47</v>
      </c>
      <c r="I9" t="s">
        <v>1556</v>
      </c>
      <c r="J9" t="s">
        <v>582</v>
      </c>
      <c r="P9">
        <v>1</v>
      </c>
      <c r="V9" t="s">
        <v>1557</v>
      </c>
      <c r="W9" t="str">
        <f t="shared" si="0"/>
        <v>{dwID=122172,nFrame=47,szNote="高九问",col={255,255,255,},[3]={bScreenHead=true,},[4]={},aFocus={{dwMapID=-1,szDisplay="高九问·500分",nMaxDistance=0,tRelation={bAll=true,bEnemy=false,bAlly=false,},tLife={bEnable=false,szOperator="&gt;",nValue=0,},},},},</v>
      </c>
    </row>
    <row r="10" spans="1:24">
      <c r="C10">
        <v>122173</v>
      </c>
      <c r="D10">
        <v>47</v>
      </c>
      <c r="I10" t="s">
        <v>1558</v>
      </c>
      <c r="J10" t="s">
        <v>582</v>
      </c>
      <c r="P10">
        <v>1</v>
      </c>
      <c r="V10" t="s">
        <v>1559</v>
      </c>
      <c r="W10" t="str">
        <f t="shared" si="0"/>
        <v>{dwID=122173,nFrame=47,szNote="雄爷",col={255,255,255,},[3]={bScreenHead=true,},[4]={},aFocus={{dwMapID=-1,szDisplay="雄爷·200分",nMaxDistance=0,tRelation={bAll=true,bEnemy=false,bAlly=false,},tLife={bEnable=false,szOperator="&gt;",nValue=0,},},},},</v>
      </c>
    </row>
    <row r="11" spans="1:24">
      <c r="C11">
        <v>122174</v>
      </c>
      <c r="D11">
        <v>47</v>
      </c>
      <c r="I11" t="s">
        <v>1560</v>
      </c>
      <c r="J11" t="s">
        <v>582</v>
      </c>
      <c r="P11">
        <v>1</v>
      </c>
      <c r="V11" t="s">
        <v>1561</v>
      </c>
      <c r="W11" t="str">
        <f t="shared" si="0"/>
        <v>{dwID=122174,nFrame=47,szNote="贾扁",col={255,255,255,},[3]={bScreenHead=true,},[4]={},aFocus={{dwMapID=-1,szDisplay="贾扁·100分",nMaxDistance=0,tRelation={bAll=true,bEnemy=false,bAlly=false,},tLife={bEnable=false,szOperator="&gt;",nValue=0,},},},},</v>
      </c>
    </row>
    <row r="12" spans="1:24">
      <c r="C12">
        <v>122175</v>
      </c>
      <c r="D12">
        <v>47</v>
      </c>
      <c r="I12" t="s">
        <v>1562</v>
      </c>
      <c r="J12" t="s">
        <v>582</v>
      </c>
      <c r="P12">
        <v>1</v>
      </c>
      <c r="V12" t="s">
        <v>1563</v>
      </c>
      <c r="W12" t="str">
        <f t="shared" si="0"/>
        <v>{dwID=122175,nFrame=47,szNote="甄琦",col={255,255,255,},[3]={bScreenHead=true,},[4]={},aFocus={{dwMapID=-1,szDisplay="甄琦·100分",nMaxDistance=0,tRelation={bAll=true,bEnemy=false,bAlly=false,},tLife={bEnable=false,szOperator="&gt;",nValue=0,},},},},</v>
      </c>
    </row>
    <row r="13" spans="1:24">
      <c r="C13">
        <v>122176</v>
      </c>
      <c r="D13">
        <v>47</v>
      </c>
      <c r="I13" t="s">
        <v>1564</v>
      </c>
      <c r="J13" t="s">
        <v>582</v>
      </c>
      <c r="P13">
        <v>1</v>
      </c>
      <c r="V13" t="s">
        <v>1565</v>
      </c>
      <c r="W13" t="str">
        <f t="shared" si="0"/>
        <v>{dwID=122176,nFrame=47,szNote="三石叔",col={255,255,255,},[3]={bScreenHead=true,},[4]={},aFocus={{dwMapID=-1,szDisplay="三石叔·100分",nMaxDistance=0,tRelation={bAll=true,bEnemy=false,bAlly=false,},tLife={bEnable=false,szOperator="&gt;",nValue=0,},},},},</v>
      </c>
    </row>
    <row r="14" spans="1:24">
      <c r="C14">
        <v>122177</v>
      </c>
      <c r="D14">
        <v>47</v>
      </c>
      <c r="I14" t="s">
        <v>1566</v>
      </c>
      <c r="J14" t="s">
        <v>582</v>
      </c>
      <c r="P14">
        <v>1</v>
      </c>
      <c r="V14" t="s">
        <v>1567</v>
      </c>
      <c r="W14" t="str">
        <f t="shared" si="0"/>
        <v>{dwID=122177,nFrame=47,szNote="韩荞生",col={255,255,255,},[3]={bScreenHead=true,},[4]={},aFocus={{dwMapID=-1,szDisplay="韩荞生·100分",nMaxDistance=0,tRelation={bAll=true,bEnemy=false,bAlly=false,},tLife={bEnable=false,szOperator="&gt;",nValue=0,},},},},</v>
      </c>
    </row>
    <row r="15" spans="1:24">
      <c r="C15">
        <v>122178</v>
      </c>
      <c r="D15">
        <v>47</v>
      </c>
      <c r="I15" t="s">
        <v>1568</v>
      </c>
      <c r="J15" t="s">
        <v>582</v>
      </c>
      <c r="P15">
        <v>1</v>
      </c>
      <c r="V15" t="s">
        <v>1569</v>
      </c>
      <c r="W15" t="str">
        <f t="shared" si="0"/>
        <v>{dwID=122178,nFrame=47,szNote="鲁印",col={255,255,255,},[3]={bScreenHead=true,},[4]={},aFocus={{dwMapID=-1,szDisplay="鲁印·300分",nMaxDistance=0,tRelation={bAll=true,bEnemy=false,bAlly=false,},tLife={bEnable=false,szOperator="&gt;",nValue=0,},},},},</v>
      </c>
    </row>
    <row r="16" spans="1:24">
      <c r="C16">
        <v>122179</v>
      </c>
      <c r="D16">
        <v>47</v>
      </c>
      <c r="I16" t="s">
        <v>1570</v>
      </c>
      <c r="J16" t="s">
        <v>582</v>
      </c>
      <c r="P16">
        <v>1</v>
      </c>
      <c r="V16" t="s">
        <v>1571</v>
      </c>
      <c r="W16" t="str">
        <f t="shared" si="0"/>
        <v>{dwID=122179,nFrame=47,szNote="苏不尘",col={255,255,255,},[3]={bScreenHead=true,},[4]={},aFocus={{dwMapID=-1,szDisplay="苏不尘·300分",nMaxDistance=0,tRelation={bAll=true,bEnemy=false,bAlly=false,},tLife={bEnable=false,szOperator="&gt;",nValue=0,},},},},</v>
      </c>
    </row>
    <row r="17" spans="3:24">
      <c r="C17">
        <v>122180</v>
      </c>
      <c r="D17">
        <v>47</v>
      </c>
      <c r="I17" t="s">
        <v>1572</v>
      </c>
      <c r="J17" t="s">
        <v>582</v>
      </c>
      <c r="P17">
        <v>1</v>
      </c>
      <c r="V17" t="s">
        <v>1573</v>
      </c>
      <c r="W17" t="str">
        <f t="shared" si="0"/>
        <v>{dwID=122180,nFrame=47,szNote="梦香菲",col={255,255,255,},[3]={bScreenHead=true,},[4]={},aFocus={{dwMapID=-1,szDisplay="梦香菲·100分",nMaxDistance=0,tRelation={bAll=true,bEnemy=false,bAlly=false,},tLife={bEnable=false,szOperator="&gt;",nValue=0,},},},},</v>
      </c>
    </row>
    <row r="18" spans="3:24">
      <c r="C18">
        <v>122181</v>
      </c>
      <c r="D18">
        <v>47</v>
      </c>
      <c r="I18" t="s">
        <v>1574</v>
      </c>
      <c r="J18" t="s">
        <v>582</v>
      </c>
      <c r="P18">
        <v>1</v>
      </c>
      <c r="V18" t="s">
        <v>1575</v>
      </c>
      <c r="W18" t="str">
        <f t="shared" si="0"/>
        <v>{dwID=122181,nFrame=47,szNote="凯风",col={255,255,255,},[3]={bScreenHead=true,},[4]={},aFocus={{dwMapID=-1,szDisplay="凯风·100分",nMaxDistance=0,tRelation={bAll=true,bEnemy=false,bAlly=false,},tLife={bEnable=false,szOperator="&gt;",nValue=0,},},},},</v>
      </c>
    </row>
    <row r="19" spans="3:24">
      <c r="C19">
        <v>122226</v>
      </c>
      <c r="D19">
        <v>47</v>
      </c>
      <c r="I19" t="s">
        <v>1576</v>
      </c>
      <c r="J19" t="s">
        <v>582</v>
      </c>
      <c r="P19">
        <v>1</v>
      </c>
      <c r="V19" t="s">
        <v>1577</v>
      </c>
      <c r="W19" t="str">
        <f t="shared" si="0"/>
        <v>{dwID=122226,nFrame=47,szNote="帮会大旗",col={255,255,255,},[3]={bScreenHead=true,},[4]={},aFocus={{dwMapID=-1,szDisplay="帮会大旗·800分",nMaxDistance=0,tRelation={bAll=true,bEnemy=false,bAlly=false,},tLife={bEnable=false,szOperator="&gt;",nValue=0,},},},tCountdown={{nClass=12,nIcon=591,nFrame=1,szName="帮会大旗·损毁·800分",nTime=30,key="帮会大旗·退场",},},},</v>
      </c>
      <c r="X19" t="s">
        <v>1578</v>
      </c>
    </row>
    <row r="20" spans="3:24">
      <c r="W20" t="str">
        <f t="shared" si="0"/>
        <v>},},}</v>
      </c>
    </row>
    <row r="21" spans="3:24">
      <c r="W21" t="str">
        <f t="shared" si="0"/>
        <v/>
      </c>
    </row>
  </sheetData>
  <sortState ref="A3:X19">
    <sortCondition ref="C3:C19"/>
  </sortState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"/>
  <sheetViews>
    <sheetView workbookViewId="0">
      <selection activeCell="A1" sqref="A1"/>
    </sheetView>
  </sheetViews>
  <sheetFormatPr defaultColWidth="9" defaultRowHeight="13.5" outlineLevelRow="4"/>
  <sheetData>
    <row r="1" spans="1:22">
      <c r="A1" t="s">
        <v>1476</v>
      </c>
      <c r="B1" t="s">
        <v>1477</v>
      </c>
      <c r="C1" t="s">
        <v>62</v>
      </c>
      <c r="D1" t="s">
        <v>1530</v>
      </c>
      <c r="E1" t="s">
        <v>1531</v>
      </c>
      <c r="F1" t="s">
        <v>1480</v>
      </c>
      <c r="G1" t="s">
        <v>1483</v>
      </c>
      <c r="H1" t="s">
        <v>49</v>
      </c>
      <c r="I1" t="s">
        <v>1484</v>
      </c>
      <c r="J1" t="s">
        <v>1579</v>
      </c>
      <c r="K1" t="s">
        <v>1580</v>
      </c>
      <c r="L1" t="s">
        <v>1581</v>
      </c>
      <c r="M1" t="s">
        <v>1582</v>
      </c>
      <c r="N1" t="s">
        <v>1583</v>
      </c>
      <c r="O1" t="s">
        <v>1584</v>
      </c>
      <c r="P1" t="s">
        <v>1585</v>
      </c>
      <c r="Q1" t="s">
        <v>1586</v>
      </c>
      <c r="R1" t="s">
        <v>1587</v>
      </c>
      <c r="S1" t="s">
        <v>1588</v>
      </c>
      <c r="T1" t="s">
        <v>296</v>
      </c>
      <c r="U1" t="s">
        <v>1589</v>
      </c>
      <c r="V1" t="s">
        <v>316</v>
      </c>
    </row>
    <row r="2" spans="1:22">
      <c r="A2" t="s">
        <v>885</v>
      </c>
      <c r="B2">
        <v>74</v>
      </c>
      <c r="U2" t="str">
        <f t="shared" ref="U2:U5" si="0">IF(ISBLANK(B2)=FALSE,IF(ISBLANK(B1),"},["&amp;B2&amp;"]={","["&amp;B2&amp;"]={"),IF(AND(ISBLANK(B2),ISBLANK(C2),OR(ISBLANK(B1)=FALSE,ISBLANK(C1)=FALSE)),"},},}",IF(ISBLANK(C2),"","{dwID="&amp;C2&amp;","&amp;IF(D2&gt;0,"nCount="&amp;D2&amp;",","")&amp;IF(E2&gt;0,"bAllLeave=true,","")&amp;IF(F2&lt;&gt;"","szName="""&amp;F2&amp;""",","")&amp;IF(G2&lt;&gt;"","tKungFu={"&amp;G2&amp;"},","")&amp;IF(H2&lt;&gt;"","szNote="""&amp;H2&amp;""",","")&amp;IF(I2&lt;&gt;"","col={"&amp;I2&amp;"},","")&amp;"[17]={"&amp;IF(J2&lt;&gt;"","szVoice="""&amp;J2&amp;""",","")&amp;IF(K2&gt;0,"bTeamChannel=true,","")&amp;IF(L2&gt;0,"bWhisperChannel=true,","")&amp;IF(M2&gt;0,"bCenterAlarm=true,","")&amp;IF(N2&gt;0,"bScreenHead=true,","")&amp;IF(O2&gt;0,"bFullScreen=true,","")&amp;"},"&amp;"[18]={"&amp;IF(P2&lt;&gt;"","szVoice="""&amp;P2&amp;""",","")&amp;IF(Q2&gt;0,"bTeamChannel=true,","")&amp;IF(R2&gt;0,"bWhisperChannel=true,","")&amp;IF(S2&gt;0,"bCenterAlarm=true,","")&amp;"},"&amp;IF(T2&lt;&gt;"","aFocus={"&amp;T2&amp;"},","")&amp;IF(V2&lt;&gt;"","tCountdown={"&amp;_xlfn.TEXTJOIN("",TRUE,V2:AAA2)&amp;"},","")&amp;"},")))</f>
        <v>[74]={</v>
      </c>
    </row>
    <row r="3" spans="1:22">
      <c r="C3">
        <v>10213</v>
      </c>
      <c r="H3" t="s">
        <v>1590</v>
      </c>
      <c r="M3">
        <v>1</v>
      </c>
      <c r="T3" t="s">
        <v>1591</v>
      </c>
      <c r="U3" t="str">
        <f t="shared" si="0"/>
        <v>{dwID=10213,szNote="战利品宝堆",[17]={bCenterAlarm=true,},[18]={},aFocus={{dwMapID=-1,nMaxDistance=60,tRelation={bAll=true,bEnemy=false,bAlly=false,},tLife={bEnable=false,szOperator="&gt;",nValue=0,},},},},</v>
      </c>
    </row>
    <row r="4" spans="1:22">
      <c r="U4" t="str">
        <f t="shared" si="0"/>
        <v>},},}</v>
      </c>
    </row>
    <row r="5" spans="1:22">
      <c r="U5" t="str">
        <f t="shared" si="0"/>
        <v/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tabSelected="1" workbookViewId="0">
      <pane ySplit="1" topLeftCell="A2" activePane="bottomLeft" state="frozen"/>
      <selection/>
      <selection pane="bottomLeft" activeCell="Q2" sqref="Q2"/>
    </sheetView>
  </sheetViews>
  <sheetFormatPr defaultColWidth="9" defaultRowHeight="13.5"/>
  <cols>
    <col min="4" max="4" width="36" customWidth="1"/>
    <col min="5" max="5" width="27.75" customWidth="1"/>
    <col min="6" max="6" width="13.875" customWidth="1"/>
    <col min="8" max="8" width="11.875" customWidth="1"/>
    <col min="17" max="17" width="9.375" customWidth="1"/>
  </cols>
  <sheetData>
    <row r="1" spans="1:18">
      <c r="A1" t="s">
        <v>1476</v>
      </c>
      <c r="B1" t="s">
        <v>1477</v>
      </c>
      <c r="C1" t="s">
        <v>110</v>
      </c>
      <c r="D1" t="s">
        <v>1592</v>
      </c>
      <c r="E1" t="s">
        <v>49</v>
      </c>
      <c r="F1" t="s">
        <v>1593</v>
      </c>
      <c r="G1" t="s">
        <v>1594</v>
      </c>
      <c r="H1" t="s">
        <v>1484</v>
      </c>
      <c r="I1" t="s">
        <v>1595</v>
      </c>
      <c r="J1" t="s">
        <v>1596</v>
      </c>
      <c r="K1" t="s">
        <v>1597</v>
      </c>
      <c r="L1" t="s">
        <v>1598</v>
      </c>
      <c r="M1" t="s">
        <v>1599</v>
      </c>
      <c r="N1" t="s">
        <v>1600</v>
      </c>
      <c r="O1" t="s">
        <v>1601</v>
      </c>
      <c r="P1" t="s">
        <v>1602</v>
      </c>
      <c r="Q1" t="s">
        <v>1603</v>
      </c>
      <c r="R1" t="s">
        <v>316</v>
      </c>
    </row>
    <row r="2" spans="1:18">
      <c r="A2" t="s">
        <v>885</v>
      </c>
      <c r="B2">
        <v>74</v>
      </c>
      <c r="Q2" t="str">
        <f>IF(ISBLANK(B2)=FALSE,IF(ISBLANK(B1),"},["&amp;B2&amp;"]={","["&amp;B2&amp;"]={"),IF(AND(ISBLANK(B2),ISBLANK(D2),ISBLANK(I2),ISBLANK(J2),OR(ISBLANK(B1)=FALSE,ISBLANK(D1)=FALSE,ISBLANK(I1)=FALSE,ISBLANK(J1)=FALSE)),"},},}",IF(ISBLANK(D2),"","{szContent="""&amp;D2&amp;""","&amp;IF(C2&lt;&gt;"","szTarget="""&amp;C2&amp;""",","")&amp;IF(E2&lt;&gt;"","szNote="""&amp;E2&amp;""",","")&amp;IF(H2&lt;&gt;"","col={"&amp;H2&amp;"},","")&amp;IF(I2&gt;0,"bSearch=true,","")&amp;IF(J2&gt;0,"bReg=true,","")&amp;"[14]={"&amp;IF(K2&gt;0,"szVoice="""&amp;K2&amp;""",","")&amp;IF(L2&gt;0,"bTeamChannel=true,","")&amp;IF(M2&gt;0,"bWhisperChannel=true,","")&amp;IF(N2&gt;0,"bCenterAlarm=true,","")&amp;IF(O2&gt;0,"bScreenHead=true,","")&amp;IF(P2&gt;0,"bFullScreen=true,","")&amp;"},"&amp;IF(R2&lt;&gt;"","tCountdown={"&amp;_xlfn.TEXTJOIN("",TRUE,R2:AAC2)&amp;"},","")&amp;"},")))</f>
        <v>[74]={</v>
      </c>
    </row>
    <row r="3" spans="1:18">
      <c r="C3" t="s">
        <v>1548</v>
      </c>
      <c r="D3" t="s">
        <v>1604</v>
      </c>
      <c r="E3" t="str">
        <f t="shared" ref="E3:E18" si="0">C3&amp;"·退场·"&amp;F3&amp;G3</f>
        <v>陈士美·退场·山水田园·200分</v>
      </c>
      <c r="F3" t="s">
        <v>1605</v>
      </c>
      <c r="G3" t="s">
        <v>1606</v>
      </c>
      <c r="H3" t="s">
        <v>582</v>
      </c>
      <c r="I3">
        <v>1</v>
      </c>
      <c r="L3">
        <v>1</v>
      </c>
      <c r="N3">
        <v>1</v>
      </c>
      <c r="Q3" t="str">
        <f t="shared" ref="Q3:Q38" si="1">IF(ISBLANK(B3)=FALSE,IF(ISBLANK(B2),"},["&amp;B3&amp;"]={","["&amp;B3&amp;"]={"),IF(AND(ISBLANK(B3),ISBLANK(D3),ISBLANK(I3),ISBLANK(J3),OR(ISBLANK(B2)=FALSE,ISBLANK(D2)=FALSE,ISBLANK(I2)=FALSE,ISBLANK(J2)=FALSE)),"},},}",IF(ISBLANK(D3),"","{szContent="""&amp;D3&amp;""","&amp;IF(C3&lt;&gt;"","szTarget="""&amp;C3&amp;""",","")&amp;IF(E3&lt;&gt;"","szNote="""&amp;E3&amp;""",","")&amp;IF(H3&lt;&gt;"","col={"&amp;H3&amp;"},","")&amp;IF(I3&gt;0,"bSearch=true,","")&amp;IF(J3&gt;0,"bReg=true,","")&amp;"[14]={"&amp;IF(K3&gt;0,"szVoice="""&amp;K3&amp;""",","")&amp;IF(L3&gt;0,"bTeamChannel=true,","")&amp;IF(M3&gt;0,"bWhisperChannel=true,","")&amp;IF(N3&gt;0,"bCenterAlarm=true,","")&amp;IF(O3&gt;0,"bScreenHead=true,","")&amp;IF(P3&gt;0,"bFullScreen=true,","")&amp;"},"&amp;IF(R3&lt;&gt;"","tCountdown={"&amp;_xlfn.TEXTJOIN("",TRUE,R3:AAC3)&amp;"},","")&amp;"},")))</f>
        <v>{szContent="帮会的兄弟们，我且先修整下！",szTarget="陈士美",szNote="陈士美·退场·山水田园·200分",col={255,255,255,},bSearch=true,[14]={bTeamChannel=true,bCenterAlarm=true,},tCountdown={{nClass=14,nIcon=13,nFrame=1,szName="陈士美·退场·山水田园·200分",nTime=30,key="陈士美·退场",nRefresh=1,},},},</v>
      </c>
      <c r="R3" t="str">
        <f t="shared" ref="R3:R18" si="2">"{nClass=14,nIcon=13,nFrame=1,szName="""&amp;E3&amp;""",nTime=30,key="""&amp;C3&amp;"·退场"""&amp;",nRefresh=1,},"</f>
        <v>{nClass=14,nIcon=13,nFrame=1,szName="陈士美·退场·山水田园·200分",nTime=30,key="陈士美·退场",nRefresh=1,},</v>
      </c>
    </row>
    <row r="4" spans="1:18">
      <c r="C4" t="s">
        <v>1564</v>
      </c>
      <c r="D4" t="s">
        <v>1604</v>
      </c>
      <c r="E4" t="str">
        <f t="shared" si="0"/>
        <v>三石叔·退场·落日牧场·100分</v>
      </c>
      <c r="F4" t="s">
        <v>1607</v>
      </c>
      <c r="G4" t="s">
        <v>1608</v>
      </c>
      <c r="H4" t="s">
        <v>582</v>
      </c>
      <c r="I4">
        <v>1</v>
      </c>
      <c r="L4">
        <v>1</v>
      </c>
      <c r="N4">
        <v>1</v>
      </c>
      <c r="Q4" t="str">
        <f t="shared" si="1"/>
        <v>{szContent="帮会的兄弟们，我且先修整下！",szTarget="三石叔",szNote="三石叔·退场·落日牧场·100分",col={255,255,255,},bSearch=true,[14]={bTeamChannel=true,bCenterAlarm=true,},tCountdown={{nClass=14,nIcon=13,nFrame=1,szName="三石叔·退场·落日牧场·100分",nTime=30,key="三石叔·退场",nRefresh=1,},},},</v>
      </c>
      <c r="R4" t="str">
        <f t="shared" si="2"/>
        <v>{nClass=14,nIcon=13,nFrame=1,szName="三石叔·退场·落日牧场·100分",nTime=30,key="三石叔·退场",nRefresh=1,},</v>
      </c>
    </row>
    <row r="5" spans="1:18">
      <c r="C5" t="s">
        <v>1550</v>
      </c>
      <c r="D5" t="s">
        <v>1604</v>
      </c>
      <c r="E5" t="str">
        <f t="shared" si="0"/>
        <v>黄剑翔·退场·流星赶月·100分</v>
      </c>
      <c r="F5" t="s">
        <v>1609</v>
      </c>
      <c r="G5" t="s">
        <v>1608</v>
      </c>
      <c r="H5" t="s">
        <v>582</v>
      </c>
      <c r="I5">
        <v>1</v>
      </c>
      <c r="L5">
        <v>1</v>
      </c>
      <c r="N5">
        <v>1</v>
      </c>
      <c r="Q5" t="str">
        <f t="shared" si="1"/>
        <v>{szContent="帮会的兄弟们，我且先修整下！",szTarget="黄剑翔",szNote="黄剑翔·退场·流星赶月·100分",col={255,255,255,},bSearch=true,[14]={bTeamChannel=true,bCenterAlarm=true,},tCountdown={{nClass=14,nIcon=13,nFrame=1,szName="黄剑翔·退场·流星赶月·100分",nTime=30,key="黄剑翔·退场",nRefresh=1,},},},</v>
      </c>
      <c r="R5" t="str">
        <f t="shared" si="2"/>
        <v>{nClass=14,nIcon=13,nFrame=1,szName="黄剑翔·退场·流星赶月·100分",nTime=30,key="黄剑翔·退场",nRefresh=1,},</v>
      </c>
    </row>
    <row r="6" spans="1:18">
      <c r="C6" t="s">
        <v>1566</v>
      </c>
      <c r="D6" t="s">
        <v>1604</v>
      </c>
      <c r="E6" t="str">
        <f t="shared" si="0"/>
        <v>韩荞生·退场·流星赶月·100分</v>
      </c>
      <c r="F6" t="s">
        <v>1609</v>
      </c>
      <c r="G6" t="s">
        <v>1608</v>
      </c>
      <c r="H6" t="s">
        <v>582</v>
      </c>
      <c r="I6">
        <v>1</v>
      </c>
      <c r="L6">
        <v>1</v>
      </c>
      <c r="N6">
        <v>1</v>
      </c>
      <c r="Q6" t="str">
        <f t="shared" si="1"/>
        <v>{szContent="帮会的兄弟们，我且先修整下！",szTarget="韩荞生",szNote="韩荞生·退场·流星赶月·100分",col={255,255,255,},bSearch=true,[14]={bTeamChannel=true,bCenterAlarm=true,},tCountdown={{nClass=14,nIcon=13,nFrame=1,szName="韩荞生·退场·流星赶月·100分",nTime=30,key="韩荞生·退场",nRefresh=1,},},},</v>
      </c>
      <c r="R6" t="str">
        <f t="shared" si="2"/>
        <v>{nClass=14,nIcon=13,nFrame=1,szName="韩荞生·退场·流星赶月·100分",nTime=30,key="韩荞生·退场",nRefresh=1,},</v>
      </c>
    </row>
    <row r="7" spans="1:18">
      <c r="C7" t="s">
        <v>1546</v>
      </c>
      <c r="D7" t="s">
        <v>1604</v>
      </c>
      <c r="E7" t="str">
        <f t="shared" si="0"/>
        <v>凤妞·退场·大旗西侧方·100分</v>
      </c>
      <c r="F7" t="s">
        <v>1610</v>
      </c>
      <c r="G7" t="s">
        <v>1608</v>
      </c>
      <c r="H7" t="s">
        <v>582</v>
      </c>
      <c r="I7">
        <v>1</v>
      </c>
      <c r="L7">
        <v>1</v>
      </c>
      <c r="N7">
        <v>1</v>
      </c>
      <c r="Q7" t="str">
        <f t="shared" si="1"/>
        <v>{szContent="帮会的兄弟们，我且先修整下！",szTarget="凤妞",szNote="凤妞·退场·大旗西侧方·100分",col={255,255,255,},bSearch=true,[14]={bTeamChannel=true,bCenterAlarm=true,},tCountdown={{nClass=14,nIcon=13,nFrame=1,szName="凤妞·退场·大旗西侧方·100分",nTime=30,key="凤妞·退场",nRefresh=1,},},},</v>
      </c>
      <c r="R7" t="str">
        <f t="shared" si="2"/>
        <v>{nClass=14,nIcon=13,nFrame=1,szName="凤妞·退场·大旗西侧方·100分",nTime=30,key="凤妞·退场",nRefresh=1,},</v>
      </c>
    </row>
    <row r="8" spans="1:18">
      <c r="C8" t="s">
        <v>1572</v>
      </c>
      <c r="D8" t="s">
        <v>1604</v>
      </c>
      <c r="E8" t="str">
        <f t="shared" si="0"/>
        <v>梦香菲·退场·大旗东侧·100分</v>
      </c>
      <c r="F8" t="s">
        <v>1611</v>
      </c>
      <c r="G8" t="s">
        <v>1608</v>
      </c>
      <c r="H8" t="s">
        <v>582</v>
      </c>
      <c r="I8">
        <v>1</v>
      </c>
      <c r="L8">
        <v>1</v>
      </c>
      <c r="N8">
        <v>1</v>
      </c>
      <c r="Q8" t="str">
        <f t="shared" si="1"/>
        <v>{szContent="帮会的兄弟们，我且先修整下！",szTarget="梦香菲",szNote="梦香菲·退场·大旗东侧·100分",col={255,255,255,},bSearch=true,[14]={bTeamChannel=true,bCenterAlarm=true,},tCountdown={{nClass=14,nIcon=13,nFrame=1,szName="梦香菲·退场·大旗东侧·100分",nTime=30,key="梦香菲·退场",nRefresh=1,},},},</v>
      </c>
      <c r="R8" t="str">
        <f t="shared" si="2"/>
        <v>{nClass=14,nIcon=13,nFrame=1,szName="梦香菲·退场·大旗东侧·100分",nTime=30,key="梦香菲·退场",nRefresh=1,},</v>
      </c>
    </row>
    <row r="9" spans="1:18">
      <c r="C9" t="s">
        <v>1560</v>
      </c>
      <c r="D9" t="s">
        <v>1604</v>
      </c>
      <c r="E9" t="str">
        <f t="shared" si="0"/>
        <v>贾扁·退场·屋檐顶西北·100分</v>
      </c>
      <c r="F9" t="s">
        <v>1612</v>
      </c>
      <c r="G9" t="s">
        <v>1608</v>
      </c>
      <c r="H9" t="s">
        <v>582</v>
      </c>
      <c r="I9">
        <v>1</v>
      </c>
      <c r="L9">
        <v>1</v>
      </c>
      <c r="N9">
        <v>1</v>
      </c>
      <c r="Q9" t="str">
        <f t="shared" si="1"/>
        <v>{szContent="帮会的兄弟们，我且先修整下！",szTarget="贾扁",szNote="贾扁·退场·屋檐顶西北·100分",col={255,255,255,},bSearch=true,[14]={bTeamChannel=true,bCenterAlarm=true,},tCountdown={{nClass=14,nIcon=13,nFrame=1,szName="贾扁·退场·屋檐顶西北·100分",nTime=30,key="贾扁·退场",nRefresh=1,},},},</v>
      </c>
      <c r="R9" t="str">
        <f t="shared" si="2"/>
        <v>{nClass=14,nIcon=13,nFrame=1,szName="贾扁·退场·屋檐顶西北·100分",nTime=30,key="贾扁·退场",nRefresh=1,},</v>
      </c>
    </row>
    <row r="10" spans="1:18">
      <c r="C10" t="s">
        <v>1574</v>
      </c>
      <c r="D10" t="s">
        <v>1604</v>
      </c>
      <c r="E10" t="str">
        <f t="shared" si="0"/>
        <v>凯风·退场·帮会内宴席·100分</v>
      </c>
      <c r="F10" t="s">
        <v>1613</v>
      </c>
      <c r="G10" t="s">
        <v>1608</v>
      </c>
      <c r="H10" t="s">
        <v>582</v>
      </c>
      <c r="I10">
        <v>1</v>
      </c>
      <c r="L10">
        <v>1</v>
      </c>
      <c r="N10">
        <v>1</v>
      </c>
      <c r="Q10" t="str">
        <f t="shared" si="1"/>
        <v>{szContent="帮会的兄弟们，我且先修整下！",szTarget="凯风",szNote="凯风·退场·帮会内宴席·100分",col={255,255,255,},bSearch=true,[14]={bTeamChannel=true,bCenterAlarm=true,},tCountdown={{nClass=14,nIcon=13,nFrame=1,szName="凯风·退场·帮会内宴席·100分",nTime=30,key="凯风·退场",nRefresh=1,},},},</v>
      </c>
      <c r="R10" t="str">
        <f t="shared" si="2"/>
        <v>{nClass=14,nIcon=13,nFrame=1,szName="凯风·退场·帮会内宴席·100分",nTime=30,key="凯风·退场",nRefresh=1,},</v>
      </c>
    </row>
    <row r="11" spans="1:18">
      <c r="C11" t="s">
        <v>1558</v>
      </c>
      <c r="D11" t="s">
        <v>1604</v>
      </c>
      <c r="E11" t="str">
        <f t="shared" si="0"/>
        <v>雄爷·退场·帮会书柜旁·200分</v>
      </c>
      <c r="F11" t="s">
        <v>1614</v>
      </c>
      <c r="G11" t="s">
        <v>1606</v>
      </c>
      <c r="H11" t="s">
        <v>582</v>
      </c>
      <c r="I11">
        <v>1</v>
      </c>
      <c r="L11">
        <v>1</v>
      </c>
      <c r="N11">
        <v>1</v>
      </c>
      <c r="Q11" t="str">
        <f t="shared" si="1"/>
        <v>{szContent="帮会的兄弟们，我且先修整下！",szTarget="雄爷",szNote="雄爷·退场·帮会书柜旁·200分",col={255,255,255,},bSearch=true,[14]={bTeamChannel=true,bCenterAlarm=true,},tCountdown={{nClass=14,nIcon=13,nFrame=1,szName="雄爷·退场·帮会书柜旁·200分",nTime=30,key="雄爷·退场",nRefresh=1,},},},</v>
      </c>
      <c r="R11" t="str">
        <f t="shared" si="2"/>
        <v>{nClass=14,nIcon=13,nFrame=1,szName="雄爷·退场·帮会书柜旁·200分",nTime=30,key="雄爷·退场",nRefresh=1,},</v>
      </c>
    </row>
    <row r="12" spans="1:18">
      <c r="C12" t="s">
        <v>1568</v>
      </c>
      <c r="D12" t="s">
        <v>1604</v>
      </c>
      <c r="E12" t="str">
        <f t="shared" si="0"/>
        <v>鲁印·退场·会友台东侧·300分</v>
      </c>
      <c r="F12" t="s">
        <v>1615</v>
      </c>
      <c r="G12" t="s">
        <v>1616</v>
      </c>
      <c r="H12" t="s">
        <v>582</v>
      </c>
      <c r="I12">
        <v>1</v>
      </c>
      <c r="L12">
        <v>1</v>
      </c>
      <c r="N12">
        <v>1</v>
      </c>
      <c r="Q12" t="str">
        <f t="shared" si="1"/>
        <v>{szContent="帮会的兄弟们，我且先修整下！",szTarget="鲁印",szNote="鲁印·退场·会友台东侧·300分",col={255,255,255,},bSearch=true,[14]={bTeamChannel=true,bCenterAlarm=true,},tCountdown={{nClass=14,nIcon=13,nFrame=1,szName="鲁印·退场·会友台东侧·300分",nTime=30,key="鲁印·退场",nRefresh=1,},},},</v>
      </c>
      <c r="R12" t="str">
        <f t="shared" si="2"/>
        <v>{nClass=14,nIcon=13,nFrame=1,szName="鲁印·退场·会友台东侧·300分",nTime=30,key="鲁印·退场",nRefresh=1,},</v>
      </c>
    </row>
    <row r="13" spans="1:18">
      <c r="C13" t="s">
        <v>1556</v>
      </c>
      <c r="D13" t="s">
        <v>1604</v>
      </c>
      <c r="E13" t="str">
        <f t="shared" si="0"/>
        <v>高九问·退场·帮会天工·500分</v>
      </c>
      <c r="F13" t="s">
        <v>1617</v>
      </c>
      <c r="G13" t="s">
        <v>1618</v>
      </c>
      <c r="H13" t="s">
        <v>582</v>
      </c>
      <c r="I13">
        <v>1</v>
      </c>
      <c r="L13">
        <v>1</v>
      </c>
      <c r="N13">
        <v>1</v>
      </c>
      <c r="Q13" t="str">
        <f t="shared" si="1"/>
        <v>{szContent="帮会的兄弟们，我且先修整下！",szTarget="高九问",szNote="高九问·退场·帮会天工·500分",col={255,255,255,},bSearch=true,[14]={bTeamChannel=true,bCenterAlarm=true,},tCountdown={{nClass=14,nIcon=13,nFrame=1,szName="高九问·退场·帮会天工·500分",nTime=30,key="高九问·退场",nRefresh=1,},},},</v>
      </c>
      <c r="R13" t="str">
        <f t="shared" si="2"/>
        <v>{nClass=14,nIcon=13,nFrame=1,szName="高九问·退场·帮会天工·500分",nTime=30,key="高九问·退场",nRefresh=1,},</v>
      </c>
    </row>
    <row r="14" spans="1:18">
      <c r="C14" t="s">
        <v>1570</v>
      </c>
      <c r="D14" t="s">
        <v>1604</v>
      </c>
      <c r="E14" t="str">
        <f t="shared" si="0"/>
        <v>苏不尘·退场·帮会药师·300分</v>
      </c>
      <c r="F14" t="s">
        <v>1619</v>
      </c>
      <c r="G14" t="s">
        <v>1616</v>
      </c>
      <c r="H14" t="s">
        <v>582</v>
      </c>
      <c r="I14">
        <v>1</v>
      </c>
      <c r="L14">
        <v>1</v>
      </c>
      <c r="N14">
        <v>1</v>
      </c>
      <c r="Q14" t="str">
        <f t="shared" si="1"/>
        <v>{szContent="帮会的兄弟们，我且先修整下！",szTarget="苏不尘",szNote="苏不尘·退场·帮会药师·300分",col={255,255,255,},bSearch=true,[14]={bTeamChannel=true,bCenterAlarm=true,},tCountdown={{nClass=14,nIcon=13,nFrame=1,szName="苏不尘·退场·帮会药师·300分",nTime=30,key="苏不尘·退场",nRefresh=1,},},},</v>
      </c>
      <c r="R14" t="str">
        <f t="shared" si="2"/>
        <v>{nClass=14,nIcon=13,nFrame=1,szName="苏不尘·退场·帮会药师·300分",nTime=30,key="苏不尘·退场",nRefresh=1,},</v>
      </c>
    </row>
    <row r="15" spans="1:18">
      <c r="C15" t="s">
        <v>1552</v>
      </c>
      <c r="D15" t="s">
        <v>1604</v>
      </c>
      <c r="E15" t="str">
        <f t="shared" si="0"/>
        <v>韩非子·退场·祈星台北·300分</v>
      </c>
      <c r="F15" t="s">
        <v>1620</v>
      </c>
      <c r="G15" t="s">
        <v>1616</v>
      </c>
      <c r="H15" t="s">
        <v>582</v>
      </c>
      <c r="I15">
        <v>1</v>
      </c>
      <c r="L15">
        <v>1</v>
      </c>
      <c r="N15">
        <v>1</v>
      </c>
      <c r="Q15" t="str">
        <f t="shared" si="1"/>
        <v>{szContent="帮会的兄弟们，我且先修整下！",szTarget="韩非子",szNote="韩非子·退场·祈星台北·300分",col={255,255,255,},bSearch=true,[14]={bTeamChannel=true,bCenterAlarm=true,},tCountdown={{nClass=14,nIcon=13,nFrame=1,szName="韩非子·退场·祈星台北·300分",nTime=30,key="韩非子·退场",nRefresh=1,},},},</v>
      </c>
      <c r="R15" t="str">
        <f t="shared" si="2"/>
        <v>{nClass=14,nIcon=13,nFrame=1,szName="韩非子·退场·祈星台北·300分",nTime=30,key="韩非子·退场",nRefresh=1,},</v>
      </c>
    </row>
    <row r="16" spans="1:18">
      <c r="C16" t="s">
        <v>1544</v>
      </c>
      <c r="D16" t="s">
        <v>1604</v>
      </c>
      <c r="E16" t="str">
        <f t="shared" si="0"/>
        <v>李霖·退场·唱晚池鱼塘·300分</v>
      </c>
      <c r="F16" t="s">
        <v>1621</v>
      </c>
      <c r="G16" t="s">
        <v>1616</v>
      </c>
      <c r="H16" t="s">
        <v>582</v>
      </c>
      <c r="I16">
        <v>1</v>
      </c>
      <c r="L16">
        <v>1</v>
      </c>
      <c r="N16">
        <v>1</v>
      </c>
      <c r="Q16" t="str">
        <f t="shared" si="1"/>
        <v>{szContent="帮会的兄弟们，我且先修整下！",szTarget="李霖",szNote="李霖·退场·唱晚池鱼塘·300分",col={255,255,255,},bSearch=true,[14]={bTeamChannel=true,bCenterAlarm=true,},tCountdown={{nClass=14,nIcon=13,nFrame=1,szName="李霖·退场·唱晚池鱼塘·300分",nTime=30,key="李霖·退场",nRefresh=1,},},},</v>
      </c>
      <c r="R16" t="str">
        <f t="shared" si="2"/>
        <v>{nClass=14,nIcon=13,nFrame=1,szName="李霖·退场·唱晚池鱼塘·300分",nTime=30,key="李霖·退场",nRefresh=1,},</v>
      </c>
    </row>
    <row r="17" spans="1:19">
      <c r="C17" t="s">
        <v>1554</v>
      </c>
      <c r="D17" t="s">
        <v>1604</v>
      </c>
      <c r="E17" t="str">
        <f t="shared" si="0"/>
        <v>邵卿城·退场·屋前西侧·500分</v>
      </c>
      <c r="F17" t="s">
        <v>1622</v>
      </c>
      <c r="G17" t="s">
        <v>1618</v>
      </c>
      <c r="H17" t="s">
        <v>582</v>
      </c>
      <c r="I17">
        <v>1</v>
      </c>
      <c r="L17">
        <v>1</v>
      </c>
      <c r="N17">
        <v>1</v>
      </c>
      <c r="Q17" t="str">
        <f t="shared" si="1"/>
        <v>{szContent="帮会的兄弟们，我且先修整下！",szTarget="邵卿城",szNote="邵卿城·退场·屋前西侧·500分",col={255,255,255,},bSearch=true,[14]={bTeamChannel=true,bCenterAlarm=true,},tCountdown={{nClass=14,nIcon=13,nFrame=1,szName="邵卿城·退场·屋前西侧·500分",nTime=30,key="邵卿城·退场",nRefresh=1,},},},</v>
      </c>
      <c r="R17" t="str">
        <f t="shared" si="2"/>
        <v>{nClass=14,nIcon=13,nFrame=1,szName="邵卿城·退场·屋前西侧·500分",nTime=30,key="邵卿城·退场",nRefresh=1,},</v>
      </c>
    </row>
    <row r="18" spans="1:19">
      <c r="C18" t="s">
        <v>1562</v>
      </c>
      <c r="D18" t="s">
        <v>1604</v>
      </c>
      <c r="E18" t="str">
        <f t="shared" si="0"/>
        <v>甄琦·退场·屋门前东侧·100分</v>
      </c>
      <c r="F18" t="s">
        <v>1623</v>
      </c>
      <c r="G18" t="s">
        <v>1608</v>
      </c>
      <c r="H18" t="s">
        <v>582</v>
      </c>
      <c r="I18">
        <v>1</v>
      </c>
      <c r="L18">
        <v>1</v>
      </c>
      <c r="N18">
        <v>1</v>
      </c>
      <c r="Q18" t="str">
        <f t="shared" si="1"/>
        <v>{szContent="帮会的兄弟们，我且先修整下！",szTarget="甄琦",szNote="甄琦·退场·屋门前东侧·100分",col={255,255,255,},bSearch=true,[14]={bTeamChannel=true,bCenterAlarm=true,},tCountdown={{nClass=14,nIcon=13,nFrame=1,szName="甄琦·退场·屋门前东侧·100分",nTime=30,key="甄琦·退场",nRefresh=1,},},},</v>
      </c>
      <c r="R18" t="str">
        <f t="shared" si="2"/>
        <v>{nClass=14,nIcon=13,nFrame=1,szName="甄琦·退场·屋门前东侧·100分",nTime=30,key="甄琦·退场",nRefresh=1,},</v>
      </c>
    </row>
    <row r="19" spans="1:19">
      <c r="C19" t="s">
        <v>1624</v>
      </c>
      <c r="D19" t="s">
        <v>1604</v>
      </c>
      <c r="E19" t="s">
        <v>1625</v>
      </c>
      <c r="H19" t="s">
        <v>582</v>
      </c>
      <c r="I19">
        <v>1</v>
      </c>
      <c r="L19">
        <v>1</v>
      </c>
      <c r="N19">
        <v>1</v>
      </c>
      <c r="Q19" t="str">
        <f t="shared" si="1"/>
        <v>{szContent="帮会的兄弟们，我且先修整下！",szTarget="%",szNote="{$sender}·退场",col={255,255,255,},bSearch=true,[14]={bTeamChannel=true,bCenterAlarm=true,},tCountdown={{nClass=14,nIcon=13,nFrame=1,szName="{$sender}·退场",nTime=30,key="{$sender}·退场",nRefresh=1,},},},</v>
      </c>
      <c r="R19" t="s">
        <v>1626</v>
      </c>
    </row>
    <row r="20" spans="1:19">
      <c r="C20" t="s">
        <v>1624</v>
      </c>
      <c r="D20" t="s">
        <v>1627</v>
      </c>
      <c r="E20" t="s">
        <v>1628</v>
      </c>
      <c r="H20" t="s">
        <v>582</v>
      </c>
      <c r="L20">
        <v>1</v>
      </c>
      <c r="N20">
        <v>1</v>
      </c>
      <c r="Q20" t="str">
        <f t="shared" si="1"/>
        <v>{szContent="[帮会宣战][帮会大旗]已被敌方攻破！诸位兄弟！团结一致！",szTarget="%",szNote="帮会大旗·退场·800分",col={255,255,255,},[14]={bTeamChannel=true,bCenterAlarm=true,},tCountdown={{nClass=14,nIcon=591,nFrame=1,szName="帮会大旗·损毁·800分",nTime=30,key="帮会大旗·退场",nRefresh=1,},},},</v>
      </c>
      <c r="R20" t="s">
        <v>1629</v>
      </c>
    </row>
    <row r="21" spans="1:19">
      <c r="D21" t="s">
        <v>1630</v>
      </c>
      <c r="E21" t="s">
        <v>1631</v>
      </c>
      <c r="N21">
        <v>1</v>
      </c>
      <c r="Q21" t="str">
        <f t="shared" si="1"/>
        <v>{szContent="恭喜侠士帮会宣战·领地获胜！已为您添加增益状态。",szNote="帮会宣战·领地·获胜",[14]={bCenterAlarm=true,},tCountdown={{nClass=14,nIcon=13,nFrame=0,szName="帮会宣战·领地·获胜",nTime=30,key="帮会宣战",},{nClass=14,nIcon=13,szName="诛恶事件",nTime=-2,key="诛恶事件",},{nClass=14,nIcon=13,szName="通用事件",nTime=-2,key="通用事件",},{nClass=14,nIcon=13,nTime=-2,szName="金水镇",key="金水镇",},{nClass=14,nIcon=13,nTime=-2,szName="巴陵县",key="巴陵县",},{nClass=14,nIcon=13,nTime=-2,szName="龙门荒漠",key="龙门荒漠",},{nClass=14,nIcon=13,nTime=-2,szName="南屏山",key="南屏山",},{nClass=14,nIcon=13,nTime=-2,szName="昆仑",key="昆仑",},{nClass=14,nIcon=13,nTime=-2,szName="白龙口",key="白龙口",},{nClass=14,nIcon=13,nTime=-2,szName="无量山",key="无量山",},{nClass=14,nIcon=13,nTime=-2,szName="黑龙沼",key="黑龙沼",},{nClass=14,nIcon=13,nTime=-2,szName="阴山大草原",key="阴山大草原",},{nClass=14,nIcon=13,nTime=-2,szName="黑戈壁",key="黑戈壁",},{nClass=14,nIcon=13,nTime=-2,szName="鲲鹏岛",key="鲲鹏岛",},},},</v>
      </c>
      <c r="R21" t="s">
        <v>1632</v>
      </c>
      <c r="S21" s="1" t="s">
        <v>1633</v>
      </c>
    </row>
    <row r="22" spans="1:19">
      <c r="D22" t="s">
        <v>1634</v>
      </c>
      <c r="E22" t="s">
        <v>1635</v>
      </c>
      <c r="Q22" t="str">
        <f t="shared" si="1"/>
        <v>{szContent="最近七天内，帮会宣战·领地失利，已为侠士添加不利状态。",szNote="帮会宣战·领地·失败",[14]={},tCountdown={{nClass=14,nIcon=13,nFrame=8,szName="帮会宣战·领地·失败",nTime=30,key="帮会宣战",},{nClass=14,nIcon=13,szName="诛恶事件",nTime=-2,key="诛恶事件",},{nClass=14,nIcon=13,szName="通用事件",nTime=-2,key="通用事件",},{nClass=14,nIcon=13,nTime=-2,szName="金水镇",key="金水镇",},{nClass=14,nIcon=13,nTime=-2,szName="巴陵县",key="巴陵县",},{nClass=14,nIcon=13,nTime=-2,szName="龙门荒漠",key="龙门荒漠",},{nClass=14,nIcon=13,nTime=-2,szName="南屏山",key="南屏山",},{nClass=14,nIcon=13,nTime=-2,szName="昆仑",key="昆仑",},{nClass=14,nIcon=13,nTime=-2,szName="白龙口",key="白龙口",},{nClass=14,nIcon=13,nTime=-2,szName="无量山",key="无量山",},{nClass=14,nIcon=13,nTime=-2,szName="黑龙沼",key="黑龙沼",},{nClass=14,nIcon=13,nTime=-2,szName="阴山大草原",key="阴山大草原",},{nClass=14,nIcon=13,nTime=-2,szName="黑戈壁",key="黑戈壁",},{nClass=14,nIcon=13,nTime=-2,szName="鲲鹏岛",key="鲲鹏岛",},},},</v>
      </c>
      <c r="R22" t="s">
        <v>1636</v>
      </c>
      <c r="S22" s="1" t="s">
        <v>1633</v>
      </c>
    </row>
    <row r="23" customFormat="1" spans="1:19">
      <c r="A23" t="s">
        <v>1637</v>
      </c>
      <c r="B23">
        <v>-1</v>
      </c>
      <c r="Q23" t="str">
        <f t="shared" si="1"/>
        <v>},[-1]={</v>
      </c>
    </row>
    <row r="24" spans="1:19">
      <c r="C24" t="s">
        <v>1624</v>
      </c>
      <c r="D24" t="s">
        <v>1638</v>
      </c>
      <c r="E24" t="s">
        <v>1639</v>
      </c>
      <c r="H24" t="s">
        <v>640</v>
      </c>
      <c r="J24">
        <v>1</v>
      </c>
      <c r="N24">
        <v>1</v>
      </c>
      <c r="Q24" t="str">
        <f t="shared" si="1"/>
        <v>{szContent="(.-)【(.+)】帮会(.-)发起为期(%d+)小时的野外宣战，各位非中立成员",szTarget="%",szNote="帮战·[{$2}]·{$4}小时",col={255,50,255,},bReg=true,[14]={bCenterAlarm=true,},tCountdown={{nClass=14,key="帮会宣战·野外",nTime=20,szName="帮战·[{$2}]·{$4}小时",nFrame=8,nIcon=3750,},},},</v>
      </c>
      <c r="R24" t="s">
        <v>1640</v>
      </c>
      <c r="S24" s="1"/>
    </row>
    <row r="25" spans="1:19">
      <c r="A25" t="s">
        <v>1641</v>
      </c>
      <c r="B25">
        <v>-2</v>
      </c>
      <c r="Q25" t="str">
        <f t="shared" si="1"/>
        <v>},[-2]={</v>
      </c>
    </row>
    <row r="26" spans="1:19">
      <c r="D26" t="s">
        <v>1642</v>
      </c>
      <c r="E26" t="s">
        <v>1643</v>
      </c>
      <c r="N26">
        <v>1</v>
      </c>
      <c r="Q26" t="str">
        <f t="shared" si="1"/>
        <v>{szContent="当前已开战，请直接对话进入被宣战方帮会领地。",szNote="帮会宣战·领地·正式开始",[14]={bCenterAlarm=true,},tCountdown={{nClass=14,nIcon=13,nFrame=4,szName="帮会宣战·领地·正式开启",nTime=5,key="帮会宣战",},},},</v>
      </c>
      <c r="R26" t="s">
        <v>1644</v>
      </c>
    </row>
    <row r="27" spans="1:19">
      <c r="C27" t="s">
        <v>1624</v>
      </c>
      <c r="D27" t="s">
        <v>1645</v>
      </c>
      <c r="E27" t="s">
        <v>1646</v>
      </c>
      <c r="Q27" t="str">
        <f t="shared" si="1"/>
        <v>{szContent="本次宣战进攻将在10秒后正式开始。",szTarget="%",szNote="帮会宣战·领地·10秒",[14]={},tCountdown={{nClass=14,nIcon=13,nFrame=4,szName="帮会宣战·领地·开启剩余",nTime="10,帮会宣战·领地·开启剩余;15,帮会宣战·领地·正式开启",key="帮会宣战",nRefresh=0,},},},</v>
      </c>
      <c r="R27" t="s">
        <v>1647</v>
      </c>
    </row>
    <row r="28" spans="1:19">
      <c r="C28" t="s">
        <v>1624</v>
      </c>
      <c r="D28" t="s">
        <v>1648</v>
      </c>
      <c r="E28" t="s">
        <v>1649</v>
      </c>
      <c r="Q28" t="str">
        <f t="shared" si="1"/>
        <v>{szContent="本次宣战进攻将在30秒后正式开始。",szTarget="%",szNote="帮会宣战·领地·30秒",[14]={},tCountdown={{nClass=14,nIcon=13,nFrame=4,szName="帮会宣战·领地·开启剩余",nTime="30,帮会宣战·领地·开启剩余;35,帮会宣战·领地·正式开启",key="帮会宣战",nRefresh=0,},},},</v>
      </c>
      <c r="R28" t="s">
        <v>1650</v>
      </c>
    </row>
    <row r="29" spans="1:19">
      <c r="A29" t="s">
        <v>1651</v>
      </c>
      <c r="B29">
        <v>-7</v>
      </c>
      <c r="Q29" t="str">
        <f t="shared" si="1"/>
        <v>},[-7]={</v>
      </c>
    </row>
    <row r="30" spans="1:19">
      <c r="C30" t="s">
        <v>1624</v>
      </c>
      <c r="D30" t="s">
        <v>1652</v>
      </c>
      <c r="E30" t="s">
        <v>1653</v>
      </c>
      <c r="J30">
        <v>0</v>
      </c>
      <c r="Q30" t="str">
        <f t="shared" si="1"/>
        <v>{szContent="^%[帮会宣战%]%[(.-)%]：我在“(.-)”被敌帮的“(.-)”侠士重伤，请速来支援！",szTarget="%",szNote="帮战·{$2}·[{$3}]击伤[{$1}]",[14]={},tCountdown={{nClass=14,key="帮会宣战·重伤",nTime=5,szName="帮战·{$2}·[{$3}]击伤[{$1}]",nIcon=13,nFrame=8,},},},</v>
      </c>
      <c r="R30" t="s">
        <v>1654</v>
      </c>
    </row>
    <row r="31" spans="1:19">
      <c r="A31" t="s">
        <v>1655</v>
      </c>
      <c r="B31">
        <v>-21</v>
      </c>
      <c r="Q31" t="str">
        <f t="shared" si="1"/>
        <v>},[-21]={</v>
      </c>
    </row>
    <row r="32" spans="1:19">
      <c r="D32" t="s">
        <v>1642</v>
      </c>
      <c r="E32" t="s">
        <v>1643</v>
      </c>
      <c r="N32">
        <v>1</v>
      </c>
      <c r="Q32" t="str">
        <f t="shared" si="1"/>
        <v>{szContent="当前已开战，请直接对话进入被宣战方帮会领地。",szNote="帮会宣战·领地·正式开始",[14]={bCenterAlarm=true,},tCountdown={{nClass=14,nIcon=13,nFrame=4,szName="帮会宣战·领地·正式开启",nTime=5,key="帮会宣战",},},},</v>
      </c>
      <c r="R32" t="s">
        <v>1644</v>
      </c>
    </row>
    <row r="33" spans="1:18">
      <c r="C33" t="s">
        <v>1624</v>
      </c>
      <c r="D33" t="s">
        <v>1645</v>
      </c>
      <c r="E33" t="s">
        <v>1646</v>
      </c>
      <c r="Q33" t="str">
        <f t="shared" si="1"/>
        <v>{szContent="本次宣战进攻将在10秒后正式开始。",szTarget="%",szNote="帮会宣战·领地·10秒",[14]={},tCountdown={{nClass=14,nIcon=13,nFrame=4,szName="帮会宣战·领地·开启剩余",nTime="10,帮会宣战·领地·开启剩余;15,帮会宣战·领地·正式开启",key="帮会宣战",nRefresh=0,},},},</v>
      </c>
      <c r="R33" t="s">
        <v>1647</v>
      </c>
    </row>
    <row r="34" spans="1:18">
      <c r="C34" t="s">
        <v>1624</v>
      </c>
      <c r="D34" t="s">
        <v>1648</v>
      </c>
      <c r="E34" t="s">
        <v>1649</v>
      </c>
      <c r="Q34" t="str">
        <f t="shared" si="1"/>
        <v>{szContent="本次宣战进攻将在30秒后正式开始。",szTarget="%",szNote="帮会宣战·领地·30秒",[14]={},tCountdown={{nClass=14,nIcon=13,nFrame=4,szName="帮会宣战·领地·开启剩余",nTime="30,帮会宣战·领地·开启剩余;35,帮会宣战·领地·正式开启",key="帮会宣战",nRefresh=0,},},},</v>
      </c>
      <c r="R34" t="s">
        <v>1650</v>
      </c>
    </row>
    <row r="35" spans="1:18">
      <c r="A35" t="s">
        <v>1036</v>
      </c>
      <c r="B35">
        <v>153</v>
      </c>
      <c r="Q35" t="str">
        <f t="shared" si="1"/>
        <v>},[153]={</v>
      </c>
    </row>
    <row r="36" spans="1:18">
      <c r="D36" t="s">
        <v>1642</v>
      </c>
      <c r="E36" t="s">
        <v>1643</v>
      </c>
      <c r="N36">
        <v>1</v>
      </c>
      <c r="Q36" t="str">
        <f t="shared" si="1"/>
        <v>{szContent="当前已开战，请直接对话进入被宣战方帮会领地。",szNote="帮会宣战·领地·正式开始",[14]={bCenterAlarm=true,},tCountdown={{nClass=14,nIcon=13,nFrame=4,szName="帮会宣战·领地·正式开启",nTime=5,key="帮会宣战",},},},</v>
      </c>
      <c r="R36" t="s">
        <v>1644</v>
      </c>
    </row>
    <row r="37" spans="1:18">
      <c r="C37" t="s">
        <v>1624</v>
      </c>
      <c r="D37" t="s">
        <v>1645</v>
      </c>
      <c r="E37" t="s">
        <v>1646</v>
      </c>
      <c r="Q37" t="str">
        <f t="shared" si="1"/>
        <v>{szContent="本次宣战进攻将在10秒后正式开始。",szTarget="%",szNote="帮会宣战·领地·10秒",[14]={},tCountdown={{nClass=14,nIcon=13,nFrame=4,szName="帮会宣战·领地·开启剩余",nTime="10,帮会宣战·领地·开启剩余;15,帮会宣战·领地·正式开启",key="帮会宣战",nRefresh=0,},},},</v>
      </c>
      <c r="R37" t="s">
        <v>1647</v>
      </c>
    </row>
    <row r="38" spans="1:18">
      <c r="Q38" t="str">
        <f t="shared" si="1"/>
        <v>},},}</v>
      </c>
    </row>
  </sheetData>
  <sortState ref="A32:S33">
    <sortCondition ref="A32:A33"/>
  </sortState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workbookViewId="0">
      <selection activeCell="J35" sqref="J35"/>
    </sheetView>
  </sheetViews>
  <sheetFormatPr defaultColWidth="9" defaultRowHeight="13.5"/>
  <sheetData>
    <row r="1" spans="1:17">
      <c r="A1" t="s">
        <v>1476</v>
      </c>
      <c r="B1" t="s">
        <v>1477</v>
      </c>
      <c r="C1" t="s">
        <v>1592</v>
      </c>
      <c r="D1" t="s">
        <v>49</v>
      </c>
      <c r="E1" t="s">
        <v>1484</v>
      </c>
      <c r="F1" t="s">
        <v>1595</v>
      </c>
      <c r="G1" t="s">
        <v>1596</v>
      </c>
      <c r="H1" t="s">
        <v>1597</v>
      </c>
      <c r="I1" t="s">
        <v>1598</v>
      </c>
      <c r="J1" t="s">
        <v>1599</v>
      </c>
      <c r="K1" t="s">
        <v>1600</v>
      </c>
      <c r="L1" t="s">
        <v>1601</v>
      </c>
      <c r="M1" t="s">
        <v>1602</v>
      </c>
      <c r="N1" t="s">
        <v>1656</v>
      </c>
      <c r="O1" t="s">
        <v>316</v>
      </c>
    </row>
    <row r="2" spans="1:17">
      <c r="A2" t="s">
        <v>885</v>
      </c>
      <c r="B2">
        <v>74</v>
      </c>
      <c r="N2" t="str">
        <f>IF(ISBLANK(B2)=FALSE,IF(ISBLANK(B1),"},["&amp;B2&amp;"]={","["&amp;B2&amp;"]={"),IF(AND(ISBLANK(B2),ISBLANK(C2),ISBLANK(F2),ISBLANK(G2),OR(ISBLANK(B1)=FALSE,ISBLANK(C1)=FALSE,ISBLANK(F1)=FALSE,ISBLANK(G1)=FALSE)),"},},}",IF(ISBLANK(C2),"","{szContent="""&amp;C2&amp;""","&amp;IF(D2&lt;&gt;"","szNote="""&amp;D2&amp;""",","")&amp;IF(E2&lt;&gt;"","col={"&amp;E2&amp;"},","")&amp;IF(F2&gt;0,"bSearch=true,","")&amp;IF(G2&gt;0,"bReg=true,","")&amp;"[20]={"&amp;IF(H2&gt;0,"szVoice="""&amp;H2&amp;""",","")&amp;IF(I2&gt;0,"bTeamChannel=true,","")&amp;IF(J2&gt;0,"bWhisperChannel=true,","")&amp;IF(K2&gt;0,"bCenterAlarm=true,","")&amp;IF(L2&gt;0,"bScreenHead=true,","")&amp;IF(M2&gt;0,"bFullScreen=true,","")&amp;"},"&amp;IF(O2&lt;&gt;"","tCountdown={"&amp;_xlfn.TEXTJOIN("",TRUE,O2:AAA2)&amp;"},","")&amp;"},")))</f>
        <v>[74]={</v>
      </c>
    </row>
    <row r="3" spans="1:17">
      <c r="C3" t="s">
        <v>1657</v>
      </c>
      <c r="N3" t="str">
        <f t="shared" ref="N3:N9" si="0">IF(ISBLANK(B3)=FALSE,IF(ISBLANK(B2),"},["&amp;B3&amp;"]={","["&amp;B3&amp;"]={"),IF(AND(ISBLANK(B3),ISBLANK(C3),ISBLANK(F3),ISBLANK(G3),OR(ISBLANK(B2)=FALSE,ISBLANK(C2)=FALSE,ISBLANK(F2)=FALSE,ISBLANK(G2)=FALSE)),"},},}",IF(ISBLANK(C3),"","{szContent="""&amp;C3&amp;""","&amp;IF(D3&lt;&gt;"","szNote="""&amp;D3&amp;""",","")&amp;IF(E3&lt;&gt;"","col={"&amp;E3&amp;"},","")&amp;IF(F3&gt;0,"bSearch=true,","")&amp;IF(G3&gt;0,"bReg=true,","")&amp;"[20]={"&amp;IF(H3&gt;0,"szVoice="""&amp;H3&amp;""",","")&amp;IF(I3&gt;0,"bTeamChannel=true,","")&amp;IF(J3&gt;0,"bWhisperChannel=true,","")&amp;IF(K3&gt;0,"bCenterAlarm=true,","")&amp;IF(L3&gt;0,"bScreenHead=true,","")&amp;IF(M3&gt;0,"bFullScreen=true,","")&amp;"},"&amp;IF(O3&lt;&gt;"","tCountdown={"&amp;_xlfn.TEXTJOIN("",TRUE,O3:AAA3)&amp;"},","")&amp;"},")))</f>
        <v>{szContent="帮会宣战·领地正式开始！\n",[20]={},tCountdown={{nClass=20,nIcon=13,nFrame=4,szName="宣战·正式开始",nTime=5,key="帮会宣战",},{nClass=20,nIcon=13,szName="诛恶事件",nTime=-1,nRefresh=2700,key="诛恶事件",},{nClass=20,nIcon=13,szName="通用事件",nTime=-1,nRefresh=2700,key="通用事件",},{nClass=20,nIcon=13,nTime=-1,szName="金水镇",nRefresh=2700,key="金水镇",},{nClass=20,nIcon=13,nTime=-1,szName="巴陵县",nRefresh=2700,key="巴陵县",},{nClass=20,nIcon=13,nTime=-1,szName="龙门荒漠",nRefresh=2700,key="龙门荒漠",},{nClass=20,nIcon=13,nTime=-1,szName="南屏山",nRefresh=2700,key="南屏山",},{nClass=20,nIcon=13,nTime=-1,szName="昆仑",nRefresh=2700,key="昆仑",},{nClass=20,nIcon=13,nTime=-1,szName="白龙口",nRefresh=2700,key="白龙口",},{nClass=20,nIcon=13,nTime=-1,szName="无量山",nRefresh=2700,key="无量山",},{nClass=20,nIcon=13,nTime=-1,szName="黑龙沼",nRefresh=2700,key="黑龙沼",},{nClass=20,nIcon=13,nTime=-1,szName="阴山大草原",nRefresh=2700,key="阴山大草原",},{nClass=20,nIcon=13,nTime=-1,szName="黑戈壁",nRefresh=2700,key="黑戈壁",},{nClass=20,nIcon=13,nTime=-1,szName="鲲鹏岛",nRefresh=2700,key="鲲鹏岛",},},},</v>
      </c>
      <c r="O3" t="s">
        <v>1658</v>
      </c>
      <c r="P3" s="1" t="s">
        <v>1659</v>
      </c>
      <c r="Q3" s="1" t="s">
        <v>1660</v>
      </c>
    </row>
    <row r="4" spans="1:17">
      <c r="C4" t="s">
        <v>1661</v>
      </c>
      <c r="N4" t="str">
        <f t="shared" si="0"/>
        <v>{szContent="本次宣战进攻将在10秒后正式开始。\n",[20]={},tCountdown={{nClass=20,nIcon=13,nFrame=4,szName="宣战·开始剩余",nTime=10,key="帮会宣战",},},},</v>
      </c>
      <c r="O4" t="s">
        <v>1662</v>
      </c>
    </row>
    <row r="5" spans="1:17">
      <c r="C5" t="s">
        <v>1663</v>
      </c>
      <c r="N5" t="str">
        <f t="shared" si="0"/>
        <v>{szContent="本次宣战进攻将在30秒后正式开始。\n",[20]={},tCountdown={{nClass=20,nIcon=13,nFrame=4,szName="宣战·开始剩余",nTime=30,key="帮会宣战",},},},</v>
      </c>
      <c r="O5" t="s">
        <v>1664</v>
      </c>
    </row>
    <row r="6" spans="1:17">
      <c r="C6" t="s">
        <v>1665</v>
      </c>
      <c r="N6" t="str">
        <f t="shared" si="0"/>
        <v>{szContent="本帮今日防守领地失败，望上下一心，团结一致。\n",[20]={},tCountdown={{nClass=20,nIcon=13,nFrame=8,szName="帮会应战·领地·防守失败",nTime=30,key="帮会宣战",},},},</v>
      </c>
      <c r="O6" t="s">
        <v>1666</v>
      </c>
    </row>
    <row r="7" spans="1:17">
      <c r="C7" t="s">
        <v>1667</v>
      </c>
      <c r="G7">
        <v>1</v>
      </c>
      <c r="N7" t="str">
        <f t="shared" si="0"/>
        <v>{szContent="(.-)已被击伤，留下拥有逐鹿中原战略物资%[神机雷%]，进攻方侠士可拾取，切莫错过！ ",bReg=true,[20]={},tCountdown={{nClass=20,nIcon=13,nFrame=1,szName="{$1}·退场",nTime=30,key="{$1}·退场",},{nClass=20,nIcon=13,szName="诛恶事件",nTime=-1,nRefresh=2700,key="诛恶事件",},{nClass=20,nIcon=13,szName="通用事件",nTime=-1,nRefresh=2700,key="通用事件",},{nClass=20,nIcon=13,nTime=-1,szName="金水镇",nRefresh=2700,key="金水镇",},{nClass=20,nIcon=13,nTime=-1,szName="巴陵县",nRefresh=2700,key="巴陵县",},{nClass=20,nIcon=13,nTime=-1,szName="龙门荒漠",nRefresh=2700,key="龙门荒漠",},{nClass=20,nIcon=13,nTime=-1,szName="南屏山",nRefresh=2700,key="南屏山",},{nClass=20,nIcon=13,nTime=-1,szName="昆仑",nRefresh=2700,key="昆仑",},{nClass=20,nIcon=13,nTime=-1,szName="白龙口",nRefresh=2700,key="白龙口",},{nClass=20,nIcon=13,nTime=-1,szName="无量山",nRefresh=2700,key="无量山",},{nClass=20,nIcon=13,nTime=-1,szName="黑龙沼",nRefresh=2700,key="黑龙沼",},{nClass=20,nIcon=13,nTime=-1,szName="阴山大草原",nRefresh=2700,key="阴山大草原",},{nClass=20,nIcon=13,nTime=-1,szName="黑戈壁",nRefresh=2700,key="黑戈壁",},{nClass=20,nIcon=13,nTime=-1,szName="鲲鹏岛",nRefresh=2700,key="鲲鹏岛",},},},</v>
      </c>
      <c r="O7" t="s">
        <v>1668</v>
      </c>
      <c r="P7" s="1" t="s">
        <v>1659</v>
      </c>
      <c r="Q7" s="1" t="s">
        <v>1660</v>
      </c>
    </row>
    <row r="8" spans="1:17">
      <c r="N8" t="str">
        <f t="shared" si="0"/>
        <v>},},}</v>
      </c>
    </row>
    <row r="9" spans="1:17">
      <c r="N9" t="str">
        <f t="shared" si="0"/>
        <v/>
      </c>
    </row>
  </sheetData>
  <sortState ref="A3:Q7">
    <sortCondition ref="A3:A7" descending="1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茗伊团队监控数据手册</vt:lpstr>
      <vt:lpstr>字典</vt:lpstr>
      <vt:lpstr>有利气劲</vt:lpstr>
      <vt:lpstr>不利气劲</vt:lpstr>
      <vt:lpstr>武学招式</vt:lpstr>
      <vt:lpstr>系统角色</vt:lpstr>
      <vt:lpstr>交互物件</vt:lpstr>
      <vt:lpstr>角色喊话</vt:lpstr>
      <vt:lpstr>系统频道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2024-01-14T19:36:00Z</dcterms:created>
  <dcterms:modified xsi:type="dcterms:W3CDTF">2026-08-12T16:49:50Z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C60FACA0CB0A457DB6499A343ED64CA5_12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