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3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<sst xmlns="http://schemas.openxmlformats.org/spreadsheetml/2006/main" count="2528" uniqueCount="1830">
  <si>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</si>
  <si>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</si>
  <si>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</si>
  <si>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</si>
  <si>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</si>
  <si>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</si>
  <si>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</si>
  <si>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</si>
  <si>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</si>
  <si>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</si>
  <si>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</si>
  <si>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</si>
  <si>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</si>
  <si>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</si>
  <si>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</si>
  <si>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</si>
  <si>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</si>
  <si>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</si>
  <si>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</si>
  <si>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</si>
  <si>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</si>
  <si>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</si>
  <si>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</si>
  <si>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</si>
  <si>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</si>
  <si>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</si>
  <si>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</si>
  <si>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</si>
  <si>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</si>
  <si>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</si>
  <si>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</si>
  <si>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</si>
  <si>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</si>
  <si>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</si>
  <si>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</si>
  <si>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</si>
  <si>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</si>
  <si>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</si>
  <si>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</si>
  <si>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</si>
  <si>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</si>
  <si>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</si>
  <si>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</si>
  <si>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</si>
  <si>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</si>
  <si>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</si>
  <si>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</si>
  <si>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</si>
  <si>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</si>
  <si>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</si>
  <si>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</si>
  <si>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</si>
  <si>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</si>
  <si>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</si>
  <si>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</si>
  <si>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</si>
  <si>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</si>
  <si>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</si>
  <si>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</si>
  <si>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</si>
  <si>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</si>
  <si>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</si>
  <si>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</si>
  <si>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</si>
  <si>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</si>
  <si>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</si>
  <si>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</si>
  <si>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</si>
  <si>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</si>
  <si>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</si>
  <si>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</si>
  <si>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</si>
  <si>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</si>
  <si>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</si>
  <si>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</si>
  <si>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</si>
  <si>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</si>
  <si>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</si>
  <si>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</si>
  <si>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</si>
  <si>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</si>
  <si>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</si>
  <si>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</si>
  <si>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</si>
  <si>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</si>
  <si>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</si>
  <si>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</si>
  <si>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</si>
  <si>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</si>
  <si>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</si>
  <si>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</si>
  <si>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</si>
  <si>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</si>
  <si>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</si>
  <si>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</si>
  <si>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</si>
  <si>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</si>
  <si>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</si>
  <si>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</si>
  <si>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</si>
  <si>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</si>
  <si>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</si>
  <si>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</si>
  <si>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</si>
  <si>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</si>
  <si>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</si>
  <si>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</si>
  <si>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</si>
  <si>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</si>
  <si>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</si>
  <si>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</si>
  <si>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</si>
  <si>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</si>
  <si>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</si>
  <si>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</si>
  <si>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</si>
  <si>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</si>
  <si>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</si>
  <si>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</si>
  <si>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</si>
  <si>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</si>
  <si>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</si>
  <si>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</si>
  <si>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</si>
  <si>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</si>
  <si>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</si>
  <si>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</si>
  <si>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</si>
  <si>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</si>
  <si>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</si>
  <si>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</si>
  <si>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</si>
  <si>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</si>
  <si>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</si>
  <si>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</si>
  <si>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</si>
  <si>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</si>
  <si>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</si>
  <si>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</si>
  <si>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</si>
  <si>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</si>
  <si>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</si>
  <si>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</si>
  <si>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</si>
  <si>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</si>
  <si>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</si>
  <si>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</si>
  <si>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</si>
  <si>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</si>
  <si>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</si>
  <si>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</si>
  <si>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</si>
  <si>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</si>
  <si>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</si>
  <si>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</si>
  <si>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</si>
  <si>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</si>
  <si>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</si>
  <si>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</si>
  <si>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</si>
  <si>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</si>
  <si>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</si>
  <si>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</si>
  <si>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</si>
  <si>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</si>
  <si>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</si>
  <si>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</si>
  <si>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</si>
  <si>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</si>
  <si>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</si>
  <si>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</si>
  <si>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</si>
  <si>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</si>
  <si>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</si>
  <si>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</si>
  <si>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</si>
  <si>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</si>
  <si>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</si>
  <si>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</si>
  <si>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</si>
  <si>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</si>
  <si>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</si>
  <si>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</si>
  <si>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</si>
  <si>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</si>
  <si>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</si>
  <si>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</si>
  <si>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</si>
  <si>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</si>
  <si>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</si>
  <si>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</si>
  <si>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</si>
  <si>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</si>
  <si>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</si>
  <si>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</si>
  <si>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</si>
  <si>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</si>
  <si>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</si>
  <si>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</si>
  <si>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</si>
  <si>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</si>
  <si>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</si>
  <si>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</si>
  <si>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</si>
  <si>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</si>
  <si>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</si>
  <si>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</si>
  <si>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</si>
  <si>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</si>
  <si>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</si>
  <si>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</si>
  <si>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</si>
  <si>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</si>
  <si>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</si>
  <si>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</si>
  <si>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</si>
  <si>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</si>
  <si>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</si>
  <si>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</si>
  <si>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</si>
  <si>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</si>
  <si>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</si>
  <si>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</si>
  <si>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</si>
  <si>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</si>
  <si>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</si>
  <si>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</si>
  <si>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</si>
  <si>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</si>
  <si>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</si>
  <si>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</si>
  <si>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</si>
  <si>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</si>
  <si>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</si>
  <si>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</si>
  <si>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</si>
  <si>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</si>
  <si>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</si>
  <si>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</si>
  <si>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</si>
  <si>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</si>
  <si>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</si>
  <si>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</si>
  <si>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</si>
  <si>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</si>
  <si>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</si>
  <si>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</si>
  <si>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</si>
  <si>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</si>
  <si>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</si>
  <si>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</si>
  <si>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</si>
  <si>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</si>
  <si>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</si>
  <si>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</si>
  <si>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</si>
  <si>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</si>
  <si>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</si>
  <si>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</si>
  <si>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</si>
  <si>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</si>
  <si>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</si>
  <si>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</si>
  <si>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</si>
  <si>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</si>
  <si>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</si>
  <si>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</si>
  <si>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</si>
  <si>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</si>
  <si>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</si>
  <si>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</si>
  <si>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</si>
  <si>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</si>
  <si>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</si>
  <si>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</si>
  <si>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</si>
  <si>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</si>
  <si>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</si>
  <si>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</si>
  <si>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</si>
  <si>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</si>
  <si>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</si>
  <si>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</si>
  <si>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</si>
  <si>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</si>
  <si>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</si>
  <si>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</si>
  <si>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</si>
  <si>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</si>
  <si>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</si>
  <si>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</si>
  <si>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</si>
  <si>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</si>
  <si>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</si>
  <si>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</si>
  <si>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</si>
  <si>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</si>
  <si>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</si>
  <si>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</si>
  <si>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</si>
  <si>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</si>
  <si>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</si>
  <si>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</si>
  <si>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</si>
  <si>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</si>
  <si>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</si>
  <si>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</si>
  <si>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</si>
  <si>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</si>
  <si>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</si>
  <si>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</si>
  <si>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</si>
  <si>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</si>
  <si>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</si>
  <si>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</si>
  <si>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</si>
  <si>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</si>
  <si>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</si>
  <si>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</si>
  <si>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</si>
  <si>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</si>
  <si>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</si>
  <si>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</si>
  <si>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</si>
  <si>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</si>
  <si>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</si>
  <si>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</si>
  <si>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</si>
  <si>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</si>
  <si>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</si>
  <si>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</si>
  <si>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</si>
  <si>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</si>
  <si>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</si>
  <si>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</si>
  <si>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</si>
  <si>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</si>
  <si>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</si>
  <si>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</si>
  <si>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</si>
  <si>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</si>
  <si>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</si>
  <si>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</si>
  <si>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</si>
  <si>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</si>
  <si>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</si>
  <si>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</si>
  <si>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</si>
  <si>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</si>
  <si>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</si>
  <si>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</si>
  <si>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</si>
  <si>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</si>
  <si>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</si>
  <si>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</si>
  <si>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</si>
  <si>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</si>
  <si>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</si>
  <si>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</si>
  <si>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</si>
  <si>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</si>
  <si>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</si>
  <si>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</si>
  <si>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</si>
  <si>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</si>
  <si>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</si>
  <si>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</si>
  <si>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</si>
  <si>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</si>
  <si>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</si>
  <si>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</si>
  <si>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</si>
  <si>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</si>
  <si>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</si>
  <si>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</si>
  <si>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</si>
  <si>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</si>
  <si>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</si>
  <si>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</si>
  <si>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</si>
  <si>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</si>
  <si>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</si>
  <si>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</si>
  <si>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</si>
  <si>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</si>
  <si>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</si>
  <si>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</si>
  <si>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</si>
  <si>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</si>
  <si>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</si>
  <si>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</si>
  <si>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</si>
  <si>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</si>
  <si>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</si>
  <si>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</si>
  <si>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</si>
  <si>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</si>
  <si>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</si>
  <si>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</si>
  <si>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</si>
  <si>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</si>
  <si>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</si>
  <si>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</si>
  <si>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</si>
  <si>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</si>
  <si>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</si>
  <si>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</si>
  <si>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</si>
  <si>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</si>
  <si>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</si>
  <si>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</si>
  <si>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</si>
  <si>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</si>
  <si>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</si>
  <si>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</si>
  <si>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</si>
  <si>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</si>
  <si>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</si>
  <si>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</si>
  <si>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</si>
  <si>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</si>
  <si>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</si>
  <si>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</si>
  <si>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</si>
  <si>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</si>
  <si>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</si>
  <si>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</si>
  <si>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</si>
  <si>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</si>
  <si>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</si>
  <si>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</si>
  <si>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</si>
  <si>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</si>
  <si>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</si>
  <si>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</si>
  <si>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</si>
  <si>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</si>
  <si>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</si>
  <si>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</si>
  <si>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</si>
  <si>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</si>
  <si>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</si>
  <si>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</si>
  <si>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</si>
  <si>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</si>
  <si>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</si>
  <si>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</si>
  <si>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</si>
  <si>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</si>
  <si>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</si>
  <si>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</si>
  <si>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</si>
  <si>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</si>
  <si>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</si>
  <si>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</si>
  <si>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</si>
  <si>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</si>
  <si>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</si>
  <si>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</si>
  <si>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</si>
  <si>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</si>
  <si>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</si>
  <si>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</si>
  <si>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</si>
  <si>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</si>
  <si>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</si>
  <si>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</si>
  <si>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</si>
  <si>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</si>
  <si>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</si>
  <si>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</si>
  <si>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</si>
  <si>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</si>
  <si>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</si>
  <si>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</si>
  <si>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</si>
  <si>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</si>
  <si>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</si>
  <si>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</si>
  <si>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</si>
  <si>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</si>
  <si>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</si>
  <si>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</si>
  <si>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</si>
  <si>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</si>
  <si>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</si>
  <si>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</si>
  <si>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</si>
  <si>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</si>
  <si>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</si>
  <si>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</si>
  <si>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</si>
  <si>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</si>
  <si>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</si>
  <si>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</si>
  <si>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</si>
  <si>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</si>
  <si>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</si>
  <si>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</si>
  <si>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</si>
  <si>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</si>
  <si>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</si>
  <si>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</si>
  <si>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</si>
  <si>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</si>
  <si>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</si>
  <si>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</si>
  <si>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</si>
  <si>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</si>
  <si>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</si>
  <si>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</si>
  <si>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</si>
  <si>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</si>
  <si>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</si>
  <si>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</si>
  <si>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</si>
  <si>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</si>
  <si>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</si>
  <si>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</si>
  <si>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</si>
  <si>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</si>
  <si>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</si>
  <si>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</si>
  <si>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</si>
  <si>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</si>
  <si>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</si>
  <si>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</si>
  <si>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</si>
  <si>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</si>
  <si>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</si>
  <si>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</si>
  <si>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</si>
  <si>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</si>
  <si>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</si>
  <si>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</si>
  <si>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</si>
  <si>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</si>
  <si>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</si>
  <si>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</si>
  <si>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</si>
  <si>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</si>
  <si>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</si>
  <si>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</si>
  <si>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</si>
  <si>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</si>
  <si>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</si>
  <si>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</si>
  <si>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</si>
  <si>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</si>
  <si>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</si>
  <si>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</si>
  <si>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</si>
  <si>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</si>
  <si>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</si>
  <si>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</si>
  <si>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</si>
  <si>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</si>
  <si>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</si>
  <si>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</si>
  <si>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</si>
  <si>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</si>
  <si>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</si>
  <si>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</si>
  <si>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</si>
  <si>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</si>
  <si>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</si>
  <si>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</si>
  <si>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</si>
  <si>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</si>
  <si>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</si>
  <si>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</si>
  <si>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</si>
  <si>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</si>
  <si>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</si>
  <si>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</si>
  <si>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</si>
  <si>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</si>
  <si>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</si>
  <si>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</si>
  <si>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</si>
  <si>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</si>
  <si>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</si>
  <si>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</si>
  <si>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</si>
  <si>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</si>
  <si>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</si>
  <si>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</si>
  <si>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</si>
  <si>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</si>
  <si>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</si>
  <si>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</si>
  <si>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</si>
  <si>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</si>
  <si>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</si>
  <si>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</si>
  <si>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</si>
  <si>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</si>
  <si>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</si>
  <si>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</si>
  <si>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</si>
  <si>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</si>
  <si>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</si>
  <si>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</si>
  <si>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</si>
  <si>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</si>
  <si>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</si>
  <si>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</si>
  <si>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</si>
  <si>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</si>
  <si>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</si>
  <si>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</si>
  <si>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</si>
  <si>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</si>
  <si>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</si>
  <si>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</si>
  <si>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</si>
  <si>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</si>
  <si>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</si>
  <si>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</si>
  <si>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</si>
  <si>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</si>
  <si>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</si>
  <si>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</si>
  <si>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</si>
  <si>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</si>
  <si>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</si>
  <si>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</si>
  <si>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</si>
  <si>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</si>
  <si>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</si>
  <si>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</si>
  <si>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</si>
  <si>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</si>
  <si>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</si>
  <si>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</si>
  <si>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</si>
  <si>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</si>
  <si>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</si>
  <si>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</si>
  <si>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</si>
  <si>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</si>
  <si>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</si>
  <si>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</si>
  <si>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</si>
  <si>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</si>
  <si>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</si>
  <si>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</si>
  <si>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</si>
  <si>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</si>
  <si>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</si>
  <si>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</si>
  <si>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</si>
  <si>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</si>
  <si>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</si>
  <si>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</si>
  <si>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</si>
  <si>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</si>
  <si>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</si>
  <si>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</si>
  <si>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</si>
  <si>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</si>
  <si>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</si>
  <si>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</si>
  <si>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</si>
  <si>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</si>
  <si>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</si>
  <si>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</si>
  <si>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</si>
  <si>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</si>
  <si>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</si>
  <si>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</si>
  <si>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</si>
  <si>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</si>
  <si>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</si>
  <si>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</si>
  <si>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</si>
  <si>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</si>
  <si>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</si>
  <si>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</si>
  <si>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</si>
  <si>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</si>
  <si>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</si>
  <si>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</si>
  <si>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</si>
  <si>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</si>
  <si>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</si>
  <si>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</si>
  <si>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</si>
  <si>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</si>
  <si>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</si>
  <si>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</si>
  <si>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</si>
  <si>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</si>
  <si>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</si>
  <si>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</si>
  <si>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</si>
  <si>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</si>
  <si>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</si>
  <si>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</si>
  <si>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</si>
  <si>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</si>
  <si>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</si>
  <si>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</si>
  <si>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</si>
  <si>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</si>
  <si>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</si>
  <si>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</si>
  <si>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</si>
  <si>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</si>
  <si>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</si>
  <si>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</si>
  <si>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</si>
  <si>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</si>
  <si>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</si>
  <si>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</si>
  <si>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</si>
  <si>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</si>
  <si>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</si>
  <si>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</si>
  <si>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</si>
  <si>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</si>
  <si>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</si>
  <si>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</si>
  <si>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</si>
  <si>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</si>
  <si>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</si>
  <si>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</si>
  <si>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</si>
  <si>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</si>
  <si>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</si>
  <si>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</si>
  <si>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</si>
  <si>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</si>
  <si>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</si>
  <si>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</si>
  <si>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</si>
  <si>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</si>
  <si>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</si>
  <si>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</si>
  <si>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</si>
  <si>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</si>
  <si>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</si>
  <si>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</si>
  <si>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</si>
  <si>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</si>
  <si>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</si>
  <si>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</si>
  <si>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</si>
  <si>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</si>
  <si>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</si>
  <si>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</si>
  <si>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</si>
  <si>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</si>
  <si>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</si>
  <si>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</si>
  <si>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</si>
  <si>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</si>
  <si>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</si>
  <si>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</si>
  <si>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</si>
  <si>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</si>
  <si>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</si>
  <si>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</si>
  <si>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</si>
  <si>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</si>
  <si>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</si>
  <si>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</si>
  <si>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</si>
  <si>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</si>
  <si>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</si>
  <si>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</si>
  <si>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</si>
  <si>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</si>
  <si>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</si>
  <si>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</si>
  <si>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</si>
  <si>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</si>
  <si>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</si>
  <si>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</si>
  <si>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</si>
  <si>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</si>
  <si>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</si>
  <si>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</si>
  <si>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</si>
  <si>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</si>
  <si>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</si>
  <si>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</si>
  <si>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</si>
  <si>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</si>
  <si>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</si>
  <si>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</si>
  <si>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</si>
  <si>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</si>
  <si>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</si>
  <si>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</si>
  <si>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</si>
  <si>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</si>
  <si>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</si>
  <si>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</si>
  <si>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</si>
  <si>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</si>
  <si>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</si>
  <si>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</si>
  <si>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</si>
  <si>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</si>
  <si>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</si>
  <si>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</si>
  <si>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</si>
  <si>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</si>
  <si>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</si>
  <si>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</si>
  <si>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</si>
  <si>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</si>
  <si>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</si>
  <si>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</si>
  <si>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</si>
  <si>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</si>
  <si>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</si>
  <si>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</si>
  <si>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</si>
  <si>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</si>
  <si>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</si>
  <si>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</si>
  <si>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</si>
  <si>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</si>
  <si>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</si>
  <si>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</si>
  <si>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</si>
  <si>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</si>
  <si>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</si>
  <si>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</si>
  <si>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</si>
  <si>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</si>
  <si>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</si>
  <si>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</si>
  <si>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</si>
  <si>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</si>
  <si>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</si>
  <si>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</si>
  <si>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</si>
  <si>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</si>
  <si>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</si>
  <si>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</si>
  <si>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</si>
  <si>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</si>
  <si>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</si>
  <si>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</si>
  <si>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</si>
  <si>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</si>
  <si>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</si>
  <si>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</si>
  <si>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</si>
  <si>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</si>
  <si>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</si>
  <si>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</si>
  <si>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</si>
  <si>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</si>
  <si>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</si>
  <si>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</si>
  <si>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</si>
  <si>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</si>
  <si>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</si>
  <si>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</si>
  <si>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</si>
  <si>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</si>
  <si>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</si>
  <si>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</si>
  <si>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</si>
  <si>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</si>
  <si>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</si>
  <si>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</si>
  <si>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</si>
  <si>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</si>
  <si>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</si>
  <si>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</si>
  <si>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</si>
  <si>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</si>
  <si>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</si>
  <si>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</si>
  <si>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</si>
  <si>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</si>
  <si>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</si>
  <si>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</si>
  <si>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</si>
  <si>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</si>
  <si>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</si>
  <si>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</si>
  <si>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</si>
  <si>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</si>
  <si>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</si>
  <si>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</si>
  <si>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</si>
  <si>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</si>
  <si>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</si>
  <si>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</si>
  <si>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</si>
  <si>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</si>
  <si>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</si>
  <si>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</si>
  <si>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</si>
  <si>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</si>
  <si>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</si>
  <si>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</si>
  <si>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</si>
  <si>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</si>
  <si>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</si>
  <si>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</si>
  <si>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</si>
  <si>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</si>
  <si>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</si>
  <si>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</si>
  <si>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</si>
  <si>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</si>
  <si>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</si>
  <si>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</si>
  <si>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</si>
  <si>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</si>
  <si>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</si>
  <si>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</si>
  <si>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</si>
  <si>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</si>
  <si>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</si>
  <si>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</si>
  <si>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</si>
  <si>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</si>
  <si>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</si>
  <si>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</si>
  <si>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</si>
  <si>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</si>
  <si>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</si>
  <si>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</si>
  <si>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</si>
  <si>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</si>
  <si>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</si>
  <si>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</si>
  <si>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</si>
  <si>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</si>
  <si>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</si>
  <si>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</si>
  <si>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</si>
  <si>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</si>
  <si>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</si>
  <si>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</si>
  <si>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</si>
  <si>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</si>
  <si>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</si>
  <si>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</si>
  <si>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</si>
  <si>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</si>
  <si>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</si>
  <si>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</si>
  <si>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</si>
  <si>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</si>
  <si>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</si>
  <si>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</si>
  <si>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</si>
  <si>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</si>
  <si>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</si>
  <si>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</si>
  <si>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</si>
  <si>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</si>
  <si>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</si>
  <si>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</si>
  <si>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</si>
  <si>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</si>
  <si>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</si>
  <si>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</si>
  <si>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</si>
  <si>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</si>
  <si>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</si>
  <si>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</si>
  <si>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</si>
  <si>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</si>
  <si>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</si>
  <si>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</si>
  <si>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</si>
  <si>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</si>
  <si>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</si>
  <si>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</si>
  <si>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</si>
  <si>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</si>
  <si>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</si>
  <si>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</si>
  <si>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</si>
  <si>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</si>
  <si>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</si>
  <si>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</si>
  <si>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</si>
  <si>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</si>
  <si>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</si>
  <si>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</si>
  <si>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</si>
  <si>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</si>
  <si>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</si>
  <si>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</si>
  <si>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</si>
  <si>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</si>
  <si>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</si>
  <si>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</si>
  <si>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</si>
  <si>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</si>
  <si>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</si>
  <si>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</si>
  <si>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</si>
  <si>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</si>
  <si>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</si>
  <si>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</si>
  <si>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</si>
  <si>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</si>
  <si>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</si>
  <si>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</si>
  <si>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</si>
  <si>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</si>
  <si>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</si>
  <si>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</si>
  <si>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</si>
  <si>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</si>
  <si>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</si>
  <si>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</si>
  <si>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</si>
  <si>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</si>
  <si>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</si>
  <si>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</si>
  <si>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</si>
  <si>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</si>
  <si>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</si>
  <si>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</si>
  <si>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</si>
  <si>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</si>
  <si>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</si>
  <si>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</si>
  <si>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</si>
  <si>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</si>
  <si>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</si>
  <si>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</si>
  <si>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</si>
  <si>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</si>
  <si>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</si>
  <si>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</si>
  <si>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</si>
  <si>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</si>
  <si>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</si>
  <si>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</si>
  <si>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</si>
  <si>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</si>
  <si>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</si>
  <si>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</si>
  <si>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</si>
  <si>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</si>
  <si>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</si>
  <si>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</si>
  <si>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</si>
  <si>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</si>
  <si>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</si>
  <si>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</si>
  <si>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</si>
  <si>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</si>
  <si>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</si>
  <si>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</si>
  <si>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</si>
  <si>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</si>
  <si>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</si>
  <si>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</si>
  <si>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</si>
  <si>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</si>
  <si>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</si>
  <si>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</si>
  <si>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</si>
  <si>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</si>
  <si>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</si>
  <si>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</si>
  <si>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</si>
  <si>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</si>
  <si>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</si>
  <si>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</si>
  <si>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</si>
  <si>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</si>
  <si>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</si>
  <si>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</si>
  <si>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</si>
  <si>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</si>
  <si>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</si>
  <si>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</si>
  <si>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</si>
  <si>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</si>
  <si>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</si>
  <si>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</si>
  <si>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</si>
  <si>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</si>
  <si>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</si>
  <si>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</si>
  <si>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</si>
  <si>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</si>
  <si>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</si>
  <si>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</si>
  <si>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</si>
  <si>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</si>
  <si>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</si>
  <si>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</si>
  <si>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</si>
  <si>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</si>
  <si>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</si>
  <si>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</si>
  <si>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</si>
  <si>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</si>
  <si>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</si>
  <si>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</si>
  <si>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</si>
  <si>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</si>
  <si>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</si>
  <si>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</si>
  <si>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</si>
  <si>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</si>
  <si>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</si>
  <si>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</si>
  <si>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</si>
  <si>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</si>
  <si>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</si>
  <si>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</si>
  <si>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</si>
  <si>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</si>
  <si>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</si>
  <si>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</si>
  <si>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</si>
  <si>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</si>
  <si>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</si>
  <si>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</si>
  <si>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</si>
  <si>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</si>
  <si>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</si>
  <si>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</si>
  <si>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</si>
  <si>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</si>
  <si>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</si>
  <si>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</si>
  <si>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</si>
  <si>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</si>
  <si>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</si>
  <si>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</si>
  <si>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</si>
  <si>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</si>
  <si>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</si>
  <si>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</si>
  <si>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</si>
  <si>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</si>
  <si>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</si>
  <si>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</si>
  <si>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</si>
  <si>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</si>
  <si>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</si>
  <si>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</si>
  <si>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</si>
  <si>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</si>
  <si>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</si>
  <si>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</si>
  <si>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</si>
  <si>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</si>
  <si>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</si>
  <si>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</si>
  <si>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</si>
  <si>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</si>
  <si>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</si>
  <si>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</si>
  <si>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</si>
  <si>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</si>
  <si>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</si>
  <si>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</si>
  <si>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</si>
  <si>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</si>
  <si>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</si>
  <si>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</si>
  <si>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</si>
  <si>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</si>
  <si>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</si>
  <si>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</si>
  <si>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</si>
  <si>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</si>
  <si>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</si>
  <si>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</si>
  <si>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</si>
  <si>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</si>
  <si>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</si>
  <si>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</si>
  <si>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</si>
  <si>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</si>
  <si>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</si>
  <si>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</si>
  <si>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</si>
  <si>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</si>
  <si>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</si>
  <si>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</si>
  <si>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</si>
  <si>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</si>
  <si>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</si>
  <si>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</si>
  <si>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</si>
  <si>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</si>
  <si>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</si>
  <si>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</si>
  <si>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</si>
  <si>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</si>
  <si>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</si>
  <si>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</si>
  <si>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</si>
  <si>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</si>
  <si>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</si>
  <si>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</si>
  <si>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</si>
  <si>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</si>
  <si>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</si>
  <si>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</si>
  <si>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</si>
  <si>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</si>
  <si>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</si>
  <si>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</si>
  <si>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</si>
  <si>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</si>
  <si>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</si>
  <si>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</si>
  <si>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</si>
  <si>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</si>
  <si>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</si>
  <si>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</si>
  <si>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</si>
  <si>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</si>
  <si>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</si>
  <si>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</si>
  <si>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</si>
  <si>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</si>
  <si>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</si>
  <si>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</si>
  <si>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</si>
  <si>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</si>
  <si>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</si>
  <si>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</si>
  <si>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</si>
  <si>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</si>
  <si>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</si>
  <si>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</si>
  <si>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</si>
  <si>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</si>
  <si>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</si>
  <si>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</si>
  <si>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</si>
  <si>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</si>
  <si>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</si>
  <si>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</si>
  <si>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</si>
  <si>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</si>
  <si>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</si>
  <si>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</si>
  <si>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</si>
  <si>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</si>
  <si>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</si>
  <si>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</si>
  <si>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</si>
  <si>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</si>
  <si>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</si>
  <si>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</si>
  <si>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</si>
  <si>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</si>
  <si>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</si>
  <si>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</si>
  <si>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</si>
  <si>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</si>
  <si>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</si>
  <si>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</si>
  <si>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</si>
  <si>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</si>
  <si>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</si>
  <si>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</si>
  <si>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</si>
  <si>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</si>
  <si>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</si>
  <si>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</si>
  <si>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</si>
  <si>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</si>
  <si>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</si>
  <si>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</si>
  <si>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</si>
  <si>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</si>
  <si>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</si>
  <si>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</si>
  <si>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</si>
  <si>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</si>
  <si>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</si>
  <si>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</si>
  <si>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</si>
  <si>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</si>
  <si>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</si>
  <si>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</si>
  <si>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</si>
  <si>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</si>
  <si>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</si>
  <si>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</si>
  <si>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</si>
  <si>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</si>
  <si>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</si>
  <si>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</si>
  <si>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</si>
  <si>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</si>
  <si>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</si>
  <si>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</si>
  <si>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</si>
  <si>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</si>
  <si>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</si>
  <si>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</si>
  <si>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</si>
  <si>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</si>
  <si>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</si>
  <si>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</si>
  <si>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</si>
  <si>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</si>
  <si>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</si>
  <si>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</si>
  <si>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</si>
  <si>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</si>
  <si>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</si>
  <si>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</si>
  <si>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</si>
  <si>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</si>
  <si>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</si>
  <si>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</si>
  <si>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</si>
  <si>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</si>
  <si>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</si>
  <si>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</si>
  <si>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</si>
  <si>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</si>
  <si>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</si>
  <si>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</si>
  <si>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</si>
  <si>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</si>
  <si>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</si>
  <si>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</si>
  <si>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</si>
  <si>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</si>
  <si>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</si>
  <si>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</si>
  <si>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</si>
  <si>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</si>
  <si>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</si>
  <si>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</si>
  <si>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</si>
  <si>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</si>
  <si>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</si>
  <si>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</si>
  <si>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</si>
  <si>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</si>
  <si>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</si>
  <si>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</si>
  <si>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</si>
  <si>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</si>
  <si>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</si>
  <si>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</si>
  <si>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</si>
  <si>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</si>
  <si>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</si>
  <si>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</si>
  <si>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</si>
  <si>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</si>
  <si>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</si>
  <si>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</si>
  <si>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</si>
  <si>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</si>
  <si>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</si>
  <si>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</si>
  <si>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</si>
  <si>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</si>
  <si>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</si>
  <si>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</si>
  <si>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</si>
  <si>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</si>
  <si>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</si>
  <si>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</si>
  <si>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</si>
  <si>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</si>
  <si>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</si>
  <si>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</si>
  <si>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</si>
  <si>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</si>
  <si>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</si>
  <si>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</si>
  <si>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</si>
  <si>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</si>
  <si>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</si>
  <si>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</si>
  <si>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</si>
  <si>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</si>
  <si>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</si>
  <si>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</si>
  <si>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</si>
  <si>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</si>
  <si>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</si>
  <si>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</si>
  <si>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</si>
  <si>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</si>
  <si>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</si>
  <si>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</si>
  <si>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</si>
  <si>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</si>
  <si>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</si>
  <si>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</si>
  <si>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</si>
  <si>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</si>
  <si>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</si>
  <si>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</si>
  <si>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</si>
  <si>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</si>
  <si>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</si>
  <si>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</si>
  <si>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</si>
  <si>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</si>
  <si>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</si>
  <si>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</si>
  <si>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</si>
  <si>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</si>
  <si>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</si>
  <si>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</si>
  <si>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</si>
  <si>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</si>
  <si>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</si>
  <si>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</si>
  <si>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</si>
  <si>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</si>
  <si>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</si>
  <si>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</si>
  <si>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</si>
  <si>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</si>
  <si>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</si>
  <si>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</si>
  <si>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</si>
  <si>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</si>
  <si>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</si>
  <si>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</si>
  <si>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</si>
  <si>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</si>
  <si>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</si>
  <si>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</si>
  <si>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</si>
  <si>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</si>
  <si>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</si>
  <si>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</si>
  <si>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</si>
  <si>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</si>
  <si>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</si>
  <si>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</si>
  <si>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</si>
  <si>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</si>
  <si>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</si>
  <si>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</si>
  <si>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</si>
  <si>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</si>
  <si>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</si>
  <si>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</si>
  <si>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</si>
  <si>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</si>
  <si>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</si>
  <si>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</si>
  <si>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</si>
  <si>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</si>
  <si>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</si>
  <si>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</si>
  <si>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</si>
  <si>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</si>
  <si>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</si>
  <si>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</si>
  <si>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</si>
  <si>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</si>
  <si>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</si>
  <si>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</si>
  <si>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</si>
  <si>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</si>
  <si>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</si>
  <si>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</si>
  <si>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</si>
  <si>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</si>
  <si>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</si>
  <si>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</si>
  <si>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</si>
  <si>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</si>
  <si>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</si>
  <si>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</si>
  <si>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</si>
  <si>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</si>
  <si>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</si>
  <si>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</si>
  <si>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</si>
  <si>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</si>
  <si>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</si>
  <si>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</si>
  <si>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</si>
  <si>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</si>
  <si>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</si>
  <si>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</si>
  <si>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</si>
  <si>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</si>
  <si>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</si>
  <si>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</si>
  <si>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</si>
  <si>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</si>
  <si>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</si>
  <si>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</si>
  <si>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</si>
  <si>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</si>
  <si>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</si>
  <si>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</si>
  <si>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</si>
  <si>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</si>
  <si>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</si>
  <si>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</si>
  <si>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</si>
  <si>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</si>
  <si>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</si>
  <si>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</si>
  <si>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</si>
  <si>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</si>
  <si>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骑御中</t>
  </si>
  <si>
    <t>骑御</t>
  </si>
  <si>
    <t>#FFFF0000</t>
  </si>
  <si>
    <t>#FFFF00</t>
  </si>
  <si>
    <t>塔内</t>
  </si>
  <si>
    <t>被防御塔瞄准</t>
  </si>
  <si>
    <t>153,26,26,</t>
  </si>
  <si>
    <t>弹射</t>
  </si>
  <si>
    <t>家园卫士出门抗摔</t>
  </si>
  <si>
    <t>隐匿草丛</t>
  </si>
  <si>
    <t>藏</t>
  </si>
  <si>
    <t>#FFCC00FF</t>
  </si>
  <si>
    <t>#FFCC00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</si>
  <si>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</si>
  <si>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</si>
  <si>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</si>
  <si>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</si>
  <si>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</si>
  <si>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</si>
  <si>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</si>
  <si>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</si>
  <si>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</si>
  <si>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</si>
  <si>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</si>
  <si>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255,127,255,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</si>
  <si>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</si>
  <si>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</si>
  <si>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</si>
  <si>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</si>
  <si>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#FF80FFFF</t>
  </si>
  <si>
    <t>#FF80FF</t>
  </si>
  <si>
    <t>{nClass=2,nIcon=16300,nFrame=5,nTime=2,szName="经脉受损·已经移除",key="经脉受损",},</t>
  </si>
  <si>
    <t>主城的数据</t>
  </si>
  <si>
    <t>消极参战</t>
  </si>
  <si>
    <t>逃</t>
  </si>
  <si>
    <t>门派的数据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</si>
  <si>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</si>
  <si>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</si>
  <si>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</si>
  <si>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</si>
  <si>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</si>
  <si>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</si>
  <si>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</si>
  <si>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</si>
  <si>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</si>
  <si>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</si>
  <si>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</si>
  <si>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</si>
  <si>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</si>
  <si>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</si>
  <si>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</si>
  <si>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</si>
  <si>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</si>
  <si>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</si>
  <si>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</si>
  <si>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</si>
  <si>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</si>
  <si>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</si>
  <si>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</si>
  <si>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</si>
  <si>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</si>
  <si>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</si>
  <si>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</si>
  <si>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</si>
  <si>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</si>
  <si>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</si>
  <si>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</si>
  <si>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</si>
  <si>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</si>
  <si>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帮会联赛·闻千瞬</t>
  </si>
  <si>
    <t>{dwMapID=-1,szDisplay="闻千瞬·争霸赛",nMaxDistance=6,tRelation={bAll=true,bEnemy=false,bAlly=false,},tLife={bEnable=false,szOperator="&gt;",nValue=0,},},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</si>
  <si>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</si>
  <si>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</si>
  <si>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</si>
  <si>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</si>
  <si>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</si>
  <si>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</si>
  <si>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</si>
  <si>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红方箭塔</t>
  </si>
  <si>
    <t>{dwMapID=-1,nMaxDistance=-1,tRelation={bAll=true,bEnemy=false,bAlly=false,},tLife={bEnable=true,szOperator="==",nValue=100,},},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</si>
  <si>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</si>
  <si>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</si>
  <si>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</si>
  <si>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</si>
  <si>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</si>
  <si>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</si>
  <si>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</si>
  <si>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</si>
  <si>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</si>
  <si>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</si>
  <si>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</si>
  <si>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</si>
  <si>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</si>
  <si>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</si>
  <si>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</si>
  <si>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蓝方箭塔</t>
  </si>
  <si>
    <t>{dwMapID=-1,nMaxDistance=-1,tRelation={bAll=true,bEnemy=false,bAlly=false,},tLife={bEnable=false,szOperator="==",nValue=100,},},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</si>
  <si>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</si>
  <si>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</si>
  <si>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</si>
  <si>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</si>
  <si>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</si>
  <si>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</t>
  </si>
  <si>
    <t>蓝方泽渊大旗</t>
  </si>
  <si>
    <t>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</si>
  <si>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</si>
  <si>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</si>
  <si>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</si>
  <si>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</si>
  <si>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</si>
  <si>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</si>
  <si>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</si>
  <si>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</si>
  <si>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</si>
  <si>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</si>
  <si>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麒麟珠</t>
  </si>
  <si>
    <t>50,255,255,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</si>
  <si>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</si>
  <si>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</si>
  <si>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</si>
  <si>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</si>
  <si>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</si>
  <si>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</si>
  <si>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</si>
  <si>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</si>
  <si>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</si>
  <si>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</si>
  <si>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</si>
  <si>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</si>
  <si>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</si>
  <si>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</si>
  <si>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联赛八强服务器宝堆</t>
  </si>
  <si>
    <t>{dwMapID=-1,szDisplay="联赛·八强·宝堆",nMaxDistance=20,tRelation={bAll=true,bEnemy=false,bAlly=false,},tLife={bEnable=false,szOperator="&gt;",nValue=0,},},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</si>
  <si>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</si>
  <si>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</si>
  <si>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</si>
  <si>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</si>
  <si>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</si>
  <si>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</si>
  <si>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联赛冠军服务器宝堆</t>
  </si>
  <si>
    <t>{dwMapID=-1,szDisplay="联赛·冠军·宝堆",nMaxDistance=20,tRelation={bAll=true,bEnemy=false,bAlly=false,},tLife={bEnable=false,szOperator="&gt;",nValue=0,},},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</si>
  <si>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</si>
  <si>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</si>
  <si>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</si>
  <si>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</si>
  <si>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</si>
  <si>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</si>
  <si>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</si>
  <si>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</si>
  <si>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</si>
  <si>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</si>
  <si>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</si>
  <si>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</si>
  <si>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[帮会总管]邵卿城：诸位兄弟，愿此行战无不胜，扬我帮威！</t>
  </si>
  <si>
    <t>武林争霸赛·已经报名</t>
  </si>
  <si>
    <t>{nClass=14,nIcon=13,nFrame=6,nTime=10,szName="武林争霸赛·已经报名",nRefresh=1,key="武林争霸赛",},</t>
  </si>
  <si>
    <t>【武林争霸赛】本届武林争霸赛正式已开启！风起云涌，一朝闻名天下知！已报名的帮会侠士，可前往各大主城或各门派，闻千瞬处对话进入参与对决！！！帮会帮主及核心成员优先进入，以免造成不便！！！</t>
  </si>
  <si>
    <t>武林争霸赛·正式开启</t>
  </si>
  <si>
    <t>{nClass=14,nIcon=13,nFrame=6,nTime=10,szName="武林争霸赛·正式开启",nRefresh=1,key="武林争霸赛",},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</si>
  <si>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</si>
  <si>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</si>
  <si>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</si>
  <si>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^取消报名：【(.-)】已取消武林争霸赛【(.-)】场次的报名！！！请检查在线人数，抓紧时间再次报名！！！</t>
  </si>
  <si>
    <t>[{$1}]·取消报名·《武林争霸赛·{$2}》</t>
  </si>
  <si>
    <t>{nClass=14,nIcon=13,nFrame=2,nTime="30,取消报名·武林争霸赛·{$2};40,注意·重新报名·武林争霸赛",szName="取消报名·武林争霸赛·{$2}",nRefresh=0,key="武林争霸赛",},</t>
  </si>
  <si>
    <t>敌方拾取麒麟珠\n</t>
  </si>
  <si>
    <t>敌方·获得·麒麟珠</t>
  </si>
  <si>
    <t>{nClass=14,nIcon=2673,nFrame=0,nTime="5,敌方获得·麒麟珠·资源+500;240,敌方·麒麟佑·增益剩余;250,敌方·麒麟佑·增益消失;360,九渊麒麟·刷新剩余;365,九渊麒麟·已经刷新",szName="九渊麒麟·刷新剩余",nRefresh=0,key="九渊麒麟",},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</si>
  <si>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我方拾取麒麟珠\n</t>
  </si>
  <si>
    <t>我方·获得·麒麟珠</t>
  </si>
  <si>
    <t>{nClass=14,nIcon=2673,nFrame=0,nTime="5,我方获得·麒麟珠·资源+500;240,我方·麒麟佑·增益剩余;250,我方·麒麟佑·增益消失;360,九渊麒麟·刷新剩余;365,九渊麒麟·已经刷新",szName="九渊麒麟·刷新剩余",nRefresh=0,key="九渊麒麟",},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</si>
  <si>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</t>
  </si>
  <si>
    <t>蓝方·击伤·九渊麒麟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</si>
  <si>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</si>
  <si>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红方成功击败了九渊麒麟</t>
  </si>
  <si>
    <t>红方·击伤·九渊麒麟</t>
  </si>
  <si>
    <t>我方大旗已被摧毁，本场比赛结束！</t>
  </si>
  <si>
    <t>{nClass=14,nIcon=13,nFrame=0,nTime=30,szName="本场比赛·失利",key="战斗开始",},</t>
  </si>
  <si>
    <t>成功摧毁敌方大旗，您获得本场比赛胜利！</t>
  </si>
  <si>
    <t>{nClass=14,nIcon=13,nFrame=0,nTime=30,szName="本场比赛·胜利",key="战斗开始",},</t>
  </si>
  <si>
    <t>我方第(%d-)次鼓舞士气成功！</t>
  </si>
  <si>
    <t>鼓舞士气·{$1}次</t>
  </si>
  <si>
    <t>{nClass=14,nIcon=13,nFrame=6,nTime=10,szName="我方·鼓舞士气·{$1}次",key="鼓舞士气",},</t>
  </si>
  <si>
    <t>return {CHAT={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</si>
  <si>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</si>
  <si>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</si>
  <si>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</si>
  <si>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</si>
  <si>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</si>
  <si>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</si>
  <si>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</si>
  <si>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</si>
  <si>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</si>
  <si>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蓝方成功开启全局迷雾视野\n</t>
  </si>
  <si>
    <t>{nClass=20,nIcon=25111,nFrame=7,nTime="30,蓝方·全局视野·剩余时间;180,蓝方·全局视野·CD;185,蓝方·全局视野·就绪",szName="蓝方·全局视野",nRefresh=0,key="蓝方·全局视野",},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</si>
  <si>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</si>
  <si>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</si>
  <si>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</si>
  <si>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</si>
  <si>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</si>
  <si>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</si>
  <si>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</si>
  <si>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</si>
  <si>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</si>
  <si>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红方成功开启全局迷雾视野\n</t>
  </si>
  <si>
    <t>{nClass=20,nIcon=25109,nFrame=3,nTime="30,红方·全局视野·剩余时间;180,红方·全局视野·CD;185,红方·全局视野·就绪",szName="红方·全局视野",nRefresh=0,key="红方·全局视野",},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</si>
  <si>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</si>
  <si>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</si>
  <si>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蓝方成功击败了九渊麒麟\n</t>
  </si>
  <si>
    <t>{nClass=20,nIcon=2673,nFrame=8,nTime="180,麒麟珠·拾取剩余;185,麒麟珠·已经消失;540,九渊麒麟·刷新剩余;545,九渊麒麟·已经刷新",szName="麒麟珠·拾取剩余",nRefresh=0,key="九渊麒麟",},</t>
  </si>
  <si>
    <t>红方成功击败了九渊麒麟\n</t>
  </si>
  <si>
    <t>敌方箭塔被摧毁\n</t>
  </si>
  <si>
    <t>{nClass=20,nIcon=3738,nFrame=3,nTime=10,szName="敌方·箭塔·已被摧毁",key="敌方箭塔",},</t>
  </si>
  <si>
    <t>我方箭塔被摧毁\n</t>
  </si>
  <si>
    <t>{nClass=20,nIcon=3738,nFrame=2,nTime=10,szName="我方·箭塔·已被摧毁",key="我方箭塔",},</t>
  </si>
  <si>
    <t>我方(.-)路(.-)塔箭塔被攻击</t>
  </si>
  <si>
    <t>{nClass=20,nIcon=3736,nFrame=1,nTime=10,szName="我方·{$1}路·{$2}塔·遭到攻击",key="我方·{$1}·{$2}",},</t>
  </si>
  <si>
    <t>我方大旗遭到攻击\n</t>
  </si>
  <si>
    <t>{nClass=20,nIcon=592,nFrame=2,nTime=10,szName="我方·大旗·遭到攻击",key="我方大旗",},</t>
  </si>
  <si>
    <t>九渊麒麟已重生！\n</t>
  </si>
  <si>
    <t>九渊麒麟·已经刷新</t>
  </si>
  <si>
    <t>{nClass=20,nIcon=2673,nFrame=1,nTime=5,szName="九渊麒麟·已经刷新",key="九渊麒麟",},</t>
  </si>
  <si>
    <t>小麻雀收取了你九十九银。\n</t>
  </si>
  <si>
    <t>麻雀·传送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</si>
  <si>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</si>
  <si>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</si>
  <si>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</si>
  <si>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</si>
  <si>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</si>
  <si>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</si>
  <si>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</si>
  <si>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</si>
  <si>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</si>
  <si>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</si>
  <si>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</si>
  <si>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</si>
  <si>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</si>
  <si>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</si>
  <si>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</si>
  <si>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</si>
  <si>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</si>
  <si>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</si>
  <si>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</si>
  <si>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</si>
  <si>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</si>
  <si>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</si>
  <si>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</si>
  <si>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</si>
  <si>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未到报名时间，或请重新打开界面!\n</t>
  </si>
  <si>
    <t>武林争霸赛·未到报名时间</t>
  </si>
  <si>
    <t>{nClass=20,nIcon=13,nFrame=4,nTime=10,szName="武林争霸赛·未到报名时间",key="武林争霸赛",},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</si>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</sst>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1788703819000,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workbookViewId="0">
      <selection activeCell="B20" sqref="B20"/>
    </sheetView>
  </sheetViews>
  <sheetFormatPr defaultColWidth="9" defaultRowHeight="13.5" outlineLevelRow="7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8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244</v>
      </c>
      <c r="D3">
        <v>1</v>
      </c>
      <c r="G3" t="s">
        <v>1517</v>
      </c>
      <c r="K3" t="s">
        <v>1518</v>
      </c>
      <c r="L3" t="s">
        <v>604</v>
      </c>
      <c r="S3">
        <v>1</v>
      </c>
      <c r="W3">
        <v>1</v>
      </c>
      <c r="AI3">
        <v>40</v>
      </c>
      <c r="AJ3" t="s">
        <v>1519</v>
      </c>
      <c r="AK3" t="s">
        <v>1520</v>
      </c>
      <c r="AL3">
        <v>0</v>
      </c>
      <c r="AO3">
        <v>1</v>
      </c>
      <c r="AQ3" t="str">
        <f t="shared" si="0"/>
        <v>{dwID=244,nLevel=1,szName="骑御中",szNote="骑御",col={255,255,0,},[1]={bScreenHead=true,bTeamPanel=true,},[2]={},aCataclysmBuff={{nPriority=40,col="#FFFF0000",colScreenHead="#FFFF00",bScreenHead=true,},},},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{dwID=29048,nLevel=1,nIcon=3293,szName="塔内",nScrutinyType=1,szNote="被防御塔瞄准",col={153,26,26,},[1]={bBuffList=true,bFullScreen=true,},[2]={},},</v>
      </c>
    </row>
    <row r="5" spans="1:44">
      <c r="C5">
        <v>29019</v>
      </c>
      <c r="D5">
        <v>1</v>
      </c>
      <c r="F5">
        <v>4573</v>
      </c>
      <c r="G5" t="s">
        <v>1524</v>
      </c>
      <c r="I5">
        <v>1</v>
      </c>
      <c r="K5" t="s">
        <v>1525</v>
      </c>
      <c r="U5">
        <v>1</v>
      </c>
      <c r="AQ5" t="str">
        <f t="shared" si="0"/>
        <v>{dwID=29019,nLevel=1,nIcon=4573,szName="弹射",nScrutinyType=1,szNote="家园卫士出门抗摔",[1]={bBuffList=true,},[2]={},},</v>
      </c>
    </row>
    <row r="6" spans="1:44">
      <c r="C6">
        <v>29097</v>
      </c>
      <c r="D6">
        <v>1</v>
      </c>
      <c r="K6" t="s">
        <v>1526</v>
      </c>
      <c r="L6" t="s">
        <v>668</v>
      </c>
      <c r="S6">
        <v>1</v>
      </c>
      <c r="U6">
        <v>1</v>
      </c>
      <c r="W6">
        <v>1</v>
      </c>
      <c r="AH6" t="s">
        <v>1527</v>
      </c>
      <c r="AI6">
        <v>3</v>
      </c>
      <c r="AJ6" t="s">
        <v>1528</v>
      </c>
      <c r="AK6" t="s">
        <v>1529</v>
      </c>
      <c r="AL6">
        <v>255</v>
      </c>
      <c r="AM6">
        <v>1</v>
      </c>
      <c r="AO6">
        <v>1</v>
      </c>
      <c r="AQ6" t="str">
        <f t="shared" si="0"/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7" spans="1:44">
      <c r="AQ7" t="str">
        <f t="shared" si="0"/>
        <v>},},}</v>
      </c>
    </row>
    <row r="8" spans="1:44">
      <c r="AQ8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2"/>
  <sheetViews>
    <sheetView tabSelected="1" topLeftCell="V1" workbookViewId="0">
      <selection activeCell="AQ4" sqref="AQ4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1530</v>
      </c>
      <c r="AR1" t="s">
        <v>316</v>
      </c>
    </row>
    <row r="2" spans="1:45">
      <c r="A2" t="s">
        <v>1516</v>
      </c>
      <c r="B2">
        <v>689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1531</v>
      </c>
      <c r="L3" t="s">
        <v>1532</v>
      </c>
      <c r="AQ3" t="str">
        <f t="shared" ref="AQ3:AQ12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1533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1534</v>
      </c>
      <c r="L5" t="s">
        <v>658</v>
      </c>
      <c r="S5">
        <v>1</v>
      </c>
      <c r="U5">
        <v>1</v>
      </c>
      <c r="W5">
        <v>1</v>
      </c>
      <c r="AH5" t="s">
        <v>1535</v>
      </c>
      <c r="AI5">
        <v>15</v>
      </c>
      <c r="AJ5" t="s">
        <v>1536</v>
      </c>
      <c r="AK5" t="s">
        <v>1537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1538</v>
      </c>
    </row>
    <row r="6" spans="1:45">
      <c r="C6">
        <v>29176</v>
      </c>
      <c r="D6">
        <v>1</v>
      </c>
      <c r="G6" t="s">
        <v>1539</v>
      </c>
      <c r="I6">
        <v>1</v>
      </c>
      <c r="K6" t="s">
        <v>1540</v>
      </c>
      <c r="L6" t="s">
        <v>1541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1542</v>
      </c>
      <c r="AS6" t="s">
        <v>1543</v>
      </c>
    </row>
    <row r="7" spans="1:45">
      <c r="C7">
        <v>29080</v>
      </c>
      <c r="D7">
        <v>1</v>
      </c>
      <c r="G7" t="s">
        <v>1544</v>
      </c>
      <c r="I7">
        <v>1</v>
      </c>
      <c r="K7" t="s">
        <v>1545</v>
      </c>
      <c r="L7" t="s">
        <v>1541</v>
      </c>
      <c r="U7">
        <v>1</v>
      </c>
      <c r="W7">
        <v>1</v>
      </c>
      <c r="AI7">
        <v>37</v>
      </c>
      <c r="AJ7" t="s">
        <v>1546</v>
      </c>
      <c r="AK7" t="s">
        <v>1547</v>
      </c>
      <c r="AL7">
        <v>255</v>
      </c>
      <c r="AQ7" t="str">
        <f t="shared" si="0"/>
        <v>{dwID=29080,nLevel=1,szName="易伤",nScrutinyType=1,szNote="经脉受损",col={255,127,255,},[1]={bBuffList=true,bTeamPanel=true,},[2]={},aCataclysmBuff={{nPriority=37,col="#FF80FFFF",colScreenHead="#FF80FF",nColAlpha=255,},},tCountdown={{nClass=2,nIcon=16300,nFrame=5,nTime=2,szName="经脉受损·已经移除",key="经脉受损",},},},</v>
      </c>
      <c r="AR7" t="s">
        <v>1548</v>
      </c>
    </row>
    <row r="8" spans="1:45">
      <c r="A8" t="s">
        <v>1549</v>
      </c>
      <c r="B8">
        <v>-2</v>
      </c>
      <c r="AQ8" t="str">
        <f t="shared" si="0"/>
        <v>},[-2]={</v>
      </c>
    </row>
    <row r="9" spans="1:45">
      <c r="C9">
        <v>18913</v>
      </c>
      <c r="D9">
        <v>1</v>
      </c>
      <c r="I9">
        <v>2</v>
      </c>
      <c r="K9" t="s">
        <v>1550</v>
      </c>
      <c r="U9">
        <v>1</v>
      </c>
      <c r="W9">
        <v>1</v>
      </c>
      <c r="AH9" t="s">
        <v>1551</v>
      </c>
      <c r="AI9">
        <v>43</v>
      </c>
      <c r="AQ9" t="str">
        <f t="shared" si="0"/>
        <v>{dwID=18913,nLevel=1,nScrutinyType=2,szNote="消极参战",[1]={bBuffList=true,bTeamPanel=true,},[2]={},aCataclysmBuff={{szReminder="逃",nPriority=43,},},},</v>
      </c>
    </row>
    <row r="10" customFormat="1" spans="1:45">
      <c r="A10" t="s">
        <v>1552</v>
      </c>
      <c r="B10">
        <v>-21</v>
      </c>
      <c r="AQ10" t="str">
        <f t="shared" si="0"/>
        <v>},[-21]={</v>
      </c>
    </row>
    <row r="11" customFormat="1" spans="1:45">
      <c r="C11">
        <v>18913</v>
      </c>
      <c r="D11">
        <v>1</v>
      </c>
      <c r="I11">
        <v>2</v>
      </c>
      <c r="K11" t="s">
        <v>1550</v>
      </c>
      <c r="U11">
        <v>1</v>
      </c>
      <c r="W11">
        <v>1</v>
      </c>
      <c r="AH11" t="s">
        <v>1551</v>
      </c>
      <c r="AI11">
        <v>43</v>
      </c>
      <c r="AQ11" t="str">
        <f t="shared" si="0"/>
        <v>{dwID=18913,nLevel=1,nScrutinyType=2,szNote="消极参战",[1]={bBuffList=true,bTeamPanel=true,},[2]={},aCataclysmBuff={{szReminder="逃",nPriority=43,},},},</v>
      </c>
    </row>
    <row r="12" spans="1:45">
      <c r="AQ12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"/>
  <sheetViews>
    <sheetView workbookViewId="0">
      <selection activeCell="H40" sqref="H40"/>
    </sheetView>
  </sheetViews>
  <sheetFormatPr defaultColWidth="9" defaultRowHeight="13.5" outlineLevelRow="5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1553</v>
      </c>
      <c r="M1" t="s">
        <v>1554</v>
      </c>
      <c r="N1" t="s">
        <v>1555</v>
      </c>
      <c r="O1" t="s">
        <v>1556</v>
      </c>
      <c r="P1" t="s">
        <v>1557</v>
      </c>
      <c r="Q1" t="s">
        <v>1558</v>
      </c>
      <c r="R1" t="s">
        <v>1559</v>
      </c>
      <c r="S1" t="s">
        <v>1560</v>
      </c>
      <c r="T1" t="s">
        <v>1561</v>
      </c>
      <c r="U1" t="s">
        <v>1562</v>
      </c>
      <c r="V1" t="s">
        <v>1563</v>
      </c>
      <c r="W1" t="s">
        <v>1564</v>
      </c>
      <c r="X1" t="s">
        <v>1565</v>
      </c>
      <c r="Y1" t="s">
        <v>316</v>
      </c>
    </row>
    <row r="2" spans="1:25">
      <c r="A2" t="s">
        <v>1516</v>
      </c>
      <c r="B2">
        <v>689</v>
      </c>
      <c r="X2" t="str">
        <f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1566</v>
      </c>
      <c r="X3" t="str">
        <f>IF(ISBLANK(B3)=FALSE,IF(ISBLANK(B2),"},["&amp;B3&amp;"]={","["&amp;B3&amp;"]={"),IF(AND(ISBLANK(B3),ISBLANK(C3),ISBLANK(D3),OR(ISBLANK(B2)=FALSE,ISBLANK(C2)=FALSE,ISBLANK(D2)=FALSE)),"},},}",IF(ISBLANK(C3),"","{dwID="&amp;C3&amp;","&amp;"nLevel="&amp;D3&amp;","&amp;IF(E3&gt;0,"nIcon="&amp;E3&amp;",","")&amp;IF(F3&lt;&gt;"","szName="""&amp;F3&amp;""",","")&amp;IF(G3&gt;0,"bCheckLevel=true"&amp;",","")&amp;IF(H3&gt;0,"nScrutinyType="&amp;H3&amp;",","")&amp;IF(I3&lt;&gt;"","tKungFu={"&amp;I3&amp;"},","")&amp;IF(J3&lt;&gt;"","szNote="""&amp;J3&amp;""",","")&amp;IF(K3&lt;&gt;"","col={"&amp;K3&amp;"},","")&amp;"[9]={"&amp;IF(L3&lt;&gt;"","tMark={"&amp;L3&amp;"},","")&amp;IF(M3&lt;&gt;"","szVoice="""&amp;M3&amp;""",","")&amp;IF(N3&gt;0,"bTeamChannel=true,","")&amp;IF(O3&gt;0,"bWhisperChannel=true,","")&amp;IF(P3&gt;0,"bCenterAlarm=true,","")&amp;"},"&amp;"[8]={"&amp;IF(Q3&lt;&gt;"","tMark={"&amp;Q3&amp;"},","")&amp;IF(R3&lt;&gt;"","szVoice="""&amp;R3&amp;""",","")&amp;IF(S3&gt;0,"bTeamChannel=true,","")&amp;IF(T3&gt;0,"bWhisperChannel=true,","")&amp;IF(U3&gt;0,"bCenterAlarm=true,","")&amp;IF(V3&gt;0,"bScreenHead=true,","")&amp;IF(W3&gt;0,"bFullScreen=true,","")&amp;"},"&amp;IF(Y3&lt;&gt;"","tCountdown={"&amp;_xlfn.TEXTJOIN("",TRUE,Y3:AAC3)&amp;"},","")&amp;"},")))</f>
        <v>{dwID=38265,nLevel=1,szNote="扫尾",[9]={},[8]={},tCountdown={{nClass=8,nIcon=13,nFrame=5,nTime=3,szName="九渊麒麟·扫尾",key="九渊麒麟·技能",},},},</v>
      </c>
      <c r="Y3" t="s">
        <v>1567</v>
      </c>
    </row>
    <row r="4" spans="1:25">
      <c r="C4">
        <v>38263</v>
      </c>
      <c r="D4">
        <v>1</v>
      </c>
      <c r="J4" t="s">
        <v>1568</v>
      </c>
      <c r="X4" t="str">
        <f>IF(ISBLANK(B4)=FALSE,IF(ISBLANK(B3),"},["&amp;B4&amp;"]={","["&amp;B4&amp;"]={"),IF(AND(ISBLANK(B4),ISBLANK(C4),ISBLANK(D4),OR(ISBLANK(B3)=FALSE,ISBLANK(C3)=FALSE,ISBLANK(D3)=FALSE)),"},},}",IF(ISBLANK(C4),"","{dwID="&amp;C4&amp;","&amp;"nLevel="&amp;D4&amp;","&amp;IF(E4&gt;0,"nIcon="&amp;E4&amp;",","")&amp;IF(F4&lt;&gt;"","szName="""&amp;F4&amp;""",","")&amp;IF(G4&gt;0,"bCheckLevel=true"&amp;",","")&amp;IF(H4&gt;0,"nScrutinyType="&amp;H4&amp;",","")&amp;IF(I4&lt;&gt;"","tKungFu={"&amp;I4&amp;"},","")&amp;IF(J4&lt;&gt;"","szNote="""&amp;J4&amp;""",","")&amp;IF(K4&lt;&gt;"","col={"&amp;K4&amp;"},","")&amp;"[9]={"&amp;IF(L4&lt;&gt;"","tMark={"&amp;L4&amp;"},","")&amp;IF(M4&lt;&gt;"","szVoice="""&amp;M4&amp;""",","")&amp;IF(N4&gt;0,"bTeamChannel=true,","")&amp;IF(O4&gt;0,"bWhisperChannel=true,","")&amp;IF(P4&gt;0,"bCenterAlarm=true,","")&amp;"},"&amp;"[8]={"&amp;IF(Q4&lt;&gt;"","tMark={"&amp;Q4&amp;"},","")&amp;IF(R4&lt;&gt;"","szVoice="""&amp;R4&amp;""",","")&amp;IF(S4&gt;0,"bTeamChannel=true,","")&amp;IF(T4&gt;0,"bWhisperChannel=true,","")&amp;IF(U4&gt;0,"bCenterAlarm=true,","")&amp;IF(V4&gt;0,"bScreenHead=true,","")&amp;IF(W4&gt;0,"bFullScreen=true,","")&amp;"},"&amp;IF(Y4&lt;&gt;"","tCountdown={"&amp;_xlfn.TEXTJOIN("",TRUE,Y4:AAC4)&amp;"},","")&amp;"},")))</f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1569</v>
      </c>
    </row>
    <row r="5" spans="1:25">
      <c r="C5">
        <v>38264</v>
      </c>
      <c r="D5">
        <v>1</v>
      </c>
      <c r="J5" t="s">
        <v>1570</v>
      </c>
      <c r="X5" t="str">
        <f>IF(ISBLANK(B5)=FALSE,IF(ISBLANK(B4),"},["&amp;B5&amp;"]={","["&amp;B5&amp;"]={"),IF(AND(ISBLANK(B5),ISBLANK(C5),ISBLANK(D5),OR(ISBLANK(B4)=FALSE,ISBLANK(C4)=FALSE,ISBLANK(D4)=FALSE)),"},},}",IF(ISBLANK(C5),"","{dwID="&amp;C5&amp;","&amp;"nLevel="&amp;D5&amp;","&amp;IF(E5&gt;0,"nIcon="&amp;E5&amp;",","")&amp;IF(F5&lt;&gt;"","szName="""&amp;F5&amp;""",","")&amp;IF(G5&gt;0,"bCheckLevel=true"&amp;",","")&amp;IF(H5&gt;0,"nScrutinyType="&amp;H5&amp;",","")&amp;IF(I5&lt;&gt;"","tKungFu={"&amp;I5&amp;"},","")&amp;IF(J5&lt;&gt;"","szNote="""&amp;J5&amp;""",","")&amp;IF(K5&lt;&gt;"","col={"&amp;K5&amp;"},","")&amp;"[9]={"&amp;IF(L5&lt;&gt;"","tMark={"&amp;L5&amp;"},","")&amp;IF(M5&lt;&gt;"","szVoice="""&amp;M5&amp;""",","")&amp;IF(N5&gt;0,"bTeamChannel=true,","")&amp;IF(O5&gt;0,"bWhisperChannel=true,","")&amp;IF(P5&gt;0,"bCenterAlarm=true,","")&amp;"},"&amp;"[8]={"&amp;IF(Q5&lt;&gt;"","tMark={"&amp;Q5&amp;"},","")&amp;IF(R5&lt;&gt;"","szVoice="""&amp;R5&amp;""",","")&amp;IF(S5&gt;0,"bTeamChannel=true,","")&amp;IF(T5&gt;0,"bWhisperChannel=true,","")&amp;IF(U5&gt;0,"bCenterAlarm=true,","")&amp;IF(V5&gt;0,"bScreenHead=true,","")&amp;IF(W5&gt;0,"bFullScreen=true,","")&amp;"},"&amp;IF(Y5&lt;&gt;"","tCountdown={"&amp;_xlfn.TEXTJOIN("",TRUE,Y5:AAC5)&amp;"},","")&amp;"},")))</f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1571</v>
      </c>
    </row>
    <row r="6" spans="1:25">
      <c r="X6" t="str">
        <f>IF(ISBLANK(B6)=FALSE,IF(ISBLANK(B5),"},["&amp;B6&amp;"]={","["&amp;B6&amp;"]={"),IF(AND(ISBLANK(B6),ISBLANK(C6),ISBLANK(D6),OR(ISBLANK(B5)=FALSE,ISBLANK(C5)=FALSE,ISBLANK(D5)=FALSE)),"},},}",IF(ISBLANK(C6),"","{dwID="&amp;C6&amp;","&amp;"nLevel="&amp;D6&amp;","&amp;IF(E6&gt;0,"nIcon="&amp;E6&amp;",","")&amp;IF(F6&lt;&gt;"","szName="""&amp;F6&amp;""",","")&amp;IF(G6&gt;0,"bCheckLevel=true"&amp;",","")&amp;IF(H6&gt;0,"nScrutinyType="&amp;H6&amp;",","")&amp;IF(I6&lt;&gt;"","tKungFu={"&amp;I6&amp;"},","")&amp;IF(J6&lt;&gt;"","szNote="""&amp;J6&amp;""",","")&amp;IF(K6&lt;&gt;"","col={"&amp;K6&amp;"},","")&amp;"[9]={"&amp;IF(L6&lt;&gt;"","tMark={"&amp;L6&amp;"},","")&amp;IF(M6&lt;&gt;"","szVoice="""&amp;M6&amp;""",","")&amp;IF(N6&gt;0,"bTeamChannel=true,","")&amp;IF(O6&gt;0,"bWhisperChannel=true,","")&amp;IF(P6&gt;0,"bCenterAlarm=true,","")&amp;"},"&amp;"[8]={"&amp;IF(Q6&lt;&gt;"","tMark={"&amp;Q6&amp;"},","")&amp;IF(R6&lt;&gt;"","szVoice="""&amp;R6&amp;""",","")&amp;IF(S6&gt;0,"bTeamChannel=true,","")&amp;IF(T6&gt;0,"bWhisperChannel=true,","")&amp;IF(U6&gt;0,"bCenterAlarm=true,","")&amp;IF(V6&gt;0,"bScreenHead=true,","")&amp;IF(W6&gt;0,"bFullScreen=true,","")&amp;"},"&amp;IF(Y6&lt;&gt;"","tCountdown={"&amp;_xlfn.TEXTJOIN("",TRUE,Y6:AAC6)&amp;"},","")&amp;"},")))</f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8"/>
  <sheetViews>
    <sheetView workbookViewId="0">
      <selection activeCell="W2" sqref="W2:W28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1572</v>
      </c>
      <c r="F1" t="s">
        <v>1573</v>
      </c>
      <c r="G1" t="s">
        <v>1480</v>
      </c>
      <c r="H1" t="s">
        <v>1483</v>
      </c>
      <c r="I1" t="s">
        <v>49</v>
      </c>
      <c r="J1" t="s">
        <v>1484</v>
      </c>
      <c r="K1" t="s">
        <v>1574</v>
      </c>
      <c r="L1" t="s">
        <v>1575</v>
      </c>
      <c r="M1" t="s">
        <v>1576</v>
      </c>
      <c r="N1" t="s">
        <v>1577</v>
      </c>
      <c r="O1" t="s">
        <v>1578</v>
      </c>
      <c r="P1" t="s">
        <v>1579</v>
      </c>
      <c r="Q1" t="s">
        <v>1580</v>
      </c>
      <c r="R1" t="s">
        <v>1581</v>
      </c>
      <c r="S1" t="s">
        <v>1582</v>
      </c>
      <c r="T1" t="s">
        <v>1583</v>
      </c>
      <c r="U1" t="s">
        <v>1584</v>
      </c>
      <c r="V1" t="s">
        <v>296</v>
      </c>
      <c r="W1" t="s">
        <v>1585</v>
      </c>
      <c r="X1" t="s">
        <v>316</v>
      </c>
    </row>
    <row r="2" spans="1:25">
      <c r="A2" t="s">
        <v>1549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1586</v>
      </c>
      <c r="J3" t="s">
        <v>613</v>
      </c>
      <c r="P3">
        <v>1</v>
      </c>
      <c r="V3" t="s">
        <v>1587</v>
      </c>
      <c r="W3" t="str">
        <f t="shared" ref="W3:W28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{dwID=103373,nFrame=47,szNote="帮会联赛·闻千瞬",col={0,255,0,},[3]={bScreenHead=true,},[4]={},aFocus={{dwMapID=-1,szDisplay="闻千瞬·争霸赛",nMaxDistance=6,tRelation={bAll=true,bEnemy=false,bAlly=false,},tLife={bEnable=false,szOperator="&gt;",nValue=0,},},},},</v>
      </c>
    </row>
    <row r="4" spans="1:25">
      <c r="A4" t="s">
        <v>1552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1586</v>
      </c>
      <c r="J5" t="s">
        <v>613</v>
      </c>
      <c r="P5">
        <v>1</v>
      </c>
      <c r="V5" t="s">
        <v>1587</v>
      </c>
      <c r="W5" t="str">
        <f t="shared" si="0"/>
        <v>{dwID=103373,nFrame=47,szNote="帮会联赛·闻千瞬",col={0,255,0,},[3]={bScreenHead=true,},[4]={},aFocus={{dwMapID=-1,szDisplay="闻千瞬·争霸赛",nMaxDistance=6,tRelation={bAll=true,bEnemy=false,bAlly=false,},tLife={bEnable=false,szOperator="&gt;",nValue=0,},},},},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1588</v>
      </c>
      <c r="V7" t="s">
        <v>1589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1590</v>
      </c>
      <c r="J8" t="s">
        <v>1591</v>
      </c>
      <c r="P8">
        <v>1</v>
      </c>
      <c r="V8" t="s">
        <v>1592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1593</v>
      </c>
      <c r="V9" t="s">
        <v>1594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128733</v>
      </c>
      <c r="D10">
        <v>52</v>
      </c>
      <c r="I10" t="s">
        <v>1595</v>
      </c>
      <c r="V10" t="s">
        <v>1596</v>
      </c>
      <c r="W10" t="str">
        <f t="shared" si="0"/>
        <v>{dwID=128733,nFrame=52,szNote="红方箭塔",[3]={},[4]={},aFocus={{dwMapID=-1,nMaxDistance=-1,tRelation={bAll=true,bEnemy=false,bAlly=false,},tLife={bEnable=true,szOperator="==",nValue=100,},},},},</v>
      </c>
    </row>
    <row r="11" spans="1:25">
      <c r="C11">
        <v>128667</v>
      </c>
      <c r="D11">
        <v>47</v>
      </c>
      <c r="I11" t="s">
        <v>1597</v>
      </c>
      <c r="J11" t="s">
        <v>582</v>
      </c>
      <c r="P11">
        <v>1</v>
      </c>
      <c r="V11" t="s">
        <v>1598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1599</v>
      </c>
      <c r="J12" t="s">
        <v>582</v>
      </c>
      <c r="P12">
        <v>1</v>
      </c>
      <c r="V12" t="s">
        <v>1600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1601</v>
      </c>
      <c r="J13" t="s">
        <v>582</v>
      </c>
      <c r="P13">
        <v>1</v>
      </c>
      <c r="V13" t="s">
        <v>1602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},},</v>
      </c>
    </row>
    <row r="14" spans="1:25">
      <c r="C14">
        <v>128554</v>
      </c>
      <c r="D14">
        <v>47</v>
      </c>
      <c r="I14" t="s">
        <v>1603</v>
      </c>
      <c r="J14" t="s">
        <v>582</v>
      </c>
      <c r="P14">
        <v>1</v>
      </c>
      <c r="V14" t="s">
        <v>1604</v>
      </c>
      <c r="W14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5" spans="1:25">
      <c r="C15">
        <v>128557</v>
      </c>
      <c r="D15">
        <v>57</v>
      </c>
      <c r="I15" t="s">
        <v>1605</v>
      </c>
      <c r="J15" t="s">
        <v>640</v>
      </c>
      <c r="P15">
        <v>1</v>
      </c>
      <c r="V15" t="s">
        <v>1606</v>
      </c>
      <c r="W15" t="str">
        <f t="shared" si="0"/>
        <v>{dwID=128557,nFrame=57,szNote="红方·古猿",col={255,50,255,},[3]={bScreenHead=true,},[4]={},aFocus={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5" t="s">
        <v>1607</v>
      </c>
      <c r="Y15" t="s">
        <v>1608</v>
      </c>
    </row>
    <row r="16" spans="1:25">
      <c r="C16">
        <v>128556</v>
      </c>
      <c r="D16">
        <v>57</v>
      </c>
      <c r="I16" t="s">
        <v>1609</v>
      </c>
      <c r="J16" t="s">
        <v>640</v>
      </c>
      <c r="P16">
        <v>1</v>
      </c>
      <c r="V16" t="s">
        <v>1610</v>
      </c>
      <c r="W16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6" t="s">
        <v>1611</v>
      </c>
    </row>
    <row r="17" customFormat="1" spans="3:25">
      <c r="C17">
        <v>128732</v>
      </c>
      <c r="D17">
        <v>52</v>
      </c>
      <c r="I17" t="s">
        <v>1612</v>
      </c>
      <c r="V17" t="s">
        <v>1613</v>
      </c>
      <c r="W17" t="str">
        <f t="shared" si="0"/>
        <v>{dwID=128732,nFrame=52,szNote="蓝方箭塔",[3]={},[4]={},aFocus={{dwMapID=-1,nMaxDistance=-1,tRelation={bAll=true,bEnemy=false,bAlly=false,},tLife={bEnable=false,szOperator="==",nValue=100,},},},},</v>
      </c>
    </row>
    <row r="18" spans="3:25">
      <c r="C18">
        <v>128669</v>
      </c>
      <c r="D18">
        <v>47</v>
      </c>
      <c r="I18" t="s">
        <v>1614</v>
      </c>
      <c r="J18" t="s">
        <v>582</v>
      </c>
      <c r="P18">
        <v>1</v>
      </c>
      <c r="V18" t="s">
        <v>1615</v>
      </c>
      <c r="W18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9" spans="3:25">
      <c r="C19">
        <v>128668</v>
      </c>
      <c r="D19">
        <v>47</v>
      </c>
      <c r="I19" t="s">
        <v>1616</v>
      </c>
      <c r="J19" t="s">
        <v>582</v>
      </c>
      <c r="P19">
        <v>1</v>
      </c>
      <c r="V19" t="s">
        <v>1617</v>
      </c>
      <c r="W19" t="str">
        <f t="shared" si="0"/>
        <v>{dwID=128668,nFrame=47,szNote="蓝方二塔",col={255,255,255,},[3]={bScreenHead=true,},[4]={},aFocus={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},},</v>
      </c>
    </row>
    <row r="20" spans="3:25">
      <c r="C20">
        <v>128553</v>
      </c>
      <c r="D20">
        <v>47</v>
      </c>
      <c r="I20" t="s">
        <v>1618</v>
      </c>
      <c r="J20" t="s">
        <v>582</v>
      </c>
      <c r="P20">
        <v>1</v>
      </c>
      <c r="V20" t="s">
        <v>1619</v>
      </c>
      <c r="W20" t="str">
        <f t="shared" si="0"/>
        <v>{dwID=128553,nFrame=47,szNote="蓝方一塔",col={255,255,255,},[3]={bScreenHead=true,},[4]={},aFocus={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},},</v>
      </c>
    </row>
    <row r="21" spans="3:25">
      <c r="C21">
        <v>128555</v>
      </c>
      <c r="D21">
        <v>47</v>
      </c>
      <c r="I21" t="s">
        <v>1620</v>
      </c>
      <c r="J21" t="s">
        <v>582</v>
      </c>
      <c r="P21">
        <v>1</v>
      </c>
      <c r="V21" t="s">
        <v>1621</v>
      </c>
      <c r="W21" t="str">
        <f t="shared" si="0"/>
        <v>{dwID=128555,nFrame=47,szNote="蓝方泽渊大旗",col={255,255,255,},[3]={bScreenHead=true,},[4]={},aFocus={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},},</v>
      </c>
    </row>
    <row r="22" spans="3:25">
      <c r="C22">
        <v>128559</v>
      </c>
      <c r="D22">
        <v>57</v>
      </c>
      <c r="I22" t="s">
        <v>1622</v>
      </c>
      <c r="J22" t="s">
        <v>640</v>
      </c>
      <c r="P22">
        <v>1</v>
      </c>
      <c r="V22" t="s">
        <v>1623</v>
      </c>
      <c r="W22" t="str">
        <f t="shared" si="0"/>
        <v>{dwID=128559,nFrame=57,szNote="蓝方·古猿",col={255,50,255,},[3]={bScreenHead=true,},[4]={},aFocus={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2" t="s">
        <v>1624</v>
      </c>
      <c r="Y22" t="s">
        <v>1608</v>
      </c>
    </row>
    <row r="23" spans="3:25">
      <c r="C23">
        <v>128558</v>
      </c>
      <c r="D23">
        <v>57</v>
      </c>
      <c r="I23" t="s">
        <v>1625</v>
      </c>
      <c r="J23" t="s">
        <v>640</v>
      </c>
      <c r="P23">
        <v>1</v>
      </c>
      <c r="V23" t="s">
        <v>1626</v>
      </c>
      <c r="W23" t="str">
        <f t="shared" si="0"/>
        <v>{dwID=128558,nFrame=57,szNote="蓝方·混沌元晶·皓",col={255,50,255,},[3]={bScreenHead=true,},[4]={},aFocus={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3" t="s">
        <v>1627</v>
      </c>
    </row>
    <row r="24" spans="3:25">
      <c r="C24">
        <v>128576</v>
      </c>
      <c r="D24">
        <v>57</v>
      </c>
      <c r="I24" t="s">
        <v>1628</v>
      </c>
      <c r="J24" t="s">
        <v>640</v>
      </c>
      <c r="P24">
        <v>1</v>
      </c>
      <c r="V24" t="s">
        <v>1629</v>
      </c>
      <c r="W24" t="str">
        <f t="shared" si="0"/>
        <v>{dwID=128576,nFrame=57,szNote="九渊麒麟",col={255,50,255,},[3]={bScreenHead=true,},[4]={},aFocus={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4" t="s">
        <v>1630</v>
      </c>
      <c r="Y24" t="s">
        <v>1631</v>
      </c>
    </row>
    <row r="25" spans="3:25">
      <c r="C25">
        <v>129144</v>
      </c>
      <c r="D25">
        <v>47</v>
      </c>
      <c r="I25" t="s">
        <v>1632</v>
      </c>
      <c r="J25" t="s">
        <v>1633</v>
      </c>
      <c r="P25">
        <v>1</v>
      </c>
      <c r="V25" t="s">
        <v>1634</v>
      </c>
      <c r="W25" t="str">
        <f t="shared" si="0"/>
        <v>{dwID=129144,nFrame=47,szNote="麒麟珠",col={50,255,255,},[3]={bScreenHead=true,},[4]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26" spans="3:25">
      <c r="C26">
        <v>128941</v>
      </c>
      <c r="D26">
        <v>52</v>
      </c>
      <c r="I26" t="s">
        <v>1635</v>
      </c>
      <c r="V26" t="s">
        <v>1636</v>
      </c>
      <c r="W26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7" spans="3:25">
      <c r="W27" t="str">
        <f t="shared" si="0"/>
        <v>},},}</v>
      </c>
    </row>
    <row r="28" spans="3:25">
      <c r="W28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U4" sqref="U4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1572</v>
      </c>
      <c r="E1" t="s">
        <v>1573</v>
      </c>
      <c r="F1" t="s">
        <v>1480</v>
      </c>
      <c r="G1" t="s">
        <v>1483</v>
      </c>
      <c r="H1" t="s">
        <v>49</v>
      </c>
      <c r="I1" t="s">
        <v>1484</v>
      </c>
      <c r="J1" t="s">
        <v>1637</v>
      </c>
      <c r="K1" t="s">
        <v>1638</v>
      </c>
      <c r="L1" t="s">
        <v>1639</v>
      </c>
      <c r="M1" t="s">
        <v>1640</v>
      </c>
      <c r="N1" t="s">
        <v>1641</v>
      </c>
      <c r="O1" t="s">
        <v>1642</v>
      </c>
      <c r="P1" t="s">
        <v>1643</v>
      </c>
      <c r="Q1" t="s">
        <v>1644</v>
      </c>
      <c r="R1" t="s">
        <v>1645</v>
      </c>
      <c r="S1" t="s">
        <v>1646</v>
      </c>
      <c r="T1" t="s">
        <v>296</v>
      </c>
      <c r="U1" t="s">
        <v>1647</v>
      </c>
      <c r="V1" t="s">
        <v>316</v>
      </c>
    </row>
    <row r="2" spans="1:22">
      <c r="A2" t="s">
        <v>1549</v>
      </c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8848</v>
      </c>
      <c r="H3" t="s">
        <v>1648</v>
      </c>
      <c r="I3" t="s">
        <v>622</v>
      </c>
      <c r="N3">
        <v>1</v>
      </c>
      <c r="T3" t="s">
        <v>1649</v>
      </c>
      <c r="U3" t="str">
        <f t="shared" ref="U3:U11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4" spans="1:22">
      <c r="C4">
        <v>8849</v>
      </c>
      <c r="H4" t="s">
        <v>1650</v>
      </c>
      <c r="I4" t="s">
        <v>622</v>
      </c>
      <c r="N4">
        <v>1</v>
      </c>
      <c r="T4" t="s">
        <v>1651</v>
      </c>
      <c r="U4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5" spans="1:22">
      <c r="C5">
        <v>8850</v>
      </c>
      <c r="H5" t="s">
        <v>1652</v>
      </c>
      <c r="I5" t="s">
        <v>622</v>
      </c>
      <c r="N5">
        <v>1</v>
      </c>
      <c r="T5" t="s">
        <v>1653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8851</v>
      </c>
      <c r="H6" t="s">
        <v>1654</v>
      </c>
      <c r="I6" t="s">
        <v>622</v>
      </c>
      <c r="N6">
        <v>1</v>
      </c>
      <c r="T6" t="s">
        <v>1655</v>
      </c>
      <c r="U6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7" spans="1:22">
      <c r="C7">
        <v>8852</v>
      </c>
      <c r="H7" t="s">
        <v>1656</v>
      </c>
      <c r="I7" t="s">
        <v>622</v>
      </c>
      <c r="N7">
        <v>1</v>
      </c>
      <c r="T7" t="s">
        <v>1657</v>
      </c>
      <c r="U7" t="str">
        <f t="shared" si="0"/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1632</v>
      </c>
      <c r="I9" t="s">
        <v>1633</v>
      </c>
      <c r="M9">
        <v>1</v>
      </c>
      <c r="N9">
        <v>1</v>
      </c>
      <c r="T9" t="s">
        <v>1634</v>
      </c>
      <c r="U9" t="str">
        <f t="shared" si="0"/>
        <v>{dwID=10781,szNote="麒麟珠",col={50,255,255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si="0"/>
        <v/>
      </c>
    </row>
  </sheetData>
  <sortState ref="A3:V7">
    <sortCondition ref="A3:A7" descending="1"/>
  </sortState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"/>
  <sheetViews>
    <sheetView workbookViewId="0">
      <selection activeCell="P14" sqref="P14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1658</v>
      </c>
      <c r="E1" t="s">
        <v>49</v>
      </c>
      <c r="F1" t="s">
        <v>1484</v>
      </c>
      <c r="G1" t="s">
        <v>1659</v>
      </c>
      <c r="H1" t="s">
        <v>1660</v>
      </c>
      <c r="I1" t="s">
        <v>1661</v>
      </c>
      <c r="J1" t="s">
        <v>1662</v>
      </c>
      <c r="K1" t="s">
        <v>1663</v>
      </c>
      <c r="L1" t="s">
        <v>1664</v>
      </c>
      <c r="M1" t="s">
        <v>1665</v>
      </c>
      <c r="N1" t="s">
        <v>1666</v>
      </c>
      <c r="O1" t="s">
        <v>1667</v>
      </c>
      <c r="P1" t="s">
        <v>316</v>
      </c>
    </row>
    <row r="2" spans="1:16">
      <c r="A2" t="s">
        <v>1668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1669</v>
      </c>
      <c r="D3" t="s">
        <v>1670</v>
      </c>
      <c r="E3" t="s">
        <v>1671</v>
      </c>
      <c r="O3" t="str">
        <f t="shared" ref="O3:O19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[帮会总管]邵卿城：诸位兄弟，愿此行战无不胜，扬我帮威！",szTarget="%",szNote="武林争霸赛·已经报名",[14]={},tCountdown={{nClass=14,nIcon=13,nFrame=6,nTime=10,szName="武林争霸赛·已经报名",nRefresh=1,key="武林争霸赛",},},},</v>
      </c>
      <c r="P3" t="s">
        <v>1672</v>
      </c>
    </row>
    <row r="4" spans="1:16">
      <c r="C4" t="s">
        <v>1669</v>
      </c>
      <c r="D4" t="s">
        <v>1673</v>
      </c>
      <c r="E4" t="s">
        <v>1674</v>
      </c>
      <c r="O4" t="str">
        <f t="shared" si="0"/>
        <v>{szContent="【武林争霸赛】本届武林争霸赛正式已开启！风起云涌，一朝闻名天下知！已报名的帮会侠士，可前往各大主城或各门派，闻千瞬处对话进入参与对决！！！帮会帮主及核心成员优先进入，以免造成不便！！！",szTarget="%",szNote="武林争霸赛·正式开启",[14]={},tCountdown={{nClass=14,nIcon=13,nFrame=6,nTime=10,szName="武林争霸赛·正式开启",nRefresh=1,key="武林争霸赛",},},},</v>
      </c>
      <c r="P4" t="s">
        <v>1675</v>
      </c>
    </row>
    <row r="5" customFormat="1" spans="1:16">
      <c r="A5" t="s">
        <v>1549</v>
      </c>
      <c r="B5">
        <v>-2</v>
      </c>
      <c r="O5" t="str">
        <f t="shared" si="0"/>
        <v>},[-2]={</v>
      </c>
    </row>
    <row r="6" customFormat="1" spans="1:16">
      <c r="C6" t="s">
        <v>1669</v>
      </c>
      <c r="D6" t="s">
        <v>1676</v>
      </c>
      <c r="E6" t="s">
        <v>1677</v>
      </c>
      <c r="H6">
        <v>1</v>
      </c>
      <c r="L6">
        <v>1</v>
      </c>
      <c r="O6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6" t="s">
        <v>1678</v>
      </c>
    </row>
    <row r="7" customFormat="1" spans="1:16">
      <c r="C7" t="s">
        <v>1669</v>
      </c>
      <c r="D7" t="s">
        <v>1679</v>
      </c>
      <c r="E7" t="s">
        <v>1680</v>
      </c>
      <c r="H7">
        <v>1</v>
      </c>
      <c r="L7">
        <v>1</v>
      </c>
      <c r="O7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7" t="s">
        <v>1681</v>
      </c>
    </row>
    <row r="8" spans="1:16">
      <c r="A8" t="s">
        <v>1552</v>
      </c>
      <c r="B8">
        <v>-21</v>
      </c>
      <c r="O8" t="str">
        <f t="shared" si="0"/>
        <v>},[-21]={</v>
      </c>
    </row>
    <row r="9" customFormat="1" spans="1:16">
      <c r="C9" t="s">
        <v>1669</v>
      </c>
      <c r="D9" t="s">
        <v>1676</v>
      </c>
      <c r="E9" t="s">
        <v>1677</v>
      </c>
      <c r="H9">
        <v>1</v>
      </c>
      <c r="L9">
        <v>1</v>
      </c>
      <c r="O9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9" t="s">
        <v>1678</v>
      </c>
    </row>
    <row r="10" customFormat="1" spans="1:16">
      <c r="C10" t="s">
        <v>1669</v>
      </c>
      <c r="D10" t="s">
        <v>1679</v>
      </c>
      <c r="E10" t="s">
        <v>1680</v>
      </c>
      <c r="H10">
        <v>1</v>
      </c>
      <c r="L10">
        <v>1</v>
      </c>
      <c r="O10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10" t="s">
        <v>1681</v>
      </c>
    </row>
    <row r="11" spans="1:16">
      <c r="A11" t="s">
        <v>1516</v>
      </c>
      <c r="B11">
        <v>689</v>
      </c>
      <c r="O11" t="str">
        <f t="shared" si="0"/>
        <v>},[689]={</v>
      </c>
    </row>
    <row r="12" spans="1:16">
      <c r="C12" t="s">
        <v>1669</v>
      </c>
      <c r="D12" t="s">
        <v>1682</v>
      </c>
      <c r="E12" t="s">
        <v>1683</v>
      </c>
      <c r="L12">
        <v>1</v>
      </c>
      <c r="O12" t="str">
        <f t="shared" si="0"/>
        <v>{szContent="敌方拾取麒麟珠\n",szTarget="%",szNote="敌方·获得·麒麟珠",[14]={bCenterAlarm=true,},tCountdown={{nClass=14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P12" t="s">
        <v>1684</v>
      </c>
    </row>
    <row r="13" spans="1:16">
      <c r="C13" t="s">
        <v>1669</v>
      </c>
      <c r="D13" t="s">
        <v>1685</v>
      </c>
      <c r="E13" t="s">
        <v>1686</v>
      </c>
      <c r="L13">
        <v>1</v>
      </c>
      <c r="O13" t="str">
        <f t="shared" si="0"/>
        <v>{szContent="我方拾取麒麟珠\n",szTarget="%",szNote="我方·获得·麒麟珠",[14]={bCenterAlarm=true,},tCountdown={{nClass=14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P13" t="s">
        <v>1687</v>
      </c>
    </row>
    <row r="14" spans="1:16">
      <c r="C14" t="s">
        <v>1669</v>
      </c>
      <c r="D14" t="s">
        <v>1688</v>
      </c>
      <c r="E14" t="s">
        <v>1689</v>
      </c>
      <c r="L14">
        <v>1</v>
      </c>
      <c r="O14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4" t="s">
        <v>1690</v>
      </c>
    </row>
    <row r="15" spans="1:16">
      <c r="C15" t="s">
        <v>1669</v>
      </c>
      <c r="D15" t="s">
        <v>1691</v>
      </c>
      <c r="E15" t="s">
        <v>1692</v>
      </c>
      <c r="L15">
        <v>1</v>
      </c>
      <c r="O15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5" t="s">
        <v>1690</v>
      </c>
    </row>
    <row r="16" spans="1:16">
      <c r="D16" t="s">
        <v>1693</v>
      </c>
      <c r="O16" t="str">
        <f t="shared" si="0"/>
        <v>{szContent="我方大旗已被摧毁，本场比赛结束！",[14]={},tCountdown={{nClass=14,nIcon=13,nFrame=0,nTime=30,szName="本场比赛·失利",key="战斗开始",},},},</v>
      </c>
      <c r="P16" t="s">
        <v>1694</v>
      </c>
    </row>
    <row r="17" spans="3:16">
      <c r="D17" t="s">
        <v>1695</v>
      </c>
      <c r="O17" t="str">
        <f t="shared" si="0"/>
        <v>{szContent="成功摧毁敌方大旗，您获得本场比赛胜利！",[14]={},tCountdown={{nClass=14,nIcon=13,nFrame=0,nTime=30,szName="本场比赛·胜利",key="战斗开始",},},},</v>
      </c>
      <c r="P17" t="s">
        <v>1696</v>
      </c>
    </row>
    <row r="18" spans="3:16">
      <c r="C18" t="s">
        <v>1669</v>
      </c>
      <c r="D18" t="s">
        <v>1697</v>
      </c>
      <c r="E18" t="s">
        <v>1698</v>
      </c>
      <c r="H18">
        <v>1</v>
      </c>
      <c r="L18">
        <v>1</v>
      </c>
      <c r="O18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18" t="s">
        <v>1699</v>
      </c>
    </row>
    <row r="19" spans="3:16">
      <c r="O19" t="str">
        <f t="shared" si="0"/>
        <v>},},}</v>
      </c>
    </row>
  </sheetData>
  <sortState ref="A12:P18">
    <sortCondition ref="A12:A18" descending="1"/>
  </sortState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"/>
  <sheetViews>
    <sheetView workbookViewId="0">
      <selection activeCell="O6" sqref="O6"/>
    </sheetView>
  </sheetViews>
  <sheetFormatPr defaultColWidth="9" defaultRowHeight="13.5"/>
  <cols>
    <col min="3" max="3" width="27.125" customWidth="1"/>
  </cols>
  <sheetData>
    <row r="1" spans="1:15">
      <c r="A1" t="s">
        <v>1476</v>
      </c>
      <c r="B1" t="s">
        <v>1477</v>
      </c>
      <c r="C1" t="s">
        <v>1658</v>
      </c>
      <c r="D1" t="s">
        <v>49</v>
      </c>
      <c r="E1" t="s">
        <v>1484</v>
      </c>
      <c r="F1" t="s">
        <v>1659</v>
      </c>
      <c r="G1" t="s">
        <v>1660</v>
      </c>
      <c r="H1" t="s">
        <v>1661</v>
      </c>
      <c r="I1" t="s">
        <v>1662</v>
      </c>
      <c r="J1" t="s">
        <v>1663</v>
      </c>
      <c r="K1" t="s">
        <v>1664</v>
      </c>
      <c r="L1" t="s">
        <v>1665</v>
      </c>
      <c r="M1" t="s">
        <v>1666</v>
      </c>
      <c r="N1" t="s">
        <v>1700</v>
      </c>
      <c r="O1" t="s">
        <v>316</v>
      </c>
    </row>
    <row r="2" spans="1:15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5">
      <c r="C3" t="s">
        <v>1701</v>
      </c>
      <c r="N3" t="str">
        <f t="shared" ref="N3:N35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3" t="s">
        <v>1702</v>
      </c>
    </row>
    <row r="4" spans="1:15">
      <c r="C4" t="s">
        <v>1703</v>
      </c>
      <c r="N4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4" t="s">
        <v>1704</v>
      </c>
    </row>
    <row r="5" spans="1:15">
      <c r="C5" t="s">
        <v>1705</v>
      </c>
      <c r="N5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5" t="s">
        <v>1706</v>
      </c>
    </row>
    <row r="6" spans="1:15">
      <c r="C6" t="s">
        <v>1707</v>
      </c>
      <c r="D6" t="s">
        <v>1708</v>
      </c>
      <c r="K6">
        <v>1</v>
      </c>
      <c r="N6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6" t="s">
        <v>1709</v>
      </c>
    </row>
    <row r="7" spans="1:15">
      <c r="C7" t="s">
        <v>1710</v>
      </c>
      <c r="N7" t="str">
        <f t="shared" si="0"/>
        <v>{szContent="蓝方成功开启全局迷雾视野\n",[20]={},tCountdown={{nClass=20,nIcon=25111,nFrame=7,nTime="30,蓝方·全局视野·剩余时间;180,蓝方·全局视野·CD;185,蓝方·全局视野·就绪",szName="蓝方·全局视野",nRefresh=0,key="蓝方·全局视野",},},},</v>
      </c>
      <c r="O7" t="s">
        <v>1711</v>
      </c>
    </row>
    <row r="8" spans="1:15">
      <c r="C8" t="s">
        <v>1712</v>
      </c>
      <c r="N8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8" t="s">
        <v>1713</v>
      </c>
    </row>
    <row r="9" spans="1:15">
      <c r="C9" t="s">
        <v>1714</v>
      </c>
      <c r="N9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9" t="s">
        <v>1715</v>
      </c>
    </row>
    <row r="10" spans="1:15">
      <c r="C10" t="s">
        <v>1716</v>
      </c>
      <c r="N10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0" t="s">
        <v>1717</v>
      </c>
    </row>
    <row r="11" spans="1:15">
      <c r="C11" t="s">
        <v>1718</v>
      </c>
      <c r="D11" t="s">
        <v>1719</v>
      </c>
      <c r="K11">
        <v>1</v>
      </c>
      <c r="N11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1" t="s">
        <v>1720</v>
      </c>
    </row>
    <row r="12" spans="1:15">
      <c r="C12" t="s">
        <v>1721</v>
      </c>
      <c r="N12" t="str">
        <f t="shared" si="0"/>
        <v>{szContent="红方成功开启全局迷雾视野\n",[20]={},tCountdown={{nClass=20,nIcon=25109,nFrame=3,nTime="30,红方·全局视野·剩余时间;180,红方·全局视野·CD;185,红方·全局视野·就绪",szName="红方·全局视野",nRefresh=0,key="红方·全局视野",},},},</v>
      </c>
      <c r="O12" t="s">
        <v>1722</v>
      </c>
    </row>
    <row r="13" spans="1:15">
      <c r="C13" t="s">
        <v>1682</v>
      </c>
      <c r="D13" t="s">
        <v>1683</v>
      </c>
      <c r="K13">
        <v>1</v>
      </c>
      <c r="N13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3" t="s">
        <v>1723</v>
      </c>
    </row>
    <row r="14" spans="1:15">
      <c r="C14" t="s">
        <v>1685</v>
      </c>
      <c r="D14" t="s">
        <v>1686</v>
      </c>
      <c r="K14">
        <v>1</v>
      </c>
      <c r="N14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4" t="s">
        <v>1724</v>
      </c>
    </row>
    <row r="15" spans="1:15">
      <c r="C15" t="s">
        <v>1725</v>
      </c>
      <c r="D15" t="s">
        <v>1689</v>
      </c>
      <c r="K15">
        <v>1</v>
      </c>
      <c r="N15" t="str">
        <f t="shared" si="0"/>
        <v>{szContent="蓝方成功击败了九渊麒麟\n",szNote="蓝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5" t="s">
        <v>1726</v>
      </c>
    </row>
    <row r="16" spans="1:15">
      <c r="C16" t="s">
        <v>1727</v>
      </c>
      <c r="D16" t="s">
        <v>1692</v>
      </c>
      <c r="K16">
        <v>1</v>
      </c>
      <c r="N16" t="str">
        <f t="shared" si="0"/>
        <v>{szContent="红方成功击败了九渊麒麟\n",szNote="红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6" t="s">
        <v>1726</v>
      </c>
    </row>
    <row r="17" spans="1:18">
      <c r="C17" t="s">
        <v>1728</v>
      </c>
      <c r="N17" t="str">
        <f t="shared" si="0"/>
        <v>{szContent="敌方箭塔被摧毁\n",[20]={},tCountdown={{nClass=20,nIcon=3738,nFrame=3,nTime=10,szName="敌方·箭塔·已被摧毁",key="敌方箭塔",},},},</v>
      </c>
      <c r="O17" t="s">
        <v>1729</v>
      </c>
    </row>
    <row r="18" spans="1:18">
      <c r="C18" t="s">
        <v>1730</v>
      </c>
      <c r="N18" t="str">
        <f t="shared" si="0"/>
        <v>{szContent="我方箭塔被摧毁\n",[20]={},tCountdown={{nClass=20,nIcon=3738,nFrame=2,nTime=10,szName="我方·箭塔·已被摧毁",key="我方箭塔",},},},</v>
      </c>
      <c r="O18" t="s">
        <v>1731</v>
      </c>
    </row>
    <row r="19" spans="1:18">
      <c r="C19" t="s">
        <v>1732</v>
      </c>
      <c r="G19">
        <v>1</v>
      </c>
      <c r="N19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9" t="s">
        <v>1733</v>
      </c>
    </row>
    <row r="20" spans="1:18">
      <c r="C20" t="s">
        <v>1734</v>
      </c>
      <c r="N20" t="str">
        <f t="shared" si="0"/>
        <v>{szContent="我方大旗遭到攻击\n",[20]={},tCountdown={{nClass=20,nIcon=592,nFrame=2,nTime=10,szName="我方·大旗·遭到攻击",key="我方大旗",},},},</v>
      </c>
      <c r="O20" t="s">
        <v>1735</v>
      </c>
    </row>
    <row r="21" spans="1:18">
      <c r="C21" t="s">
        <v>1736</v>
      </c>
      <c r="D21" t="s">
        <v>1737</v>
      </c>
      <c r="E21" t="s">
        <v>582</v>
      </c>
      <c r="K21">
        <v>1</v>
      </c>
      <c r="M21">
        <v>1</v>
      </c>
      <c r="N21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21" t="s">
        <v>1738</v>
      </c>
    </row>
    <row r="22" spans="1:18">
      <c r="C22" t="s">
        <v>1739</v>
      </c>
      <c r="D22" t="s">
        <v>1740</v>
      </c>
      <c r="E22" t="s">
        <v>582</v>
      </c>
      <c r="L22">
        <v>1</v>
      </c>
      <c r="N22" t="str">
        <f t="shared" si="0"/>
        <v>{szContent="小麻雀收取了你九十九银。\n",szNote="麻雀·传送",col={255,255,255,},[20]={bScreenHead=true,},},</v>
      </c>
    </row>
    <row r="23" spans="1:18">
      <c r="C23" t="s">
        <v>1741</v>
      </c>
      <c r="N23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23" t="s">
        <v>1742</v>
      </c>
      <c r="P23" t="s">
        <v>1743</v>
      </c>
    </row>
    <row r="24" spans="1:18">
      <c r="C24" t="s">
        <v>1744</v>
      </c>
      <c r="N24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24" t="s">
        <v>1745</v>
      </c>
      <c r="P24" t="s">
        <v>1746</v>
      </c>
      <c r="Q24" t="s">
        <v>1747</v>
      </c>
      <c r="R24" t="s">
        <v>1748</v>
      </c>
    </row>
    <row r="25" spans="1:18">
      <c r="C25" t="s">
        <v>1749</v>
      </c>
      <c r="N25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25" t="s">
        <v>1750</v>
      </c>
      <c r="P25" t="s">
        <v>1751</v>
      </c>
      <c r="Q25" t="s">
        <v>1752</v>
      </c>
      <c r="R25" t="s">
        <v>1753</v>
      </c>
    </row>
    <row r="26" spans="1:18">
      <c r="C26" t="s">
        <v>1754</v>
      </c>
      <c r="N26" t="str">
        <f t="shared" si="0"/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26" t="s">
        <v>1755</v>
      </c>
      <c r="P26" t="s">
        <v>1756</v>
      </c>
      <c r="Q26" t="s">
        <v>1757</v>
      </c>
      <c r="R26" t="s">
        <v>1758</v>
      </c>
    </row>
    <row r="27" customFormat="1" spans="1:18">
      <c r="A27" t="s">
        <v>1549</v>
      </c>
      <c r="B27">
        <v>-2</v>
      </c>
      <c r="N27" t="str">
        <f t="shared" si="0"/>
        <v>},[-2]={</v>
      </c>
    </row>
    <row r="28" customFormat="1" spans="1:18">
      <c r="C28" t="s">
        <v>1759</v>
      </c>
      <c r="D28" t="s">
        <v>1760</v>
      </c>
      <c r="K28">
        <v>1</v>
      </c>
      <c r="N28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8" t="s">
        <v>1761</v>
      </c>
    </row>
    <row r="29" spans="1:18">
      <c r="C29" t="s">
        <v>1762</v>
      </c>
      <c r="D29" t="s">
        <v>1763</v>
      </c>
      <c r="K29">
        <v>1</v>
      </c>
      <c r="N29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29" t="s">
        <v>1764</v>
      </c>
    </row>
    <row r="30" spans="1:18">
      <c r="C30" t="s">
        <v>1765</v>
      </c>
      <c r="D30" t="s">
        <v>1766</v>
      </c>
      <c r="N30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0" t="s">
        <v>1767</v>
      </c>
    </row>
    <row r="31" spans="1:18">
      <c r="A31" t="s">
        <v>1552</v>
      </c>
      <c r="B31">
        <v>-21</v>
      </c>
      <c r="N31" t="str">
        <f t="shared" si="0"/>
        <v>},[-21]={</v>
      </c>
    </row>
    <row r="32" customFormat="1" spans="1:18">
      <c r="C32" t="s">
        <v>1759</v>
      </c>
      <c r="D32" t="s">
        <v>1760</v>
      </c>
      <c r="K32">
        <v>1</v>
      </c>
      <c r="N32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2" t="s">
        <v>1761</v>
      </c>
    </row>
    <row r="33" customFormat="1" spans="3:15">
      <c r="C33" t="s">
        <v>1762</v>
      </c>
      <c r="D33" t="s">
        <v>1763</v>
      </c>
      <c r="K33">
        <v>1</v>
      </c>
      <c r="N33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3" t="s">
        <v>1764</v>
      </c>
    </row>
    <row r="34" customFormat="1" spans="3:15">
      <c r="C34" t="s">
        <v>1765</v>
      </c>
      <c r="D34" t="s">
        <v>1766</v>
      </c>
      <c r="N34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4" t="s">
        <v>1767</v>
      </c>
    </row>
    <row r="35" spans="3:15">
      <c r="N35" t="str">
        <f t="shared" si="0"/>
        <v>},},}</v>
      </c>
    </row>
  </sheetData>
  <sortState ref="A3:R26">
    <sortCondition ref="A3:A26" descending="1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E17" sqref="E17"/>
    </sheetView>
  </sheetViews>
  <sheetFormatPr defaultColWidth="9" defaultRowHeight="13.5"/>
  <cols>
    <col min="1" max="1" width="57.75" customWidth="1"/>
  </cols>
  <sheetData>
    <row r="1" spans="1:9">
      <c r="A1" s="1" t="s">
        <v>1768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1769</v>
      </c>
      <c r="B2" t="s">
        <v>1770</v>
      </c>
      <c r="C2" t="s">
        <v>1771</v>
      </c>
      <c r="E2" t="str">
        <f>A2&amp;B2&amp;C2</f>
        <v>63,箭塔·减伤·4层·9层·14层</v>
      </c>
    </row>
    <row r="3" spans="1:9">
      <c r="A3" s="1" t="s">
        <v>1772</v>
      </c>
      <c r="B3" t="s">
        <v>1773</v>
      </c>
      <c r="C3" t="s">
        <v>1774</v>
      </c>
      <c r="E3" t="str">
        <f t="shared" ref="E3:E22" si="0">A3&amp;B3&amp;C3</f>
        <v>123,箭塔·减伤·3层·8层·13层</v>
      </c>
    </row>
    <row r="4" spans="1:9">
      <c r="A4" s="1" t="s">
        <v>1775</v>
      </c>
      <c r="B4" t="s">
        <v>1776</v>
      </c>
      <c r="C4" t="s">
        <v>1777</v>
      </c>
      <c r="E4" t="str">
        <f t="shared" si="0"/>
        <v>183,箭塔·减伤·2层·7层·12层</v>
      </c>
    </row>
    <row r="5" spans="1:9">
      <c r="A5" s="1" t="s">
        <v>1778</v>
      </c>
      <c r="B5" t="s">
        <v>1779</v>
      </c>
      <c r="C5" t="s">
        <v>1780</v>
      </c>
      <c r="E5" t="str">
        <f t="shared" si="0"/>
        <v>243,箭塔·减伤·1层·6层·11层</v>
      </c>
    </row>
    <row r="6" spans="1:9">
      <c r="A6" s="1" t="s">
        <v>1781</v>
      </c>
      <c r="E6" t="str">
        <f t="shared" si="0"/>
        <v>248,一塔·减伤·已消失</v>
      </c>
    </row>
    <row r="7" spans="1:9">
      <c r="A7" s="1" t="s">
        <v>1782</v>
      </c>
      <c r="B7" t="s">
        <v>1783</v>
      </c>
      <c r="C7" t="s">
        <v>1784</v>
      </c>
      <c r="E7" t="str">
        <f t="shared" si="0"/>
        <v>303,箭塔·减伤·0层·5层·10层</v>
      </c>
    </row>
    <row r="8" spans="1:9">
      <c r="A8" s="1" t="s">
        <v>1785</v>
      </c>
      <c r="B8" t="s">
        <v>1786</v>
      </c>
      <c r="C8" t="s">
        <v>1770</v>
      </c>
      <c r="E8" t="str">
        <f t="shared" si="0"/>
        <v>363,箭塔·减伤·0层·4层·9层</v>
      </c>
    </row>
    <row r="9" spans="1:9">
      <c r="A9" s="1" t="s">
        <v>1787</v>
      </c>
      <c r="B9" t="s">
        <v>1788</v>
      </c>
      <c r="C9" t="s">
        <v>1773</v>
      </c>
      <c r="E9" t="str">
        <f t="shared" si="0"/>
        <v>423,箭塔·减伤·0层·3层·8层</v>
      </c>
    </row>
    <row r="10" spans="1:9">
      <c r="A10" s="1" t="s">
        <v>1789</v>
      </c>
      <c r="B10" t="s">
        <v>1790</v>
      </c>
      <c r="C10" t="s">
        <v>1776</v>
      </c>
      <c r="E10" t="str">
        <f t="shared" si="0"/>
        <v>483,箭塔·减伤·0层·2层·7层</v>
      </c>
    </row>
    <row r="11" spans="1:9">
      <c r="A11" s="1" t="s">
        <v>1791</v>
      </c>
      <c r="B11" t="s">
        <v>1792</v>
      </c>
      <c r="C11" t="s">
        <v>1779</v>
      </c>
      <c r="E11" t="str">
        <f t="shared" si="0"/>
        <v>543,箭塔·减伤·0层·1层·6层</v>
      </c>
    </row>
    <row r="12" spans="1:9">
      <c r="A12" s="1" t="s">
        <v>1793</v>
      </c>
      <c r="E12" t="str">
        <f t="shared" si="0"/>
        <v>548,二塔·减伤·已消失</v>
      </c>
    </row>
    <row r="13" spans="1:9">
      <c r="A13" s="1" t="s">
        <v>1794</v>
      </c>
      <c r="C13" t="s">
        <v>1783</v>
      </c>
      <c r="E13" t="str">
        <f t="shared" si="0"/>
        <v>603,三塔·减伤·5层</v>
      </c>
    </row>
    <row r="14" spans="1:9">
      <c r="A14" s="1" t="s">
        <v>1795</v>
      </c>
      <c r="C14" t="s">
        <v>1786</v>
      </c>
      <c r="E14" t="str">
        <f t="shared" si="0"/>
        <v>663,三塔·减伤·4层</v>
      </c>
    </row>
    <row r="15" spans="1:9">
      <c r="A15" s="1" t="s">
        <v>1796</v>
      </c>
      <c r="C15" t="s">
        <v>1788</v>
      </c>
      <c r="E15" t="str">
        <f t="shared" si="0"/>
        <v>723,三塔·减伤·3层</v>
      </c>
    </row>
    <row r="16" spans="1:9">
      <c r="A16" s="1" t="s">
        <v>1797</v>
      </c>
      <c r="C16" t="s">
        <v>1790</v>
      </c>
      <c r="E16" t="str">
        <f t="shared" si="0"/>
        <v>783,三塔·减伤·2层</v>
      </c>
    </row>
    <row r="17" spans="1:5">
      <c r="A17" s="1" t="s">
        <v>1798</v>
      </c>
      <c r="C17" t="s">
        <v>1792</v>
      </c>
      <c r="E17" t="str">
        <f t="shared" si="0"/>
        <v>843,三塔·减伤·1层</v>
      </c>
    </row>
    <row r="18" spans="1:5">
      <c r="A18" s="1" t="s">
        <v>1799</v>
      </c>
      <c r="E18" t="str">
        <f t="shared" si="0"/>
        <v>848,三塔·减伤·已消失</v>
      </c>
    </row>
    <row r="19" spans="1:5">
      <c r="A19" s="1" t="s">
        <v>1800</v>
      </c>
      <c r="E19" t="str">
        <f t="shared" si="0"/>
        <v>900,九渊麒麟·刷新剩余</v>
      </c>
    </row>
    <row r="20" spans="1:5">
      <c r="A20" s="1" t="s">
        <v>1801</v>
      </c>
      <c r="E20" t="str">
        <f t="shared" si="0"/>
        <v>905,九渊麒麟·已经刷新</v>
      </c>
    </row>
    <row r="21" spans="1:5">
      <c r="A21" s="1" t="s">
        <v>1802</v>
      </c>
      <c r="E21" t="str">
        <f t="shared" si="0"/>
        <v>2400,帮会联赛·结束剩余</v>
      </c>
    </row>
    <row r="22" spans="1:5">
      <c r="A22" s="1" t="s">
        <v>1803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topLeftCell="A16"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1804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1805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1805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1805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1804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1806</v>
      </c>
      <c r="J2" t="str">
        <f t="shared" ref="J2:J25" si="1">H2&amp;","&amp;I2&amp;";"</f>
        <v>10,经脉受损·2层;</v>
      </c>
      <c r="L2">
        <f>L1+3</f>
        <v>6</v>
      </c>
      <c r="M2" t="s">
        <v>1806</v>
      </c>
      <c r="N2" t="str">
        <f t="shared" ref="N2:N25" si="2">L2&amp;","&amp;M2&amp;";"</f>
        <v>6,经脉受损·2层;</v>
      </c>
      <c r="P2">
        <f>P1+5</f>
        <v>10</v>
      </c>
      <c r="Q2" t="s">
        <v>1806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1804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1807</v>
      </c>
      <c r="J3" t="str">
        <f t="shared" si="1"/>
        <v>14.8,经脉受损·3层;</v>
      </c>
      <c r="L3">
        <f t="shared" ref="L3:L24" si="6">L2+3</f>
        <v>9</v>
      </c>
      <c r="M3" t="s">
        <v>1807</v>
      </c>
      <c r="N3" t="str">
        <f t="shared" si="2"/>
        <v>9,经脉受损·3层;</v>
      </c>
      <c r="P3">
        <f t="shared" ref="P3:P24" si="7">P2+5</f>
        <v>15</v>
      </c>
      <c r="Q3" t="s">
        <v>1807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1804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1808</v>
      </c>
      <c r="J4" t="str">
        <f t="shared" si="1"/>
        <v>20.3,经脉受损·4层;</v>
      </c>
      <c r="L4">
        <f t="shared" si="6"/>
        <v>12</v>
      </c>
      <c r="M4" t="s">
        <v>1808</v>
      </c>
      <c r="N4" t="str">
        <f t="shared" si="2"/>
        <v>12,经脉受损·4层;</v>
      </c>
      <c r="P4">
        <f t="shared" si="7"/>
        <v>20</v>
      </c>
      <c r="Q4" t="s">
        <v>1808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1804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1809</v>
      </c>
      <c r="J5" t="str">
        <f t="shared" si="1"/>
        <v>25.1,经脉受损·5层;</v>
      </c>
      <c r="L5">
        <f t="shared" si="6"/>
        <v>15</v>
      </c>
      <c r="M5" t="s">
        <v>1809</v>
      </c>
      <c r="N5" t="str">
        <f t="shared" si="2"/>
        <v>15,经脉受损·5层;</v>
      </c>
      <c r="P5">
        <f t="shared" si="7"/>
        <v>25</v>
      </c>
      <c r="Q5" t="s">
        <v>1809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1804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1810</v>
      </c>
      <c r="J6" t="str">
        <f t="shared" si="1"/>
        <v>30.3,经脉受损·6层;</v>
      </c>
      <c r="L6">
        <f t="shared" si="6"/>
        <v>18</v>
      </c>
      <c r="M6" t="s">
        <v>1810</v>
      </c>
      <c r="N6" t="str">
        <f t="shared" si="2"/>
        <v>18,经脉受损·6层;</v>
      </c>
      <c r="P6">
        <f t="shared" si="7"/>
        <v>30</v>
      </c>
      <c r="Q6" t="s">
        <v>1810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1804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1811</v>
      </c>
      <c r="J7" t="str">
        <f t="shared" si="1"/>
        <v>35.1,经脉受损·7层;</v>
      </c>
      <c r="L7">
        <f t="shared" si="6"/>
        <v>21</v>
      </c>
      <c r="M7" t="s">
        <v>1811</v>
      </c>
      <c r="N7" t="str">
        <f t="shared" si="2"/>
        <v>21,经脉受损·7层;</v>
      </c>
      <c r="P7">
        <f t="shared" si="7"/>
        <v>35</v>
      </c>
      <c r="Q7" t="s">
        <v>1811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1804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1812</v>
      </c>
      <c r="J8" t="str">
        <f t="shared" si="1"/>
        <v>40.3,经脉受损·8层;</v>
      </c>
      <c r="L8">
        <f t="shared" si="6"/>
        <v>24</v>
      </c>
      <c r="M8" t="s">
        <v>1812</v>
      </c>
      <c r="N8" t="str">
        <f t="shared" si="2"/>
        <v>24,经脉受损·8层;</v>
      </c>
      <c r="P8">
        <f t="shared" si="7"/>
        <v>40</v>
      </c>
      <c r="Q8" t="s">
        <v>1812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1804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1813</v>
      </c>
      <c r="J9" t="str">
        <f t="shared" si="1"/>
        <v>45.1,经脉受损·9层;</v>
      </c>
      <c r="L9">
        <f t="shared" si="6"/>
        <v>27</v>
      </c>
      <c r="M9" t="s">
        <v>1813</v>
      </c>
      <c r="N9" t="str">
        <f t="shared" si="2"/>
        <v>27,经脉受损·9层;</v>
      </c>
      <c r="P9">
        <f t="shared" si="7"/>
        <v>45</v>
      </c>
      <c r="Q9" t="s">
        <v>1813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1804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1814</v>
      </c>
      <c r="J10" t="str">
        <f t="shared" si="1"/>
        <v>50.3,经脉受损·10层;</v>
      </c>
      <c r="L10">
        <f t="shared" si="6"/>
        <v>30</v>
      </c>
      <c r="M10" t="s">
        <v>1814</v>
      </c>
      <c r="N10" t="str">
        <f t="shared" si="2"/>
        <v>30,经脉受损·10层;</v>
      </c>
      <c r="P10">
        <f t="shared" si="7"/>
        <v>50</v>
      </c>
      <c r="Q10" t="s">
        <v>1814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1804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1815</v>
      </c>
      <c r="J11" t="str">
        <f t="shared" si="1"/>
        <v>55.1,经脉受损·11层;</v>
      </c>
      <c r="L11">
        <f t="shared" si="6"/>
        <v>33</v>
      </c>
      <c r="M11" t="s">
        <v>1815</v>
      </c>
      <c r="N11" t="str">
        <f t="shared" si="2"/>
        <v>33,经脉受损·11层;</v>
      </c>
      <c r="P11">
        <f t="shared" si="7"/>
        <v>55</v>
      </c>
      <c r="Q11" t="s">
        <v>1815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1804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1816</v>
      </c>
      <c r="J12" t="str">
        <f t="shared" si="1"/>
        <v>60.3,经脉受损·12层;</v>
      </c>
      <c r="L12">
        <f t="shared" si="6"/>
        <v>36</v>
      </c>
      <c r="M12" t="s">
        <v>1816</v>
      </c>
      <c r="N12" t="str">
        <f t="shared" si="2"/>
        <v>36,经脉受损·12层;</v>
      </c>
      <c r="P12">
        <f t="shared" si="7"/>
        <v>60</v>
      </c>
      <c r="Q12" t="s">
        <v>1816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1804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1817</v>
      </c>
      <c r="J13" t="str">
        <f t="shared" si="1"/>
        <v>65.1,经脉受损·13层;</v>
      </c>
      <c r="L13">
        <f t="shared" si="6"/>
        <v>39</v>
      </c>
      <c r="M13" t="s">
        <v>1817</v>
      </c>
      <c r="N13" t="str">
        <f t="shared" si="2"/>
        <v>39,经脉受损·13层;</v>
      </c>
      <c r="P13">
        <f t="shared" si="7"/>
        <v>65</v>
      </c>
      <c r="Q13" t="s">
        <v>1817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1804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1818</v>
      </c>
      <c r="J14" t="str">
        <f t="shared" si="1"/>
        <v>70.3,经脉受损·14层;</v>
      </c>
      <c r="L14">
        <f t="shared" si="6"/>
        <v>42</v>
      </c>
      <c r="M14" t="s">
        <v>1818</v>
      </c>
      <c r="N14" t="str">
        <f t="shared" si="2"/>
        <v>42,经脉受损·14层;</v>
      </c>
      <c r="P14">
        <f t="shared" si="7"/>
        <v>70</v>
      </c>
      <c r="Q14" t="s">
        <v>1818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1804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1819</v>
      </c>
      <c r="J15" t="str">
        <f t="shared" si="1"/>
        <v>75.1,经脉受损·15层;</v>
      </c>
      <c r="L15">
        <f t="shared" si="6"/>
        <v>45</v>
      </c>
      <c r="M15" t="s">
        <v>1819</v>
      </c>
      <c r="N15" t="str">
        <f t="shared" si="2"/>
        <v>45,经脉受损·15层;</v>
      </c>
      <c r="P15">
        <f t="shared" si="7"/>
        <v>75</v>
      </c>
      <c r="Q15" t="s">
        <v>1819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1804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1820</v>
      </c>
      <c r="J16" t="str">
        <f t="shared" si="1"/>
        <v>80.3,经脉受损·16层;</v>
      </c>
      <c r="L16">
        <f t="shared" si="6"/>
        <v>48</v>
      </c>
      <c r="M16" t="s">
        <v>1820</v>
      </c>
      <c r="N16" t="str">
        <f t="shared" si="2"/>
        <v>48,经脉受损·16层;</v>
      </c>
      <c r="P16">
        <f t="shared" si="7"/>
        <v>80</v>
      </c>
      <c r="Q16" t="s">
        <v>1820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1804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1821</v>
      </c>
      <c r="J17" t="str">
        <f t="shared" si="1"/>
        <v>85.1,经脉受损·17层;</v>
      </c>
      <c r="L17">
        <f t="shared" si="6"/>
        <v>51</v>
      </c>
      <c r="M17" t="s">
        <v>1821</v>
      </c>
      <c r="N17" t="str">
        <f t="shared" si="2"/>
        <v>51,经脉受损·17层;</v>
      </c>
      <c r="P17">
        <f t="shared" si="7"/>
        <v>85</v>
      </c>
      <c r="Q17" t="s">
        <v>1821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1804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1822</v>
      </c>
      <c r="J18" t="str">
        <f t="shared" si="1"/>
        <v>90.3,经脉受损·18层;</v>
      </c>
      <c r="L18">
        <f t="shared" si="6"/>
        <v>54</v>
      </c>
      <c r="M18" t="s">
        <v>1822</v>
      </c>
      <c r="N18" t="str">
        <f t="shared" si="2"/>
        <v>54,经脉受损·18层;</v>
      </c>
      <c r="P18">
        <f t="shared" si="7"/>
        <v>90</v>
      </c>
      <c r="Q18" t="s">
        <v>1822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1804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1823</v>
      </c>
      <c r="J19" t="str">
        <f t="shared" si="1"/>
        <v>95.1,经脉受损·19层;</v>
      </c>
      <c r="L19">
        <f t="shared" si="6"/>
        <v>57</v>
      </c>
      <c r="M19" t="s">
        <v>1823</v>
      </c>
      <c r="N19" t="str">
        <f t="shared" si="2"/>
        <v>57,经脉受损·19层;</v>
      </c>
      <c r="P19">
        <f t="shared" si="7"/>
        <v>95</v>
      </c>
      <c r="Q19" t="s">
        <v>1823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1804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1824</v>
      </c>
      <c r="J20" t="str">
        <f t="shared" si="1"/>
        <v>100.3,经脉受损·20层;</v>
      </c>
      <c r="L20">
        <f t="shared" si="6"/>
        <v>60</v>
      </c>
      <c r="M20" t="s">
        <v>1824</v>
      </c>
      <c r="N20" t="str">
        <f t="shared" si="2"/>
        <v>60,经脉受损·20层;</v>
      </c>
      <c r="P20">
        <f t="shared" si="7"/>
        <v>100</v>
      </c>
      <c r="Q20" t="s">
        <v>1824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1804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1825</v>
      </c>
      <c r="J21" t="str">
        <f t="shared" si="1"/>
        <v>105.1,经脉受损·21层;</v>
      </c>
      <c r="L21">
        <f t="shared" si="6"/>
        <v>63</v>
      </c>
      <c r="M21" t="s">
        <v>1825</v>
      </c>
      <c r="N21" t="str">
        <f t="shared" si="2"/>
        <v>63,经脉受损·21层;</v>
      </c>
      <c r="P21">
        <f t="shared" si="7"/>
        <v>105</v>
      </c>
      <c r="Q21" t="s">
        <v>1825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1804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1826</v>
      </c>
      <c r="J22" t="str">
        <f t="shared" si="1"/>
        <v>110.3,经脉受损·22层;</v>
      </c>
      <c r="L22">
        <f t="shared" si="6"/>
        <v>66</v>
      </c>
      <c r="M22" t="s">
        <v>1826</v>
      </c>
      <c r="N22" t="str">
        <f t="shared" si="2"/>
        <v>66,经脉受损·22层;</v>
      </c>
      <c r="P22">
        <f t="shared" si="7"/>
        <v>110</v>
      </c>
      <c r="Q22" t="s">
        <v>1826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1804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1827</v>
      </c>
      <c r="J23" t="str">
        <f t="shared" si="1"/>
        <v>115.1,经脉受损·23层;</v>
      </c>
      <c r="L23">
        <f t="shared" si="6"/>
        <v>69</v>
      </c>
      <c r="M23" t="s">
        <v>1827</v>
      </c>
      <c r="N23" t="str">
        <f t="shared" si="2"/>
        <v>69,经脉受损·23层;</v>
      </c>
      <c r="P23">
        <f t="shared" si="7"/>
        <v>115</v>
      </c>
      <c r="Q23" t="s">
        <v>1827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1804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1828</v>
      </c>
      <c r="J24" t="str">
        <f t="shared" si="1"/>
        <v>120.3,经脉受损·24层;</v>
      </c>
      <c r="L24">
        <f t="shared" si="6"/>
        <v>72</v>
      </c>
      <c r="M24" t="s">
        <v>1828</v>
      </c>
      <c r="N24" t="str">
        <f t="shared" si="2"/>
        <v>72,经脉受损·24层;</v>
      </c>
      <c r="P24">
        <f t="shared" si="7"/>
        <v>120</v>
      </c>
      <c r="Q24" t="s">
        <v>1828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1804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1829</v>
      </c>
      <c r="J25" t="str">
        <f t="shared" si="1"/>
        <v>180,经脉受损·25层;</v>
      </c>
      <c r="L25">
        <v>180</v>
      </c>
      <c r="M25" t="s">
        <v>1829</v>
      </c>
      <c r="N25" t="str">
        <f t="shared" si="2"/>
        <v>180,经脉受损·25层;</v>
      </c>
      <c r="P25">
        <v>180</v>
      </c>
      <c r="Q25" t="s">
        <v>1829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1804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1804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1804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1804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1804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1804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1804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1804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1804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1804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1804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1804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1804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1804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1804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1804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1804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1804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1804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1804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1804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1804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1804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1804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1804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1804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1804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1804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1804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1804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1804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1804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1804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1804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1804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2026-09-06T14:10:20Z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