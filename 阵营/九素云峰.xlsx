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8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<sst xmlns="http://schemas.openxmlformats.org/spreadsheetml/2006/main" count="2523" uniqueCount="1827">
  <si>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</si>
  <si>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</si>
  <si>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</si>
  <si>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</si>
  <si>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</si>
  <si>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</si>
  <si>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</si>
  <si>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</si>
  <si>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</si>
  <si>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</si>
  <si>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</si>
  <si>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</si>
  <si>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</si>
  <si>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</si>
  <si>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</si>
  <si>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</si>
  <si>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</si>
  <si>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</si>
  <si>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</si>
  <si>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</si>
  <si>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</si>
  <si>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</si>
  <si>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</si>
  <si>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</si>
  <si>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</si>
  <si>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</si>
  <si>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</si>
  <si>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</si>
  <si>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</si>
  <si>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</si>
  <si>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</si>
  <si>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</si>
  <si>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</si>
  <si>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</si>
  <si>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</si>
  <si>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</si>
  <si>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</si>
  <si>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</si>
  <si>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</si>
  <si>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</si>
  <si>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</si>
  <si>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</si>
  <si>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</si>
  <si>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</si>
  <si>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</si>
  <si>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</si>
  <si>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</si>
  <si>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</si>
  <si>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</si>
  <si>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</si>
  <si>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</si>
  <si>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</si>
  <si>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</si>
  <si>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</si>
  <si>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</si>
  <si>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</si>
  <si>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</si>
  <si>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</si>
  <si>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</si>
  <si>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</si>
  <si>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</si>
  <si>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</si>
  <si>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</si>
  <si>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</si>
  <si>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</si>
  <si>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</si>
  <si>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</si>
  <si>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</si>
  <si>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</si>
  <si>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</si>
  <si>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</si>
  <si>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</si>
  <si>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</si>
  <si>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</si>
  <si>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</si>
  <si>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</si>
  <si>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</si>
  <si>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</si>
  <si>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</si>
  <si>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</si>
  <si>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</si>
  <si>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</si>
  <si>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</si>
  <si>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</si>
  <si>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</si>
  <si>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</si>
  <si>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</si>
  <si>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</si>
  <si>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</si>
  <si>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</si>
  <si>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</si>
  <si>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</si>
  <si>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</si>
  <si>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</si>
  <si>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</si>
  <si>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</si>
  <si>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</si>
  <si>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</si>
  <si>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</si>
  <si>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</si>
  <si>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</si>
  <si>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</si>
  <si>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</si>
  <si>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</si>
  <si>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</si>
  <si>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</si>
  <si>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</si>
  <si>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</si>
  <si>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</si>
  <si>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</si>
  <si>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</si>
  <si>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</si>
  <si>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</si>
  <si>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</si>
  <si>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</si>
  <si>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</si>
  <si>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</si>
  <si>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</si>
  <si>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</si>
  <si>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</si>
  <si>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</si>
  <si>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</si>
  <si>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</si>
  <si>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</si>
  <si>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</si>
  <si>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</si>
  <si>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</si>
  <si>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</si>
  <si>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</si>
  <si>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</si>
  <si>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</si>
  <si>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</si>
  <si>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</si>
  <si>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</si>
  <si>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</si>
  <si>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</si>
  <si>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</si>
  <si>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</si>
  <si>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</si>
  <si>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</si>
  <si>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</si>
  <si>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</si>
  <si>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</si>
  <si>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</si>
  <si>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</si>
  <si>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</si>
  <si>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</si>
  <si>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</si>
  <si>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</si>
  <si>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</si>
  <si>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</si>
  <si>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</si>
  <si>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</si>
  <si>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</si>
  <si>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</si>
  <si>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</si>
  <si>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</si>
  <si>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</si>
  <si>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</si>
  <si>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</si>
  <si>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</si>
  <si>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</si>
  <si>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</si>
  <si>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</si>
  <si>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</si>
  <si>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</si>
  <si>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</si>
  <si>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</si>
  <si>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</si>
  <si>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</si>
  <si>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</si>
  <si>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</si>
  <si>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</si>
  <si>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</si>
  <si>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</si>
  <si>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</si>
  <si>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</si>
  <si>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</si>
  <si>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</si>
  <si>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</si>
  <si>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</si>
  <si>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</si>
  <si>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</si>
  <si>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</si>
  <si>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</si>
  <si>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</si>
  <si>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</si>
  <si>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</si>
  <si>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</si>
  <si>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</si>
  <si>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</si>
  <si>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</si>
  <si>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</si>
  <si>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</si>
  <si>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</si>
  <si>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</si>
  <si>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</si>
  <si>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</si>
  <si>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</si>
  <si>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</si>
  <si>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</si>
  <si>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</si>
  <si>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</si>
  <si>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</si>
  <si>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</si>
  <si>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</si>
  <si>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</si>
  <si>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</si>
  <si>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</si>
  <si>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</si>
  <si>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</si>
  <si>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</si>
  <si>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</si>
  <si>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</si>
  <si>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</si>
  <si>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</si>
  <si>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</si>
  <si>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</si>
  <si>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</si>
  <si>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</si>
  <si>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</si>
  <si>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</si>
  <si>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</si>
  <si>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</si>
  <si>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</si>
  <si>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</si>
  <si>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</si>
  <si>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</si>
  <si>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</si>
  <si>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</si>
  <si>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</si>
  <si>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</si>
  <si>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</si>
  <si>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</si>
  <si>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</si>
  <si>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</si>
  <si>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</si>
  <si>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</si>
  <si>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</si>
  <si>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</si>
  <si>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</si>
  <si>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</si>
  <si>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</si>
  <si>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</si>
  <si>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</si>
  <si>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</si>
  <si>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</si>
  <si>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</si>
  <si>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</si>
  <si>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</si>
  <si>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</si>
  <si>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</si>
  <si>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</si>
  <si>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</si>
  <si>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</si>
  <si>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</si>
  <si>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</si>
  <si>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</si>
  <si>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</si>
  <si>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</si>
  <si>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</si>
  <si>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</si>
  <si>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</si>
  <si>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</si>
  <si>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</si>
  <si>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</si>
  <si>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</si>
  <si>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</si>
  <si>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</si>
  <si>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</si>
  <si>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</si>
  <si>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</si>
  <si>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</si>
  <si>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</si>
  <si>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</si>
  <si>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</si>
  <si>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</si>
  <si>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</si>
  <si>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</si>
  <si>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</si>
  <si>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</si>
  <si>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</si>
  <si>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</si>
  <si>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</si>
  <si>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</si>
  <si>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</si>
  <si>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</si>
  <si>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</si>
  <si>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</si>
  <si>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</si>
  <si>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</si>
  <si>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</si>
  <si>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</si>
  <si>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</si>
  <si>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</si>
  <si>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</si>
  <si>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</si>
  <si>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</si>
  <si>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</si>
  <si>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</si>
  <si>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</si>
  <si>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</si>
  <si>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</si>
  <si>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</si>
  <si>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</si>
  <si>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</si>
  <si>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</si>
  <si>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</si>
  <si>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</si>
  <si>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</si>
  <si>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</si>
  <si>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</si>
  <si>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</si>
  <si>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</si>
  <si>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</si>
  <si>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</si>
  <si>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</si>
  <si>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</si>
  <si>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</si>
  <si>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</si>
  <si>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</si>
  <si>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</si>
  <si>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</si>
  <si>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</si>
  <si>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</si>
  <si>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</si>
  <si>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</si>
  <si>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</si>
  <si>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</si>
  <si>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</si>
  <si>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</si>
  <si>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</si>
  <si>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</si>
  <si>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</si>
  <si>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</si>
  <si>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</si>
  <si>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</si>
  <si>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</si>
  <si>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</si>
  <si>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</si>
  <si>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</si>
  <si>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</si>
  <si>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</si>
  <si>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</si>
  <si>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</si>
  <si>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</si>
  <si>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</si>
  <si>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</si>
  <si>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</si>
  <si>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</si>
  <si>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</si>
  <si>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</si>
  <si>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</si>
  <si>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</si>
  <si>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</si>
  <si>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</si>
  <si>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</si>
  <si>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</si>
  <si>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</si>
  <si>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</si>
  <si>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</si>
  <si>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</si>
  <si>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</si>
  <si>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</si>
  <si>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</si>
  <si>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</si>
  <si>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</si>
  <si>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</si>
  <si>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</si>
  <si>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</si>
  <si>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</si>
  <si>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</si>
  <si>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</si>
  <si>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</si>
  <si>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</si>
  <si>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</si>
  <si>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</si>
  <si>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</si>
  <si>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</si>
  <si>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</si>
  <si>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</si>
  <si>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</si>
  <si>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</si>
  <si>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</si>
  <si>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</si>
  <si>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</si>
  <si>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</si>
  <si>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</si>
  <si>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</si>
  <si>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</si>
  <si>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</si>
  <si>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</si>
  <si>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</si>
  <si>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</si>
  <si>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</si>
  <si>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</si>
  <si>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</si>
  <si>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</si>
  <si>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</si>
  <si>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</si>
  <si>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</si>
  <si>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</si>
  <si>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</si>
  <si>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</si>
  <si>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</si>
  <si>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</si>
  <si>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</si>
  <si>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</si>
  <si>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</si>
  <si>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</si>
  <si>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</si>
  <si>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</si>
  <si>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</si>
  <si>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</si>
  <si>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</si>
  <si>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</si>
  <si>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</si>
  <si>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</si>
  <si>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</si>
  <si>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</si>
  <si>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</si>
  <si>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</si>
  <si>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</si>
  <si>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</si>
  <si>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</si>
  <si>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</si>
  <si>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</si>
  <si>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</si>
  <si>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</si>
  <si>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</si>
  <si>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</si>
  <si>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</si>
  <si>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</si>
  <si>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</si>
  <si>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</si>
  <si>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</si>
  <si>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</si>
  <si>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</si>
  <si>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</si>
  <si>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</si>
  <si>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</si>
  <si>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</si>
  <si>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</si>
  <si>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</si>
  <si>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</si>
  <si>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</si>
  <si>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</si>
  <si>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</si>
  <si>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</si>
  <si>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</si>
  <si>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</si>
  <si>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</si>
  <si>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</si>
  <si>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</si>
  <si>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</si>
  <si>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</si>
  <si>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</si>
  <si>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</si>
  <si>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</si>
  <si>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</si>
  <si>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</si>
  <si>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</si>
  <si>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</si>
  <si>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</si>
  <si>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</si>
  <si>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</si>
  <si>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</si>
  <si>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</si>
  <si>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</si>
  <si>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</si>
  <si>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</si>
  <si>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</si>
  <si>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</si>
  <si>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</si>
  <si>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</si>
  <si>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</si>
  <si>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</si>
  <si>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</si>
  <si>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</si>
  <si>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</si>
  <si>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</si>
  <si>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</si>
  <si>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</si>
  <si>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</si>
  <si>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</si>
  <si>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</si>
  <si>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</si>
  <si>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</si>
  <si>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</si>
  <si>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</si>
  <si>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</si>
  <si>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</si>
  <si>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</si>
  <si>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</si>
  <si>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</si>
  <si>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</si>
  <si>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</si>
  <si>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</si>
  <si>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</si>
  <si>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</si>
  <si>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</si>
  <si>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</si>
  <si>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</si>
  <si>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</si>
  <si>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</si>
  <si>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</si>
  <si>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</si>
  <si>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</si>
  <si>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</si>
  <si>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</si>
  <si>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</si>
  <si>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</si>
  <si>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</si>
  <si>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</si>
  <si>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</si>
  <si>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</si>
  <si>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</si>
  <si>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</si>
  <si>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</si>
  <si>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</si>
  <si>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</si>
  <si>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</si>
  <si>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</si>
  <si>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</si>
  <si>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</si>
  <si>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</si>
  <si>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</si>
  <si>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</si>
  <si>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</si>
  <si>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</si>
  <si>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</si>
  <si>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</si>
  <si>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</si>
  <si>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</si>
  <si>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</si>
  <si>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</si>
  <si>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</si>
  <si>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</si>
  <si>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</si>
  <si>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</si>
  <si>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</si>
  <si>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</si>
  <si>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</si>
  <si>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</si>
  <si>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</si>
  <si>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</si>
  <si>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</si>
  <si>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</si>
  <si>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</si>
  <si>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</si>
  <si>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</si>
  <si>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</si>
  <si>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</si>
  <si>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</si>
  <si>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</si>
  <si>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</si>
  <si>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</si>
  <si>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</si>
  <si>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</si>
  <si>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</si>
  <si>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</si>
  <si>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</si>
  <si>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</si>
  <si>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</si>
  <si>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</si>
  <si>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</si>
  <si>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</si>
  <si>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</si>
  <si>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</si>
  <si>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</si>
  <si>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</si>
  <si>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</si>
  <si>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</si>
  <si>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</si>
  <si>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</si>
  <si>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</si>
  <si>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</si>
  <si>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</si>
  <si>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</si>
  <si>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</si>
  <si>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</si>
  <si>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</si>
  <si>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</si>
  <si>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</si>
  <si>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</si>
  <si>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</si>
  <si>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</si>
  <si>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</si>
  <si>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</si>
  <si>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</si>
  <si>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</si>
  <si>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</si>
  <si>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</si>
  <si>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</si>
  <si>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</si>
  <si>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</si>
  <si>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</si>
  <si>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</si>
  <si>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</si>
  <si>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</si>
  <si>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</si>
  <si>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</si>
  <si>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</si>
  <si>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</si>
  <si>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</si>
  <si>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</si>
  <si>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</si>
  <si>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</si>
  <si>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</si>
  <si>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</si>
  <si>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</si>
  <si>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</si>
  <si>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</si>
  <si>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</si>
  <si>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</si>
  <si>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</si>
  <si>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</si>
  <si>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</si>
  <si>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</si>
  <si>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</si>
  <si>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</si>
  <si>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</si>
  <si>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</si>
  <si>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</si>
  <si>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</si>
  <si>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</si>
  <si>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</si>
  <si>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</si>
  <si>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</si>
  <si>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</si>
  <si>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</si>
  <si>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</si>
  <si>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</si>
  <si>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</si>
  <si>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</si>
  <si>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</si>
  <si>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</si>
  <si>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</si>
  <si>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</si>
  <si>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</si>
  <si>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</si>
  <si>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</si>
  <si>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</si>
  <si>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</si>
  <si>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</si>
  <si>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</si>
  <si>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</si>
  <si>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</si>
  <si>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</si>
  <si>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</si>
  <si>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</si>
  <si>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</si>
  <si>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</si>
  <si>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</si>
  <si>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</si>
  <si>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</si>
  <si>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</si>
  <si>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</si>
  <si>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</si>
  <si>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</si>
  <si>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</si>
  <si>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</si>
  <si>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</si>
  <si>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</si>
  <si>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</si>
  <si>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</si>
  <si>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</si>
  <si>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</si>
  <si>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</si>
  <si>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</si>
  <si>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</si>
  <si>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</si>
  <si>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</si>
  <si>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</si>
  <si>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</si>
  <si>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</si>
  <si>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</si>
  <si>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</si>
  <si>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</si>
  <si>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</si>
  <si>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</si>
  <si>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</si>
  <si>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</si>
  <si>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</si>
  <si>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</si>
  <si>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</si>
  <si>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</si>
  <si>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</si>
  <si>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</si>
  <si>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</si>
  <si>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</si>
  <si>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</si>
  <si>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</si>
  <si>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</si>
  <si>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</si>
  <si>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</si>
  <si>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</si>
  <si>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</si>
  <si>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</si>
  <si>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</si>
  <si>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</si>
  <si>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</si>
  <si>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</si>
  <si>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</si>
  <si>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</si>
  <si>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</si>
  <si>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</si>
  <si>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</si>
  <si>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</si>
  <si>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</si>
  <si>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</si>
  <si>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</si>
  <si>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</si>
  <si>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</si>
  <si>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</si>
  <si>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</si>
  <si>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</si>
  <si>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</si>
  <si>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</si>
  <si>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</si>
  <si>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</si>
  <si>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</si>
  <si>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</si>
  <si>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</si>
  <si>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</si>
  <si>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</si>
  <si>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</si>
  <si>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</si>
  <si>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</si>
  <si>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</si>
  <si>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</si>
  <si>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</si>
  <si>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</si>
  <si>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</si>
  <si>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</si>
  <si>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</si>
  <si>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</si>
  <si>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</si>
  <si>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</si>
  <si>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</si>
  <si>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</si>
  <si>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</si>
  <si>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</si>
  <si>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</si>
  <si>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</si>
  <si>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</si>
  <si>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</si>
  <si>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</si>
  <si>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</si>
  <si>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</si>
  <si>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</si>
  <si>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</si>
  <si>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</si>
  <si>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</si>
  <si>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</si>
  <si>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</si>
  <si>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</si>
  <si>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</si>
  <si>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</si>
  <si>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</si>
  <si>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</si>
  <si>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</si>
  <si>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</si>
  <si>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</si>
  <si>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</si>
  <si>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</si>
  <si>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</si>
  <si>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</si>
  <si>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</si>
  <si>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</si>
  <si>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</si>
  <si>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</si>
  <si>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</si>
  <si>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</si>
  <si>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</si>
  <si>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</si>
  <si>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</si>
  <si>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</si>
  <si>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</si>
  <si>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</si>
  <si>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</si>
  <si>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</si>
  <si>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</si>
  <si>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</si>
  <si>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</si>
  <si>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</si>
  <si>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</si>
  <si>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</si>
  <si>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</si>
  <si>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</si>
  <si>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</si>
  <si>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</si>
  <si>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</si>
  <si>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</si>
  <si>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</si>
  <si>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</si>
  <si>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</si>
  <si>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</si>
  <si>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</si>
  <si>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</si>
  <si>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</si>
  <si>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</si>
  <si>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</si>
  <si>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</si>
  <si>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</si>
  <si>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</si>
  <si>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</si>
  <si>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</si>
  <si>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</si>
  <si>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</si>
  <si>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</si>
  <si>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</si>
  <si>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</si>
  <si>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</si>
  <si>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</si>
  <si>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</si>
  <si>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</si>
  <si>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</si>
  <si>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</si>
  <si>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</si>
  <si>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</si>
  <si>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</si>
  <si>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</si>
  <si>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</si>
  <si>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</si>
  <si>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</si>
  <si>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</si>
  <si>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</si>
  <si>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</si>
  <si>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</si>
  <si>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</si>
  <si>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</si>
  <si>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</si>
  <si>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</si>
  <si>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</si>
  <si>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</si>
  <si>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</si>
  <si>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</si>
  <si>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</si>
  <si>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</si>
  <si>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</si>
  <si>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</si>
  <si>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</si>
  <si>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</si>
  <si>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</si>
  <si>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</si>
  <si>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</si>
  <si>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</si>
  <si>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</si>
  <si>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</si>
  <si>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</si>
  <si>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</si>
  <si>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</si>
  <si>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</si>
  <si>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</si>
  <si>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</si>
  <si>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</si>
  <si>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</si>
  <si>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</si>
  <si>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</si>
  <si>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</si>
  <si>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</si>
  <si>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</si>
  <si>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</si>
  <si>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</si>
  <si>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</si>
  <si>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</si>
  <si>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</si>
  <si>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</si>
  <si>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</si>
  <si>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</si>
  <si>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</si>
  <si>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</si>
  <si>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</si>
  <si>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</si>
  <si>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</si>
  <si>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</si>
  <si>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</si>
  <si>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</si>
  <si>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</si>
  <si>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</si>
  <si>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</si>
  <si>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</si>
  <si>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</si>
  <si>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</si>
  <si>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</si>
  <si>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</si>
  <si>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</si>
  <si>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</si>
  <si>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</si>
  <si>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</si>
  <si>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</si>
  <si>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</si>
  <si>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</si>
  <si>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</si>
  <si>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</si>
  <si>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</si>
  <si>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</si>
  <si>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</si>
  <si>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</si>
  <si>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</si>
  <si>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</si>
  <si>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</si>
  <si>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</si>
  <si>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</si>
  <si>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</si>
  <si>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</si>
  <si>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</si>
  <si>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</si>
  <si>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</si>
  <si>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</si>
  <si>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</si>
  <si>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</si>
  <si>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</si>
  <si>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</si>
  <si>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</si>
  <si>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</si>
  <si>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</si>
  <si>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</si>
  <si>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</si>
  <si>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</si>
  <si>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</si>
  <si>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</si>
  <si>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</si>
  <si>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</si>
  <si>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</si>
  <si>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</si>
  <si>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</si>
  <si>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</si>
  <si>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</si>
  <si>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</si>
  <si>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</si>
  <si>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</si>
  <si>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</si>
  <si>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</si>
  <si>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</si>
  <si>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</si>
  <si>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</si>
  <si>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</si>
  <si>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</si>
  <si>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</si>
  <si>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</si>
  <si>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</si>
  <si>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</si>
  <si>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</si>
  <si>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</si>
  <si>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</si>
  <si>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</si>
  <si>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</si>
  <si>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</si>
  <si>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</si>
  <si>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</si>
  <si>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</si>
  <si>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</si>
  <si>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</si>
  <si>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</si>
  <si>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</si>
  <si>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</si>
  <si>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</si>
  <si>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</si>
  <si>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</si>
  <si>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</si>
  <si>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</si>
  <si>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</si>
  <si>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</si>
  <si>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</si>
  <si>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</si>
  <si>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</si>
  <si>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</si>
  <si>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</si>
  <si>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</si>
  <si>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</si>
  <si>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</si>
  <si>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</si>
  <si>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</si>
  <si>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</si>
  <si>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</si>
  <si>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</si>
  <si>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</si>
  <si>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</si>
  <si>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</si>
  <si>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</si>
  <si>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</si>
  <si>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</si>
  <si>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</si>
  <si>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</si>
  <si>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</si>
  <si>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</si>
  <si>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</si>
  <si>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</si>
  <si>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</si>
  <si>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</si>
  <si>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</si>
  <si>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</si>
  <si>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</si>
  <si>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</si>
  <si>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</si>
  <si>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</si>
  <si>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</si>
  <si>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</si>
  <si>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</si>
  <si>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</si>
  <si>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</si>
  <si>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</si>
  <si>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</si>
  <si>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</si>
  <si>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</si>
  <si>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</si>
  <si>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</si>
  <si>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</si>
  <si>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</si>
  <si>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</si>
  <si>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</si>
  <si>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</si>
  <si>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</si>
  <si>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</si>
  <si>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</si>
  <si>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</si>
  <si>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</si>
  <si>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</si>
  <si>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</si>
  <si>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</si>
  <si>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</si>
  <si>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</si>
  <si>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</si>
  <si>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</si>
  <si>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</si>
  <si>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</si>
  <si>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</si>
  <si>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</si>
  <si>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</si>
  <si>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</si>
  <si>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</si>
  <si>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</si>
  <si>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</si>
  <si>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</si>
  <si>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</si>
  <si>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</si>
  <si>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</si>
  <si>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</si>
  <si>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</si>
  <si>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</si>
  <si>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</si>
  <si>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</si>
  <si>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</si>
  <si>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</si>
  <si>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</si>
  <si>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</si>
  <si>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</si>
  <si>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</si>
  <si>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</si>
  <si>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</si>
  <si>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</si>
  <si>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</si>
  <si>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</si>
  <si>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</si>
  <si>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</si>
  <si>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</si>
  <si>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</si>
  <si>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</si>
  <si>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</si>
  <si>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</si>
  <si>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</si>
  <si>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</si>
  <si>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</si>
  <si>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</si>
  <si>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</si>
  <si>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</si>
  <si>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</si>
  <si>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</si>
  <si>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</si>
  <si>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</si>
  <si>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</si>
  <si>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</si>
  <si>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</si>
  <si>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</si>
  <si>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</si>
  <si>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</si>
  <si>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</si>
  <si>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</si>
  <si>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</si>
  <si>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</si>
  <si>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</si>
  <si>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</si>
  <si>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</si>
  <si>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</si>
  <si>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</si>
  <si>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</si>
  <si>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</si>
  <si>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</si>
  <si>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</si>
  <si>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</si>
  <si>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</si>
  <si>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</si>
  <si>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</si>
  <si>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</si>
  <si>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</si>
  <si>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</si>
  <si>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</si>
  <si>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</si>
  <si>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</si>
  <si>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</si>
  <si>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</si>
  <si>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</si>
  <si>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</si>
  <si>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</si>
  <si>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</si>
  <si>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</si>
  <si>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</si>
  <si>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</si>
  <si>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</si>
  <si>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</si>
  <si>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</si>
  <si>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</si>
  <si>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</si>
  <si>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</si>
  <si>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</si>
  <si>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</si>
  <si>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</si>
  <si>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</si>
  <si>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</si>
  <si>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</si>
  <si>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</si>
  <si>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</si>
  <si>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</si>
  <si>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</si>
  <si>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</si>
  <si>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</si>
  <si>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</si>
  <si>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</si>
  <si>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</si>
  <si>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</si>
  <si>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</si>
  <si>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</si>
  <si>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</si>
  <si>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</si>
  <si>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</si>
  <si>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</si>
  <si>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</si>
  <si>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</si>
  <si>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</si>
  <si>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</si>
  <si>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</si>
  <si>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</si>
  <si>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</si>
  <si>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</si>
  <si>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</si>
  <si>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</si>
  <si>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</si>
  <si>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</si>
  <si>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</si>
  <si>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</si>
  <si>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</si>
  <si>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</si>
  <si>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</si>
  <si>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</si>
  <si>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</si>
  <si>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</si>
  <si>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</si>
  <si>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</si>
  <si>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</si>
  <si>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</si>
  <si>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</si>
  <si>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</si>
  <si>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</si>
  <si>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</si>
  <si>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</si>
  <si>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</si>
  <si>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</si>
  <si>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</si>
  <si>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</si>
  <si>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</si>
  <si>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</si>
  <si>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</si>
  <si>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</si>
  <si>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</si>
  <si>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</si>
  <si>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</si>
  <si>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</si>
  <si>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</si>
  <si>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</si>
  <si>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</si>
  <si>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</si>
  <si>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</si>
  <si>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</si>
  <si>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</si>
  <si>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</si>
  <si>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</si>
  <si>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</si>
  <si>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</si>
  <si>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</si>
  <si>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</si>
  <si>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</si>
  <si>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</si>
  <si>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</si>
  <si>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</si>
  <si>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</si>
  <si>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</si>
  <si>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</si>
  <si>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</si>
  <si>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</si>
  <si>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</si>
  <si>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</si>
  <si>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</si>
  <si>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</si>
  <si>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</si>
  <si>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</si>
  <si>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</si>
  <si>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</si>
  <si>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</si>
  <si>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</si>
  <si>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</si>
  <si>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</si>
  <si>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</si>
  <si>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</si>
  <si>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</si>
  <si>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</si>
  <si>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</si>
  <si>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</si>
  <si>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</si>
  <si>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</si>
  <si>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</si>
  <si>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</si>
  <si>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</si>
  <si>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</si>
  <si>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</si>
  <si>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</si>
  <si>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</si>
  <si>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</si>
  <si>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</si>
  <si>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</si>
  <si>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</si>
  <si>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</si>
  <si>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</si>
  <si>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</si>
  <si>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</si>
  <si>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</si>
  <si>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</si>
  <si>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</si>
  <si>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</si>
  <si>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</si>
  <si>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</si>
  <si>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</si>
  <si>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</si>
  <si>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</si>
  <si>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</si>
  <si>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</si>
  <si>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</si>
  <si>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</si>
  <si>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</si>
  <si>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</si>
  <si>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</si>
  <si>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</si>
  <si>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</si>
  <si>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</si>
  <si>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</si>
  <si>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</si>
  <si>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</si>
  <si>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</si>
  <si>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</si>
  <si>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</si>
  <si>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</si>
  <si>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</si>
  <si>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</si>
  <si>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</si>
  <si>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</si>
  <si>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</si>
  <si>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</si>
  <si>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</si>
  <si>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</si>
  <si>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</si>
  <si>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</si>
  <si>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</si>
  <si>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</si>
  <si>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</si>
  <si>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</si>
  <si>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</si>
  <si>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</si>
  <si>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</si>
  <si>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</si>
  <si>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</si>
  <si>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</si>
  <si>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</si>
  <si>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</si>
  <si>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</si>
  <si>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</si>
  <si>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</si>
  <si>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</si>
  <si>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</si>
  <si>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</si>
  <si>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</si>
  <si>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</si>
  <si>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</si>
  <si>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</si>
  <si>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</si>
  <si>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</si>
  <si>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</si>
  <si>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</si>
  <si>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</si>
  <si>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</si>
  <si>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</si>
  <si>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</si>
  <si>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</si>
  <si>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</si>
  <si>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</si>
  <si>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</si>
  <si>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</si>
  <si>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</si>
  <si>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</si>
  <si>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</si>
  <si>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</si>
  <si>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</si>
  <si>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</si>
  <si>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</si>
  <si>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</si>
  <si>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</si>
  <si>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</si>
  <si>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</si>
  <si>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</si>
  <si>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</si>
  <si>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</si>
  <si>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</si>
  <si>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</si>
  <si>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</si>
  <si>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</si>
  <si>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</si>
  <si>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</si>
  <si>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</si>
  <si>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</si>
  <si>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</si>
  <si>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</si>
  <si>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</si>
  <si>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</si>
  <si>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</si>
  <si>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</si>
  <si>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</si>
  <si>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</si>
  <si>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</si>
  <si>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</si>
  <si>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</si>
  <si>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</si>
  <si>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</si>
  <si>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</si>
  <si>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</si>
  <si>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</si>
  <si>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</si>
  <si>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</si>
  <si>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</si>
  <si>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</si>
  <si>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</si>
  <si>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</si>
  <si>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</si>
  <si>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</si>
  <si>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</si>
  <si>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</si>
  <si>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</si>
  <si>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</si>
  <si>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</si>
  <si>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</si>
  <si>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</si>
  <si>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</si>
  <si>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</si>
  <si>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</si>
  <si>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</si>
  <si>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</si>
  <si>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</si>
  <si>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</si>
  <si>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</si>
  <si>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</si>
  <si>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</si>
  <si>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</si>
  <si>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</si>
  <si>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</si>
  <si>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</si>
  <si>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</si>
  <si>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</si>
  <si>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</si>
  <si>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</si>
  <si>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</si>
  <si>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</si>
  <si>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</si>
  <si>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</si>
  <si>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</si>
  <si>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</si>
  <si>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</si>
  <si>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</si>
  <si>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</si>
  <si>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</si>
  <si>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</si>
  <si>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</si>
  <si>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</si>
  <si>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</si>
  <si>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</si>
  <si>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</si>
  <si>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</si>
  <si>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</si>
  <si>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</si>
  <si>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</si>
  <si>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</si>
  <si>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</si>
  <si>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</si>
  <si>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</si>
  <si>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</si>
  <si>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</si>
  <si>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</si>
  <si>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</si>
  <si>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</si>
  <si>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</si>
  <si>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</si>
  <si>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</si>
  <si>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</si>
  <si>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</si>
  <si>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</si>
  <si>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</si>
  <si>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</si>
  <si>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</si>
  <si>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</si>
  <si>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</si>
  <si>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</si>
  <si>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</si>
  <si>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</si>
  <si>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</si>
  <si>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</si>
  <si>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</si>
  <si>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</si>
  <si>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</si>
  <si>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</si>
  <si>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</si>
  <si>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</si>
  <si>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</si>
  <si>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</si>
  <si>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</si>
  <si>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</si>
  <si>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</si>
  <si>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</si>
  <si>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</si>
  <si>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</si>
  <si>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</si>
  <si>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</si>
  <si>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</si>
  <si>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</si>
  <si>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</si>
  <si>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</si>
  <si>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</si>
  <si>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</si>
  <si>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</si>
  <si>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</si>
  <si>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</si>
  <si>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</si>
  <si>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</si>
  <si>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</si>
  <si>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</si>
  <si>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</si>
  <si>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</si>
  <si>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</si>
  <si>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</si>
  <si>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</si>
  <si>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</si>
  <si>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</si>
  <si>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</si>
  <si>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</si>
  <si>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</si>
  <si>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</si>
  <si>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</si>
  <si>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</si>
  <si>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</si>
  <si>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</si>
  <si>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</si>
  <si>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</si>
  <si>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</si>
  <si>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</si>
  <si>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</si>
  <si>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</si>
  <si>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</si>
  <si>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</si>
  <si>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</si>
  <si>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</si>
  <si>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</si>
  <si>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</si>
  <si>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</si>
  <si>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</si>
  <si>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</si>
  <si>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</si>
  <si>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</si>
  <si>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</si>
  <si>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</si>
  <si>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</si>
  <si>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</si>
  <si>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</si>
  <si>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</si>
  <si>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</si>
  <si>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</si>
  <si>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</si>
  <si>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</si>
  <si>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</si>
  <si>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</si>
  <si>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</si>
  <si>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</si>
  <si>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</si>
  <si>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</si>
  <si>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</si>
  <si>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</si>
  <si>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</si>
  <si>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</si>
  <si>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</si>
  <si>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</si>
  <si>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</si>
  <si>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</si>
  <si>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</si>
  <si>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</si>
  <si>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</si>
  <si>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</si>
  <si>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</si>
  <si>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</si>
  <si>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</si>
  <si>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</si>
  <si>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</si>
  <si>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</si>
  <si>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</si>
  <si>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#FFFF00DD</t>
  </si>
  <si>
    <t>#FFFF00</t>
  </si>
  <si>
    <t>塔内</t>
  </si>
  <si>
    <t>被防御塔瞄准</t>
  </si>
  <si>
    <t>255,127,255,</t>
  </si>
  <si>
    <t>抗摔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</si>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</sst>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1787145398000,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workbookViewId="0">
      <selection activeCell="AQ4" sqref="AQ4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221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29019</v>
      </c>
      <c r="D5">
        <v>1</v>
      </c>
      <c r="F5">
        <v>77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{dwID=29019,nLevel=1,nIcon=77,szName="抗摔",nScrutinyType=1,szNote="家园卫士出门抗摔",[1]={bBuffList=true,},[2]={},},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workbookViewId="0">
      <selection activeCell="D10" sqref="D10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1541</v>
      </c>
      <c r="AS6" t="s">
        <v>1542</v>
      </c>
    </row>
    <row r="7" spans="1:45">
      <c r="C7">
        <v>29080</v>
      </c>
      <c r="D7">
        <v>1</v>
      </c>
      <c r="G7" t="s">
        <v>1543</v>
      </c>
      <c r="I7">
        <v>1</v>
      </c>
      <c r="K7" t="s">
        <v>1544</v>
      </c>
      <c r="L7" t="s">
        <v>1523</v>
      </c>
      <c r="U7">
        <v>1</v>
      </c>
      <c r="W7">
        <v>1</v>
      </c>
      <c r="AI7">
        <v>37</v>
      </c>
      <c r="AJ7" t="s">
        <v>1545</v>
      </c>
      <c r="AK7" t="s">
        <v>1546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1547</v>
      </c>
    </row>
    <row r="8" spans="1:45">
      <c r="A8" t="s">
        <v>1548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1549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1550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1549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1551</v>
      </c>
      <c r="M1" t="s">
        <v>1552</v>
      </c>
      <c r="N1" t="s">
        <v>1553</v>
      </c>
      <c r="O1" t="s">
        <v>1554</v>
      </c>
      <c r="P1" t="s">
        <v>1555</v>
      </c>
      <c r="Q1" t="s">
        <v>1556</v>
      </c>
      <c r="R1" t="s">
        <v>1557</v>
      </c>
      <c r="S1" t="s">
        <v>1558</v>
      </c>
      <c r="T1" t="s">
        <v>1559</v>
      </c>
      <c r="U1" t="s">
        <v>1560</v>
      </c>
      <c r="V1" t="s">
        <v>1561</v>
      </c>
      <c r="W1" t="s">
        <v>1562</v>
      </c>
      <c r="X1" t="s">
        <v>1563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1564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1565</v>
      </c>
    </row>
    <row r="4" spans="1:25">
      <c r="C4">
        <v>38263</v>
      </c>
      <c r="D4">
        <v>1</v>
      </c>
      <c r="J4" t="s">
        <v>1566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1567</v>
      </c>
    </row>
    <row r="5" spans="1:25">
      <c r="C5">
        <v>38264</v>
      </c>
      <c r="D5">
        <v>1</v>
      </c>
      <c r="J5" t="s">
        <v>1568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1569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1570</v>
      </c>
      <c r="F1" t="s">
        <v>1571</v>
      </c>
      <c r="G1" t="s">
        <v>1480</v>
      </c>
      <c r="H1" t="s">
        <v>1483</v>
      </c>
      <c r="I1" t="s">
        <v>49</v>
      </c>
      <c r="J1" t="s">
        <v>1484</v>
      </c>
      <c r="K1" t="s">
        <v>1572</v>
      </c>
      <c r="L1" t="s">
        <v>1573</v>
      </c>
      <c r="M1" t="s">
        <v>1574</v>
      </c>
      <c r="N1" t="s">
        <v>1575</v>
      </c>
      <c r="O1" t="s">
        <v>1576</v>
      </c>
      <c r="P1" t="s">
        <v>1577</v>
      </c>
      <c r="Q1" t="s">
        <v>1578</v>
      </c>
      <c r="R1" t="s">
        <v>1579</v>
      </c>
      <c r="S1" t="s">
        <v>1580</v>
      </c>
      <c r="T1" t="s">
        <v>1581</v>
      </c>
      <c r="U1" t="s">
        <v>1582</v>
      </c>
      <c r="V1" t="s">
        <v>296</v>
      </c>
      <c r="W1" t="s">
        <v>1583</v>
      </c>
      <c r="X1" t="s">
        <v>316</v>
      </c>
    </row>
    <row r="2" spans="1:25">
      <c r="A2" t="s">
        <v>1548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1584</v>
      </c>
      <c r="J3" t="s">
        <v>613</v>
      </c>
      <c r="P3">
        <v>1</v>
      </c>
      <c r="V3" t="s">
        <v>1585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1550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1584</v>
      </c>
      <c r="J5" t="s">
        <v>613</v>
      </c>
      <c r="P5">
        <v>1</v>
      </c>
      <c r="V5" t="s">
        <v>1585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1586</v>
      </c>
      <c r="V7" t="s">
        <v>1587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1588</v>
      </c>
      <c r="J8" t="s">
        <v>1589</v>
      </c>
      <c r="P8">
        <v>1</v>
      </c>
      <c r="V8" t="s">
        <v>1590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1591</v>
      </c>
      <c r="V9" t="s">
        <v>1592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1593</v>
      </c>
      <c r="V10" t="s">
        <v>1594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1595</v>
      </c>
      <c r="J11" t="s">
        <v>582</v>
      </c>
      <c r="P11">
        <v>1</v>
      </c>
      <c r="V11" t="s">
        <v>1596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1597</v>
      </c>
      <c r="J12" t="s">
        <v>582</v>
      </c>
      <c r="P12">
        <v>1</v>
      </c>
      <c r="V12" t="s">
        <v>1598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1599</v>
      </c>
      <c r="J13" t="s">
        <v>582</v>
      </c>
      <c r="P13">
        <v>1</v>
      </c>
      <c r="V13" t="s">
        <v>1600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1601</v>
      </c>
      <c r="J14" t="s">
        <v>582</v>
      </c>
      <c r="P14">
        <v>1</v>
      </c>
      <c r="V14" t="s">
        <v>1602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1603</v>
      </c>
      <c r="J15" t="s">
        <v>640</v>
      </c>
      <c r="P15">
        <v>1</v>
      </c>
      <c r="V15" t="s">
        <v>1604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1605</v>
      </c>
      <c r="Y15" t="s">
        <v>1606</v>
      </c>
    </row>
    <row r="16" spans="1:25">
      <c r="C16">
        <v>128556</v>
      </c>
      <c r="D16">
        <v>57</v>
      </c>
      <c r="I16" t="s">
        <v>1607</v>
      </c>
      <c r="J16" t="s">
        <v>640</v>
      </c>
      <c r="P16">
        <v>1</v>
      </c>
      <c r="V16" t="s">
        <v>1608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1609</v>
      </c>
    </row>
    <row r="17" customFormat="1" spans="3:25">
      <c r="C17">
        <v>128732</v>
      </c>
      <c r="D17">
        <v>52</v>
      </c>
      <c r="I17" t="s">
        <v>1610</v>
      </c>
      <c r="V17" t="s">
        <v>1611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1612</v>
      </c>
      <c r="J18" t="s">
        <v>582</v>
      </c>
      <c r="P18">
        <v>1</v>
      </c>
      <c r="V18" t="s">
        <v>1613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1614</v>
      </c>
      <c r="J19" t="s">
        <v>582</v>
      </c>
      <c r="P19">
        <v>1</v>
      </c>
      <c r="V19" t="s">
        <v>1615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1616</v>
      </c>
      <c r="J20" t="s">
        <v>582</v>
      </c>
      <c r="P20">
        <v>1</v>
      </c>
      <c r="V20" t="s">
        <v>1617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1618</v>
      </c>
      <c r="J21" t="s">
        <v>582</v>
      </c>
      <c r="P21">
        <v>1</v>
      </c>
      <c r="V21" t="s">
        <v>1619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1620</v>
      </c>
      <c r="J22" t="s">
        <v>640</v>
      </c>
      <c r="P22">
        <v>1</v>
      </c>
      <c r="V22" t="s">
        <v>1621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1622</v>
      </c>
      <c r="Y22" t="s">
        <v>1606</v>
      </c>
    </row>
    <row r="23" spans="3:25">
      <c r="C23">
        <v>128558</v>
      </c>
      <c r="D23">
        <v>57</v>
      </c>
      <c r="I23" t="s">
        <v>1623</v>
      </c>
      <c r="J23" t="s">
        <v>640</v>
      </c>
      <c r="P23">
        <v>1</v>
      </c>
      <c r="V23" t="s">
        <v>1624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1625</v>
      </c>
    </row>
    <row r="24" spans="3:25">
      <c r="C24">
        <v>128576</v>
      </c>
      <c r="D24">
        <v>57</v>
      </c>
      <c r="I24" t="s">
        <v>1626</v>
      </c>
      <c r="J24" t="s">
        <v>640</v>
      </c>
      <c r="P24">
        <v>1</v>
      </c>
      <c r="V24" t="s">
        <v>1627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1628</v>
      </c>
      <c r="Y24" t="s">
        <v>1629</v>
      </c>
    </row>
    <row r="25" spans="3:25">
      <c r="C25">
        <v>128941</v>
      </c>
      <c r="D25">
        <v>52</v>
      </c>
      <c r="I25" t="s">
        <v>1630</v>
      </c>
      <c r="V25" t="s">
        <v>1631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7" sqref="U7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1570</v>
      </c>
      <c r="E1" t="s">
        <v>1571</v>
      </c>
      <c r="F1" t="s">
        <v>1480</v>
      </c>
      <c r="G1" t="s">
        <v>1483</v>
      </c>
      <c r="H1" t="s">
        <v>49</v>
      </c>
      <c r="I1" t="s">
        <v>1484</v>
      </c>
      <c r="J1" t="s">
        <v>1632</v>
      </c>
      <c r="K1" t="s">
        <v>1633</v>
      </c>
      <c r="L1" t="s">
        <v>1634</v>
      </c>
      <c r="M1" t="s">
        <v>1635</v>
      </c>
      <c r="N1" t="s">
        <v>1636</v>
      </c>
      <c r="O1" t="s">
        <v>1637</v>
      </c>
      <c r="P1" t="s">
        <v>1638</v>
      </c>
      <c r="Q1" t="s">
        <v>1639</v>
      </c>
      <c r="R1" t="s">
        <v>1640</v>
      </c>
      <c r="S1" t="s">
        <v>1641</v>
      </c>
      <c r="T1" t="s">
        <v>296</v>
      </c>
      <c r="U1" t="s">
        <v>1642</v>
      </c>
      <c r="V1" t="s">
        <v>316</v>
      </c>
    </row>
    <row r="2" spans="1:22">
      <c r="A2" t="s">
        <v>1548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1643</v>
      </c>
      <c r="I3" t="s">
        <v>622</v>
      </c>
      <c r="N3">
        <v>1</v>
      </c>
      <c r="T3" t="s">
        <v>1644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1645</v>
      </c>
      <c r="I4" t="s">
        <v>622</v>
      </c>
      <c r="N4">
        <v>1</v>
      </c>
      <c r="T4" t="s">
        <v>1646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1647</v>
      </c>
      <c r="I5" t="s">
        <v>622</v>
      </c>
      <c r="N5">
        <v>1</v>
      </c>
      <c r="T5" t="s">
        <v>1648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1649</v>
      </c>
      <c r="I6" t="s">
        <v>622</v>
      </c>
      <c r="N6">
        <v>1</v>
      </c>
      <c r="T6" t="s">
        <v>1650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1651</v>
      </c>
      <c r="I7" t="s">
        <v>622</v>
      </c>
      <c r="N7">
        <v>1</v>
      </c>
      <c r="T7" t="s">
        <v>1652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1653</v>
      </c>
      <c r="I9" t="s">
        <v>640</v>
      </c>
      <c r="M9">
        <v>1</v>
      </c>
      <c r="N9">
        <v>1</v>
      </c>
      <c r="T9" t="s">
        <v>1654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E29" sqref="E29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1655</v>
      </c>
      <c r="E1" t="s">
        <v>49</v>
      </c>
      <c r="F1" t="s">
        <v>1484</v>
      </c>
      <c r="G1" t="s">
        <v>1656</v>
      </c>
      <c r="H1" t="s">
        <v>1657</v>
      </c>
      <c r="I1" t="s">
        <v>1658</v>
      </c>
      <c r="J1" t="s">
        <v>1659</v>
      </c>
      <c r="K1" t="s">
        <v>1660</v>
      </c>
      <c r="L1" t="s">
        <v>1661</v>
      </c>
      <c r="M1" t="s">
        <v>1662</v>
      </c>
      <c r="N1" t="s">
        <v>1663</v>
      </c>
      <c r="O1" t="s">
        <v>1664</v>
      </c>
      <c r="P1" t="s">
        <v>316</v>
      </c>
    </row>
    <row r="2" spans="1:16">
      <c r="A2" t="s">
        <v>1665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1666</v>
      </c>
      <c r="D3" t="s">
        <v>1667</v>
      </c>
      <c r="E3" t="s">
        <v>1668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1669</v>
      </c>
    </row>
    <row r="4" spans="1:16">
      <c r="C4" t="s">
        <v>1666</v>
      </c>
      <c r="D4" t="s">
        <v>1670</v>
      </c>
      <c r="E4" t="s">
        <v>1671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1672</v>
      </c>
    </row>
    <row r="5" customFormat="1" spans="1:16">
      <c r="A5" t="s">
        <v>1548</v>
      </c>
      <c r="B5">
        <v>-2</v>
      </c>
      <c r="O5" t="str">
        <f t="shared" si="0"/>
        <v>},[-2]={</v>
      </c>
    </row>
    <row r="6" customFormat="1" spans="1:16">
      <c r="C6" t="s">
        <v>1666</v>
      </c>
      <c r="D6" t="s">
        <v>1673</v>
      </c>
      <c r="E6" t="s">
        <v>1674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1675</v>
      </c>
    </row>
    <row r="7" customFormat="1" spans="1:16">
      <c r="C7" t="s">
        <v>1666</v>
      </c>
      <c r="D7" t="s">
        <v>1676</v>
      </c>
      <c r="E7" t="s">
        <v>1677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1678</v>
      </c>
    </row>
    <row r="8" spans="1:16">
      <c r="A8" t="s">
        <v>1550</v>
      </c>
      <c r="B8">
        <v>-21</v>
      </c>
      <c r="O8" t="str">
        <f t="shared" si="0"/>
        <v>},[-21]={</v>
      </c>
    </row>
    <row r="9" customFormat="1" spans="1:16">
      <c r="C9" t="s">
        <v>1666</v>
      </c>
      <c r="D9" t="s">
        <v>1673</v>
      </c>
      <c r="E9" t="s">
        <v>1674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1675</v>
      </c>
    </row>
    <row r="10" customFormat="1" spans="1:16">
      <c r="C10" t="s">
        <v>1666</v>
      </c>
      <c r="D10" t="s">
        <v>1676</v>
      </c>
      <c r="E10" t="s">
        <v>1677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1678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1666</v>
      </c>
      <c r="D12" t="s">
        <v>1679</v>
      </c>
      <c r="E12" t="s">
        <v>1680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1681</v>
      </c>
    </row>
    <row r="13" spans="1:16">
      <c r="C13" t="s">
        <v>1666</v>
      </c>
      <c r="D13" t="s">
        <v>1682</v>
      </c>
      <c r="E13" t="s">
        <v>1683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1684</v>
      </c>
    </row>
    <row r="14" spans="1:16">
      <c r="C14" t="s">
        <v>1666</v>
      </c>
      <c r="D14" t="s">
        <v>1685</v>
      </c>
      <c r="E14" t="s">
        <v>1686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1687</v>
      </c>
    </row>
    <row r="15" spans="1:16">
      <c r="C15" t="s">
        <v>1666</v>
      </c>
      <c r="D15" t="s">
        <v>1688</v>
      </c>
      <c r="E15" t="s">
        <v>1689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1687</v>
      </c>
    </row>
    <row r="16" spans="1:16">
      <c r="D16" t="s">
        <v>1690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1691</v>
      </c>
    </row>
    <row r="17" spans="3:16">
      <c r="D17" t="s">
        <v>1692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1693</v>
      </c>
    </row>
    <row r="18" spans="3:16">
      <c r="C18" t="s">
        <v>1666</v>
      </c>
      <c r="D18" t="s">
        <v>1694</v>
      </c>
      <c r="E18" t="s">
        <v>1695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1696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tabSelected="1"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1655</v>
      </c>
      <c r="D1" t="s">
        <v>49</v>
      </c>
      <c r="E1" t="s">
        <v>1484</v>
      </c>
      <c r="F1" t="s">
        <v>1656</v>
      </c>
      <c r="G1" t="s">
        <v>1657</v>
      </c>
      <c r="H1" t="s">
        <v>1658</v>
      </c>
      <c r="I1" t="s">
        <v>1659</v>
      </c>
      <c r="J1" t="s">
        <v>1660</v>
      </c>
      <c r="K1" t="s">
        <v>1661</v>
      </c>
      <c r="L1" t="s">
        <v>1662</v>
      </c>
      <c r="M1" t="s">
        <v>1663</v>
      </c>
      <c r="N1" t="s">
        <v>1697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1698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1699</v>
      </c>
    </row>
    <row r="4" spans="1:15">
      <c r="C4" t="s">
        <v>1700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1701</v>
      </c>
    </row>
    <row r="5" spans="1:15">
      <c r="C5" t="s">
        <v>1702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1703</v>
      </c>
    </row>
    <row r="6" spans="1:15">
      <c r="C6" t="s">
        <v>1704</v>
      </c>
      <c r="D6" t="s">
        <v>1705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1706</v>
      </c>
    </row>
    <row r="7" spans="1:15">
      <c r="C7" t="s">
        <v>1707</v>
      </c>
      <c r="N7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7" t="s">
        <v>1708</v>
      </c>
    </row>
    <row r="8" spans="1:15">
      <c r="C8" t="s">
        <v>1709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1710</v>
      </c>
    </row>
    <row r="9" spans="1:15">
      <c r="C9" t="s">
        <v>1711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1712</v>
      </c>
    </row>
    <row r="10" spans="1:15">
      <c r="C10" t="s">
        <v>1713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1714</v>
      </c>
    </row>
    <row r="11" spans="1:15">
      <c r="C11" t="s">
        <v>1715</v>
      </c>
      <c r="D11" t="s">
        <v>1716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1717</v>
      </c>
    </row>
    <row r="12" spans="1:15">
      <c r="C12" t="s">
        <v>1718</v>
      </c>
      <c r="N12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2" t="s">
        <v>1719</v>
      </c>
    </row>
    <row r="13" spans="1:15">
      <c r="C13" t="s">
        <v>1679</v>
      </c>
      <c r="D13" t="s">
        <v>1680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1720</v>
      </c>
    </row>
    <row r="14" spans="1:15">
      <c r="C14" t="s">
        <v>1682</v>
      </c>
      <c r="D14" t="s">
        <v>1683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1721</v>
      </c>
    </row>
    <row r="15" spans="1:15">
      <c r="C15" t="s">
        <v>1722</v>
      </c>
      <c r="D15" t="s">
        <v>1686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1723</v>
      </c>
    </row>
    <row r="16" spans="1:15">
      <c r="C16" t="s">
        <v>1724</v>
      </c>
      <c r="D16" t="s">
        <v>1689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1723</v>
      </c>
    </row>
    <row r="17" spans="1:18">
      <c r="C17" t="s">
        <v>1725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1726</v>
      </c>
    </row>
    <row r="18" spans="1:18">
      <c r="C18" t="s">
        <v>1727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1728</v>
      </c>
    </row>
    <row r="19" spans="1:18">
      <c r="C19" t="s">
        <v>1729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1730</v>
      </c>
    </row>
    <row r="20" spans="1:18">
      <c r="C20" t="s">
        <v>1731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1732</v>
      </c>
    </row>
    <row r="21" spans="1:18">
      <c r="C21" t="s">
        <v>1733</v>
      </c>
      <c r="D21" t="s">
        <v>1734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1735</v>
      </c>
    </row>
    <row r="22" spans="1:18">
      <c r="C22" t="s">
        <v>1736</v>
      </c>
      <c r="D22" t="s">
        <v>1737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1738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1739</v>
      </c>
      <c r="P23" t="s">
        <v>1740</v>
      </c>
    </row>
    <row r="24" spans="1:18">
      <c r="C24" t="s">
        <v>1741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1742</v>
      </c>
      <c r="P24" t="s">
        <v>1743</v>
      </c>
      <c r="Q24" t="s">
        <v>1744</v>
      </c>
      <c r="R24" t="s">
        <v>1745</v>
      </c>
    </row>
    <row r="25" spans="1:18">
      <c r="C25" t="s">
        <v>1746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1747</v>
      </c>
      <c r="P25" t="s">
        <v>1748</v>
      </c>
      <c r="Q25" t="s">
        <v>1749</v>
      </c>
      <c r="R25" t="s">
        <v>1750</v>
      </c>
    </row>
    <row r="26" spans="1:18">
      <c r="C26" t="s">
        <v>1751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1752</v>
      </c>
      <c r="P26" t="s">
        <v>1753</v>
      </c>
      <c r="Q26" t="s">
        <v>1754</v>
      </c>
      <c r="R26" t="s">
        <v>1755</v>
      </c>
    </row>
    <row r="27" customFormat="1" spans="1:18">
      <c r="A27" t="s">
        <v>1548</v>
      </c>
      <c r="B27">
        <v>-2</v>
      </c>
      <c r="N27" t="str">
        <f t="shared" si="0"/>
        <v>},[-2]={</v>
      </c>
    </row>
    <row r="28" customFormat="1" spans="1:18">
      <c r="C28" t="s">
        <v>1756</v>
      </c>
      <c r="D28" t="s">
        <v>1757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1758</v>
      </c>
    </row>
    <row r="29" spans="1:18">
      <c r="C29" t="s">
        <v>1759</v>
      </c>
      <c r="D29" t="s">
        <v>1760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1761</v>
      </c>
    </row>
    <row r="30" spans="1:18">
      <c r="C30" t="s">
        <v>1762</v>
      </c>
      <c r="D30" t="s">
        <v>1763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1764</v>
      </c>
    </row>
    <row r="31" spans="1:18">
      <c r="A31" t="s">
        <v>1550</v>
      </c>
      <c r="B31">
        <v>-21</v>
      </c>
      <c r="N31" t="str">
        <f t="shared" si="0"/>
        <v>},[-21]={</v>
      </c>
    </row>
    <row r="32" customFormat="1" spans="1:18">
      <c r="C32" t="s">
        <v>1756</v>
      </c>
      <c r="D32" t="s">
        <v>1757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1758</v>
      </c>
    </row>
    <row r="33" customFormat="1" spans="3:15">
      <c r="C33" t="s">
        <v>1759</v>
      </c>
      <c r="D33" t="s">
        <v>1760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1761</v>
      </c>
    </row>
    <row r="34" customFormat="1" spans="3:15">
      <c r="C34" t="s">
        <v>1762</v>
      </c>
      <c r="D34" t="s">
        <v>1763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1764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1765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1766</v>
      </c>
      <c r="B2" t="s">
        <v>1767</v>
      </c>
      <c r="C2" t="s">
        <v>1768</v>
      </c>
      <c r="E2" t="str">
        <f>A2&amp;B2&amp;C2</f>
        <v>63,箭塔·减伤·4层·9层·14层</v>
      </c>
    </row>
    <row r="3" spans="1:9">
      <c r="A3" s="1" t="s">
        <v>1769</v>
      </c>
      <c r="B3" t="s">
        <v>1770</v>
      </c>
      <c r="C3" t="s">
        <v>1771</v>
      </c>
      <c r="E3" t="str">
        <f t="shared" ref="E3:E22" si="0">A3&amp;B3&amp;C3</f>
        <v>123,箭塔·减伤·3层·8层·13层</v>
      </c>
    </row>
    <row r="4" spans="1:9">
      <c r="A4" s="1" t="s">
        <v>1772</v>
      </c>
      <c r="B4" t="s">
        <v>1773</v>
      </c>
      <c r="C4" t="s">
        <v>1774</v>
      </c>
      <c r="E4" t="str">
        <f t="shared" si="0"/>
        <v>183,箭塔·减伤·2层·7层·12层</v>
      </c>
    </row>
    <row r="5" spans="1:9">
      <c r="A5" s="1" t="s">
        <v>1775</v>
      </c>
      <c r="B5" t="s">
        <v>1776</v>
      </c>
      <c r="C5" t="s">
        <v>1777</v>
      </c>
      <c r="E5" t="str">
        <f t="shared" si="0"/>
        <v>243,箭塔·减伤·1层·6层·11层</v>
      </c>
    </row>
    <row r="6" spans="1:9">
      <c r="A6" s="1" t="s">
        <v>1778</v>
      </c>
      <c r="E6" t="str">
        <f t="shared" si="0"/>
        <v>248,一塔·减伤·已消失</v>
      </c>
    </row>
    <row r="7" spans="1:9">
      <c r="A7" s="1" t="s">
        <v>1779</v>
      </c>
      <c r="B7" t="s">
        <v>1780</v>
      </c>
      <c r="C7" t="s">
        <v>1781</v>
      </c>
      <c r="E7" t="str">
        <f t="shared" si="0"/>
        <v>303,箭塔·减伤·0层·5层·10层</v>
      </c>
    </row>
    <row r="8" spans="1:9">
      <c r="A8" s="1" t="s">
        <v>1782</v>
      </c>
      <c r="B8" t="s">
        <v>1783</v>
      </c>
      <c r="C8" t="s">
        <v>1767</v>
      </c>
      <c r="E8" t="str">
        <f t="shared" si="0"/>
        <v>363,箭塔·减伤·0层·4层·9层</v>
      </c>
    </row>
    <row r="9" spans="1:9">
      <c r="A9" s="1" t="s">
        <v>1784</v>
      </c>
      <c r="B9" t="s">
        <v>1785</v>
      </c>
      <c r="C9" t="s">
        <v>1770</v>
      </c>
      <c r="E9" t="str">
        <f t="shared" si="0"/>
        <v>423,箭塔·减伤·0层·3层·8层</v>
      </c>
    </row>
    <row r="10" spans="1:9">
      <c r="A10" s="1" t="s">
        <v>1786</v>
      </c>
      <c r="B10" t="s">
        <v>1787</v>
      </c>
      <c r="C10" t="s">
        <v>1773</v>
      </c>
      <c r="E10" t="str">
        <f t="shared" si="0"/>
        <v>483,箭塔·减伤·0层·2层·7层</v>
      </c>
    </row>
    <row r="11" spans="1:9">
      <c r="A11" s="1" t="s">
        <v>1788</v>
      </c>
      <c r="B11" t="s">
        <v>1789</v>
      </c>
      <c r="C11" t="s">
        <v>1776</v>
      </c>
      <c r="E11" t="str">
        <f t="shared" si="0"/>
        <v>543,箭塔·减伤·0层·1层·6层</v>
      </c>
    </row>
    <row r="12" spans="1:9">
      <c r="A12" s="1" t="s">
        <v>1790</v>
      </c>
      <c r="E12" t="str">
        <f t="shared" si="0"/>
        <v>548,二塔·减伤·已消失</v>
      </c>
    </row>
    <row r="13" spans="1:9">
      <c r="A13" s="1" t="s">
        <v>1791</v>
      </c>
      <c r="C13" t="s">
        <v>1780</v>
      </c>
      <c r="E13" t="str">
        <f t="shared" si="0"/>
        <v>603,三塔·减伤·5层</v>
      </c>
    </row>
    <row r="14" spans="1:9">
      <c r="A14" s="1" t="s">
        <v>1792</v>
      </c>
      <c r="C14" t="s">
        <v>1783</v>
      </c>
      <c r="E14" t="str">
        <f t="shared" si="0"/>
        <v>663,三塔·减伤·4层</v>
      </c>
    </row>
    <row r="15" spans="1:9">
      <c r="A15" s="1" t="s">
        <v>1793</v>
      </c>
      <c r="C15" t="s">
        <v>1785</v>
      </c>
      <c r="E15" t="str">
        <f t="shared" si="0"/>
        <v>723,三塔·减伤·3层</v>
      </c>
    </row>
    <row r="16" spans="1:9">
      <c r="A16" s="1" t="s">
        <v>1794</v>
      </c>
      <c r="C16" t="s">
        <v>1787</v>
      </c>
      <c r="E16" t="str">
        <f t="shared" si="0"/>
        <v>783,三塔·减伤·2层</v>
      </c>
    </row>
    <row r="17" spans="1:5">
      <c r="A17" s="1" t="s">
        <v>1795</v>
      </c>
      <c r="C17" t="s">
        <v>1789</v>
      </c>
      <c r="E17" t="str">
        <f t="shared" si="0"/>
        <v>843,三塔·减伤·1层</v>
      </c>
    </row>
    <row r="18" spans="1:5">
      <c r="A18" s="1" t="s">
        <v>1796</v>
      </c>
      <c r="E18" t="str">
        <f t="shared" si="0"/>
        <v>848,三塔·减伤·已消失</v>
      </c>
    </row>
    <row r="19" spans="1:5">
      <c r="A19" s="1" t="s">
        <v>1797</v>
      </c>
      <c r="E19" t="str">
        <f t="shared" si="0"/>
        <v>900,九渊麒麟·刷新剩余</v>
      </c>
    </row>
    <row r="20" spans="1:5">
      <c r="A20" s="1" t="s">
        <v>1798</v>
      </c>
      <c r="E20" t="str">
        <f t="shared" si="0"/>
        <v>905,九渊麒麟·已经刷新</v>
      </c>
    </row>
    <row r="21" spans="1:5">
      <c r="A21" s="1" t="s">
        <v>1799</v>
      </c>
      <c r="E21" t="str">
        <f t="shared" si="0"/>
        <v>2400,帮会联赛·结束剩余</v>
      </c>
    </row>
    <row r="22" spans="1:5">
      <c r="A22" s="1" t="s">
        <v>1800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1801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1802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1802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1802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1801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1803</v>
      </c>
      <c r="J2" t="str">
        <f t="shared" ref="J2:J25" si="1">H2&amp;","&amp;I2&amp;";"</f>
        <v>10,经脉受损·2层;</v>
      </c>
      <c r="L2">
        <f>L1+3</f>
        <v>6</v>
      </c>
      <c r="M2" t="s">
        <v>1803</v>
      </c>
      <c r="N2" t="str">
        <f t="shared" ref="N2:N25" si="2">L2&amp;","&amp;M2&amp;";"</f>
        <v>6,经脉受损·2层;</v>
      </c>
      <c r="P2">
        <f>P1+5</f>
        <v>10</v>
      </c>
      <c r="Q2" t="s">
        <v>1803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1801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1804</v>
      </c>
      <c r="J3" t="str">
        <f t="shared" si="1"/>
        <v>14.8,经脉受损·3层;</v>
      </c>
      <c r="L3">
        <f t="shared" ref="L3:L24" si="6">L2+3</f>
        <v>9</v>
      </c>
      <c r="M3" t="s">
        <v>1804</v>
      </c>
      <c r="N3" t="str">
        <f t="shared" si="2"/>
        <v>9,经脉受损·3层;</v>
      </c>
      <c r="P3">
        <f t="shared" ref="P3:P24" si="7">P2+5</f>
        <v>15</v>
      </c>
      <c r="Q3" t="s">
        <v>1804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1801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1805</v>
      </c>
      <c r="J4" t="str">
        <f t="shared" si="1"/>
        <v>20.3,经脉受损·4层;</v>
      </c>
      <c r="L4">
        <f t="shared" si="6"/>
        <v>12</v>
      </c>
      <c r="M4" t="s">
        <v>1805</v>
      </c>
      <c r="N4" t="str">
        <f t="shared" si="2"/>
        <v>12,经脉受损·4层;</v>
      </c>
      <c r="P4">
        <f t="shared" si="7"/>
        <v>20</v>
      </c>
      <c r="Q4" t="s">
        <v>1805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1801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1806</v>
      </c>
      <c r="J5" t="str">
        <f t="shared" si="1"/>
        <v>25.1,经脉受损·5层;</v>
      </c>
      <c r="L5">
        <f t="shared" si="6"/>
        <v>15</v>
      </c>
      <c r="M5" t="s">
        <v>1806</v>
      </c>
      <c r="N5" t="str">
        <f t="shared" si="2"/>
        <v>15,经脉受损·5层;</v>
      </c>
      <c r="P5">
        <f t="shared" si="7"/>
        <v>25</v>
      </c>
      <c r="Q5" t="s">
        <v>1806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1801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1807</v>
      </c>
      <c r="J6" t="str">
        <f t="shared" si="1"/>
        <v>30.3,经脉受损·6层;</v>
      </c>
      <c r="L6">
        <f t="shared" si="6"/>
        <v>18</v>
      </c>
      <c r="M6" t="s">
        <v>1807</v>
      </c>
      <c r="N6" t="str">
        <f t="shared" si="2"/>
        <v>18,经脉受损·6层;</v>
      </c>
      <c r="P6">
        <f t="shared" si="7"/>
        <v>30</v>
      </c>
      <c r="Q6" t="s">
        <v>1807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1801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1808</v>
      </c>
      <c r="J7" t="str">
        <f t="shared" si="1"/>
        <v>35.1,经脉受损·7层;</v>
      </c>
      <c r="L7">
        <f t="shared" si="6"/>
        <v>21</v>
      </c>
      <c r="M7" t="s">
        <v>1808</v>
      </c>
      <c r="N7" t="str">
        <f t="shared" si="2"/>
        <v>21,经脉受损·7层;</v>
      </c>
      <c r="P7">
        <f t="shared" si="7"/>
        <v>35</v>
      </c>
      <c r="Q7" t="s">
        <v>1808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1801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1809</v>
      </c>
      <c r="J8" t="str">
        <f t="shared" si="1"/>
        <v>40.3,经脉受损·8层;</v>
      </c>
      <c r="L8">
        <f t="shared" si="6"/>
        <v>24</v>
      </c>
      <c r="M8" t="s">
        <v>1809</v>
      </c>
      <c r="N8" t="str">
        <f t="shared" si="2"/>
        <v>24,经脉受损·8层;</v>
      </c>
      <c r="P8">
        <f t="shared" si="7"/>
        <v>40</v>
      </c>
      <c r="Q8" t="s">
        <v>1809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1801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1810</v>
      </c>
      <c r="J9" t="str">
        <f t="shared" si="1"/>
        <v>45.1,经脉受损·9层;</v>
      </c>
      <c r="L9">
        <f t="shared" si="6"/>
        <v>27</v>
      </c>
      <c r="M9" t="s">
        <v>1810</v>
      </c>
      <c r="N9" t="str">
        <f t="shared" si="2"/>
        <v>27,经脉受损·9层;</v>
      </c>
      <c r="P9">
        <f t="shared" si="7"/>
        <v>45</v>
      </c>
      <c r="Q9" t="s">
        <v>1810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1801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1811</v>
      </c>
      <c r="J10" t="str">
        <f t="shared" si="1"/>
        <v>50.3,经脉受损·10层;</v>
      </c>
      <c r="L10">
        <f t="shared" si="6"/>
        <v>30</v>
      </c>
      <c r="M10" t="s">
        <v>1811</v>
      </c>
      <c r="N10" t="str">
        <f t="shared" si="2"/>
        <v>30,经脉受损·10层;</v>
      </c>
      <c r="P10">
        <f t="shared" si="7"/>
        <v>50</v>
      </c>
      <c r="Q10" t="s">
        <v>1811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1801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1812</v>
      </c>
      <c r="J11" t="str">
        <f t="shared" si="1"/>
        <v>55.1,经脉受损·11层;</v>
      </c>
      <c r="L11">
        <f t="shared" si="6"/>
        <v>33</v>
      </c>
      <c r="M11" t="s">
        <v>1812</v>
      </c>
      <c r="N11" t="str">
        <f t="shared" si="2"/>
        <v>33,经脉受损·11层;</v>
      </c>
      <c r="P11">
        <f t="shared" si="7"/>
        <v>55</v>
      </c>
      <c r="Q11" t="s">
        <v>1812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1801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1813</v>
      </c>
      <c r="J12" t="str">
        <f t="shared" si="1"/>
        <v>60.3,经脉受损·12层;</v>
      </c>
      <c r="L12">
        <f t="shared" si="6"/>
        <v>36</v>
      </c>
      <c r="M12" t="s">
        <v>1813</v>
      </c>
      <c r="N12" t="str">
        <f t="shared" si="2"/>
        <v>36,经脉受损·12层;</v>
      </c>
      <c r="P12">
        <f t="shared" si="7"/>
        <v>60</v>
      </c>
      <c r="Q12" t="s">
        <v>1813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1801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1814</v>
      </c>
      <c r="J13" t="str">
        <f t="shared" si="1"/>
        <v>65.1,经脉受损·13层;</v>
      </c>
      <c r="L13">
        <f t="shared" si="6"/>
        <v>39</v>
      </c>
      <c r="M13" t="s">
        <v>1814</v>
      </c>
      <c r="N13" t="str">
        <f t="shared" si="2"/>
        <v>39,经脉受损·13层;</v>
      </c>
      <c r="P13">
        <f t="shared" si="7"/>
        <v>65</v>
      </c>
      <c r="Q13" t="s">
        <v>1814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1801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1815</v>
      </c>
      <c r="J14" t="str">
        <f t="shared" si="1"/>
        <v>70.3,经脉受损·14层;</v>
      </c>
      <c r="L14">
        <f t="shared" si="6"/>
        <v>42</v>
      </c>
      <c r="M14" t="s">
        <v>1815</v>
      </c>
      <c r="N14" t="str">
        <f t="shared" si="2"/>
        <v>42,经脉受损·14层;</v>
      </c>
      <c r="P14">
        <f t="shared" si="7"/>
        <v>70</v>
      </c>
      <c r="Q14" t="s">
        <v>1815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1801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1816</v>
      </c>
      <c r="J15" t="str">
        <f t="shared" si="1"/>
        <v>75.1,经脉受损·15层;</v>
      </c>
      <c r="L15">
        <f t="shared" si="6"/>
        <v>45</v>
      </c>
      <c r="M15" t="s">
        <v>1816</v>
      </c>
      <c r="N15" t="str">
        <f t="shared" si="2"/>
        <v>45,经脉受损·15层;</v>
      </c>
      <c r="P15">
        <f t="shared" si="7"/>
        <v>75</v>
      </c>
      <c r="Q15" t="s">
        <v>1816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1801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1817</v>
      </c>
      <c r="J16" t="str">
        <f t="shared" si="1"/>
        <v>80.3,经脉受损·16层;</v>
      </c>
      <c r="L16">
        <f t="shared" si="6"/>
        <v>48</v>
      </c>
      <c r="M16" t="s">
        <v>1817</v>
      </c>
      <c r="N16" t="str">
        <f t="shared" si="2"/>
        <v>48,经脉受损·16层;</v>
      </c>
      <c r="P16">
        <f t="shared" si="7"/>
        <v>80</v>
      </c>
      <c r="Q16" t="s">
        <v>1817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1801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1818</v>
      </c>
      <c r="J17" t="str">
        <f t="shared" si="1"/>
        <v>85.1,经脉受损·17层;</v>
      </c>
      <c r="L17">
        <f t="shared" si="6"/>
        <v>51</v>
      </c>
      <c r="M17" t="s">
        <v>1818</v>
      </c>
      <c r="N17" t="str">
        <f t="shared" si="2"/>
        <v>51,经脉受损·17层;</v>
      </c>
      <c r="P17">
        <f t="shared" si="7"/>
        <v>85</v>
      </c>
      <c r="Q17" t="s">
        <v>1818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1801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1819</v>
      </c>
      <c r="J18" t="str">
        <f t="shared" si="1"/>
        <v>90.3,经脉受损·18层;</v>
      </c>
      <c r="L18">
        <f t="shared" si="6"/>
        <v>54</v>
      </c>
      <c r="M18" t="s">
        <v>1819</v>
      </c>
      <c r="N18" t="str">
        <f t="shared" si="2"/>
        <v>54,经脉受损·18层;</v>
      </c>
      <c r="P18">
        <f t="shared" si="7"/>
        <v>90</v>
      </c>
      <c r="Q18" t="s">
        <v>1819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1801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1820</v>
      </c>
      <c r="J19" t="str">
        <f t="shared" si="1"/>
        <v>95.1,经脉受损·19层;</v>
      </c>
      <c r="L19">
        <f t="shared" si="6"/>
        <v>57</v>
      </c>
      <c r="M19" t="s">
        <v>1820</v>
      </c>
      <c r="N19" t="str">
        <f t="shared" si="2"/>
        <v>57,经脉受损·19层;</v>
      </c>
      <c r="P19">
        <f t="shared" si="7"/>
        <v>95</v>
      </c>
      <c r="Q19" t="s">
        <v>1820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1801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1821</v>
      </c>
      <c r="J20" t="str">
        <f t="shared" si="1"/>
        <v>100.3,经脉受损·20层;</v>
      </c>
      <c r="L20">
        <f t="shared" si="6"/>
        <v>60</v>
      </c>
      <c r="M20" t="s">
        <v>1821</v>
      </c>
      <c r="N20" t="str">
        <f t="shared" si="2"/>
        <v>60,经脉受损·20层;</v>
      </c>
      <c r="P20">
        <f t="shared" si="7"/>
        <v>100</v>
      </c>
      <c r="Q20" t="s">
        <v>1821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1801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1822</v>
      </c>
      <c r="J21" t="str">
        <f t="shared" si="1"/>
        <v>105.1,经脉受损·21层;</v>
      </c>
      <c r="L21">
        <f t="shared" si="6"/>
        <v>63</v>
      </c>
      <c r="M21" t="s">
        <v>1822</v>
      </c>
      <c r="N21" t="str">
        <f t="shared" si="2"/>
        <v>63,经脉受损·21层;</v>
      </c>
      <c r="P21">
        <f t="shared" si="7"/>
        <v>105</v>
      </c>
      <c r="Q21" t="s">
        <v>1822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1801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1823</v>
      </c>
      <c r="J22" t="str">
        <f t="shared" si="1"/>
        <v>110.3,经脉受损·22层;</v>
      </c>
      <c r="L22">
        <f t="shared" si="6"/>
        <v>66</v>
      </c>
      <c r="M22" t="s">
        <v>1823</v>
      </c>
      <c r="N22" t="str">
        <f t="shared" si="2"/>
        <v>66,经脉受损·22层;</v>
      </c>
      <c r="P22">
        <f t="shared" si="7"/>
        <v>110</v>
      </c>
      <c r="Q22" t="s">
        <v>1823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1801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1824</v>
      </c>
      <c r="J23" t="str">
        <f t="shared" si="1"/>
        <v>115.1,经脉受损·23层;</v>
      </c>
      <c r="L23">
        <f t="shared" si="6"/>
        <v>69</v>
      </c>
      <c r="M23" t="s">
        <v>1824</v>
      </c>
      <c r="N23" t="str">
        <f t="shared" si="2"/>
        <v>69,经脉受损·23层;</v>
      </c>
      <c r="P23">
        <f t="shared" si="7"/>
        <v>115</v>
      </c>
      <c r="Q23" t="s">
        <v>1824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1801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1825</v>
      </c>
      <c r="J24" t="str">
        <f t="shared" si="1"/>
        <v>120.3,经脉受损·24层;</v>
      </c>
      <c r="L24">
        <f t="shared" si="6"/>
        <v>72</v>
      </c>
      <c r="M24" t="s">
        <v>1825</v>
      </c>
      <c r="N24" t="str">
        <f t="shared" si="2"/>
        <v>72,经脉受损·24层;</v>
      </c>
      <c r="P24">
        <f t="shared" si="7"/>
        <v>120</v>
      </c>
      <c r="Q24" t="s">
        <v>1825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1801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1826</v>
      </c>
      <c r="J25" t="str">
        <f t="shared" si="1"/>
        <v>180,经脉受损·25层;</v>
      </c>
      <c r="L25">
        <v>180</v>
      </c>
      <c r="M25" t="s">
        <v>1826</v>
      </c>
      <c r="N25" t="str">
        <f t="shared" si="2"/>
        <v>180,经脉受损·25层;</v>
      </c>
      <c r="P25">
        <v>180</v>
      </c>
      <c r="Q25" t="s">
        <v>1826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1801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1801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1801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1801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1801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1801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1801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1801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1801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1801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1801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1801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1801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1801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1801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1801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1801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1801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1801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1801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1801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1801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1801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1801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1801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1801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1801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1801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1801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1801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1801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1801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1801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1801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1801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2026-08-19T13:16:54Z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