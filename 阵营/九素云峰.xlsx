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2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  <sheet name="公式生成" sheetId="12" r:id="rId10"/>
    <sheet name="复活时间" sheetId="13" r:id="rId11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<sst xmlns="http://schemas.openxmlformats.org/spreadsheetml/2006/main" count="2526" uniqueCount="1829">
  <si>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</si>
  <si>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</si>
  <si>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</si>
  <si>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</si>
  <si>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</si>
  <si>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</si>
  <si>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</si>
  <si>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</si>
  <si>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</si>
  <si>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</si>
  <si>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</si>
  <si>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</si>
  <si>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</si>
  <si>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</si>
  <si>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</si>
  <si>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</si>
  <si>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</si>
  <si>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</si>
  <si>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</si>
  <si>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</si>
  <si>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</si>
  <si>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</si>
  <si>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</si>
  <si>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</si>
  <si>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</si>
  <si>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</si>
  <si>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</si>
  <si>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</si>
  <si>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</si>
  <si>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</si>
  <si>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</si>
  <si>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</si>
  <si>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</si>
  <si>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</si>
  <si>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</si>
  <si>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</si>
  <si>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</si>
  <si>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</si>
  <si>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</si>
  <si>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</si>
  <si>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</si>
  <si>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</si>
  <si>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</si>
  <si>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</si>
  <si>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</si>
  <si>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</si>
  <si>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</si>
  <si>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</si>
  <si>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</si>
  <si>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</si>
  <si>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</si>
  <si>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</si>
  <si>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</si>
  <si>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</si>
  <si>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</si>
  <si>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</si>
  <si>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</si>
  <si>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</si>
  <si>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</si>
  <si>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</si>
  <si>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</si>
  <si>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</si>
  <si>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</si>
  <si>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</si>
  <si>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</si>
  <si>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</si>
  <si>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</si>
  <si>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</si>
  <si>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</si>
  <si>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</si>
  <si>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</si>
  <si>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</si>
  <si>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</si>
  <si>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</si>
  <si>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</si>
  <si>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</si>
  <si>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</si>
  <si>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</si>
  <si>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</si>
  <si>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</si>
  <si>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</si>
  <si>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</si>
  <si>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</si>
  <si>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</si>
  <si>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</si>
  <si>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</si>
  <si>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</si>
  <si>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</si>
  <si>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</si>
  <si>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</si>
  <si>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</si>
  <si>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</si>
  <si>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</si>
  <si>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</si>
  <si>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</si>
  <si>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</si>
  <si>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</si>
  <si>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</si>
  <si>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</si>
  <si>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</si>
  <si>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</si>
  <si>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</si>
  <si>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</si>
  <si>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</si>
  <si>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</si>
  <si>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</si>
  <si>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</si>
  <si>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</si>
  <si>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</si>
  <si>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</si>
  <si>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</si>
  <si>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</si>
  <si>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</si>
  <si>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</si>
  <si>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</si>
  <si>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</si>
  <si>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</si>
  <si>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</si>
  <si>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</si>
  <si>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</si>
  <si>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</si>
  <si>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</si>
  <si>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</si>
  <si>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</si>
  <si>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</si>
  <si>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</si>
  <si>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</si>
  <si>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</si>
  <si>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</si>
  <si>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</si>
  <si>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</si>
  <si>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</si>
  <si>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</si>
  <si>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</si>
  <si>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</si>
  <si>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</si>
  <si>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</si>
  <si>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</si>
  <si>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</si>
  <si>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</si>
  <si>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</si>
  <si>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</si>
  <si>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</si>
  <si>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</si>
  <si>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</si>
  <si>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</si>
  <si>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</si>
  <si>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</si>
  <si>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</si>
  <si>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</si>
  <si>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</si>
  <si>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</si>
  <si>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</si>
  <si>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</si>
  <si>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</si>
  <si>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</si>
  <si>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</si>
  <si>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</si>
  <si>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</si>
  <si>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</si>
  <si>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</si>
  <si>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</si>
  <si>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</si>
  <si>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</si>
  <si>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</si>
  <si>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</si>
  <si>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</si>
  <si>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</si>
  <si>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</si>
  <si>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</si>
  <si>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</si>
  <si>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</si>
  <si>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</si>
  <si>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</si>
  <si>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</si>
  <si>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</si>
  <si>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</si>
  <si>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</si>
  <si>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</si>
  <si>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</si>
  <si>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</si>
  <si>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</si>
  <si>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</si>
  <si>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</si>
  <si>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</si>
  <si>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</si>
  <si>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</si>
  <si>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</si>
  <si>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</si>
  <si>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</si>
  <si>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</si>
  <si>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</si>
  <si>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</si>
  <si>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</si>
  <si>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</si>
  <si>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</si>
  <si>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</si>
  <si>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</si>
  <si>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</si>
  <si>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</si>
  <si>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</si>
  <si>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</si>
  <si>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</si>
  <si>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</si>
  <si>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</si>
  <si>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</si>
  <si>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</si>
  <si>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</si>
  <si>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</si>
  <si>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</si>
  <si>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</si>
  <si>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</si>
  <si>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</si>
  <si>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</si>
  <si>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</si>
  <si>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</si>
  <si>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</si>
  <si>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</si>
  <si>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</si>
  <si>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</si>
  <si>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</si>
  <si>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</si>
  <si>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</si>
  <si>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</si>
  <si>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</si>
  <si>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</si>
  <si>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</si>
  <si>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</si>
  <si>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</si>
  <si>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</si>
  <si>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</si>
  <si>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</si>
  <si>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</si>
  <si>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</si>
  <si>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</si>
  <si>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</si>
  <si>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</si>
  <si>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</si>
  <si>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</si>
  <si>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</si>
  <si>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</si>
  <si>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</si>
  <si>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</si>
  <si>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</si>
  <si>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</si>
  <si>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</si>
  <si>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</si>
  <si>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</si>
  <si>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</si>
  <si>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</si>
  <si>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</si>
  <si>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</si>
  <si>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</si>
  <si>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</si>
  <si>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</si>
  <si>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</si>
  <si>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</si>
  <si>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</si>
  <si>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</si>
  <si>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</si>
  <si>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</si>
  <si>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</si>
  <si>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</si>
  <si>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</si>
  <si>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</si>
  <si>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</si>
  <si>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</si>
  <si>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</si>
  <si>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</si>
  <si>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</si>
  <si>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</si>
  <si>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</si>
  <si>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</si>
  <si>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</si>
  <si>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</si>
  <si>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</si>
  <si>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</si>
  <si>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</si>
  <si>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</si>
  <si>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</si>
  <si>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</si>
  <si>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</si>
  <si>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</si>
  <si>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</si>
  <si>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</si>
  <si>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</si>
  <si>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</si>
  <si>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</si>
  <si>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</si>
  <si>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</si>
  <si>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</si>
  <si>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</si>
  <si>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</si>
  <si>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</si>
  <si>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</si>
  <si>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</si>
  <si>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</si>
  <si>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</si>
  <si>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</si>
  <si>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</si>
  <si>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</si>
  <si>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</si>
  <si>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</si>
  <si>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</si>
  <si>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</si>
  <si>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</si>
  <si>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</si>
  <si>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</si>
  <si>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</si>
  <si>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</si>
  <si>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</si>
  <si>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</si>
  <si>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</si>
  <si>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</si>
  <si>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</si>
  <si>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</si>
  <si>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</si>
  <si>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</si>
  <si>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</si>
  <si>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</si>
  <si>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</si>
  <si>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</si>
  <si>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</si>
  <si>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</si>
  <si>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</si>
  <si>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</si>
  <si>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</si>
  <si>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</si>
  <si>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</si>
  <si>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</si>
  <si>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</si>
  <si>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</si>
  <si>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</si>
  <si>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</si>
  <si>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</si>
  <si>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</si>
  <si>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</si>
  <si>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</si>
  <si>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</si>
  <si>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</si>
  <si>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</si>
  <si>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</si>
  <si>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</si>
  <si>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</si>
  <si>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</si>
  <si>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</si>
  <si>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</si>
  <si>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</si>
  <si>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</si>
  <si>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</si>
  <si>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</si>
  <si>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</si>
  <si>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</si>
  <si>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</si>
  <si>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</si>
  <si>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</si>
  <si>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</si>
  <si>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</si>
  <si>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</si>
  <si>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</si>
  <si>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</si>
  <si>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</si>
  <si>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</si>
  <si>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</si>
  <si>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</si>
  <si>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</si>
  <si>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</si>
  <si>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</si>
  <si>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</si>
  <si>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</si>
  <si>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</si>
  <si>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</si>
  <si>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</si>
  <si>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</si>
  <si>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</si>
  <si>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</si>
  <si>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</si>
  <si>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</si>
  <si>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</si>
  <si>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</si>
  <si>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</si>
  <si>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</si>
  <si>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</si>
  <si>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</si>
  <si>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</si>
  <si>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</si>
  <si>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</si>
  <si>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</si>
  <si>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</si>
  <si>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</si>
  <si>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</si>
  <si>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</si>
  <si>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</si>
  <si>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</si>
  <si>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</si>
  <si>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</si>
  <si>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</si>
  <si>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</si>
  <si>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</si>
  <si>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</si>
  <si>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</si>
  <si>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</si>
  <si>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</si>
  <si>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</si>
  <si>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</si>
  <si>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</si>
  <si>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</si>
  <si>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</si>
  <si>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</si>
  <si>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</si>
  <si>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</si>
  <si>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</si>
  <si>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</si>
  <si>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</si>
  <si>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</si>
  <si>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</si>
  <si>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</si>
  <si>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</si>
  <si>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</si>
  <si>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</si>
  <si>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</si>
  <si>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</si>
  <si>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</si>
  <si>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</si>
  <si>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</si>
  <si>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</si>
  <si>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</si>
  <si>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</si>
  <si>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</si>
  <si>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</si>
  <si>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</si>
  <si>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</si>
  <si>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</si>
  <si>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</si>
  <si>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</si>
  <si>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</si>
  <si>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</si>
  <si>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</si>
  <si>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</si>
  <si>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</si>
  <si>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</si>
  <si>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</si>
  <si>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</si>
  <si>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</si>
  <si>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</si>
  <si>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</si>
  <si>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</si>
  <si>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</si>
  <si>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</si>
  <si>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</si>
  <si>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</si>
  <si>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</si>
  <si>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</si>
  <si>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</si>
  <si>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</si>
  <si>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</si>
  <si>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</si>
  <si>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</si>
  <si>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</si>
  <si>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</si>
  <si>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</si>
  <si>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</si>
  <si>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</si>
  <si>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</si>
  <si>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</si>
  <si>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</si>
  <si>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</si>
  <si>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</si>
  <si>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</si>
  <si>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</si>
  <si>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</si>
  <si>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</si>
  <si>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</si>
  <si>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</si>
  <si>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</si>
  <si>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</si>
  <si>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</si>
  <si>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</si>
  <si>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</si>
  <si>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</si>
  <si>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</si>
  <si>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</si>
  <si>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</si>
  <si>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</si>
  <si>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</si>
  <si>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</si>
  <si>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</si>
  <si>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</si>
  <si>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</si>
  <si>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</si>
  <si>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</si>
  <si>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</si>
  <si>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</si>
  <si>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</si>
  <si>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</si>
  <si>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</si>
  <si>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</si>
  <si>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</si>
  <si>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</si>
  <si>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</si>
  <si>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</si>
  <si>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</si>
  <si>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</si>
  <si>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</si>
  <si>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</si>
  <si>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</si>
  <si>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</si>
  <si>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</si>
  <si>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</si>
  <si>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</si>
  <si>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</si>
  <si>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</si>
  <si>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</si>
  <si>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</si>
  <si>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</si>
  <si>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</si>
  <si>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</si>
  <si>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</si>
  <si>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</si>
  <si>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</si>
  <si>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</si>
  <si>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</si>
  <si>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</si>
  <si>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</si>
  <si>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</si>
  <si>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</si>
  <si>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</si>
  <si>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</si>
  <si>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</si>
  <si>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</si>
  <si>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</si>
  <si>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</si>
  <si>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</si>
  <si>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</si>
  <si>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</si>
  <si>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</si>
  <si>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</si>
  <si>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</si>
  <si>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</si>
  <si>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</si>
  <si>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</si>
  <si>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</si>
  <si>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</si>
  <si>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</si>
  <si>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</si>
  <si>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</si>
  <si>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</si>
  <si>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</si>
  <si>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</si>
  <si>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</si>
  <si>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</si>
  <si>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</si>
  <si>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</si>
  <si>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</si>
  <si>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</si>
  <si>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</si>
  <si>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</si>
  <si>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</si>
  <si>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</si>
  <si>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</si>
  <si>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</si>
  <si>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</si>
  <si>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</si>
  <si>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</si>
  <si>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</si>
  <si>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</si>
  <si>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</si>
  <si>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</si>
  <si>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</si>
  <si>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</si>
  <si>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</si>
  <si>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</si>
  <si>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</si>
  <si>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</si>
  <si>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</si>
  <si>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</si>
  <si>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</si>
  <si>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</si>
  <si>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</si>
  <si>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</si>
  <si>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</si>
  <si>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</si>
  <si>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</si>
  <si>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</si>
  <si>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</si>
  <si>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</si>
  <si>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</si>
  <si>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</si>
  <si>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</si>
  <si>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</si>
  <si>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</si>
  <si>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</si>
  <si>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</si>
  <si>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</si>
  <si>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</si>
  <si>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</si>
  <si>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</si>
  <si>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</si>
  <si>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</si>
  <si>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</si>
  <si>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</si>
  <si>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</si>
  <si>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</si>
  <si>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</si>
  <si>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</si>
  <si>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</si>
  <si>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</si>
  <si>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</si>
  <si>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</si>
  <si>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</si>
  <si>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</si>
  <si>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</si>
  <si>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</si>
  <si>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</si>
  <si>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</si>
  <si>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</si>
  <si>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</si>
  <si>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</si>
  <si>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</si>
  <si>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</si>
  <si>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</si>
  <si>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</si>
  <si>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</si>
  <si>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</si>
  <si>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</si>
  <si>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</si>
  <si>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</si>
  <si>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</si>
  <si>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</si>
  <si>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</si>
  <si>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</si>
  <si>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</si>
  <si>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</si>
  <si>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</si>
  <si>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</si>
  <si>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</si>
  <si>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</si>
  <si>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</si>
  <si>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</si>
  <si>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</si>
  <si>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</si>
  <si>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</si>
  <si>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</si>
  <si>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</si>
  <si>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</si>
  <si>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</si>
  <si>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</si>
  <si>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</si>
  <si>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</si>
  <si>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</si>
  <si>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</si>
  <si>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</si>
  <si>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</si>
  <si>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</si>
  <si>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</si>
  <si>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</si>
  <si>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</si>
  <si>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</si>
  <si>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</si>
  <si>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</si>
  <si>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</si>
  <si>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</si>
  <si>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</si>
  <si>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</si>
  <si>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</si>
  <si>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</si>
  <si>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</si>
  <si>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</si>
  <si>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</si>
  <si>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</si>
  <si>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</si>
  <si>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</si>
  <si>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</si>
  <si>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</si>
  <si>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</si>
  <si>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</si>
  <si>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</si>
  <si>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</si>
  <si>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</si>
  <si>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</si>
  <si>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</si>
  <si>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</si>
  <si>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</si>
  <si>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</si>
  <si>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</si>
  <si>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</si>
  <si>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</si>
  <si>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</si>
  <si>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</si>
  <si>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</si>
  <si>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</si>
  <si>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</si>
  <si>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</si>
  <si>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</si>
  <si>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</si>
  <si>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</si>
  <si>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</si>
  <si>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</si>
  <si>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</si>
  <si>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</si>
  <si>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</si>
  <si>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</si>
  <si>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</si>
  <si>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</si>
  <si>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</si>
  <si>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</si>
  <si>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</si>
  <si>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</si>
  <si>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</si>
  <si>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</si>
  <si>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</si>
  <si>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</si>
  <si>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</si>
  <si>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</si>
  <si>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</si>
  <si>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</si>
  <si>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</si>
  <si>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</si>
  <si>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</si>
  <si>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</si>
  <si>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</si>
  <si>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</si>
  <si>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</si>
  <si>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</si>
  <si>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</si>
  <si>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</si>
  <si>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</si>
  <si>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</si>
  <si>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</si>
  <si>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</si>
  <si>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</si>
  <si>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</si>
  <si>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</si>
  <si>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</si>
  <si>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</si>
  <si>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</si>
  <si>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</si>
  <si>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</si>
  <si>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</si>
  <si>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</si>
  <si>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</si>
  <si>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</si>
  <si>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</si>
  <si>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</si>
  <si>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</si>
  <si>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</si>
  <si>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</si>
  <si>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</si>
  <si>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</si>
  <si>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</si>
  <si>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</si>
  <si>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</si>
  <si>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</si>
  <si>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</si>
  <si>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</si>
  <si>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</si>
  <si>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</si>
  <si>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</si>
  <si>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</si>
  <si>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</si>
  <si>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</si>
  <si>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</si>
  <si>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</si>
  <si>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</si>
  <si>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</si>
  <si>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</si>
  <si>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</si>
  <si>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</si>
  <si>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</si>
  <si>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</si>
  <si>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</si>
  <si>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</si>
  <si>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</si>
  <si>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</si>
  <si>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</si>
  <si>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</si>
  <si>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</si>
  <si>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</si>
  <si>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</si>
  <si>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</si>
  <si>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</si>
  <si>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</si>
  <si>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</si>
  <si>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</si>
  <si>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</si>
  <si>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</si>
  <si>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</si>
  <si>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</si>
  <si>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</si>
  <si>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</si>
  <si>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</si>
  <si>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</si>
  <si>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</si>
  <si>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</si>
  <si>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</si>
  <si>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</si>
  <si>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</si>
  <si>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</si>
  <si>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</si>
  <si>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</si>
  <si>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</si>
  <si>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</si>
  <si>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</si>
  <si>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</si>
  <si>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</si>
  <si>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</si>
  <si>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</si>
  <si>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</si>
  <si>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</si>
  <si>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</si>
  <si>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</si>
  <si>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</si>
  <si>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</si>
  <si>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</si>
  <si>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</si>
  <si>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</si>
  <si>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</si>
  <si>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</si>
  <si>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</si>
  <si>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</si>
  <si>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</si>
  <si>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</si>
  <si>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</si>
  <si>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</si>
  <si>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</si>
  <si>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</si>
  <si>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</si>
  <si>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</si>
  <si>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</si>
  <si>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</si>
  <si>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</si>
  <si>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</si>
  <si>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</si>
  <si>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</si>
  <si>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</si>
  <si>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</si>
  <si>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</si>
  <si>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</si>
  <si>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</si>
  <si>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</si>
  <si>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</si>
  <si>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</si>
  <si>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</si>
  <si>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</si>
  <si>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</si>
  <si>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</si>
  <si>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</si>
  <si>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</si>
  <si>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</si>
  <si>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</si>
  <si>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</si>
  <si>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</si>
  <si>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</si>
  <si>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</si>
  <si>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</si>
  <si>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</si>
  <si>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</si>
  <si>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</si>
  <si>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</si>
  <si>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</si>
  <si>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</si>
  <si>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</si>
  <si>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</si>
  <si>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</si>
  <si>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</si>
  <si>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</si>
  <si>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</si>
  <si>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</si>
  <si>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</si>
  <si>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</si>
  <si>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</si>
  <si>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</si>
  <si>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</si>
  <si>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</si>
  <si>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</si>
  <si>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</si>
  <si>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</si>
  <si>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</si>
  <si>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</si>
  <si>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</si>
  <si>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</si>
  <si>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</si>
  <si>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</si>
  <si>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</si>
  <si>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</si>
  <si>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</si>
  <si>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</si>
  <si>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</si>
  <si>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</si>
  <si>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</si>
  <si>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</si>
  <si>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</si>
  <si>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</si>
  <si>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</si>
  <si>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</si>
  <si>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</si>
  <si>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</si>
  <si>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</si>
  <si>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</si>
  <si>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</si>
  <si>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</si>
  <si>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</si>
  <si>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</si>
  <si>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</si>
  <si>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</si>
  <si>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</si>
  <si>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</si>
  <si>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</si>
  <si>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</si>
  <si>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</si>
  <si>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</si>
  <si>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</si>
  <si>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</si>
  <si>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</si>
  <si>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</si>
  <si>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</si>
  <si>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</si>
  <si>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</si>
  <si>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</si>
  <si>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</si>
  <si>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</si>
  <si>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</si>
  <si>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</si>
  <si>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</si>
  <si>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</si>
  <si>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</si>
  <si>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</si>
  <si>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</si>
  <si>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</si>
  <si>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</si>
  <si>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</si>
  <si>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</si>
  <si>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</si>
  <si>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</si>
  <si>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</si>
  <si>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</si>
  <si>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</si>
  <si>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</si>
  <si>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</si>
  <si>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</si>
  <si>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</si>
  <si>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</si>
  <si>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</si>
  <si>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</si>
  <si>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</si>
  <si>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</si>
  <si>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</si>
  <si>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</si>
  <si>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</si>
  <si>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</si>
  <si>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</si>
  <si>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</si>
  <si>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</si>
  <si>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</si>
  <si>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</si>
  <si>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</si>
  <si>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</si>
  <si>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</si>
  <si>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</si>
  <si>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</si>
  <si>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</si>
  <si>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</si>
  <si>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</si>
  <si>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</si>
  <si>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</si>
  <si>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</si>
  <si>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</si>
  <si>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</si>
  <si>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</si>
  <si>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</si>
  <si>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</si>
  <si>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</si>
  <si>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</si>
  <si>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</si>
  <si>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</si>
  <si>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</si>
  <si>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</si>
  <si>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</si>
  <si>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</si>
  <si>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</si>
  <si>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</si>
  <si>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</si>
  <si>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</si>
  <si>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</si>
  <si>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</si>
  <si>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</si>
  <si>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</si>
  <si>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</si>
  <si>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</si>
  <si>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</si>
  <si>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</si>
  <si>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</si>
  <si>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</si>
  <si>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</si>
  <si>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</si>
  <si>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</si>
  <si>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</si>
  <si>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</si>
  <si>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</si>
  <si>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</si>
  <si>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</si>
  <si>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</si>
  <si>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</si>
  <si>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</si>
  <si>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</si>
  <si>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</si>
  <si>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</si>
  <si>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</si>
  <si>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</si>
  <si>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</si>
  <si>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</si>
  <si>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</si>
  <si>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</si>
  <si>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</si>
  <si>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</si>
  <si>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</si>
  <si>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</si>
  <si>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</si>
  <si>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</si>
  <si>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</si>
  <si>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</si>
  <si>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</si>
  <si>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</si>
  <si>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</si>
  <si>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</si>
  <si>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</si>
  <si>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</si>
  <si>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</si>
  <si>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</si>
  <si>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</si>
  <si>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</si>
  <si>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</si>
  <si>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</si>
  <si>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</si>
  <si>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</si>
  <si>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</si>
  <si>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</si>
  <si>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</si>
  <si>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</si>
  <si>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</si>
  <si>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</si>
  <si>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</si>
  <si>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</si>
  <si>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</si>
  <si>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</si>
  <si>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</si>
  <si>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</si>
  <si>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</si>
  <si>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</si>
  <si>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</si>
  <si>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</si>
  <si>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</si>
  <si>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</si>
  <si>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</si>
  <si>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</si>
  <si>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</si>
  <si>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</si>
  <si>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</si>
  <si>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</si>
  <si>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</si>
  <si>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</si>
  <si>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</si>
  <si>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</si>
  <si>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</si>
  <si>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</si>
  <si>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</si>
  <si>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</si>
  <si>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</si>
  <si>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</si>
  <si>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</si>
  <si>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</si>
  <si>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</si>
  <si>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</si>
  <si>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</si>
  <si>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</si>
  <si>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</si>
  <si>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</si>
  <si>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</si>
  <si>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</si>
  <si>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</si>
  <si>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</si>
  <si>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</si>
  <si>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</si>
  <si>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</si>
  <si>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</si>
  <si>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</si>
  <si>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</si>
  <si>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</si>
  <si>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</si>
  <si>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</si>
  <si>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</si>
  <si>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</si>
  <si>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</si>
  <si>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</si>
  <si>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</si>
  <si>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</si>
  <si>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</si>
  <si>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</si>
  <si>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</si>
  <si>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</si>
  <si>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</si>
  <si>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</si>
  <si>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</si>
  <si>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</si>
  <si>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</si>
  <si>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</si>
  <si>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</si>
  <si>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</si>
  <si>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</si>
  <si>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</si>
  <si>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</si>
  <si>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</si>
  <si>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</si>
  <si>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</si>
  <si>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</si>
  <si>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</si>
  <si>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</si>
  <si>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</si>
  <si>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</si>
  <si>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</si>
  <si>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</si>
  <si>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</si>
  <si>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</si>
  <si>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</si>
  <si>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</si>
  <si>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</si>
  <si>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</si>
  <si>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</si>
  <si>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</si>
  <si>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</si>
  <si>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</si>
  <si>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</si>
  <si>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</si>
  <si>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</si>
  <si>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</si>
  <si>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</si>
  <si>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</si>
  <si>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</si>
  <si>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</si>
  <si>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</si>
  <si>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</si>
  <si>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</si>
  <si>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</si>
  <si>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</si>
  <si>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</si>
  <si>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</si>
  <si>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</si>
  <si>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</si>
  <si>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</si>
  <si>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</si>
  <si>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</si>
  <si>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</si>
  <si>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</si>
  <si>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</si>
  <si>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</si>
  <si>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</si>
  <si>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</si>
  <si>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</si>
  <si>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</si>
  <si>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</si>
  <si>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</si>
  <si>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</si>
  <si>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</si>
  <si>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</si>
  <si>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</si>
  <si>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</si>
  <si>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</si>
  <si>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</si>
  <si>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</si>
  <si>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</si>
  <si>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</si>
  <si>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</si>
  <si>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</si>
  <si>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</si>
  <si>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</si>
  <si>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</si>
  <si>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</si>
  <si>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</si>
  <si>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</si>
  <si>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</si>
  <si>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</si>
  <si>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</si>
  <si>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</si>
  <si>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</si>
  <si>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</si>
  <si>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</si>
  <si>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</si>
  <si>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</si>
  <si>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</si>
  <si>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</si>
  <si>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</si>
  <si>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</si>
  <si>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</si>
  <si>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</si>
  <si>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</si>
  <si>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</si>
  <si>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</si>
  <si>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</si>
  <si>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</si>
  <si>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</si>
  <si>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</si>
  <si>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</si>
  <si>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</si>
  <si>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</si>
  <si>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</si>
  <si>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</si>
  <si>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</si>
  <si>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</si>
  <si>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</si>
  <si>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</si>
  <si>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</si>
  <si>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</si>
  <si>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</si>
  <si>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</si>
  <si>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</si>
  <si>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</si>
  <si>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</si>
  <si>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</si>
  <si>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</si>
  <si>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</si>
  <si>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</si>
  <si>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</si>
  <si>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</si>
  <si>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</si>
  <si>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</si>
  <si>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</si>
  <si>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</si>
  <si>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</si>
  <si>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</si>
  <si>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</si>
  <si>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</si>
  <si>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</si>
  <si>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</si>
  <si>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</si>
  <si>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</si>
  <si>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</si>
  <si>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</si>
  <si>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</si>
  <si>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</si>
  <si>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</si>
  <si>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</si>
  <si>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</si>
  <si>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</si>
  <si>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</si>
  <si>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</si>
  <si>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</si>
  <si>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</si>
  <si>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</si>
  <si>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</si>
  <si>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</si>
  <si>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</si>
  <si>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</si>
  <si>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</si>
  <si>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</si>
  <si>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</si>
  <si>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</si>
  <si>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</si>
  <si>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</si>
  <si>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</si>
  <si>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</si>
  <si>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</si>
  <si>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</si>
  <si>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</si>
  <si>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</si>
  <si>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</si>
  <si>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</si>
  <si>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</si>
  <si>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</si>
  <si>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</si>
  <si>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</si>
  <si>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</si>
  <si>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</si>
  <si>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</si>
  <si>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</si>
  <si>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</si>
  <si>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</si>
  <si>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</si>
  <si>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</si>
  <si>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</si>
  <si>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</si>
  <si>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</si>
  <si>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</si>
  <si>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</si>
  <si>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</si>
  <si>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</si>
  <si>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</si>
  <si>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</si>
  <si>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</si>
  <si>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</si>
  <si>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</si>
  <si>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</si>
  <si>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</si>
  <si>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</si>
  <si>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</si>
  <si>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</si>
  <si>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</si>
  <si>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</si>
  <si>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</si>
  <si>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</si>
  <si>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</si>
  <si>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</si>
  <si>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</si>
  <si>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</si>
  <si>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</si>
  <si>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</si>
  <si>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</si>
  <si>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</si>
  <si>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</si>
  <si>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</si>
  <si>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</si>
  <si>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</si>
  <si>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</si>
  <si>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</si>
  <si>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</si>
  <si>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</si>
  <si>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</si>
  <si>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</si>
  <si>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</si>
  <si>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</si>
  <si>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</si>
  <si>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</si>
  <si>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</si>
  <si>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</si>
  <si>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</si>
  <si>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</si>
  <si>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</si>
  <si>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</si>
  <si>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</si>
  <si>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</si>
  <si>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</si>
  <si>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</si>
  <si>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</si>
  <si>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</si>
  <si>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</si>
  <si>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</si>
  <si>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</si>
  <si>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</si>
  <si>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</si>
  <si>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</si>
  <si>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</si>
  <si>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</si>
  <si>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</si>
  <si>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</si>
  <si>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</si>
  <si>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</si>
  <si>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</si>
  <si>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</si>
  <si>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</si>
  <si>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</si>
  <si>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</si>
  <si>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</si>
  <si>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</si>
  <si>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</si>
  <si>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</si>
  <si>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</si>
  <si>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</si>
  <si>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</si>
  <si>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</si>
  <si>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</si>
  <si>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</si>
  <si>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</si>
  <si>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</si>
  <si>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</si>
  <si>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</si>
  <si>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</si>
  <si>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</si>
  <si>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</si>
  <si>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</si>
  <si>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</si>
  <si>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</si>
  <si>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</si>
  <si>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</si>
  <si>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</si>
  <si>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</si>
  <si>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</si>
  <si>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</si>
  <si>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</si>
  <si>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</si>
  <si>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</si>
  <si>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</si>
  <si>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</si>
  <si>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</si>
  <si>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</si>
  <si>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</si>
  <si>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</si>
  <si>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</si>
  <si>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</si>
  <si>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</si>
  <si>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</si>
  <si>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</si>
  <si>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</si>
  <si>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</si>
  <si>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</si>
  <si>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</si>
  <si>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</si>
  <si>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</si>
  <si>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</si>
  <si>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</si>
  <si>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</si>
  <si>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</si>
  <si>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</si>
  <si>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</si>
  <si>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</si>
  <si>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</si>
  <si>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</si>
  <si>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</si>
  <si>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</si>
  <si>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</si>
  <si>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</si>
  <si>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</si>
  <si>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</si>
  <si>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</si>
  <si>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</si>
  <si>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</si>
  <si>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</si>
  <si>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</si>
  <si>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</si>
  <si>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</si>
  <si>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</si>
  <si>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</si>
  <si>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</si>
  <si>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</si>
  <si>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</si>
  <si>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</si>
  <si>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</si>
  <si>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</si>
  <si>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</si>
  <si>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</si>
  <si>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</si>
  <si>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</si>
  <si>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</si>
  <si>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</si>
  <si>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</si>
  <si>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</si>
  <si>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</si>
  <si>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</si>
  <si>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</si>
  <si>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</si>
  <si>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</si>
  <si>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</si>
  <si>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</si>
  <si>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</si>
  <si>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</si>
  <si>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</si>
  <si>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</si>
  <si>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</si>
  <si>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</si>
  <si>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</si>
  <si>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</si>
  <si>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</si>
  <si>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</si>
  <si>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</si>
  <si>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</si>
  <si>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</si>
  <si>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</si>
  <si>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</si>
  <si>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</si>
  <si>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</si>
  <si>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</si>
  <si>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</si>
  <si>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</si>
  <si>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</si>
  <si>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</si>
  <si>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</si>
  <si>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</si>
  <si>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</si>
  <si>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</si>
  <si>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</si>
  <si>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</si>
  <si>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</si>
  <si>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</si>
  <si>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</si>
  <si>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</si>
  <si>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</si>
  <si>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</si>
  <si>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</si>
  <si>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</si>
  <si>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</si>
  <si>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</si>
  <si>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</si>
  <si>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</si>
  <si>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</si>
  <si>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</si>
  <si>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</si>
  <si>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</si>
  <si>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</si>
  <si>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</si>
  <si>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</si>
  <si>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</si>
  <si>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</si>
  <si>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</si>
  <si>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</si>
  <si>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</si>
  <si>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</si>
  <si>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</si>
  <si>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</si>
  <si>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</si>
  <si>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</si>
  <si>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</si>
  <si>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</si>
  <si>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</si>
  <si>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</si>
  <si>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</si>
  <si>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</si>
  <si>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</si>
  <si>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</si>
  <si>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</si>
  <si>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</si>
  <si>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</si>
  <si>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</si>
  <si>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</si>
  <si>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</si>
  <si>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</si>
  <si>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</si>
  <si>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</si>
  <si>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</si>
  <si>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九素云峰</t>
  </si>
  <si>
    <t>骑御中</t>
  </si>
  <si>
    <t>骑御</t>
  </si>
  <si>
    <t>#FFFF0000</t>
  </si>
  <si>
    <t>#FFFF00</t>
  </si>
  <si>
    <t>塔内</t>
  </si>
  <si>
    <t>被防御塔瞄准</t>
  </si>
  <si>
    <t>153,26,26,</t>
  </si>
  <si>
    <t>弹射</t>
  </si>
  <si>
    <t>家园卫士出门抗摔</t>
  </si>
  <si>
    <t>隐匿草丛</t>
  </si>
  <si>
    <t>藏</t>
  </si>
  <si>
    <t>#FFCC00FF</t>
  </si>
  <si>
    <t>#FFCC00</t>
  </si>
  <si>
    <t>return {DEBUFF={</t>
  </si>
  <si>
    <t>九素化生·15尺伤害距离</t>
  </si>
  <si>
    <t>128,238,255,</t>
  </si>
  <si>
    <t>麒麟佑</t>
  </si>
  <si>
    <t>江逐月天</t>
  </si>
  <si>
    <t>懵</t>
  </si>
  <si>
    <t>#FF99CCFF</t>
  </si>
  <si>
    <t>#FF99CC</t>
  </si>
  <si>
    <t>{nClass=1,nIcon=7060,nFrame=8,nTime="3,敌方·江逐月天·{$sender};8,江逐月天·调息暂停",szName="敌方·江逐月天·{$sender}",nRefresh=8,key="江逐月天",},</t>
  </si>
  <si>
    <t>封轻功</t>
  </si>
  <si>
    <t>立足不稳</t>
  </si>
  <si>
    <t>255,127,255,</t>
  </si>
  <si>
    <t>{nClass=1,nIcon=3442,nFrame=2,nTime=1800,szName="进入塔内·封轻功·不可骑乘",key="立足不稳",},</t>
  </si>
  <si>
    <t>{nClass=2,nIcon=3442,nFrame=5,nTime=2,szName="已出塔·可骑乘·可轻功",key="立足不稳",},</t>
  </si>
  <si>
    <t>易伤</t>
  </si>
  <si>
    <t>经脉受损</t>
  </si>
  <si>
    <t>#FF80FFFF</t>
  </si>
  <si>
    <t>#FF80FF</t>
  </si>
  <si>
    <t>{nClass=2,nIcon=16300,nFrame=5,nTime=2,szName="经脉受损·已经移除",key="经脉受损",},</t>
  </si>
  <si>
    <t>主城的数据</t>
  </si>
  <si>
    <t>消极参战</t>
  </si>
  <si>
    <t>门派的数据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</si>
  <si>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</si>
  <si>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</si>
  <si>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</si>
  <si>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</si>
  <si>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</si>
  <si>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</si>
  <si>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</si>
  <si>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</si>
  <si>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</si>
  <si>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</si>
  <si>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</si>
  <si>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</si>
  <si>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</si>
  <si>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扫尾</t>
  </si>
  <si>
    <t>{nClass=8,nIcon=13,nFrame=5,nTime=3,szName="九渊麒麟·扫尾",key="九渊麒麟·技能",},</t>
  </si>
  <si>
    <t>渊迴龙吟</t>
  </si>
  <si>
    <t>{nClass=8,nIcon=13,nFrame=5,nTime="8,狂风吐息·旋转扫射;30,渊迴龙吟·躲面向",szName="九渊麒麟·技能",nRefresh=4,key="九渊麒麟·技能",},</t>
  </si>
  <si>
    <t>狂风吐息</t>
  </si>
  <si>
    <t>{nClass=8,nIcon=13,nFrame=5,nTime="22,渊迴龙吟·躲面向;30,狂风吐息·旋转扫射",szName="九渊麒麟·技能",nRefresh=11,key="九渊麒麟·技能",},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</si>
  <si>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</si>
  <si>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</si>
  <si>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</si>
  <si>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</si>
  <si>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</si>
  <si>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</si>
  <si>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</si>
  <si>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</si>
  <si>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</si>
  <si>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</si>
  <si>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</si>
  <si>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</si>
  <si>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</si>
  <si>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</si>
  <si>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帮会联赛·闻千瞬</t>
  </si>
  <si>
    <t>{dwMapID=-1,szDisplay="闻千瞬·争霸赛",nMaxDistance=6,tRelation={bAll=true,bEnemy=false,bAlly=false,},tLife={bEnable=false,szOperator="&gt;",nValue=0,},},</t>
  </si>
  <si>
    <t>出行大炮</t>
  </si>
  <si>
    <t>{dwMapID=-1,nMaxDistance=6,tRelation={bAll=true,bEnemy=false,bAlly=false,},tLife={bEnable=false,szOperator="&gt;",nValue=0,},},</t>
  </si>
  <si>
    <t>小麻雀</t>
  </si>
  <si>
    <t>100,255,100,</t>
  </si>
  <si>
    <t>{dwMapID=-1,szDisplay="飞行·传送",nMaxDistance=6,tRelation={bAll=false,bEnemy=false,bAlly=true,},tLife={bEnable=false,szOperator="&gt;",nValue=0,},},</t>
  </si>
  <si>
    <t>石像</t>
  </si>
  <si>
    <t>{dwMapID=-1,nMaxDistance=6,tRelation={bAll=false,bEnemy=false,bAlly=true,},tLife={bEnable=false,szOperator="&gt;",nValue=0,},},</t>
  </si>
  <si>
    <t>红方箭塔</t>
  </si>
  <si>
    <t>{dwMapID=-1,nMaxDistance=-1,tRelation={bAll=true,bEnemy=false,bAlly=false,},tLife={bEnable=true,szOperator="==",nValue=100,},},</t>
  </si>
  <si>
    <t>红方三塔</t>
  </si>
  <si>
    <t>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</t>
  </si>
  <si>
    <t>红方二塔</t>
  </si>
  <si>
    <t>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</t>
  </si>
  <si>
    <t>红方一塔</t>
  </si>
  <si>
    <t>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</t>
  </si>
  <si>
    <t>红方燃烽大旗</t>
  </si>
  <si>
    <t>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</t>
  </si>
  <si>
    <t>红方·古猿</t>
  </si>
  <si>
    <t>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</t>
  </si>
  <si>
    <t>{nClass=12,nIcon=2671,nFrame=4,nTime="90,红方·古猿·刷新剩余;95,红方·古猿·即将刷新",szName="红方古猿·刷新剩余",nRefresh=2,key="红方·古猿",},</t>
  </si>
  <si>
    <t>{nClass=12,nIcon=1465,nFrame=-1,nTime=0.001,szName=" ",nRefresh=2,key="通用·古猿",},</t>
  </si>
  <si>
    <t>红方·混沌元晶·洞</t>
  </si>
  <si>
    <t>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</t>
  </si>
  <si>
    <t>{nClass=12,nIcon=2672,nFrame=4,nTime="60,红方·混沌元晶·刷新剩余;65,红方·混沌元晶·即将刷新",szName="红方·混沌元晶·刷新剩余",nRefresh=0,key="红方·混沌元晶·洞",},</t>
  </si>
  <si>
    <t>蓝方箭塔</t>
  </si>
  <si>
    <t>{dwMapID=-1,nMaxDistance=-1,tRelation={bAll=true,bEnemy=false,bAlly=false,},tLife={bEnable=false,szOperator="==",nValue=100,},},</t>
  </si>
  <si>
    <t>蓝方三塔</t>
  </si>
  <si>
    <t>{dwMapID=-1,szDisplay="蓝方·三塔·15尺",nMaxDistance=15,tRelation={bAll=true,bEnemy=false,bAlly=false,},},{dwMapID=-1,szDisplay="蓝方·三塔",nMaxDistance=0,tRelation={bAll=true,bEnemy=false,bAlly=false,},tLife={bEnable=false,szOperator="&gt;",nValue=0,},},</t>
  </si>
  <si>
    <t>蓝方二塔</t>
  </si>
  <si>
    <t>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</t>
  </si>
  <si>
    <t>蓝方一塔</t>
  </si>
  <si>
    <t>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</t>
  </si>
  <si>
    <t>蓝方泽渊大旗</t>
  </si>
  <si>
    <t>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</t>
  </si>
  <si>
    <t>蓝方·古猿</t>
  </si>
  <si>
    <t>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</t>
  </si>
  <si>
    <t>{nClass=12,nIcon=2671,nFrame=4,nTime="90,蓝方·古猿·刷新剩余;95,蓝方·古猿·即将刷新",szName="蓝方古猿·刷新剩余",nRefresh=2,key="蓝方·古猿",},</t>
  </si>
  <si>
    <t>蓝方·混沌元晶·皓</t>
  </si>
  <si>
    <t>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</t>
  </si>
  <si>
    <t>{nClass=12,nIcon=2672,nFrame=4,nTime="60,蓝方·混沌元晶·刷新剩余;65,蓝方·混沌元晶·即将刷新",szName="蓝方·混沌元晶·刷新剩余",nRefresh=0,key="蓝方·混沌元晶·皓",},</t>
  </si>
  <si>
    <t>九渊麒麟</t>
  </si>
  <si>
    <t>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</t>
  </si>
  <si>
    <t>{nClass=12,nIcon=2673,nFrame=8,nTime="180,麒麟珠·拾取剩余;185,麒麟珠·已经消失",szName="麒麟珠·拾取剩余",nRefresh=0,key="九渊麒麟",},</t>
  </si>
  <si>
    <t>{nClass=4,nIcon=13,nTime=0,szName="九渊麒麟·技能",key="九渊麒麟·技能",},</t>
  </si>
  <si>
    <t>麒麟珠</t>
  </si>
  <si>
    <t>50,255,255,</t>
  </si>
  <si>
    <t>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</t>
  </si>
  <si>
    <t>准备刷新</t>
  </si>
  <si>
    <t>{dwMapID=-1,szDisplay="准备刷新·30秒",nMaxDistance=30,tRelation={bAll=true,bEnemy=false,bAlly=false,},tLife={bEnable=false,szOperator="&gt;",nValue=0,},},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</si>
  <si>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</si>
  <si>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</si>
  <si>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</si>
  <si>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</si>
  <si>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</si>
  <si>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</si>
  <si>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</si>
  <si>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</si>
  <si>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</si>
  <si>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</si>
  <si>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</si>
  <si>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联赛八强服务器宝堆</t>
  </si>
  <si>
    <t>{dwMapID=-1,szDisplay="联赛·八强·宝堆",nMaxDistance=20,tRelation={bAll=true,bEnemy=false,bAlly=false,},tLife={bEnable=false,szOperator="&gt;",nValue=0,},},</t>
  </si>
  <si>
    <t>联赛四强服务器宝堆</t>
  </si>
  <si>
    <t>{dwMapID=-1,szDisplay="联赛·四强·宝堆",nMaxDistance=20,tRelation={bAll=true,bEnemy=false,bAlly=false,},tLife={bEnable=false,szOperator="&gt;",nValue=0,},},</t>
  </si>
  <si>
    <t>联赛季军服务器宝堆</t>
  </si>
  <si>
    <t>{dwMapID=-1,szDisplay="联赛·季军·宝堆",nMaxDistance=20,tRelation={bAll=true,bEnemy=false,bAlly=false,},tLife={bEnable=false,szOperator="&gt;",nValue=0,},},</t>
  </si>
  <si>
    <t>联赛亚军服务器宝堆</t>
  </si>
  <si>
    <t>{dwMapID=-1,szDisplay="联赛·亚军·宝堆",nMaxDistance=20,tRelation={bAll=true,bEnemy=false,bAlly=false,},tLife={bEnable=false,szOperator="&gt;",nValue=0,},},</t>
  </si>
  <si>
    <t>联赛冠军服务器宝堆</t>
  </si>
  <si>
    <t>{dwMapID=-1,szDisplay="联赛·冠军·宝堆",nMaxDistance=20,tRelation={bAll=true,bEnemy=false,bAlly=false,},tLife={bEnable=false,szOperator="&gt;",nValue=0,},},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</si>
  <si>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</si>
  <si>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</si>
  <si>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</si>
  <si>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</si>
  <si>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</si>
  <si>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</si>
  <si>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</si>
  <si>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</si>
  <si>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</si>
  <si>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</si>
  <si>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通用的数据</t>
  </si>
  <si>
    <t>%</t>
  </si>
  <si>
    <t>[帮会总管]邵卿城：诸位兄弟，愿此行战无不胜，扬我帮威！</t>
  </si>
  <si>
    <t>武林争霸赛·已经报名</t>
  </si>
  <si>
    <t>{nClass=14,nIcon=13,nFrame=6,nTime=10,szName="武林争霸赛·已经报名",nRefresh=1,key="武林争霸赛",},</t>
  </si>
  <si>
    <t>【武林争霸赛】本届武林争霸赛正式已开启！风起云涌，一朝闻名天下知！已报名的帮会侠士，可前往各大主城或各门派，闻千瞬处对话进入参与对决！！！帮会帮主及核心成员优先进入，以免造成不便！！！</t>
  </si>
  <si>
    <t>武林争霸赛·正式开启</t>
  </si>
  <si>
    <t>{nClass=14,nIcon=13,nFrame=6,nTime=10,szName="武林争霸赛·正式开启",nRefresh=1,key="武林争霸赛",},</t>
  </si>
  <si>
    <t>^报名成功：【(.-)】已报名本届《(.-)》【(.-)】场次(.-)！！！</t>
  </si>
  <si>
    <t>[{$1}]·{$4}报名·《{$2}·{$3}》</t>
  </si>
  <si>
    <t>{nClass=14,nIcon=13,nFrame=4,nTime=30,szName="报名·{$2}·{$3}",nRefresh=2,key="武林争霸赛",},</t>
  </si>
  <si>
    <t>^取消报名：【(.-)】已取消武林争霸赛【(.-)】场次的报名！！！请检查在线人数，抓紧时间再次报名！！！</t>
  </si>
  <si>
    <t>[{$1}]·取消报名·《武林争霸赛·{$2}》</t>
  </si>
  <si>
    <t>{nClass=14,nIcon=13,nFrame=2,nTime="30,取消报名·武林争霸赛·{$2};40,注意·重新报名·武林争霸赛",szName="取消报名·武林争霸赛·{$2}",nRefresh=0,key="武林争霸赛",},</t>
  </si>
  <si>
    <t>敌方拾取麒麟珠\n</t>
  </si>
  <si>
    <t>敌方·获得·麒麟珠</t>
  </si>
  <si>
    <t>{nClass=14,nIcon=2673,nFrame=0,nTime="5,敌方获得·麒麟珠·资源+500;240,敌方·麒麟佑·增益剩余;250,敌方·麒麟佑·增益消失;360,九渊麒麟·刷新剩余;365,九渊麒麟·已经刷新",szName="九渊麒麟·刷新剩余",nRefresh=0,key="九渊麒麟",},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</si>
  <si>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我方拾取麒麟珠\n</t>
  </si>
  <si>
    <t>我方·获得·麒麟珠</t>
  </si>
  <si>
    <t>{nClass=14,nIcon=2673,nFrame=0,nTime="5,我方获得·麒麟珠·资源+500;240,我方·麒麟佑·增益剩余;250,我方·麒麟佑·增益消失;360,九渊麒麟·刷新剩余;365,九渊麒麟·已经刷新",szName="九渊麒麟·刷新剩余",nRefresh=0,key="九渊麒麟",},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</si>
  <si>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蓝方成功击败了九渊麒麟</t>
  </si>
  <si>
    <t>蓝方·击伤·九渊麒麟</t>
  </si>
  <si>
    <t>{nClass=14,nIcon=2673,nFrame=8,nTime="180,麒麟珠·拾取剩余;185,麒麟珠·已经消失;540,九渊麒麟·刷新剩余;545,九渊麒麟·已经刷新",szName="麒麟珠·拾取剩余",nRefresh=0,key="九渊麒麟",},</t>
  </si>
  <si>
    <t>红方成功击败了九渊麒麟</t>
  </si>
  <si>
    <t>红方·击伤·九渊麒麟</t>
  </si>
  <si>
    <t>我方大旗已被摧毁，本场比赛结束！</t>
  </si>
  <si>
    <t>{nClass=14,nIcon=13,nFrame=0,nTime=30,szName="本场比赛·失利",key="战斗开始",},</t>
  </si>
  <si>
    <t>成功摧毁敌方大旗，您获得本场比赛胜利！</t>
  </si>
  <si>
    <t>{nClass=14,nIcon=13,nFrame=0,nTime=30,szName="本场比赛·胜利",key="战斗开始",},</t>
  </si>
  <si>
    <t>我方第(%d-)次鼓舞士气成功！</t>
  </si>
  <si>
    <t>鼓舞士气·{$1}次</t>
  </si>
  <si>
    <t>{nClass=14,nIcon=13,nFrame=6,nTime=10,szName="我方·鼓舞士气·{$1}次",key="鼓舞士气",},</t>
  </si>
  <si>
    <t>return {CHAT={</t>
  </si>
  <si>
    <t>蓝方成功击败了古猿\n</t>
  </si>
  <si>
    <t>{nClass=20,nIcon=2671,nFrame=7,nTime="5,蓝方·获得古猿·资源+200;90,蓝方·古猿·刷新剩余;95,蓝方·古猿·已经刷新",szName="蓝方·古猿·刷新剩余",nRefresh=0,key="通用·古猿",},</t>
  </si>
  <si>
    <t>蓝方成功击败了混沌元晶·皓\n</t>
  </si>
  <si>
    <t>{nClass=20,nIcon=2672,nFrame=7,nTime="5,蓝方·获得元晶皓·资源+100;60,蓝方·元晶·刷新剩余;65,蓝方·元晶·已经刷新",szName="蓝方·元晶·刷新剩余",nRefresh=2,key="蓝方·混沌元晶·皓",},</t>
  </si>
  <si>
    <t>蓝方成功击败了混沌元晶·洞\n</t>
  </si>
  <si>
    <t>{nClass=20,nIcon=2672,nFrame=7,nTime="5,蓝方·获得元晶洞·资源+100;60,红方·元晶·刷新剩余;65,红方·元晶·已经刷新",szName="红方·元晶·刷新剩余",nRefresh=2,key="红方·混沌元晶·洞",},</t>
  </si>
  <si>
    <t>蓝方成功修复大旗10%耐久度\n</t>
  </si>
  <si>
    <t>蓝方·修补·大旗</t>
  </si>
  <si>
    <t>{nClass=20,nIcon=3417,nFrame=7,nTime="5,蓝方·修补大旗·气血+10%;30,蓝方·修补大旗·CD;35,蓝方·修补大旗·就绪",szName="蓝方·修复大旗",nRefresh=0,key="蓝方·修复大旗",},</t>
  </si>
  <si>
    <t>蓝方成功开启全局迷雾视野\n</t>
  </si>
  <si>
    <t>{nClass=20,nIcon=25111,nFrame=7,nTime="30,蓝方·全局视野·剩余时间;180,蓝方·全局视野·CD;185,蓝方·全局视野·就绪",szName="蓝方·全局视野",nRefresh=0,key="蓝方·全局视野",},</t>
  </si>
  <si>
    <t>红方成功击败了古猿\n</t>
  </si>
  <si>
    <t>{nClass=20,nIcon=2671,nFrame=3,nTime="5,红方·获得古猿·资源+200;90,红方·古猿·刷新剩余;95,红方·古猿·已经刷新",szName="红方·古猿·刷新剩余",nRefresh=0,key="通用·古猿",},</t>
  </si>
  <si>
    <t>红方成功击败了混沌元晶·皓\n</t>
  </si>
  <si>
    <t>{nClass=20,nIcon=2672,nFrame=3,nTime="5,红方·获得元晶皓·资源+100;60,蓝方·元晶·刷新剩余;65,蓝方·元晶·已经刷新",szName="蓝方·元晶·刷新剩余",nRefresh=2,key="蓝方·混沌元晶·皓",},</t>
  </si>
  <si>
    <t>红方成功击败了混沌元晶·洞\n</t>
  </si>
  <si>
    <t>{nClass=20,nIcon=2672,nFrame=3,nTime="5,红方·获得元晶洞·资源+100;60,红方·元晶·刷新剩余;65,红方·元晶·已经刷新",szName="红方·元晶·刷新剩余",nRefresh=2,key="红方·混沌元晶·洞",},</t>
  </si>
  <si>
    <t>红方成功修复大旗10%耐久度\n</t>
  </si>
  <si>
    <t>红方·修补·大旗</t>
  </si>
  <si>
    <t>{nClass=20,nIcon=3416,nFrame=3,nTime="5,红方·修补大旗·气血+10%;30,红方·修补大旗·CD;35,红方·修补大旗·就绪",szName="红方·修复大旗",nRefresh=0,key="红方·修复大旗",},</t>
  </si>
  <si>
    <t>红方成功开启全局迷雾视野\n</t>
  </si>
  <si>
    <t>{nClass=20,nIcon=25109,nFrame=3,nTime="30,红方·全局视野·剩余时间;180,红方·全局视野·CD;185,红方·全局视野·就绪",szName="红方·全局视野",nRefresh=0,key="红方·全局视野",},</t>
  </si>
  <si>
    <t>{nClass=20,nIcon=2673,nFrame=0,nTime="5,敌方获得·麒麟珠·资源+500;240,敌方·麒麟佑·增益剩余;250,敌方·麒麟佑·增益消失;360,九渊麒麟·刷新剩余;365,九渊麒麟·已经刷新",szName="九渊麒麟·刷新剩余",nRefresh=0,key="九渊麒麟",},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</si>
  <si>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{nClass=20,nIcon=2673,nFrame=0,nTime="5,我方获得·麒麟珠·资源+500;240,我方·麒麟佑·增益剩余;250,我方·麒麟佑·增益消失;360,九渊麒麟·刷新剩余;365,九渊麒麟·已经刷新",szName="九渊麒麟·刷新剩余",nRefresh=0,key="九渊麒麟",},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</si>
  <si>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蓝方成功击败了九渊麒麟\n</t>
  </si>
  <si>
    <t>{nClass=20,nIcon=2673,nFrame=8,nTime="180,麒麟珠·拾取剩余;185,麒麟珠·已经消失;540,九渊麒麟·刷新剩余;545,九渊麒麟·已经刷新",szName="麒麟珠·拾取剩余",nRefresh=0,key="九渊麒麟",},</t>
  </si>
  <si>
    <t>红方成功击败了九渊麒麟\n</t>
  </si>
  <si>
    <t>敌方箭塔被摧毁\n</t>
  </si>
  <si>
    <t>{nClass=20,nIcon=3738,nFrame=3,nTime=10,szName="敌方·箭塔·已被摧毁",key="敌方箭塔",},</t>
  </si>
  <si>
    <t>我方箭塔被摧毁\n</t>
  </si>
  <si>
    <t>{nClass=20,nIcon=3738,nFrame=2,nTime=10,szName="我方·箭塔·已被摧毁",key="我方箭塔",},</t>
  </si>
  <si>
    <t>我方(.-)路(.-)塔箭塔被攻击</t>
  </si>
  <si>
    <t>{nClass=20,nIcon=3736,nFrame=1,nTime=10,szName="我方·{$1}路·{$2}塔·遭到攻击",key="我方·{$1}·{$2}",},</t>
  </si>
  <si>
    <t>我方大旗遭到攻击\n</t>
  </si>
  <si>
    <t>{nClass=20,nIcon=592,nFrame=2,nTime=10,szName="我方·大旗·遭到攻击",key="我方大旗",},</t>
  </si>
  <si>
    <t>九渊麒麟已重生！\n</t>
  </si>
  <si>
    <t>九渊麒麟·已经刷新</t>
  </si>
  <si>
    <t>{nClass=20,nIcon=2673,nFrame=1,nTime=5,szName="九渊麒麟·已经刷新",key="九渊麒麟",},</t>
  </si>
  <si>
    <t>小麻雀收取了你九十九银。\n</t>
  </si>
  <si>
    <t>麻雀·传送</t>
  </si>
  <si>
    <t>战斗开始。\n</t>
  </si>
  <si>
    <t>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</t>
  </si>
  <si>
    <t>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</t>
  </si>
  <si>
    <t>战斗将在120秒后开始。\n</t>
  </si>
  <si>
    <t>{nClass=20,nIcon=13,nFrame=4,nTime=120,szName="战斗·开始倒计时",key="战斗开始",},</t>
  </si>
  <si>
    <t>{nClass=20,nIcon=21425,nFrame=2,nTime=120,szName="注意·请指挥开启指挥面板",key="绣球花",},</t>
  </si>
  <si>
    <t>{nClass=20,nIcon=21425,nFrame=2,nTime=120,szName="注意·开启剑心焦点·综合聊天框",key="郁金香",},</t>
  </si>
  <si>
    <t>{nClass=20,nIcon=21425,nFrame=2,nTime=120,szName="注意·主信息板小地图·不可折叠",key="牵牛花",},</t>
  </si>
  <si>
    <t>战斗将在180秒后开始。\n</t>
  </si>
  <si>
    <t>{nClass=20,nIcon=13,nFrame=4,nTime=180,szName="战斗·开始倒计时",key="战斗开始",},</t>
  </si>
  <si>
    <t>{nClass=20,nIcon=21425,nFrame=2,nTime=180,szName="注意·请指挥开启指挥面板",key="绣球花",},</t>
  </si>
  <si>
    <t>{nClass=20,nIcon=21425,nFrame=2,nTime=180,szName="注意·开启剑心焦点·综合聊天框",key="郁金香",},</t>
  </si>
  <si>
    <t>{nClass=20,nIcon=21425,nFrame=2,nTime=180,szName="注意·主信息板小地图·不可折叠",key="牵牛花",},</t>
  </si>
  <si>
    <t>战斗将在240秒后开始。\n</t>
  </si>
  <si>
    <t>{nClass=20,nIcon=13,nFrame=4,nTime=240,szName="战斗·开始倒计时",key="战斗开始",},</t>
  </si>
  <si>
    <t>{nClass=20,nIcon=21425,nFrame=2,nTime=240,szName="注意·请指挥开启指挥面板",key="绣球花",},</t>
  </si>
  <si>
    <t>{nClass=20,nIcon=21425,nFrame=2,nTime=240,szName="注意·开启剑心焦点·综合聊天框",key="郁金香",},</t>
  </si>
  <si>
    <t>{nClass=20,nIcon=21425,nFrame=2,nTime=240,szName="注意·主信息板小地图·不可折叠",key="牵牛花",},</t>
  </si>
  <si>
    <t>练习赛已经报名过了\n</t>
  </si>
  <si>
    <t>武林争霸赛·练习赛·已经报名</t>
  </si>
  <si>
    <t>{nClass=20,nIcon=13,nFrame=4,nTime=10,szName="武林争霸赛·练习赛·已经报名",key="武林争霸赛",},</t>
  </si>
  <si>
    <t>练习赛匹配超时\n</t>
  </si>
  <si>
    <t>武林争霸赛·练习赛·匹配超时</t>
  </si>
  <si>
    <t>{nClass=20,nIcon=13,nFrame=4,nTime=10,szName="武林争霸赛·练习赛·匹配超时",key="武林争霸赛",},</t>
  </si>
  <si>
    <t>未到报名时间，或请重新打开界面!\n</t>
  </si>
  <si>
    <t>武林争霸赛·未到报名时间</t>
  </si>
  <si>
    <t>{nClass=20,nIcon=13,nFrame=4,nTime=10,szName="武林争霸赛·未到报名时间",key="武林争霸赛",},</t>
  </si>
  <si>
    <t>5,战斗开始·野区资源·已刷新</t>
  </si>
  <si>
    <t>63,箭塔·减伤·4层</t>
  </si>
  <si>
    <t>·9层</t>
  </si>
  <si>
    <t>·14层</t>
  </si>
  <si>
    <t>123,箭塔·减伤·3层</t>
  </si>
  <si>
    <t>·8层</t>
  </si>
  <si>
    <t>·13层</t>
  </si>
  <si>
    <t>183,箭塔·减伤·2层</t>
  </si>
  <si>
    <t>·7层</t>
  </si>
  <si>
    <t>·12层</t>
  </si>
  <si>
    <t>243,箭塔·减伤·1层</t>
  </si>
  <si>
    <t>·6层</t>
  </si>
  <si>
    <t>·11层</t>
  </si>
  <si>
    <t>248,一塔·减伤·已消失</t>
  </si>
  <si>
    <t>303,箭塔·减伤·0层</t>
  </si>
  <si>
    <t>·5层</t>
  </si>
  <si>
    <t>·10层</t>
  </si>
  <si>
    <t>363,箭塔·减伤·0层</t>
  </si>
  <si>
    <t>·4层</t>
  </si>
  <si>
    <t>423,箭塔·减伤·0层</t>
  </si>
  <si>
    <t>·3层</t>
  </si>
  <si>
    <t>483,箭塔·减伤·0层</t>
  </si>
  <si>
    <t>·2层</t>
  </si>
  <si>
    <t>543,箭塔·减伤·0层</t>
  </si>
  <si>
    <t>·1层</t>
  </si>
  <si>
    <t>548,二塔·减伤·已消失</t>
  </si>
  <si>
    <t>603,三塔·减伤</t>
  </si>
  <si>
    <t>663,三塔·减伤</t>
  </si>
  <si>
    <t>723,三塔·减伤</t>
  </si>
  <si>
    <t>783,三塔·减伤</t>
  </si>
  <si>
    <t>843,三塔·减伤</t>
  </si>
  <si>
    <t>848,三塔·减伤·已消失</t>
  </si>
  <si>
    <t>900,九渊麒麟·刷新剩余</t>
  </si>
  <si>
    <t>905,九渊麒麟·已经刷新</t>
  </si>
  <si>
    <t>2400,帮会联赛·结束剩余</t>
  </si>
  <si>
    <t>2700,帮会联赛·加时剩余</t>
  </si>
  <si>
    <t>复活·时间·</t>
  </si>
  <si>
    <t>经脉受损·1层</t>
  </si>
  <si>
    <t>经脉受损·2层</t>
  </si>
  <si>
    <t>经脉受损·3层</t>
  </si>
  <si>
    <t>经脉受损·4层</t>
  </si>
  <si>
    <t>经脉受损·5层</t>
  </si>
  <si>
    <t>经脉受损·6层</t>
  </si>
  <si>
    <t>经脉受损·7层</t>
  </si>
  <si>
    <t>经脉受损·8层</t>
  </si>
  <si>
    <t>经脉受损·9层</t>
  </si>
  <si>
    <t>经脉受损·10层</t>
  </si>
  <si>
    <t>经脉受损·11层</t>
  </si>
  <si>
    <t>经脉受损·12层</t>
  </si>
  <si>
    <t>经脉受损·13层</t>
  </si>
  <si>
    <t>经脉受损·14层</t>
  </si>
  <si>
    <t>经脉受损·15层</t>
  </si>
  <si>
    <t>经脉受损·16层</t>
  </si>
  <si>
    <t>经脉受损·17层</t>
  </si>
  <si>
    <t>经脉受损·18层</t>
  </si>
  <si>
    <t>经脉受损·19层</t>
  </si>
  <si>
    <t>经脉受损·20层</t>
  </si>
  <si>
    <t>经脉受损·21层</t>
  </si>
  <si>
    <t>经脉受损·22层</t>
  </si>
  <si>
    <t>经脉受损·23层</t>
  </si>
  <si>
    <t>经脉受损·24层</t>
  </si>
  <si>
    <t>经脉受损·25层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</si>
</sst>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0.5"/>
      <color theme="1"/>
      <name val="等线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6" fillId="0" borderId="18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horizontal="justify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23" applyBorder="1" applyAlignment="1">
      <alignment horizontal="center" vertical="center"/>
    </xf>
    <xf numFmtId="0" fontId="2" fillId="2" borderId="2" xfId="23" applyBorder="1" applyAlignment="1">
      <alignment horizontal="center" vertical="center"/>
    </xf>
    <xf numFmtId="0" fontId="2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3" fillId="3" borderId="1" xfId="22" applyBorder="1">
      <alignment vertical="center"/>
    </xf>
    <xf numFmtId="0" fontId="0" fillId="4" borderId="1" xfId="0" applyFill="1" applyBorder="1">
      <alignment vertic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2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2" fillId="2" borderId="1" xfId="23" applyBorder="1" applyAlignment="1">
      <alignment horizontal="left" vertical="center"/>
    </xf>
    <xf numFmtId="0" fontId="2" fillId="2" borderId="1" xfId="23" applyBorder="1">
      <alignment vertical="center"/>
    </xf>
    <xf numFmtId="0" fontId="2" fillId="2" borderId="7" xfId="23" applyBorder="1">
      <alignment vertical="center"/>
    </xf>
    <xf numFmtId="0" fontId="2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4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73" workbookViewId="0">
      <selection activeCell="C109" sqref="C109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1788502790000,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workbookViewId="0">
      <selection activeCell="L35" sqref="L35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"/>
  <sheetViews>
    <sheetView tabSelected="1" workbookViewId="0">
      <selection activeCell="AL6" sqref="AL6"/>
    </sheetView>
  </sheetViews>
  <sheetFormatPr defaultColWidth="9" defaultRowHeight="13.5" outlineLevelRow="7"/>
  <cols>
    <col min="29" max="29" width="12.875" customWidth="1"/>
    <col min="30" max="30" width="13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1516</v>
      </c>
      <c r="B2">
        <v>689</v>
      </c>
      <c r="AQ2" t="str">
        <f t="shared" ref="AQ2:AQ8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4">
      <c r="C3">
        <v>244</v>
      </c>
      <c r="D3">
        <v>1</v>
      </c>
      <c r="G3" t="s">
        <v>1517</v>
      </c>
      <c r="K3" t="s">
        <v>1518</v>
      </c>
      <c r="L3" t="s">
        <v>604</v>
      </c>
      <c r="S3">
        <v>1</v>
      </c>
      <c r="W3">
        <v>1</v>
      </c>
      <c r="AI3">
        <v>40</v>
      </c>
      <c r="AJ3" t="s">
        <v>1519</v>
      </c>
      <c r="AK3" t="s">
        <v>1520</v>
      </c>
      <c r="AL3">
        <v>0</v>
      </c>
      <c r="AO3">
        <v>1</v>
      </c>
      <c r="AQ3" t="str">
        <f t="shared" si="0"/>
        <v>{dwID=244,nLevel=1,szName="骑御中",szNote="骑御",col={255,255,0,},[1]={bScreenHead=true,bTeamPanel=true,},[2]={},aCataclysmBuff={{nPriority=40,col="#FFFF0000",colScreenHead="#FFFF00",bScreenHead=true,},},},</v>
      </c>
    </row>
    <row r="4" spans="1:44">
      <c r="C4">
        <v>29048</v>
      </c>
      <c r="D4">
        <v>1</v>
      </c>
      <c r="F4">
        <v>3293</v>
      </c>
      <c r="G4" t="s">
        <v>1521</v>
      </c>
      <c r="I4">
        <v>1</v>
      </c>
      <c r="K4" t="s">
        <v>1522</v>
      </c>
      <c r="L4" t="s">
        <v>1523</v>
      </c>
      <c r="U4">
        <v>1</v>
      </c>
      <c r="V4">
        <v>1</v>
      </c>
      <c r="AQ4" t="str">
        <f t="shared" si="0"/>
        <v>{dwID=29048,nLevel=1,nIcon=3293,szName="塔内",nScrutinyType=1,szNote="被防御塔瞄准",col={153,26,26,},[1]={bBuffList=true,bFullScreen=true,},[2]={},},</v>
      </c>
    </row>
    <row r="5" spans="1:44">
      <c r="C5">
        <v>29019</v>
      </c>
      <c r="D5">
        <v>1</v>
      </c>
      <c r="F5">
        <v>4573</v>
      </c>
      <c r="G5" t="s">
        <v>1524</v>
      </c>
      <c r="I5">
        <v>1</v>
      </c>
      <c r="K5" t="s">
        <v>1525</v>
      </c>
      <c r="U5">
        <v>1</v>
      </c>
      <c r="AQ5" t="str">
        <f t="shared" si="0"/>
        <v>{dwID=29019,nLevel=1,nIcon=4573,szName="弹射",nScrutinyType=1,szNote="家园卫士出门抗摔",[1]={bBuffList=true,},[2]={},},</v>
      </c>
    </row>
    <row r="6" spans="1:44">
      <c r="C6">
        <v>29097</v>
      </c>
      <c r="D6">
        <v>1</v>
      </c>
      <c r="K6" t="s">
        <v>1526</v>
      </c>
      <c r="L6" t="s">
        <v>668</v>
      </c>
      <c r="S6">
        <v>1</v>
      </c>
      <c r="U6">
        <v>1</v>
      </c>
      <c r="W6">
        <v>1</v>
      </c>
      <c r="AH6" t="s">
        <v>1527</v>
      </c>
      <c r="AI6">
        <v>3</v>
      </c>
      <c r="AJ6" t="s">
        <v>1528</v>
      </c>
      <c r="AK6" t="s">
        <v>1529</v>
      </c>
      <c r="AL6">
        <v>255</v>
      </c>
      <c r="AM6">
        <v>1</v>
      </c>
      <c r="AO6">
        <v>1</v>
      </c>
      <c r="AQ6" t="str">
        <f t="shared" si="0"/>
        <v>{dwID=29097,nLevel=1,szNote="隐匿草丛",col={255,204,0,},[1]={bScreenHead=true,bBuffList=true,bTeamPanel=true,},[2]={},aCataclysmBuff={{szReminder="藏",nPriority=3,col="#FFCC00FF",colScreenHead="#FFCC00",nColAlpha=255,bAttention=true,bScreenHead=true,},},},</v>
      </c>
    </row>
    <row r="7" spans="1:44">
      <c r="AQ7" t="str">
        <f t="shared" si="0"/>
        <v>},},}</v>
      </c>
    </row>
    <row r="8" spans="1:44">
      <c r="AQ8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2"/>
  <sheetViews>
    <sheetView workbookViewId="0">
      <selection activeCell="D10" sqref="D10"/>
    </sheetView>
  </sheetViews>
  <sheetFormatPr defaultColWidth="9" defaultRowHeight="13.5"/>
  <cols>
    <col min="11" max="11" width="14.875" customWidth="1"/>
  </cols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1530</v>
      </c>
      <c r="AR1" t="s">
        <v>316</v>
      </c>
    </row>
    <row r="2" spans="1:45">
      <c r="A2" t="s">
        <v>1516</v>
      </c>
      <c r="B2">
        <v>689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5">
      <c r="C3">
        <v>29007</v>
      </c>
      <c r="D3">
        <v>1</v>
      </c>
      <c r="I3">
        <v>1</v>
      </c>
      <c r="K3" t="s">
        <v>1531</v>
      </c>
      <c r="L3" t="s">
        <v>1532</v>
      </c>
      <c r="AQ3" t="str">
        <f t="shared" ref="AQ3:AQ12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{dwID=29007,nLevel=1,nScrutinyType=1,szNote="九素化生·15尺伤害距离",col={128,238,255,},[1]={},[2]={},},</v>
      </c>
    </row>
    <row r="4" spans="1:45">
      <c r="C4">
        <v>29023</v>
      </c>
      <c r="D4">
        <v>1</v>
      </c>
      <c r="K4" t="s">
        <v>1533</v>
      </c>
      <c r="L4" t="s">
        <v>668</v>
      </c>
      <c r="U4">
        <v>1</v>
      </c>
      <c r="AQ4" t="str">
        <f t="shared" si="0"/>
        <v>{dwID=29023,nLevel=1,szNote="麒麟佑",col={255,204,0,},[1]={bBuffList=true,},[2]={},},</v>
      </c>
    </row>
    <row r="5" spans="1:45">
      <c r="C5">
        <v>10260</v>
      </c>
      <c r="D5">
        <v>1</v>
      </c>
      <c r="K5" t="s">
        <v>1534</v>
      </c>
      <c r="L5" t="s">
        <v>658</v>
      </c>
      <c r="S5">
        <v>1</v>
      </c>
      <c r="U5">
        <v>1</v>
      </c>
      <c r="W5">
        <v>1</v>
      </c>
      <c r="AH5" t="s">
        <v>1535</v>
      </c>
      <c r="AI5">
        <v>15</v>
      </c>
      <c r="AJ5" t="s">
        <v>1536</v>
      </c>
      <c r="AK5" t="s">
        <v>1537</v>
      </c>
      <c r="AL5">
        <v>255</v>
      </c>
      <c r="AM5">
        <v>1</v>
      </c>
      <c r="AO5">
        <v>1</v>
      </c>
      <c r="AQ5" t="str">
        <f t="shared" si="0"/>
        <v>{dwID=10260,nLevel=1,szNote="江逐月天",col={255,153,204,},[1]={bScreenHead=true,bBuffList=true,bTeamPanel=true,},[2]={},aCataclysmBuff={{szReminder="懵",nPriority=15,col="#FF99CCFF",colScreenHead="#FF99CC",nColAlpha=255,bAttention=true,bScreenHead=true,},},tCountdown={{nClass=1,nIcon=7060,nFrame=8,nTime="3,敌方·江逐月天·{$sender};8,江逐月天·调息暂停",szName="敌方·江逐月天·{$sender}",nRefresh=8,key="江逐月天",},},},</v>
      </c>
      <c r="AR5" t="s">
        <v>1538</v>
      </c>
    </row>
    <row r="6" spans="1:45">
      <c r="C6">
        <v>29176</v>
      </c>
      <c r="D6">
        <v>1</v>
      </c>
      <c r="G6" t="s">
        <v>1539</v>
      </c>
      <c r="I6">
        <v>1</v>
      </c>
      <c r="K6" t="s">
        <v>1540</v>
      </c>
      <c r="L6" t="s">
        <v>1541</v>
      </c>
      <c r="U6">
        <v>1</v>
      </c>
      <c r="AQ6" t="str">
        <f t="shared" si="0"/>
        <v>{dwID=29176,nLevel=1,szName="封轻功",nScrutinyType=1,szNote="立足不稳",col={255,127,255,},[1]={bBuffList=true,},[2]={},tCountdown={{nClass=1,nIcon=3442,nFrame=2,nTime=1800,szName="进入塔内·封轻功·不可骑乘",key="立足不稳",},{nClass=2,nIcon=3442,nFrame=5,nTime=2,szName="已出塔·可骑乘·可轻功",key="立足不稳",},},},</v>
      </c>
      <c r="AR6" t="s">
        <v>1542</v>
      </c>
      <c r="AS6" t="s">
        <v>1543</v>
      </c>
    </row>
    <row r="7" spans="1:45">
      <c r="C7">
        <v>29080</v>
      </c>
      <c r="D7">
        <v>1</v>
      </c>
      <c r="G7" t="s">
        <v>1544</v>
      </c>
      <c r="I7">
        <v>1</v>
      </c>
      <c r="K7" t="s">
        <v>1545</v>
      </c>
      <c r="L7" t="s">
        <v>1541</v>
      </c>
      <c r="U7">
        <v>1</v>
      </c>
      <c r="W7">
        <v>1</v>
      </c>
      <c r="AI7">
        <v>37</v>
      </c>
      <c r="AJ7" t="s">
        <v>1546</v>
      </c>
      <c r="AK7" t="s">
        <v>1547</v>
      </c>
      <c r="AL7">
        <v>255</v>
      </c>
      <c r="AQ7" t="str">
        <f t="shared" si="0"/>
        <v>{dwID=29080,nLevel=1,szName="易伤",nScrutinyType=1,szNote="经脉受损",col={255,127,255,},[1]={bBuffList=true,bTeamPanel=true,},[2]={},aCataclysmBuff={{nPriority=37,col="#FF80FFFF",colScreenHead="#FF80FF",nColAlpha=255,},},tCountdown={{nClass=2,nIcon=16300,nFrame=5,nTime=2,szName="经脉受损·已经移除",key="经脉受损",},},},</v>
      </c>
      <c r="AR7" t="s">
        <v>1548</v>
      </c>
    </row>
    <row r="8" spans="1:45">
      <c r="A8" t="s">
        <v>1549</v>
      </c>
      <c r="B8">
        <v>-2</v>
      </c>
      <c r="AQ8" t="str">
        <f t="shared" si="0"/>
        <v>},[-2]={</v>
      </c>
    </row>
    <row r="9" spans="1:45">
      <c r="C9">
        <v>18913</v>
      </c>
      <c r="D9">
        <v>1</v>
      </c>
      <c r="I9">
        <v>2</v>
      </c>
      <c r="K9" t="s">
        <v>1550</v>
      </c>
      <c r="U9">
        <v>1</v>
      </c>
      <c r="W9">
        <v>1</v>
      </c>
      <c r="AQ9" t="str">
        <f t="shared" si="0"/>
        <v>{dwID=18913,nLevel=1,nScrutinyType=2,szNote="消极参战",[1]={bBuffList=true,bTeamPanel=true,},[2]={},},</v>
      </c>
    </row>
    <row r="10" customFormat="1" spans="1:45">
      <c r="A10" t="s">
        <v>1551</v>
      </c>
      <c r="B10">
        <v>-21</v>
      </c>
      <c r="AQ10" t="str">
        <f t="shared" si="0"/>
        <v>},[-21]={</v>
      </c>
    </row>
    <row r="11" customFormat="1" spans="1:45">
      <c r="C11">
        <v>18913</v>
      </c>
      <c r="D11">
        <v>1</v>
      </c>
      <c r="I11">
        <v>2</v>
      </c>
      <c r="K11" t="s">
        <v>1550</v>
      </c>
      <c r="U11">
        <v>1</v>
      </c>
      <c r="W11">
        <v>1</v>
      </c>
      <c r="AQ11" t="str">
        <f t="shared" si="0"/>
        <v>{dwID=18913,nLevel=1,nScrutinyType=2,szNote="消极参战",[1]={bBuffList=true,bTeamPanel=true,},[2]={},},</v>
      </c>
    </row>
    <row r="12" spans="1:45">
      <c r="AQ12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"/>
  <sheetViews>
    <sheetView workbookViewId="0">
      <selection activeCell="H40" sqref="H40"/>
    </sheetView>
  </sheetViews>
  <sheetFormatPr defaultColWidth="9" defaultRowHeight="13.5" outlineLevelRow="5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1552</v>
      </c>
      <c r="M1" t="s">
        <v>1553</v>
      </c>
      <c r="N1" t="s">
        <v>1554</v>
      </c>
      <c r="O1" t="s">
        <v>1555</v>
      </c>
      <c r="P1" t="s">
        <v>1556</v>
      </c>
      <c r="Q1" t="s">
        <v>1557</v>
      </c>
      <c r="R1" t="s">
        <v>1558</v>
      </c>
      <c r="S1" t="s">
        <v>1559</v>
      </c>
      <c r="T1" t="s">
        <v>1560</v>
      </c>
      <c r="U1" t="s">
        <v>1561</v>
      </c>
      <c r="V1" t="s">
        <v>1562</v>
      </c>
      <c r="W1" t="s">
        <v>1563</v>
      </c>
      <c r="X1" t="s">
        <v>1564</v>
      </c>
      <c r="Y1" t="s">
        <v>316</v>
      </c>
    </row>
    <row r="2" spans="1:25">
      <c r="A2" t="s">
        <v>1516</v>
      </c>
      <c r="B2">
        <v>689</v>
      </c>
      <c r="X2" t="str">
        <f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[689]={</v>
      </c>
    </row>
    <row r="3" spans="1:25">
      <c r="C3">
        <v>38265</v>
      </c>
      <c r="D3">
        <v>1</v>
      </c>
      <c r="J3" t="s">
        <v>1565</v>
      </c>
      <c r="X3" t="str">
        <f>IF(ISBLANK(B3)=FALSE,IF(ISBLANK(B2),"},["&amp;B3&amp;"]={","["&amp;B3&amp;"]={"),IF(AND(ISBLANK(B3),ISBLANK(C3),ISBLANK(D3),OR(ISBLANK(B2)=FALSE,ISBLANK(C2)=FALSE,ISBLANK(D2)=FALSE)),"},},}",IF(ISBLANK(C3),"","{dwID="&amp;C3&amp;","&amp;"nLevel="&amp;D3&amp;","&amp;IF(E3&gt;0,"nIcon="&amp;E3&amp;",","")&amp;IF(F3&lt;&gt;"","szName="""&amp;F3&amp;""",","")&amp;IF(G3&gt;0,"bCheckLevel=true"&amp;",","")&amp;IF(H3&gt;0,"nScrutinyType="&amp;H3&amp;",","")&amp;IF(I3&lt;&gt;"","tKungFu={"&amp;I3&amp;"},","")&amp;IF(J3&lt;&gt;"","szNote="""&amp;J3&amp;""",","")&amp;IF(K3&lt;&gt;"","col={"&amp;K3&amp;"},","")&amp;"[9]={"&amp;IF(L3&lt;&gt;"","tMark={"&amp;L3&amp;"},","")&amp;IF(M3&lt;&gt;"","szVoice="""&amp;M3&amp;""",","")&amp;IF(N3&gt;0,"bTeamChannel=true,","")&amp;IF(O3&gt;0,"bWhisperChannel=true,","")&amp;IF(P3&gt;0,"bCenterAlarm=true,","")&amp;"},"&amp;"[8]={"&amp;IF(Q3&lt;&gt;"","tMark={"&amp;Q3&amp;"},","")&amp;IF(R3&lt;&gt;"","szVoice="""&amp;R3&amp;""",","")&amp;IF(S3&gt;0,"bTeamChannel=true,","")&amp;IF(T3&gt;0,"bWhisperChannel=true,","")&amp;IF(U3&gt;0,"bCenterAlarm=true,","")&amp;IF(V3&gt;0,"bScreenHead=true,","")&amp;IF(W3&gt;0,"bFullScreen=true,","")&amp;"},"&amp;IF(Y3&lt;&gt;"","tCountdown={"&amp;_xlfn.TEXTJOIN("",TRUE,Y3:AAC3)&amp;"},","")&amp;"},")))</f>
        <v>{dwID=38265,nLevel=1,szNote="扫尾",[9]={},[8]={},tCountdown={{nClass=8,nIcon=13,nFrame=5,nTime=3,szName="九渊麒麟·扫尾",key="九渊麒麟·技能",},},},</v>
      </c>
      <c r="Y3" t="s">
        <v>1566</v>
      </c>
    </row>
    <row r="4" spans="1:25">
      <c r="C4">
        <v>38263</v>
      </c>
      <c r="D4">
        <v>1</v>
      </c>
      <c r="J4" t="s">
        <v>1567</v>
      </c>
      <c r="X4" t="str">
        <f>IF(ISBLANK(B4)=FALSE,IF(ISBLANK(B3),"},["&amp;B4&amp;"]={","["&amp;B4&amp;"]={"),IF(AND(ISBLANK(B4),ISBLANK(C4),ISBLANK(D4),OR(ISBLANK(B3)=FALSE,ISBLANK(C3)=FALSE,ISBLANK(D3)=FALSE)),"},},}",IF(ISBLANK(C4),"","{dwID="&amp;C4&amp;","&amp;"nLevel="&amp;D4&amp;","&amp;IF(E4&gt;0,"nIcon="&amp;E4&amp;",","")&amp;IF(F4&lt;&gt;"","szName="""&amp;F4&amp;""",","")&amp;IF(G4&gt;0,"bCheckLevel=true"&amp;",","")&amp;IF(H4&gt;0,"nScrutinyType="&amp;H4&amp;",","")&amp;IF(I4&lt;&gt;"","tKungFu={"&amp;I4&amp;"},","")&amp;IF(J4&lt;&gt;"","szNote="""&amp;J4&amp;""",","")&amp;IF(K4&lt;&gt;"","col={"&amp;K4&amp;"},","")&amp;"[9]={"&amp;IF(L4&lt;&gt;"","tMark={"&amp;L4&amp;"},","")&amp;IF(M4&lt;&gt;"","szVoice="""&amp;M4&amp;""",","")&amp;IF(N4&gt;0,"bTeamChannel=true,","")&amp;IF(O4&gt;0,"bWhisperChannel=true,","")&amp;IF(P4&gt;0,"bCenterAlarm=true,","")&amp;"},"&amp;"[8]={"&amp;IF(Q4&lt;&gt;"","tMark={"&amp;Q4&amp;"},","")&amp;IF(R4&lt;&gt;"","szVoice="""&amp;R4&amp;""",","")&amp;IF(S4&gt;0,"bTeamChannel=true,","")&amp;IF(T4&gt;0,"bWhisperChannel=true,","")&amp;IF(U4&gt;0,"bCenterAlarm=true,","")&amp;IF(V4&gt;0,"bScreenHead=true,","")&amp;IF(W4&gt;0,"bFullScreen=true,","")&amp;"},"&amp;IF(Y4&lt;&gt;"","tCountdown={"&amp;_xlfn.TEXTJOIN("",TRUE,Y4:AAC4)&amp;"},","")&amp;"},")))</f>
        <v>{dwID=38263,nLevel=1,szNote="渊迴龙吟",[9]={},[8]={},tCountdown={{nClass=8,nIcon=13,nFrame=5,nTime="8,狂风吐息·旋转扫射;30,渊迴龙吟·躲面向",szName="九渊麒麟·技能",nRefresh=4,key="九渊麒麟·技能",},},},</v>
      </c>
      <c r="Y4" t="s">
        <v>1568</v>
      </c>
    </row>
    <row r="5" spans="1:25">
      <c r="C5">
        <v>38264</v>
      </c>
      <c r="D5">
        <v>1</v>
      </c>
      <c r="J5" t="s">
        <v>1569</v>
      </c>
      <c r="X5" t="str">
        <f>IF(ISBLANK(B5)=FALSE,IF(ISBLANK(B4),"},["&amp;B5&amp;"]={","["&amp;B5&amp;"]={"),IF(AND(ISBLANK(B5),ISBLANK(C5),ISBLANK(D5),OR(ISBLANK(B4)=FALSE,ISBLANK(C4)=FALSE,ISBLANK(D4)=FALSE)),"},},}",IF(ISBLANK(C5),"","{dwID="&amp;C5&amp;","&amp;"nLevel="&amp;D5&amp;","&amp;IF(E5&gt;0,"nIcon="&amp;E5&amp;",","")&amp;IF(F5&lt;&gt;"","szName="""&amp;F5&amp;""",","")&amp;IF(G5&gt;0,"bCheckLevel=true"&amp;",","")&amp;IF(H5&gt;0,"nScrutinyType="&amp;H5&amp;",","")&amp;IF(I5&lt;&gt;"","tKungFu={"&amp;I5&amp;"},","")&amp;IF(J5&lt;&gt;"","szNote="""&amp;J5&amp;""",","")&amp;IF(K5&lt;&gt;"","col={"&amp;K5&amp;"},","")&amp;"[9]={"&amp;IF(L5&lt;&gt;"","tMark={"&amp;L5&amp;"},","")&amp;IF(M5&lt;&gt;"","szVoice="""&amp;M5&amp;""",","")&amp;IF(N5&gt;0,"bTeamChannel=true,","")&amp;IF(O5&gt;0,"bWhisperChannel=true,","")&amp;IF(P5&gt;0,"bCenterAlarm=true,","")&amp;"},"&amp;"[8]={"&amp;IF(Q5&lt;&gt;"","tMark={"&amp;Q5&amp;"},","")&amp;IF(R5&lt;&gt;"","szVoice="""&amp;R5&amp;""",","")&amp;IF(S5&gt;0,"bTeamChannel=true,","")&amp;IF(T5&gt;0,"bWhisperChannel=true,","")&amp;IF(U5&gt;0,"bCenterAlarm=true,","")&amp;IF(V5&gt;0,"bScreenHead=true,","")&amp;IF(W5&gt;0,"bFullScreen=true,","")&amp;"},"&amp;IF(Y5&lt;&gt;"","tCountdown={"&amp;_xlfn.TEXTJOIN("",TRUE,Y5:AAC5)&amp;"},","")&amp;"},")))</f>
        <v>{dwID=38264,nLevel=1,szNote="狂风吐息",[9]={},[8]={},tCountdown={{nClass=8,nIcon=13,nFrame=5,nTime="22,渊迴龙吟·躲面向;30,狂风吐息·旋转扫射",szName="九渊麒麟·技能",nRefresh=11,key="九渊麒麟·技能",},},},</v>
      </c>
      <c r="Y5" t="s">
        <v>1570</v>
      </c>
    </row>
    <row r="6" spans="1:25">
      <c r="X6" t="str">
        <f>IF(ISBLANK(B6)=FALSE,IF(ISBLANK(B5),"},["&amp;B6&amp;"]={","["&amp;B6&amp;"]={"),IF(AND(ISBLANK(B6),ISBLANK(C6),ISBLANK(D6),OR(ISBLANK(B5)=FALSE,ISBLANK(C5)=FALSE,ISBLANK(D5)=FALSE)),"},},}",IF(ISBLANK(C6),"","{dwID="&amp;C6&amp;","&amp;"nLevel="&amp;D6&amp;","&amp;IF(E6&gt;0,"nIcon="&amp;E6&amp;",","")&amp;IF(F6&lt;&gt;"","szName="""&amp;F6&amp;""",","")&amp;IF(G6&gt;0,"bCheckLevel=true"&amp;",","")&amp;IF(H6&gt;0,"nScrutinyType="&amp;H6&amp;",","")&amp;IF(I6&lt;&gt;"","tKungFu={"&amp;I6&amp;"},","")&amp;IF(J6&lt;&gt;"","szNote="""&amp;J6&amp;""",","")&amp;IF(K6&lt;&gt;"","col={"&amp;K6&amp;"},","")&amp;"[9]={"&amp;IF(L6&lt;&gt;"","tMark={"&amp;L6&amp;"},","")&amp;IF(M6&lt;&gt;"","szVoice="""&amp;M6&amp;""",","")&amp;IF(N6&gt;0,"bTeamChannel=true,","")&amp;IF(O6&gt;0,"bWhisperChannel=true,","")&amp;IF(P6&gt;0,"bCenterAlarm=true,","")&amp;"},"&amp;"[8]={"&amp;IF(Q6&lt;&gt;"","tMark={"&amp;Q6&amp;"},","")&amp;IF(R6&lt;&gt;"","szVoice="""&amp;R6&amp;""",","")&amp;IF(S6&gt;0,"bTeamChannel=true,","")&amp;IF(T6&gt;0,"bWhisperChannel=true,","")&amp;IF(U6&gt;0,"bCenterAlarm=true,","")&amp;IF(V6&gt;0,"bScreenHead=true,","")&amp;IF(W6&gt;0,"bFullScreen=true,","")&amp;"},"&amp;IF(Y6&lt;&gt;"","tCountdown={"&amp;_xlfn.TEXTJOIN("",TRUE,Y6:AAC6)&amp;"},","")&amp;"},")))</f>
        <v>},},}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8"/>
  <sheetViews>
    <sheetView workbookViewId="0">
      <selection activeCell="W2" sqref="W2:W28"/>
    </sheetView>
  </sheetViews>
  <sheetFormatPr defaultColWidth="9" defaultRowHeight="13.5"/>
  <cols>
    <col min="9" max="9" width="21.375" customWidth="1"/>
  </cols>
  <sheetData>
    <row r="1" spans="1:25">
      <c r="A1" t="s">
        <v>1476</v>
      </c>
      <c r="B1" t="s">
        <v>1477</v>
      </c>
      <c r="C1" t="s">
        <v>62</v>
      </c>
      <c r="D1" t="s">
        <v>1479</v>
      </c>
      <c r="E1" t="s">
        <v>1571</v>
      </c>
      <c r="F1" t="s">
        <v>1572</v>
      </c>
      <c r="G1" t="s">
        <v>1480</v>
      </c>
      <c r="H1" t="s">
        <v>1483</v>
      </c>
      <c r="I1" t="s">
        <v>49</v>
      </c>
      <c r="J1" t="s">
        <v>1484</v>
      </c>
      <c r="K1" t="s">
        <v>1573</v>
      </c>
      <c r="L1" t="s">
        <v>1574</v>
      </c>
      <c r="M1" t="s">
        <v>1575</v>
      </c>
      <c r="N1" t="s">
        <v>1576</v>
      </c>
      <c r="O1" t="s">
        <v>1577</v>
      </c>
      <c r="P1" t="s">
        <v>1578</v>
      </c>
      <c r="Q1" t="s">
        <v>1579</v>
      </c>
      <c r="R1" t="s">
        <v>1580</v>
      </c>
      <c r="S1" t="s">
        <v>1581</v>
      </c>
      <c r="T1" t="s">
        <v>1582</v>
      </c>
      <c r="U1" t="s">
        <v>1583</v>
      </c>
      <c r="V1" t="s">
        <v>296</v>
      </c>
      <c r="W1" t="s">
        <v>1584</v>
      </c>
      <c r="X1" t="s">
        <v>316</v>
      </c>
    </row>
    <row r="2" spans="1:25">
      <c r="A2" t="s">
        <v>1549</v>
      </c>
      <c r="B2">
        <v>-2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[-2]={</v>
      </c>
    </row>
    <row r="3" spans="1:25">
      <c r="C3">
        <v>103373</v>
      </c>
      <c r="D3">
        <v>47</v>
      </c>
      <c r="I3" t="s">
        <v>1585</v>
      </c>
      <c r="J3" t="s">
        <v>613</v>
      </c>
      <c r="P3">
        <v>1</v>
      </c>
      <c r="V3" t="s">
        <v>1586</v>
      </c>
      <c r="W3" t="str">
        <f t="shared" ref="W3:W28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{dwID=103373,nFrame=47,szNote="帮会联赛·闻千瞬",col={0,255,0,},[3]={bScreenHead=true,},[4]={},aFocus={{dwMapID=-1,szDisplay="闻千瞬·争霸赛",nMaxDistance=6,tRelation={bAll=true,bEnemy=false,bAlly=false,},tLife={bEnable=false,szOperator="&gt;",nValue=0,},},},},</v>
      </c>
    </row>
    <row r="4" spans="1:25">
      <c r="A4" t="s">
        <v>1551</v>
      </c>
      <c r="B4">
        <v>-21</v>
      </c>
      <c r="W4" t="str">
        <f t="shared" si="0"/>
        <v>},[-21]={</v>
      </c>
    </row>
    <row r="5" spans="1:25">
      <c r="C5">
        <v>103373</v>
      </c>
      <c r="D5">
        <v>47</v>
      </c>
      <c r="I5" t="s">
        <v>1585</v>
      </c>
      <c r="J5" t="s">
        <v>613</v>
      </c>
      <c r="P5">
        <v>1</v>
      </c>
      <c r="V5" t="s">
        <v>1586</v>
      </c>
      <c r="W5" t="str">
        <f t="shared" si="0"/>
        <v>{dwID=103373,nFrame=47,szNote="帮会联赛·闻千瞬",col={0,255,0,},[3]={bScreenHead=true,},[4]={},aFocus={{dwMapID=-1,szDisplay="闻千瞬·争霸赛",nMaxDistance=6,tRelation={bAll=true,bEnemy=false,bAlly=false,},tLife={bEnable=false,szOperator="&gt;",nValue=0,},},},},</v>
      </c>
    </row>
    <row r="6" spans="1:25">
      <c r="A6" t="s">
        <v>1516</v>
      </c>
      <c r="B6">
        <v>689</v>
      </c>
      <c r="W6" t="str">
        <f t="shared" si="0"/>
        <v>},[689]={</v>
      </c>
    </row>
    <row r="7" spans="1:25">
      <c r="C7">
        <v>128768</v>
      </c>
      <c r="D7">
        <v>47</v>
      </c>
      <c r="I7" t="s">
        <v>1587</v>
      </c>
      <c r="V7" t="s">
        <v>1588</v>
      </c>
      <c r="W7" t="str">
        <f t="shared" si="0"/>
        <v>{dwID=128768,nFrame=47,szNote="出行大炮",[3]={},[4]={},aFocus={{dwMapID=-1,nMaxDistance=6,tRelation={bAll=true,bEnemy=false,bAlly=false,},tLife={bEnable=false,szOperator="&gt;",nValue=0,},},},},</v>
      </c>
    </row>
    <row r="8" spans="1:25">
      <c r="C8">
        <v>133268</v>
      </c>
      <c r="D8">
        <v>47</v>
      </c>
      <c r="I8" t="s">
        <v>1589</v>
      </c>
      <c r="J8" t="s">
        <v>1590</v>
      </c>
      <c r="P8">
        <v>1</v>
      </c>
      <c r="V8" t="s">
        <v>1591</v>
      </c>
      <c r="W8" t="str">
        <f t="shared" si="0"/>
        <v>{dwID=133268,nFrame=47,szNote="小麻雀",col={100,255,100,},[3]={bScreenHead=true,},[4]={},aFocus={{dwMapID=-1,szDisplay="飞行·传送",nMaxDistance=6,tRelation={bAll=false,bEnemy=false,bAlly=true,},tLife={bEnable=false,szOperator="&gt;",nValue=0,},},},},</v>
      </c>
    </row>
    <row r="9" spans="1:25">
      <c r="C9">
        <v>128796</v>
      </c>
      <c r="D9">
        <v>47</v>
      </c>
      <c r="I9" t="s">
        <v>1592</v>
      </c>
      <c r="V9" t="s">
        <v>1593</v>
      </c>
      <c r="W9" t="str">
        <f t="shared" si="0"/>
        <v>{dwID=128796,nFrame=47,szNote="石像",[3]={},[4]={},aFocus={{dwMapID=-1,nMaxDistance=6,tRelation={bAll=false,bEnemy=false,bAlly=true,},tLife={bEnable=false,szOperator="&gt;",nValue=0,},},},},</v>
      </c>
    </row>
    <row r="10" spans="1:25">
      <c r="C10">
        <v>128733</v>
      </c>
      <c r="D10">
        <v>52</v>
      </c>
      <c r="I10" t="s">
        <v>1594</v>
      </c>
      <c r="V10" t="s">
        <v>1595</v>
      </c>
      <c r="W10" t="str">
        <f t="shared" si="0"/>
        <v>{dwID=128733,nFrame=52,szNote="红方箭塔",[3]={},[4]={},aFocus={{dwMapID=-1,nMaxDistance=-1,tRelation={bAll=true,bEnemy=false,bAlly=false,},tLife={bEnable=true,szOperator="==",nValue=100,},},},},</v>
      </c>
    </row>
    <row r="11" spans="1:25">
      <c r="C11">
        <v>128667</v>
      </c>
      <c r="D11">
        <v>47</v>
      </c>
      <c r="I11" t="s">
        <v>1596</v>
      </c>
      <c r="J11" t="s">
        <v>582</v>
      </c>
      <c r="P11">
        <v>1</v>
      </c>
      <c r="V11" t="s">
        <v>1597</v>
      </c>
      <c r="W11" t="str">
        <f t="shared" si="0"/>
        <v>{dwID=128667,nFrame=47,szNote="红方三塔",col={255,255,255,},[3]={bScreenHead=true,},[4]={},aFocus={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},},</v>
      </c>
    </row>
    <row r="12" spans="1:25">
      <c r="C12">
        <v>128666</v>
      </c>
      <c r="D12">
        <v>47</v>
      </c>
      <c r="I12" t="s">
        <v>1598</v>
      </c>
      <c r="J12" t="s">
        <v>582</v>
      </c>
      <c r="P12">
        <v>1</v>
      </c>
      <c r="V12" t="s">
        <v>1599</v>
      </c>
      <c r="W12" t="str">
        <f t="shared" si="0"/>
        <v>{dwID=128666,nFrame=47,szNote="红方二塔",col={255,255,255,},[3]={bScreenHead=true,},[4]={},aFocus={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},},</v>
      </c>
    </row>
    <row r="13" spans="1:25">
      <c r="C13">
        <v>128552</v>
      </c>
      <c r="D13">
        <v>47</v>
      </c>
      <c r="I13" t="s">
        <v>1600</v>
      </c>
      <c r="J13" t="s">
        <v>582</v>
      </c>
      <c r="P13">
        <v>1</v>
      </c>
      <c r="V13" t="s">
        <v>1601</v>
      </c>
      <c r="W13" t="str">
        <f t="shared" si="0"/>
        <v>{dwID=128552,nFrame=47,szNote="红方一塔",col={255,255,255,},[3]={bScreenHead=true,},[4]={},aFocus={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},},</v>
      </c>
    </row>
    <row r="14" spans="1:25">
      <c r="C14">
        <v>128554</v>
      </c>
      <c r="D14">
        <v>47</v>
      </c>
      <c r="I14" t="s">
        <v>1602</v>
      </c>
      <c r="J14" t="s">
        <v>582</v>
      </c>
      <c r="P14">
        <v>1</v>
      </c>
      <c r="V14" t="s">
        <v>1603</v>
      </c>
      <c r="W14" t="str">
        <f t="shared" si="0"/>
        <v>{dwID=128554,nFrame=47,szNote="红方燃烽大旗",col={255,255,255,},[3]={bScreenHead=true,},[4]={},aFocus={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},},</v>
      </c>
    </row>
    <row r="15" spans="1:25">
      <c r="C15">
        <v>128557</v>
      </c>
      <c r="D15">
        <v>57</v>
      </c>
      <c r="I15" t="s">
        <v>1604</v>
      </c>
      <c r="J15" t="s">
        <v>640</v>
      </c>
      <c r="P15">
        <v>1</v>
      </c>
      <c r="V15" t="s">
        <v>1605</v>
      </c>
      <c r="W15" t="str">
        <f t="shared" si="0"/>
        <v>{dwID=128557,nFrame=57,szNote="红方·古猿",col={255,50,255,},[3]={bScreenHead=true,},[4]={},aFocus={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},tCountdown={{nClass=12,nIcon=2671,nFrame=4,nTime="90,红方·古猿·刷新剩余;95,红方·古猿·即将刷新",szName="红方古猿·刷新剩余",nRefresh=2,key="红方·古猿",},{nClass=12,nIcon=1465,nFrame=-1,nTime=0.001,szName=" ",nRefresh=2,key="通用·古猿",},},},</v>
      </c>
      <c r="X15" t="s">
        <v>1606</v>
      </c>
      <c r="Y15" t="s">
        <v>1607</v>
      </c>
    </row>
    <row r="16" spans="1:25">
      <c r="C16">
        <v>128556</v>
      </c>
      <c r="D16">
        <v>57</v>
      </c>
      <c r="I16" t="s">
        <v>1608</v>
      </c>
      <c r="J16" t="s">
        <v>640</v>
      </c>
      <c r="P16">
        <v>1</v>
      </c>
      <c r="V16" t="s">
        <v>1609</v>
      </c>
      <c r="W16" t="str">
        <f t="shared" si="0"/>
        <v>{dwID=128556,nFrame=57,szNote="红方·混沌元晶·洞",col={255,50,255,},[3]={bScreenHead=true,},[4]={},aFocus={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},tCountdown={{nClass=12,nIcon=2672,nFrame=4,nTime="60,红方·混沌元晶·刷新剩余;65,红方·混沌元晶·即将刷新",szName="红方·混沌元晶·刷新剩余",nRefresh=0,key="红方·混沌元晶·洞",},},},</v>
      </c>
      <c r="X16" t="s">
        <v>1610</v>
      </c>
    </row>
    <row r="17" customFormat="1" spans="3:25">
      <c r="C17">
        <v>128732</v>
      </c>
      <c r="D17">
        <v>52</v>
      </c>
      <c r="I17" t="s">
        <v>1611</v>
      </c>
      <c r="V17" t="s">
        <v>1612</v>
      </c>
      <c r="W17" t="str">
        <f t="shared" si="0"/>
        <v>{dwID=128732,nFrame=52,szNote="蓝方箭塔",[3]={},[4]={},aFocus={{dwMapID=-1,nMaxDistance=-1,tRelation={bAll=true,bEnemy=false,bAlly=false,},tLife={bEnable=false,szOperator="==",nValue=100,},},},},</v>
      </c>
    </row>
    <row r="18" spans="3:25">
      <c r="C18">
        <v>128669</v>
      </c>
      <c r="D18">
        <v>47</v>
      </c>
      <c r="I18" t="s">
        <v>1613</v>
      </c>
      <c r="J18" t="s">
        <v>582</v>
      </c>
      <c r="P18">
        <v>1</v>
      </c>
      <c r="V18" t="s">
        <v>1614</v>
      </c>
      <c r="W18" t="str">
        <f t="shared" si="0"/>
        <v>{dwID=128669,nFrame=47,szNote="蓝方三塔",col={255,255,255,},[3]={bScreenHead=true,},[4]={},aFocus={{dwMapID=-1,szDisplay="蓝方·三塔·15尺",nMaxDistance=15,tRelation={bAll=true,bEnemy=false,bAlly=false,},},{dwMapID=-1,szDisplay="蓝方·三塔",nMaxDistance=0,tRelation={bAll=true,bEnemy=false,bAlly=false,},tLife={bEnable=false,szOperator="&gt;",nValue=0,},},},},</v>
      </c>
    </row>
    <row r="19" spans="3:25">
      <c r="C19">
        <v>128668</v>
      </c>
      <c r="D19">
        <v>47</v>
      </c>
      <c r="I19" t="s">
        <v>1615</v>
      </c>
      <c r="J19" t="s">
        <v>582</v>
      </c>
      <c r="P19">
        <v>1</v>
      </c>
      <c r="V19" t="s">
        <v>1616</v>
      </c>
      <c r="W19" t="str">
        <f t="shared" si="0"/>
        <v>{dwID=128668,nFrame=47,szNote="蓝方二塔",col={255,255,255,},[3]={bScreenHead=true,},[4]={},aFocus={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},},</v>
      </c>
    </row>
    <row r="20" spans="3:25">
      <c r="C20">
        <v>128553</v>
      </c>
      <c r="D20">
        <v>47</v>
      </c>
      <c r="I20" t="s">
        <v>1617</v>
      </c>
      <c r="J20" t="s">
        <v>582</v>
      </c>
      <c r="P20">
        <v>1</v>
      </c>
      <c r="V20" t="s">
        <v>1618</v>
      </c>
      <c r="W20" t="str">
        <f t="shared" si="0"/>
        <v>{dwID=128553,nFrame=47,szNote="蓝方一塔",col={255,255,255,},[3]={bScreenHead=true,},[4]={},aFocus={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},},</v>
      </c>
    </row>
    <row r="21" spans="3:25">
      <c r="C21">
        <v>128555</v>
      </c>
      <c r="D21">
        <v>47</v>
      </c>
      <c r="I21" t="s">
        <v>1619</v>
      </c>
      <c r="J21" t="s">
        <v>582</v>
      </c>
      <c r="P21">
        <v>1</v>
      </c>
      <c r="V21" t="s">
        <v>1620</v>
      </c>
      <c r="W21" t="str">
        <f t="shared" si="0"/>
        <v>{dwID=128555,nFrame=47,szNote="蓝方泽渊大旗",col={255,255,255,},[3]={bScreenHead=true,},[4]={},aFocus={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},},</v>
      </c>
    </row>
    <row r="22" spans="3:25">
      <c r="C22">
        <v>128559</v>
      </c>
      <c r="D22">
        <v>57</v>
      </c>
      <c r="I22" t="s">
        <v>1621</v>
      </c>
      <c r="J22" t="s">
        <v>640</v>
      </c>
      <c r="P22">
        <v>1</v>
      </c>
      <c r="V22" t="s">
        <v>1622</v>
      </c>
      <c r="W22" t="str">
        <f t="shared" si="0"/>
        <v>{dwID=128559,nFrame=57,szNote="蓝方·古猿",col={255,50,255,},[3]={bScreenHead=true,},[4]={},aFocus={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},tCountdown={{nClass=12,nIcon=2671,nFrame=4,nTime="90,蓝方·古猿·刷新剩余;95,蓝方·古猿·即将刷新",szName="蓝方古猿·刷新剩余",nRefresh=2,key="蓝方·古猿",},{nClass=12,nIcon=1465,nFrame=-1,nTime=0.001,szName=" ",nRefresh=2,key="通用·古猿",},},},</v>
      </c>
      <c r="X22" t="s">
        <v>1623</v>
      </c>
      <c r="Y22" t="s">
        <v>1607</v>
      </c>
    </row>
    <row r="23" spans="3:25">
      <c r="C23">
        <v>128558</v>
      </c>
      <c r="D23">
        <v>57</v>
      </c>
      <c r="I23" t="s">
        <v>1624</v>
      </c>
      <c r="J23" t="s">
        <v>640</v>
      </c>
      <c r="P23">
        <v>1</v>
      </c>
      <c r="V23" t="s">
        <v>1625</v>
      </c>
      <c r="W23" t="str">
        <f t="shared" si="0"/>
        <v>{dwID=128558,nFrame=57,szNote="蓝方·混沌元晶·皓",col={255,50,255,},[3]={bScreenHead=true,},[4]={},aFocus={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},tCountdown={{nClass=12,nIcon=2672,nFrame=4,nTime="60,蓝方·混沌元晶·刷新剩余;65,蓝方·混沌元晶·即将刷新",szName="蓝方·混沌元晶·刷新剩余",nRefresh=0,key="蓝方·混沌元晶·皓",},},},</v>
      </c>
      <c r="X23" t="s">
        <v>1626</v>
      </c>
    </row>
    <row r="24" spans="3:25">
      <c r="C24">
        <v>128576</v>
      </c>
      <c r="D24">
        <v>57</v>
      </c>
      <c r="I24" t="s">
        <v>1627</v>
      </c>
      <c r="J24" t="s">
        <v>640</v>
      </c>
      <c r="P24">
        <v>1</v>
      </c>
      <c r="V24" t="s">
        <v>1628</v>
      </c>
      <c r="W24" t="str">
        <f t="shared" si="0"/>
        <v>{dwID=128576,nFrame=57,szNote="九渊麒麟",col={255,50,255,},[3]={bScreenHead=true,},[4]={},aFocus={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},tCountdown={{nClass=12,nIcon=2673,nFrame=8,nTime="180,麒麟珠·拾取剩余;185,麒麟珠·已经消失",szName="麒麟珠·拾取剩余",nRefresh=0,key="九渊麒麟",},{nClass=4,nIcon=13,nTime=0,szName="九渊麒麟·技能",key="九渊麒麟·技能",},},},</v>
      </c>
      <c r="X24" t="s">
        <v>1629</v>
      </c>
      <c r="Y24" t="s">
        <v>1630</v>
      </c>
    </row>
    <row r="25" spans="3:25">
      <c r="C25">
        <v>129144</v>
      </c>
      <c r="D25">
        <v>47</v>
      </c>
      <c r="I25" t="s">
        <v>1631</v>
      </c>
      <c r="J25" t="s">
        <v>1632</v>
      </c>
      <c r="P25">
        <v>1</v>
      </c>
      <c r="V25" t="s">
        <v>1633</v>
      </c>
      <c r="W25" t="str">
        <f t="shared" si="0"/>
        <v>{dwID=129144,nFrame=47,szNote="麒麟珠",col={50,255,255,},[3]={bScreenHead=true,},[4]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26" spans="3:25">
      <c r="C26">
        <v>128941</v>
      </c>
      <c r="D26">
        <v>52</v>
      </c>
      <c r="I26" t="s">
        <v>1634</v>
      </c>
      <c r="V26" t="s">
        <v>1635</v>
      </c>
      <c r="W26" t="str">
        <f t="shared" si="0"/>
        <v>{dwID=128941,nFrame=52,szNote="准备刷新",[3]={},[4]={},aFocus={{dwMapID=-1,szDisplay="准备刷新·30秒",nMaxDistance=30,tRelation={bAll=true,bEnemy=false,bAlly=false,},tLife={bEnable=false,szOperator="&gt;",nValue=0,},},},},</v>
      </c>
    </row>
    <row r="27" spans="3:25">
      <c r="W27" t="str">
        <f t="shared" si="0"/>
        <v>},},}</v>
      </c>
    </row>
    <row r="28" spans="3:25">
      <c r="W28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workbookViewId="0">
      <selection activeCell="U4" sqref="U4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1571</v>
      </c>
      <c r="E1" t="s">
        <v>1572</v>
      </c>
      <c r="F1" t="s">
        <v>1480</v>
      </c>
      <c r="G1" t="s">
        <v>1483</v>
      </c>
      <c r="H1" t="s">
        <v>49</v>
      </c>
      <c r="I1" t="s">
        <v>1484</v>
      </c>
      <c r="J1" t="s">
        <v>1636</v>
      </c>
      <c r="K1" t="s">
        <v>1637</v>
      </c>
      <c r="L1" t="s">
        <v>1638</v>
      </c>
      <c r="M1" t="s">
        <v>1639</v>
      </c>
      <c r="N1" t="s">
        <v>1640</v>
      </c>
      <c r="O1" t="s">
        <v>1641</v>
      </c>
      <c r="P1" t="s">
        <v>1642</v>
      </c>
      <c r="Q1" t="s">
        <v>1643</v>
      </c>
      <c r="R1" t="s">
        <v>1644</v>
      </c>
      <c r="S1" t="s">
        <v>1645</v>
      </c>
      <c r="T1" t="s">
        <v>296</v>
      </c>
      <c r="U1" t="s">
        <v>1646</v>
      </c>
      <c r="V1" t="s">
        <v>316</v>
      </c>
    </row>
    <row r="2" spans="1:22">
      <c r="A2" t="s">
        <v>1549</v>
      </c>
      <c r="B2">
        <v>-2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[-2]={</v>
      </c>
    </row>
    <row r="3" spans="1:22">
      <c r="C3">
        <v>8848</v>
      </c>
      <c r="H3" t="s">
        <v>1647</v>
      </c>
      <c r="I3" t="s">
        <v>622</v>
      </c>
      <c r="N3">
        <v>1</v>
      </c>
      <c r="T3" t="s">
        <v>1648</v>
      </c>
      <c r="U3" t="str">
        <f t="shared" ref="U3:U11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{dwID=8848,szNote="联赛八强服务器宝堆",col={0,255,255,},[17]={bScreenHead=true,},[18]={},aFocus={{dwMapID=-1,szDisplay="联赛·八强·宝堆",nMaxDistance=20,tRelation={bAll=true,bEnemy=false,bAlly=false,},tLife={bEnable=false,szOperator="&gt;",nValue=0,},},},},</v>
      </c>
    </row>
    <row r="4" spans="1:22">
      <c r="C4">
        <v>8849</v>
      </c>
      <c r="H4" t="s">
        <v>1649</v>
      </c>
      <c r="I4" t="s">
        <v>622</v>
      </c>
      <c r="N4">
        <v>1</v>
      </c>
      <c r="T4" t="s">
        <v>1650</v>
      </c>
      <c r="U4" t="str">
        <f t="shared" si="0"/>
        <v>{dwID=8849,szNote="联赛四强服务器宝堆",col={0,255,255,},[17]={bScreenHead=true,},[18]={},aFocus={{dwMapID=-1,szDisplay="联赛·四强·宝堆",nMaxDistance=20,tRelation={bAll=true,bEnemy=false,bAlly=false,},tLife={bEnable=false,szOperator="&gt;",nValue=0,},},},},</v>
      </c>
    </row>
    <row r="5" spans="1:22">
      <c r="C5">
        <v>8850</v>
      </c>
      <c r="H5" t="s">
        <v>1651</v>
      </c>
      <c r="I5" t="s">
        <v>622</v>
      </c>
      <c r="N5">
        <v>1</v>
      </c>
      <c r="T5" t="s">
        <v>1652</v>
      </c>
      <c r="U5" t="str">
        <f t="shared" si="0"/>
        <v>{dwID=8850,szNote="联赛季军服务器宝堆",col={0,255,255,},[17]={bScreenHead=true,},[18]={},aFocus={{dwMapID=-1,szDisplay="联赛·季军·宝堆",nMaxDistance=20,tRelation={bAll=true,bEnemy=false,bAlly=false,},tLife={bEnable=false,szOperator="&gt;",nValue=0,},},},},</v>
      </c>
    </row>
    <row r="6" spans="1:22">
      <c r="C6">
        <v>8851</v>
      </c>
      <c r="H6" t="s">
        <v>1653</v>
      </c>
      <c r="I6" t="s">
        <v>622</v>
      </c>
      <c r="N6">
        <v>1</v>
      </c>
      <c r="T6" t="s">
        <v>1654</v>
      </c>
      <c r="U6" t="str">
        <f t="shared" si="0"/>
        <v>{dwID=8851,szNote="联赛亚军服务器宝堆",col={0,255,255,},[17]={bScreenHead=true,},[18]={},aFocus={{dwMapID=-1,szDisplay="联赛·亚军·宝堆",nMaxDistance=20,tRelation={bAll=true,bEnemy=false,bAlly=false,},tLife={bEnable=false,szOperator="&gt;",nValue=0,},},},},</v>
      </c>
    </row>
    <row r="7" spans="1:22">
      <c r="C7">
        <v>8852</v>
      </c>
      <c r="H7" t="s">
        <v>1655</v>
      </c>
      <c r="I7" t="s">
        <v>622</v>
      </c>
      <c r="N7">
        <v>1</v>
      </c>
      <c r="T7" t="s">
        <v>1656</v>
      </c>
      <c r="U7" t="str">
        <f t="shared" si="0"/>
        <v>{dwID=8852,szNote="联赛冠军服务器宝堆",col={0,255,255,},[17]={bScreenHead=true,},[18]={},aFocus={{dwMapID=-1,szDisplay="联赛·冠军·宝堆",nMaxDistance=20,tRelation={bAll=true,bEnemy=false,bAlly=false,},tLife={bEnable=false,szOperator="&gt;",nValue=0,},},},},</v>
      </c>
    </row>
    <row r="8" spans="1:22">
      <c r="A8" t="s">
        <v>1516</v>
      </c>
      <c r="B8">
        <v>689</v>
      </c>
      <c r="U8" t="str">
        <f t="shared" si="0"/>
        <v>},[689]={</v>
      </c>
    </row>
    <row r="9" spans="1:22">
      <c r="C9">
        <v>10781</v>
      </c>
      <c r="H9" t="s">
        <v>1631</v>
      </c>
      <c r="I9" t="s">
        <v>1632</v>
      </c>
      <c r="M9">
        <v>1</v>
      </c>
      <c r="N9">
        <v>1</v>
      </c>
      <c r="T9" t="s">
        <v>1633</v>
      </c>
      <c r="U9" t="str">
        <f t="shared" si="0"/>
        <v>{dwID=10781,szNote="麒麟珠",col={50,255,255,},[17]={bCenterAlarm=true,bScreenHead=true,},[18]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10" spans="1:22">
      <c r="U10" t="str">
        <f t="shared" si="0"/>
        <v>},},}</v>
      </c>
    </row>
    <row r="11" spans="1:22">
      <c r="U11" t="str">
        <f t="shared" si="0"/>
        <v/>
      </c>
    </row>
  </sheetData>
  <sortState ref="A3:V7">
    <sortCondition ref="A3:A7" descending="1"/>
  </sortState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"/>
  <sheetViews>
    <sheetView workbookViewId="0">
      <selection activeCell="P14" sqref="P14"/>
    </sheetView>
  </sheetViews>
  <sheetFormatPr defaultColWidth="9" defaultRowHeight="13.5"/>
  <cols>
    <col min="4" max="4" width="58.875" customWidth="1"/>
    <col min="5" max="5" width="21.25" customWidth="1"/>
  </cols>
  <sheetData>
    <row r="1" spans="1:16">
      <c r="A1" t="s">
        <v>1476</v>
      </c>
      <c r="B1" t="s">
        <v>1477</v>
      </c>
      <c r="C1" t="s">
        <v>110</v>
      </c>
      <c r="D1" t="s">
        <v>1657</v>
      </c>
      <c r="E1" t="s">
        <v>49</v>
      </c>
      <c r="F1" t="s">
        <v>1484</v>
      </c>
      <c r="G1" t="s">
        <v>1658</v>
      </c>
      <c r="H1" t="s">
        <v>1659</v>
      </c>
      <c r="I1" t="s">
        <v>1660</v>
      </c>
      <c r="J1" t="s">
        <v>1661</v>
      </c>
      <c r="K1" t="s">
        <v>1662</v>
      </c>
      <c r="L1" t="s">
        <v>1663</v>
      </c>
      <c r="M1" t="s">
        <v>1664</v>
      </c>
      <c r="N1" t="s">
        <v>1665</v>
      </c>
      <c r="O1" t="s">
        <v>1666</v>
      </c>
      <c r="P1" t="s">
        <v>316</v>
      </c>
    </row>
    <row r="2" spans="1:16">
      <c r="A2" t="s">
        <v>1667</v>
      </c>
      <c r="B2">
        <v>-1</v>
      </c>
      <c r="O2" t="str">
        <f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[-1]={</v>
      </c>
    </row>
    <row r="3" spans="1:16">
      <c r="C3" t="s">
        <v>1668</v>
      </c>
      <c r="D3" t="s">
        <v>1669</v>
      </c>
      <c r="E3" t="s">
        <v>1670</v>
      </c>
      <c r="O3" t="str">
        <f t="shared" ref="O3:O19" si="0">IF(ISBLANK(B3)=FALSE,IF(ISBLANK(B2),"},["&amp;B3&amp;"]={","["&amp;B3&amp;"]={"),IF(AND(ISBLANK(B3),ISBLANK(D3),ISBLANK(G3),ISBLANK(H3),OR(ISBLANK(B2)=FALSE,ISBLANK(D2)=FALSE,ISBLANK(G2)=FALSE,ISBLANK(H2)=FALSE)),"},},}",IF(ISBLANK(D3),"","{szContent="""&amp;D3&amp;""","&amp;IF(C3&lt;&gt;"","szTarget="""&amp;C3&amp;""",","")&amp;IF(E3&lt;&gt;"","szNote="""&amp;E3&amp;""",","")&amp;IF(F3&lt;&gt;"","col={"&amp;F3&amp;"},","")&amp;IF(G3&gt;0,"bSearch=true,","")&amp;IF(H3&gt;0,"bReg=true,","")&amp;"[14]={"&amp;IF(I3&gt;0,"szVoice="""&amp;I3&amp;""",","")&amp;IF(J3&gt;0,"bTeamChannel=true,","")&amp;IF(K3&gt;0,"bWhisperChannel=true,","")&amp;IF(L3&gt;0,"bCenterAlarm=true,","")&amp;IF(M3&gt;0,"bScreenHead=true,","")&amp;IF(N3&gt;0,"bFullScreen=true,","")&amp;"},"&amp;IF(P3&lt;&gt;"","tCountdown={"&amp;_xlfn.TEXTJOIN("",TRUE,P3:AAA3)&amp;"},","")&amp;"},")))</f>
        <v>{szContent="[帮会总管]邵卿城：诸位兄弟，愿此行战无不胜，扬我帮威！",szTarget="%",szNote="武林争霸赛·已经报名",[14]={},tCountdown={{nClass=14,nIcon=13,nFrame=6,nTime=10,szName="武林争霸赛·已经报名",nRefresh=1,key="武林争霸赛",},},},</v>
      </c>
      <c r="P3" t="s">
        <v>1671</v>
      </c>
    </row>
    <row r="4" spans="1:16">
      <c r="C4" t="s">
        <v>1668</v>
      </c>
      <c r="D4" t="s">
        <v>1672</v>
      </c>
      <c r="E4" t="s">
        <v>1673</v>
      </c>
      <c r="O4" t="str">
        <f t="shared" si="0"/>
        <v>{szContent="【武林争霸赛】本届武林争霸赛正式已开启！风起云涌，一朝闻名天下知！已报名的帮会侠士，可前往各大主城或各门派，闻千瞬处对话进入参与对决！！！帮会帮主及核心成员优先进入，以免造成不便！！！",szTarget="%",szNote="武林争霸赛·正式开启",[14]={},tCountdown={{nClass=14,nIcon=13,nFrame=6,nTime=10,szName="武林争霸赛·正式开启",nRefresh=1,key="武林争霸赛",},},},</v>
      </c>
      <c r="P4" t="s">
        <v>1674</v>
      </c>
    </row>
    <row r="5" customFormat="1" spans="1:16">
      <c r="A5" t="s">
        <v>1549</v>
      </c>
      <c r="B5">
        <v>-2</v>
      </c>
      <c r="O5" t="str">
        <f t="shared" si="0"/>
        <v>},[-2]={</v>
      </c>
    </row>
    <row r="6" customFormat="1" spans="1:16">
      <c r="C6" t="s">
        <v>1668</v>
      </c>
      <c r="D6" t="s">
        <v>1675</v>
      </c>
      <c r="E6" t="s">
        <v>1676</v>
      </c>
      <c r="H6">
        <v>1</v>
      </c>
      <c r="L6">
        <v>1</v>
      </c>
      <c r="O6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6" t="s">
        <v>1677</v>
      </c>
    </row>
    <row r="7" customFormat="1" spans="1:16">
      <c r="C7" t="s">
        <v>1668</v>
      </c>
      <c r="D7" t="s">
        <v>1678</v>
      </c>
      <c r="E7" t="s">
        <v>1679</v>
      </c>
      <c r="H7">
        <v>1</v>
      </c>
      <c r="L7">
        <v>1</v>
      </c>
      <c r="O7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7" t="s">
        <v>1680</v>
      </c>
    </row>
    <row r="8" spans="1:16">
      <c r="A8" t="s">
        <v>1551</v>
      </c>
      <c r="B8">
        <v>-21</v>
      </c>
      <c r="O8" t="str">
        <f t="shared" si="0"/>
        <v>},[-21]={</v>
      </c>
    </row>
    <row r="9" customFormat="1" spans="1:16">
      <c r="C9" t="s">
        <v>1668</v>
      </c>
      <c r="D9" t="s">
        <v>1675</v>
      </c>
      <c r="E9" t="s">
        <v>1676</v>
      </c>
      <c r="H9">
        <v>1</v>
      </c>
      <c r="L9">
        <v>1</v>
      </c>
      <c r="O9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9" t="s">
        <v>1677</v>
      </c>
    </row>
    <row r="10" customFormat="1" spans="1:16">
      <c r="C10" t="s">
        <v>1668</v>
      </c>
      <c r="D10" t="s">
        <v>1678</v>
      </c>
      <c r="E10" t="s">
        <v>1679</v>
      </c>
      <c r="H10">
        <v>1</v>
      </c>
      <c r="L10">
        <v>1</v>
      </c>
      <c r="O10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10" t="s">
        <v>1680</v>
      </c>
    </row>
    <row r="11" spans="1:16">
      <c r="A11" t="s">
        <v>1516</v>
      </c>
      <c r="B11">
        <v>689</v>
      </c>
      <c r="O11" t="str">
        <f t="shared" si="0"/>
        <v>},[689]={</v>
      </c>
    </row>
    <row r="12" spans="1:16">
      <c r="C12" t="s">
        <v>1668</v>
      </c>
      <c r="D12" t="s">
        <v>1681</v>
      </c>
      <c r="E12" t="s">
        <v>1682</v>
      </c>
      <c r="L12">
        <v>1</v>
      </c>
      <c r="O12" t="str">
        <f t="shared" si="0"/>
        <v>{szContent="敌方拾取麒麟珠\n",szTarget="%",szNote="敌方·获得·麒麟珠",[14]={bCenterAlarm=true,},tCountdown={{nClass=14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P12" t="s">
        <v>1683</v>
      </c>
    </row>
    <row r="13" spans="1:16">
      <c r="C13" t="s">
        <v>1668</v>
      </c>
      <c r="D13" t="s">
        <v>1684</v>
      </c>
      <c r="E13" t="s">
        <v>1685</v>
      </c>
      <c r="L13">
        <v>1</v>
      </c>
      <c r="O13" t="str">
        <f t="shared" si="0"/>
        <v>{szContent="我方拾取麒麟珠\n",szTarget="%",szNote="我方·获得·麒麟珠",[14]={bCenterAlarm=true,},tCountdown={{nClass=14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P13" t="s">
        <v>1686</v>
      </c>
    </row>
    <row r="14" spans="1:16">
      <c r="C14" t="s">
        <v>1668</v>
      </c>
      <c r="D14" t="s">
        <v>1687</v>
      </c>
      <c r="E14" t="s">
        <v>1688</v>
      </c>
      <c r="L14">
        <v>1</v>
      </c>
      <c r="O14" t="str">
        <f t="shared" si="0"/>
        <v>{szContent="蓝方成功击败了九渊麒麟",szTarget="%",szNote="蓝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4" t="s">
        <v>1689</v>
      </c>
    </row>
    <row r="15" spans="1:16">
      <c r="C15" t="s">
        <v>1668</v>
      </c>
      <c r="D15" t="s">
        <v>1690</v>
      </c>
      <c r="E15" t="s">
        <v>1691</v>
      </c>
      <c r="L15">
        <v>1</v>
      </c>
      <c r="O15" t="str">
        <f t="shared" si="0"/>
        <v>{szContent="红方成功击败了九渊麒麟",szTarget="%",szNote="红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5" t="s">
        <v>1689</v>
      </c>
    </row>
    <row r="16" spans="1:16">
      <c r="D16" t="s">
        <v>1692</v>
      </c>
      <c r="O16" t="str">
        <f t="shared" si="0"/>
        <v>{szContent="我方大旗已被摧毁，本场比赛结束！",[14]={},tCountdown={{nClass=14,nIcon=13,nFrame=0,nTime=30,szName="本场比赛·失利",key="战斗开始",},},},</v>
      </c>
      <c r="P16" t="s">
        <v>1693</v>
      </c>
    </row>
    <row r="17" spans="3:16">
      <c r="D17" t="s">
        <v>1694</v>
      </c>
      <c r="O17" t="str">
        <f t="shared" si="0"/>
        <v>{szContent="成功摧毁敌方大旗，您获得本场比赛胜利！",[14]={},tCountdown={{nClass=14,nIcon=13,nFrame=0,nTime=30,szName="本场比赛·胜利",key="战斗开始",},},},</v>
      </c>
      <c r="P17" t="s">
        <v>1695</v>
      </c>
    </row>
    <row r="18" spans="3:16">
      <c r="C18" t="s">
        <v>1668</v>
      </c>
      <c r="D18" t="s">
        <v>1696</v>
      </c>
      <c r="E18" t="s">
        <v>1697</v>
      </c>
      <c r="H18">
        <v>1</v>
      </c>
      <c r="L18">
        <v>1</v>
      </c>
      <c r="O18" t="str">
        <f t="shared" si="0"/>
        <v>{szContent="我方第(%d-)次鼓舞士气成功！",szTarget="%",szNote="鼓舞士气·{$1}次",bReg=true,[14]={bCenterAlarm=true,},tCountdown={{nClass=14,nIcon=13,nFrame=6,nTime=10,szName="我方·鼓舞士气·{$1}次",key="鼓舞士气",},},},</v>
      </c>
      <c r="P18" t="s">
        <v>1698</v>
      </c>
    </row>
    <row r="19" spans="3:16">
      <c r="O19" t="str">
        <f t="shared" si="0"/>
        <v>},},}</v>
      </c>
    </row>
  </sheetData>
  <sortState ref="A12:P18">
    <sortCondition ref="A12:A18" descending="1"/>
  </sortState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5"/>
  <sheetViews>
    <sheetView workbookViewId="0">
      <selection activeCell="O6" sqref="O6"/>
    </sheetView>
  </sheetViews>
  <sheetFormatPr defaultColWidth="9" defaultRowHeight="13.5"/>
  <cols>
    <col min="3" max="3" width="27.125" customWidth="1"/>
  </cols>
  <sheetData>
    <row r="1" spans="1:15">
      <c r="A1" t="s">
        <v>1476</v>
      </c>
      <c r="B1" t="s">
        <v>1477</v>
      </c>
      <c r="C1" t="s">
        <v>1657</v>
      </c>
      <c r="D1" t="s">
        <v>49</v>
      </c>
      <c r="E1" t="s">
        <v>1484</v>
      </c>
      <c r="F1" t="s">
        <v>1658</v>
      </c>
      <c r="G1" t="s">
        <v>1659</v>
      </c>
      <c r="H1" t="s">
        <v>1660</v>
      </c>
      <c r="I1" t="s">
        <v>1661</v>
      </c>
      <c r="J1" t="s">
        <v>1662</v>
      </c>
      <c r="K1" t="s">
        <v>1663</v>
      </c>
      <c r="L1" t="s">
        <v>1664</v>
      </c>
      <c r="M1" t="s">
        <v>1665</v>
      </c>
      <c r="N1" t="s">
        <v>1699</v>
      </c>
      <c r="O1" t="s">
        <v>316</v>
      </c>
    </row>
    <row r="2" spans="1:15">
      <c r="A2" t="s">
        <v>1516</v>
      </c>
      <c r="B2">
        <v>689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[689]={</v>
      </c>
    </row>
    <row r="3" spans="1:15">
      <c r="C3" t="s">
        <v>1700</v>
      </c>
      <c r="N3" t="str">
        <f t="shared" ref="N3:N35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{szContent="蓝方成功击败了古猿\n",[20]={},tCountdown={{nClass=20,nIcon=2671,nFrame=7,nTime="5,蓝方·获得古猿·资源+200;90,蓝方·古猿·刷新剩余;95,蓝方·古猿·已经刷新",szName="蓝方·古猿·刷新剩余",nRefresh=0,key="通用·古猿",},},},</v>
      </c>
      <c r="O3" t="s">
        <v>1701</v>
      </c>
    </row>
    <row r="4" spans="1:15">
      <c r="C4" t="s">
        <v>1702</v>
      </c>
      <c r="N4" t="str">
        <f t="shared" si="0"/>
        <v>{szContent="蓝方成功击败了混沌元晶·皓\n",[20]={},tCountdown={{nClass=20,nIcon=2672,nFrame=7,nTime="5,蓝方·获得元晶皓·资源+100;60,蓝方·元晶·刷新剩余;65,蓝方·元晶·已经刷新",szName="蓝方·元晶·刷新剩余",nRefresh=2,key="蓝方·混沌元晶·皓",},},},</v>
      </c>
      <c r="O4" t="s">
        <v>1703</v>
      </c>
    </row>
    <row r="5" spans="1:15">
      <c r="C5" t="s">
        <v>1704</v>
      </c>
      <c r="N5" t="str">
        <f t="shared" si="0"/>
        <v>{szContent="蓝方成功击败了混沌元晶·洞\n",[20]={},tCountdown={{nClass=20,nIcon=2672,nFrame=7,nTime="5,蓝方·获得元晶洞·资源+100;60,红方·元晶·刷新剩余;65,红方·元晶·已经刷新",szName="红方·元晶·刷新剩余",nRefresh=2,key="红方·混沌元晶·洞",},},},</v>
      </c>
      <c r="O5" t="s">
        <v>1705</v>
      </c>
    </row>
    <row r="6" spans="1:15">
      <c r="C6" t="s">
        <v>1706</v>
      </c>
      <c r="D6" t="s">
        <v>1707</v>
      </c>
      <c r="K6">
        <v>1</v>
      </c>
      <c r="N6" t="str">
        <f t="shared" si="0"/>
        <v>{szContent="蓝方成功修复大旗10%耐久度\n",szNote="蓝方·修补·大旗",[20]={bCenterAlarm=true,},tCountdown={{nClass=20,nIcon=3417,nFrame=7,nTime="5,蓝方·修补大旗·气血+10%;30,蓝方·修补大旗·CD;35,蓝方·修补大旗·就绪",szName="蓝方·修复大旗",nRefresh=0,key="蓝方·修复大旗",},},},</v>
      </c>
      <c r="O6" t="s">
        <v>1708</v>
      </c>
    </row>
    <row r="7" spans="1:15">
      <c r="C7" t="s">
        <v>1709</v>
      </c>
      <c r="N7" t="str">
        <f t="shared" si="0"/>
        <v>{szContent="蓝方成功开启全局迷雾视野\n",[20]={},tCountdown={{nClass=20,nIcon=25111,nFrame=7,nTime="30,蓝方·全局视野·剩余时间;180,蓝方·全局视野·CD;185,蓝方·全局视野·就绪",szName="蓝方·全局视野",nRefresh=0,key="蓝方·全局视野",},},},</v>
      </c>
      <c r="O7" t="s">
        <v>1710</v>
      </c>
    </row>
    <row r="8" spans="1:15">
      <c r="C8" t="s">
        <v>1711</v>
      </c>
      <c r="N8" t="str">
        <f t="shared" si="0"/>
        <v>{szContent="红方成功击败了古猿\n",[20]={},tCountdown={{nClass=20,nIcon=2671,nFrame=3,nTime="5,红方·获得古猿·资源+200;90,红方·古猿·刷新剩余;95,红方·古猿·已经刷新",szName="红方·古猿·刷新剩余",nRefresh=0,key="通用·古猿",},},},</v>
      </c>
      <c r="O8" t="s">
        <v>1712</v>
      </c>
    </row>
    <row r="9" spans="1:15">
      <c r="C9" t="s">
        <v>1713</v>
      </c>
      <c r="N9" t="str">
        <f t="shared" si="0"/>
        <v>{szContent="红方成功击败了混沌元晶·皓\n",[20]={},tCountdown={{nClass=20,nIcon=2672,nFrame=3,nTime="5,红方·获得元晶皓·资源+100;60,蓝方·元晶·刷新剩余;65,蓝方·元晶·已经刷新",szName="蓝方·元晶·刷新剩余",nRefresh=2,key="蓝方·混沌元晶·皓",},},},</v>
      </c>
      <c r="O9" t="s">
        <v>1714</v>
      </c>
    </row>
    <row r="10" spans="1:15">
      <c r="C10" t="s">
        <v>1715</v>
      </c>
      <c r="N10" t="str">
        <f t="shared" si="0"/>
        <v>{szContent="红方成功击败了混沌元晶·洞\n",[20]={},tCountdown={{nClass=20,nIcon=2672,nFrame=3,nTime="5,红方·获得元晶洞·资源+100;60,红方·元晶·刷新剩余;65,红方·元晶·已经刷新",szName="红方·元晶·刷新剩余",nRefresh=2,key="红方·混沌元晶·洞",},},},</v>
      </c>
      <c r="O10" t="s">
        <v>1716</v>
      </c>
    </row>
    <row r="11" spans="1:15">
      <c r="C11" t="s">
        <v>1717</v>
      </c>
      <c r="D11" t="s">
        <v>1718</v>
      </c>
      <c r="K11">
        <v>1</v>
      </c>
      <c r="N11" t="str">
        <f t="shared" si="0"/>
        <v>{szContent="红方成功修复大旗10%耐久度\n",szNote="红方·修补·大旗",[20]={bCenterAlarm=true,},tCountdown={{nClass=20,nIcon=3416,nFrame=3,nTime="5,红方·修补大旗·气血+10%;30,红方·修补大旗·CD;35,红方·修补大旗·就绪",szName="红方·修复大旗",nRefresh=0,key="红方·修复大旗",},},},</v>
      </c>
      <c r="O11" t="s">
        <v>1719</v>
      </c>
    </row>
    <row r="12" spans="1:15">
      <c r="C12" t="s">
        <v>1720</v>
      </c>
      <c r="N12" t="str">
        <f t="shared" si="0"/>
        <v>{szContent="红方成功开启全局迷雾视野\n",[20]={},tCountdown={{nClass=20,nIcon=25109,nFrame=3,nTime="30,红方·全局视野·剩余时间;180,红方·全局视野·CD;185,红方·全局视野·就绪",szName="红方·全局视野",nRefresh=0,key="红方·全局视野",},},},</v>
      </c>
      <c r="O12" t="s">
        <v>1721</v>
      </c>
    </row>
    <row r="13" spans="1:15">
      <c r="C13" t="s">
        <v>1681</v>
      </c>
      <c r="D13" t="s">
        <v>1682</v>
      </c>
      <c r="K13">
        <v>1</v>
      </c>
      <c r="N13" t="str">
        <f t="shared" si="0"/>
        <v>{szContent="敌方拾取麒麟珠\n",szNote="敌方·获得·麒麟珠",[20]={bCenterAlarm=true,},tCountdown={{nClass=20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O13" t="s">
        <v>1722</v>
      </c>
    </row>
    <row r="14" spans="1:15">
      <c r="C14" t="s">
        <v>1684</v>
      </c>
      <c r="D14" t="s">
        <v>1685</v>
      </c>
      <c r="K14">
        <v>1</v>
      </c>
      <c r="N14" t="str">
        <f t="shared" si="0"/>
        <v>{szContent="我方拾取麒麟珠\n",szNote="我方·获得·麒麟珠",[20]={bCenterAlarm=true,},tCountdown={{nClass=20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O14" t="s">
        <v>1723</v>
      </c>
    </row>
    <row r="15" spans="1:15">
      <c r="C15" t="s">
        <v>1724</v>
      </c>
      <c r="D15" t="s">
        <v>1688</v>
      </c>
      <c r="K15">
        <v>1</v>
      </c>
      <c r="N15" t="str">
        <f t="shared" si="0"/>
        <v>{szContent="蓝方成功击败了九渊麒麟\n",szNote="蓝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5" t="s">
        <v>1725</v>
      </c>
    </row>
    <row r="16" spans="1:15">
      <c r="C16" t="s">
        <v>1726</v>
      </c>
      <c r="D16" t="s">
        <v>1691</v>
      </c>
      <c r="K16">
        <v>1</v>
      </c>
      <c r="N16" t="str">
        <f t="shared" si="0"/>
        <v>{szContent="红方成功击败了九渊麒麟\n",szNote="红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6" t="s">
        <v>1725</v>
      </c>
    </row>
    <row r="17" spans="1:18">
      <c r="C17" t="s">
        <v>1727</v>
      </c>
      <c r="N17" t="str">
        <f t="shared" si="0"/>
        <v>{szContent="敌方箭塔被摧毁\n",[20]={},tCountdown={{nClass=20,nIcon=3738,nFrame=3,nTime=10,szName="敌方·箭塔·已被摧毁",key="敌方箭塔",},},},</v>
      </c>
      <c r="O17" t="s">
        <v>1728</v>
      </c>
    </row>
    <row r="18" spans="1:18">
      <c r="C18" t="s">
        <v>1729</v>
      </c>
      <c r="N18" t="str">
        <f t="shared" si="0"/>
        <v>{szContent="我方箭塔被摧毁\n",[20]={},tCountdown={{nClass=20,nIcon=3738,nFrame=2,nTime=10,szName="我方·箭塔·已被摧毁",key="我方箭塔",},},},</v>
      </c>
      <c r="O18" t="s">
        <v>1730</v>
      </c>
    </row>
    <row r="19" spans="1:18">
      <c r="C19" t="s">
        <v>1731</v>
      </c>
      <c r="G19">
        <v>1</v>
      </c>
      <c r="N19" t="str">
        <f t="shared" si="0"/>
        <v>{szContent="我方(.-)路(.-)塔箭塔被攻击",bReg=true,[20]={},tCountdown={{nClass=20,nIcon=3736,nFrame=1,nTime=10,szName="我方·{$1}路·{$2}塔·遭到攻击",key="我方·{$1}·{$2}",},},},</v>
      </c>
      <c r="O19" t="s">
        <v>1732</v>
      </c>
    </row>
    <row r="20" spans="1:18">
      <c r="C20" t="s">
        <v>1733</v>
      </c>
      <c r="N20" t="str">
        <f t="shared" si="0"/>
        <v>{szContent="我方大旗遭到攻击\n",[20]={},tCountdown={{nClass=20,nIcon=592,nFrame=2,nTime=10,szName="我方·大旗·遭到攻击",key="我方大旗",},},},</v>
      </c>
      <c r="O20" t="s">
        <v>1734</v>
      </c>
    </row>
    <row r="21" spans="1:18">
      <c r="C21" t="s">
        <v>1735</v>
      </c>
      <c r="D21" t="s">
        <v>1736</v>
      </c>
      <c r="E21" t="s">
        <v>582</v>
      </c>
      <c r="K21">
        <v>1</v>
      </c>
      <c r="M21">
        <v>1</v>
      </c>
      <c r="N21" t="str">
        <f t="shared" si="0"/>
        <v>{szContent="九渊麒麟已重生！\n",szNote="九渊麒麟·已经刷新",col={255,255,255,},[20]={bCenterAlarm=true,bFullScreen=true,},tCountdown={{nClass=20,nIcon=2673,nFrame=1,nTime=5,szName="九渊麒麟·已经刷新",key="九渊麒麟",},},},</v>
      </c>
      <c r="O21" t="s">
        <v>1737</v>
      </c>
    </row>
    <row r="22" spans="1:18">
      <c r="C22" t="s">
        <v>1738</v>
      </c>
      <c r="D22" t="s">
        <v>1739</v>
      </c>
      <c r="E22" t="s">
        <v>582</v>
      </c>
      <c r="L22">
        <v>1</v>
      </c>
      <c r="N22" t="str">
        <f t="shared" si="0"/>
        <v>{szContent="小麻雀收取了你九十九银。\n",szNote="麻雀·传送",col={255,255,255,},[20]={bScreenHead=true,},},</v>
      </c>
    </row>
    <row r="23" spans="1:18">
      <c r="C23" t="s">
        <v>1740</v>
      </c>
      <c r="N23" t="str">
        <f t="shared" si="0"/>
        <v>{szContent="战斗开始。\n",[20]={},tCountdown={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},},</v>
      </c>
      <c r="O23" t="s">
        <v>1741</v>
      </c>
      <c r="P23" t="s">
        <v>1742</v>
      </c>
    </row>
    <row r="24" spans="1:18">
      <c r="C24" t="s">
        <v>1743</v>
      </c>
      <c r="N24" t="str">
        <f t="shared" si="0"/>
        <v>{szContent="战斗将在120秒后开始。\n",[20]={},tCountdown={{nClass=20,nIcon=13,nFrame=4,nTime=120,szName="战斗·开始倒计时",key="战斗开始",},{nClass=20,nIcon=21425,nFrame=2,nTime=120,szName="注意·请指挥开启指挥面板",key="绣球花",},{nClass=20,nIcon=21425,nFrame=2,nTime=120,szName="注意·开启剑心焦点·综合聊天框",key="郁金香",},{nClass=20,nIcon=21425,nFrame=2,nTime=120,szName="注意·主信息板小地图·不可折叠",key="牵牛花",},},},</v>
      </c>
      <c r="O24" t="s">
        <v>1744</v>
      </c>
      <c r="P24" t="s">
        <v>1745</v>
      </c>
      <c r="Q24" t="s">
        <v>1746</v>
      </c>
      <c r="R24" t="s">
        <v>1747</v>
      </c>
    </row>
    <row r="25" spans="1:18">
      <c r="C25" t="s">
        <v>1748</v>
      </c>
      <c r="N25" t="str">
        <f t="shared" si="0"/>
        <v>{szContent="战斗将在180秒后开始。\n",[20]={},tCountdown={{nClass=20,nIcon=13,nFrame=4,nTime=180,szName="战斗·开始倒计时",key="战斗开始",},{nClass=20,nIcon=21425,nFrame=2,nTime=180,szName="注意·请指挥开启指挥面板",key="绣球花",},{nClass=20,nIcon=21425,nFrame=2,nTime=180,szName="注意·开启剑心焦点·综合聊天框",key="郁金香",},{nClass=20,nIcon=21425,nFrame=2,nTime=180,szName="注意·主信息板小地图·不可折叠",key="牵牛花",},},},</v>
      </c>
      <c r="O25" t="s">
        <v>1749</v>
      </c>
      <c r="P25" t="s">
        <v>1750</v>
      </c>
      <c r="Q25" t="s">
        <v>1751</v>
      </c>
      <c r="R25" t="s">
        <v>1752</v>
      </c>
    </row>
    <row r="26" spans="1:18">
      <c r="C26" t="s">
        <v>1753</v>
      </c>
      <c r="N26" t="str">
        <f t="shared" si="0"/>
        <v>{szContent="战斗将在240秒后开始。\n",[20]={},tCountdown={{nClass=20,nIcon=13,nFrame=4,nTime=240,szName="战斗·开始倒计时",key="战斗开始",},{nClass=20,nIcon=21425,nFrame=2,nTime=240,szName="注意·请指挥开启指挥面板",key="绣球花",},{nClass=20,nIcon=21425,nFrame=2,nTime=240,szName="注意·开启剑心焦点·综合聊天框",key="郁金香",},{nClass=20,nIcon=21425,nFrame=2,nTime=240,szName="注意·主信息板小地图·不可折叠",key="牵牛花",},},},</v>
      </c>
      <c r="O26" t="s">
        <v>1754</v>
      </c>
      <c r="P26" t="s">
        <v>1755</v>
      </c>
      <c r="Q26" t="s">
        <v>1756</v>
      </c>
      <c r="R26" t="s">
        <v>1757</v>
      </c>
    </row>
    <row r="27" customFormat="1" spans="1:18">
      <c r="A27" t="s">
        <v>1549</v>
      </c>
      <c r="B27">
        <v>-2</v>
      </c>
      <c r="N27" t="str">
        <f t="shared" si="0"/>
        <v>},[-2]={</v>
      </c>
    </row>
    <row r="28" customFormat="1" spans="1:18">
      <c r="C28" t="s">
        <v>1758</v>
      </c>
      <c r="D28" t="s">
        <v>1759</v>
      </c>
      <c r="K28">
        <v>1</v>
      </c>
      <c r="N28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28" t="s">
        <v>1760</v>
      </c>
    </row>
    <row r="29" spans="1:18">
      <c r="C29" t="s">
        <v>1761</v>
      </c>
      <c r="D29" t="s">
        <v>1762</v>
      </c>
      <c r="K29">
        <v>1</v>
      </c>
      <c r="N29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29" t="s">
        <v>1763</v>
      </c>
    </row>
    <row r="30" spans="1:18">
      <c r="C30" t="s">
        <v>1764</v>
      </c>
      <c r="D30" t="s">
        <v>1765</v>
      </c>
      <c r="N30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0" t="s">
        <v>1766</v>
      </c>
    </row>
    <row r="31" spans="1:18">
      <c r="A31" t="s">
        <v>1551</v>
      </c>
      <c r="B31">
        <v>-21</v>
      </c>
      <c r="N31" t="str">
        <f t="shared" si="0"/>
        <v>},[-21]={</v>
      </c>
    </row>
    <row r="32" customFormat="1" spans="1:18">
      <c r="C32" t="s">
        <v>1758</v>
      </c>
      <c r="D32" t="s">
        <v>1759</v>
      </c>
      <c r="K32">
        <v>1</v>
      </c>
      <c r="N32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32" t="s">
        <v>1760</v>
      </c>
    </row>
    <row r="33" customFormat="1" spans="3:15">
      <c r="C33" t="s">
        <v>1761</v>
      </c>
      <c r="D33" t="s">
        <v>1762</v>
      </c>
      <c r="K33">
        <v>1</v>
      </c>
      <c r="N33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33" t="s">
        <v>1763</v>
      </c>
    </row>
    <row r="34" customFormat="1" spans="3:15">
      <c r="C34" t="s">
        <v>1764</v>
      </c>
      <c r="D34" t="s">
        <v>1765</v>
      </c>
      <c r="N34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4" t="s">
        <v>1766</v>
      </c>
    </row>
    <row r="35" spans="3:15">
      <c r="N35" t="str">
        <f t="shared" si="0"/>
        <v>},},}</v>
      </c>
    </row>
  </sheetData>
  <sortState ref="A3:R26">
    <sortCondition ref="A3:A26" descending="1"/>
  </sortState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E17" sqref="E17"/>
    </sheetView>
  </sheetViews>
  <sheetFormatPr defaultColWidth="9" defaultRowHeight="13.5"/>
  <cols>
    <col min="1" max="1" width="57.75" customWidth="1"/>
  </cols>
  <sheetData>
    <row r="1" spans="1:9">
      <c r="A1" s="1" t="s">
        <v>1767</v>
      </c>
      <c r="E1" t="str">
        <f>A1&amp;B1&amp;C1</f>
        <v>5,战斗开始·野区资源·已刷新</v>
      </c>
      <c r="I1" t="str">
        <f>_xlfn.TEXTJOIN(";",TRUE,E:E)</f>
        <v>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905,九渊麒麟·已经刷新;2400,帮会联赛·结束剩余;2700,帮会联赛·加时剩余</v>
      </c>
    </row>
    <row r="2" spans="1:9">
      <c r="A2" s="1" t="s">
        <v>1768</v>
      </c>
      <c r="B2" t="s">
        <v>1769</v>
      </c>
      <c r="C2" t="s">
        <v>1770</v>
      </c>
      <c r="E2" t="str">
        <f>A2&amp;B2&amp;C2</f>
        <v>63,箭塔·减伤·4层·9层·14层</v>
      </c>
    </row>
    <row r="3" spans="1:9">
      <c r="A3" s="1" t="s">
        <v>1771</v>
      </c>
      <c r="B3" t="s">
        <v>1772</v>
      </c>
      <c r="C3" t="s">
        <v>1773</v>
      </c>
      <c r="E3" t="str">
        <f t="shared" ref="E3:E22" si="0">A3&amp;B3&amp;C3</f>
        <v>123,箭塔·减伤·3层·8层·13层</v>
      </c>
    </row>
    <row r="4" spans="1:9">
      <c r="A4" s="1" t="s">
        <v>1774</v>
      </c>
      <c r="B4" t="s">
        <v>1775</v>
      </c>
      <c r="C4" t="s">
        <v>1776</v>
      </c>
      <c r="E4" t="str">
        <f t="shared" si="0"/>
        <v>183,箭塔·减伤·2层·7层·12层</v>
      </c>
    </row>
    <row r="5" spans="1:9">
      <c r="A5" s="1" t="s">
        <v>1777</v>
      </c>
      <c r="B5" t="s">
        <v>1778</v>
      </c>
      <c r="C5" t="s">
        <v>1779</v>
      </c>
      <c r="E5" t="str">
        <f t="shared" si="0"/>
        <v>243,箭塔·减伤·1层·6层·11层</v>
      </c>
    </row>
    <row r="6" spans="1:9">
      <c r="A6" s="1" t="s">
        <v>1780</v>
      </c>
      <c r="E6" t="str">
        <f t="shared" si="0"/>
        <v>248,一塔·减伤·已消失</v>
      </c>
    </row>
    <row r="7" spans="1:9">
      <c r="A7" s="1" t="s">
        <v>1781</v>
      </c>
      <c r="B7" t="s">
        <v>1782</v>
      </c>
      <c r="C7" t="s">
        <v>1783</v>
      </c>
      <c r="E7" t="str">
        <f t="shared" si="0"/>
        <v>303,箭塔·减伤·0层·5层·10层</v>
      </c>
    </row>
    <row r="8" spans="1:9">
      <c r="A8" s="1" t="s">
        <v>1784</v>
      </c>
      <c r="B8" t="s">
        <v>1785</v>
      </c>
      <c r="C8" t="s">
        <v>1769</v>
      </c>
      <c r="E8" t="str">
        <f t="shared" si="0"/>
        <v>363,箭塔·减伤·0层·4层·9层</v>
      </c>
    </row>
    <row r="9" spans="1:9">
      <c r="A9" s="1" t="s">
        <v>1786</v>
      </c>
      <c r="B9" t="s">
        <v>1787</v>
      </c>
      <c r="C9" t="s">
        <v>1772</v>
      </c>
      <c r="E9" t="str">
        <f t="shared" si="0"/>
        <v>423,箭塔·减伤·0层·3层·8层</v>
      </c>
    </row>
    <row r="10" spans="1:9">
      <c r="A10" s="1" t="s">
        <v>1788</v>
      </c>
      <c r="B10" t="s">
        <v>1789</v>
      </c>
      <c r="C10" t="s">
        <v>1775</v>
      </c>
      <c r="E10" t="str">
        <f t="shared" si="0"/>
        <v>483,箭塔·减伤·0层·2层·7层</v>
      </c>
    </row>
    <row r="11" spans="1:9">
      <c r="A11" s="1" t="s">
        <v>1790</v>
      </c>
      <c r="B11" t="s">
        <v>1791</v>
      </c>
      <c r="C11" t="s">
        <v>1778</v>
      </c>
      <c r="E11" t="str">
        <f t="shared" si="0"/>
        <v>543,箭塔·减伤·0层·1层·6层</v>
      </c>
    </row>
    <row r="12" spans="1:9">
      <c r="A12" s="1" t="s">
        <v>1792</v>
      </c>
      <c r="E12" t="str">
        <f t="shared" si="0"/>
        <v>548,二塔·减伤·已消失</v>
      </c>
    </row>
    <row r="13" spans="1:9">
      <c r="A13" s="1" t="s">
        <v>1793</v>
      </c>
      <c r="C13" t="s">
        <v>1782</v>
      </c>
      <c r="E13" t="str">
        <f t="shared" si="0"/>
        <v>603,三塔·减伤·5层</v>
      </c>
    </row>
    <row r="14" spans="1:9">
      <c r="A14" s="1" t="s">
        <v>1794</v>
      </c>
      <c r="C14" t="s">
        <v>1785</v>
      </c>
      <c r="E14" t="str">
        <f t="shared" si="0"/>
        <v>663,三塔·减伤·4层</v>
      </c>
    </row>
    <row r="15" spans="1:9">
      <c r="A15" s="1" t="s">
        <v>1795</v>
      </c>
      <c r="C15" t="s">
        <v>1787</v>
      </c>
      <c r="E15" t="str">
        <f t="shared" si="0"/>
        <v>723,三塔·减伤·3层</v>
      </c>
    </row>
    <row r="16" spans="1:9">
      <c r="A16" s="1" t="s">
        <v>1796</v>
      </c>
      <c r="C16" t="s">
        <v>1789</v>
      </c>
      <c r="E16" t="str">
        <f t="shared" si="0"/>
        <v>783,三塔·减伤·2层</v>
      </c>
    </row>
    <row r="17" spans="1:5">
      <c r="A17" s="1" t="s">
        <v>1797</v>
      </c>
      <c r="C17" t="s">
        <v>1791</v>
      </c>
      <c r="E17" t="str">
        <f t="shared" si="0"/>
        <v>843,三塔·减伤·1层</v>
      </c>
    </row>
    <row r="18" spans="1:5">
      <c r="A18" s="1" t="s">
        <v>1798</v>
      </c>
      <c r="E18" t="str">
        <f t="shared" si="0"/>
        <v>848,三塔·减伤·已消失</v>
      </c>
    </row>
    <row r="19" spans="1:5">
      <c r="A19" s="1" t="s">
        <v>1799</v>
      </c>
      <c r="E19" t="str">
        <f t="shared" si="0"/>
        <v>900,九渊麒麟·刷新剩余</v>
      </c>
    </row>
    <row r="20" spans="1:5">
      <c r="A20" s="1" t="s">
        <v>1800</v>
      </c>
      <c r="E20" t="str">
        <f t="shared" si="0"/>
        <v>905,九渊麒麟·已经刷新</v>
      </c>
    </row>
    <row r="21" spans="1:5">
      <c r="A21" s="1" t="s">
        <v>1801</v>
      </c>
      <c r="E21" t="str">
        <f t="shared" si="0"/>
        <v>2400,帮会联赛·结束剩余</v>
      </c>
    </row>
    <row r="22" spans="1:5">
      <c r="A22" s="1" t="s">
        <v>1802</v>
      </c>
      <c r="E22" t="str">
        <f t="shared" si="0"/>
        <v>2700,帮会联赛·加时剩余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topLeftCell="A16" workbookViewId="0">
      <selection activeCell="F1" sqref="F1"/>
    </sheetView>
  </sheetViews>
  <sheetFormatPr defaultColWidth="9" defaultRowHeight="13.5"/>
  <cols>
    <col min="3" max="3" width="17.625" customWidth="1"/>
    <col min="4" max="4" width="8.5" customWidth="1"/>
    <col min="5" max="5" width="22.625" customWidth="1"/>
  </cols>
  <sheetData>
    <row r="1" spans="1:19">
      <c r="A1">
        <v>1</v>
      </c>
      <c r="B1">
        <v>60</v>
      </c>
      <c r="C1" t="s">
        <v>1803</v>
      </c>
      <c r="D1">
        <v>10</v>
      </c>
      <c r="E1" t="str">
        <f>B1&amp;","&amp;C1&amp;D1&amp;"秒;"</f>
        <v>60,复活·时间·10秒;</v>
      </c>
      <c r="F1" t="str">
        <f>_xlfn.CONCAT(E:E)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1">
        <v>4.8</v>
      </c>
      <c r="I1" t="s">
        <v>1804</v>
      </c>
      <c r="J1" t="str">
        <f>H1&amp;","&amp;I1&amp;";"</f>
        <v>4.8,经脉受损·1层;</v>
      </c>
      <c r="K1" t="str">
        <f>_xlfn.CONCAT(J:J)</f>
        <v>4.8,经脉受损·1层;10,经脉受损·2层;14.8,经脉受损·3层;20.3,经脉受损·4层;25.1,经脉受损·5层;30.3,经脉受损·6层;35.1,经脉受损·7层;40.3,经脉受损·8层;45.1,经脉受损·9层;50.3,经脉受损·10层;55.1,经脉受损·11层;60.3,经脉受损·12层;65.1,经脉受损·13层;70.3,经脉受损·14层;75.1,经脉受损·15层;80.3,经脉受损·16层;85.1,经脉受损·17层;90.3,经脉受损·18层;95.1,经脉受损·19层;100.3,经脉受损·20层;105.1,经脉受损·21层;110.3,经脉受损·22层;115.1,经脉受损·23层;120.3,经脉受损·24层;180,经脉受损·25层;</v>
      </c>
      <c r="L1">
        <v>3</v>
      </c>
      <c r="M1" t="s">
        <v>1804</v>
      </c>
      <c r="N1" t="str">
        <f>L1&amp;","&amp;M1&amp;";"</f>
        <v>3,经脉受损·1层;</v>
      </c>
      <c r="O1" t="str">
        <f>_xlfn.CONCAT(N:N)</f>
        <v>3,经脉受损·1层;6,经脉受损·2层;9,经脉受损·3层;12,经脉受损·4层;15,经脉受损·5层;18,经脉受损·6层;21,经脉受损·7层;24,经脉受损·8层;27,经脉受损·9层;30,经脉受损·10层;33,经脉受损·11层;36,经脉受损·12层;39,经脉受损·13层;42,经脉受损·14层;45,经脉受损·15层;48,经脉受损·16层;51,经脉受损·17层;54,经脉受损·18层;57,经脉受损·19层;60,经脉受损·20层;63,经脉受损·21层;66,经脉受损·22层;69,经脉受损·23层;72,经脉受损·24层;180,经脉受损·25层;</v>
      </c>
      <c r="P1">
        <v>5</v>
      </c>
      <c r="Q1" t="s">
        <v>1804</v>
      </c>
      <c r="R1" t="str">
        <f>P1&amp;","&amp;Q1&amp;";"</f>
        <v>5,经脉受损·1层;</v>
      </c>
      <c r="S1" t="str">
        <f>_xlfn.CONCAT(R:R)</f>
        <v>5,经脉受损·1层;10,经脉受损·2层;15,经脉受损·3层;20,经脉受损·4层;25,经脉受损·5层;30,经脉受损·6层;35,经脉受损·7层;40,经脉受损·8层;45,经脉受损·9层;50,经脉受损·10层;55,经脉受损·11层;60,经脉受损·12层;65,经脉受损·13层;70,经脉受损·14层;75,经脉受损·15层;80,经脉受损·16层;85,经脉受损·17层;90,经脉受损·18层;95,经脉受损·19层;100,经脉受损·20层;105,经脉受损·21层;110,经脉受损·22层;115,经脉受损·23层;120,经脉受损·24层;180,经脉受损·25层;</v>
      </c>
    </row>
    <row r="2" spans="1:19">
      <c r="A2">
        <v>2</v>
      </c>
      <c r="B2">
        <f>B1+60</f>
        <v>120</v>
      </c>
      <c r="C2" t="s">
        <v>1803</v>
      </c>
      <c r="D2">
        <f>D1+1</f>
        <v>11</v>
      </c>
      <c r="E2" t="str">
        <f t="shared" ref="E2:E60" si="0">B2&amp;","&amp;C2&amp;D2&amp;"秒;"</f>
        <v>120,复活·时间·11秒;</v>
      </c>
      <c r="F2" t="str">
        <f>_xlfn.TEXTJOIN("",TRUE,E:E)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2">
        <f>H1+5.2</f>
        <v>10</v>
      </c>
      <c r="I2" t="s">
        <v>1805</v>
      </c>
      <c r="J2" t="str">
        <f t="shared" ref="J2:J25" si="1">H2&amp;","&amp;I2&amp;";"</f>
        <v>10,经脉受损·2层;</v>
      </c>
      <c r="L2">
        <f>L1+3</f>
        <v>6</v>
      </c>
      <c r="M2" t="s">
        <v>1805</v>
      </c>
      <c r="N2" t="str">
        <f t="shared" ref="N2:N25" si="2">L2&amp;","&amp;M2&amp;";"</f>
        <v>6,经脉受损·2层;</v>
      </c>
      <c r="P2">
        <f>P1+5</f>
        <v>10</v>
      </c>
      <c r="Q2" t="s">
        <v>1805</v>
      </c>
      <c r="R2" t="str">
        <f t="shared" ref="R2:R25" si="3">P2&amp;","&amp;Q2&amp;";"</f>
        <v>10,经脉受损·2层;</v>
      </c>
    </row>
    <row r="3" spans="1:19">
      <c r="A3">
        <v>3</v>
      </c>
      <c r="B3">
        <f t="shared" ref="B3:B45" si="4">B2+60</f>
        <v>180</v>
      </c>
      <c r="C3" t="s">
        <v>1803</v>
      </c>
      <c r="D3">
        <f t="shared" ref="D3:D10" si="5">D2+1</f>
        <v>12</v>
      </c>
      <c r="E3" t="str">
        <f t="shared" si="0"/>
        <v>180,复活·时间·12秒;</v>
      </c>
      <c r="H3">
        <f>H2+4.8</f>
        <v>14.8</v>
      </c>
      <c r="I3" t="s">
        <v>1806</v>
      </c>
      <c r="J3" t="str">
        <f t="shared" si="1"/>
        <v>14.8,经脉受损·3层;</v>
      </c>
      <c r="L3">
        <f t="shared" ref="L3:L24" si="6">L2+3</f>
        <v>9</v>
      </c>
      <c r="M3" t="s">
        <v>1806</v>
      </c>
      <c r="N3" t="str">
        <f t="shared" si="2"/>
        <v>9,经脉受损·3层;</v>
      </c>
      <c r="P3">
        <f t="shared" ref="P3:P24" si="7">P2+5</f>
        <v>15</v>
      </c>
      <c r="Q3" t="s">
        <v>1806</v>
      </c>
      <c r="R3" t="str">
        <f t="shared" si="3"/>
        <v>15,经脉受损·3层;</v>
      </c>
    </row>
    <row r="4" spans="1:19">
      <c r="A4">
        <v>4</v>
      </c>
      <c r="B4">
        <f t="shared" si="4"/>
        <v>240</v>
      </c>
      <c r="C4" t="s">
        <v>1803</v>
      </c>
      <c r="D4">
        <f t="shared" si="5"/>
        <v>13</v>
      </c>
      <c r="E4" t="str">
        <f t="shared" si="0"/>
        <v>240,复活·时间·13秒;</v>
      </c>
      <c r="H4">
        <f>H3+5.5</f>
        <v>20.3</v>
      </c>
      <c r="I4" t="s">
        <v>1807</v>
      </c>
      <c r="J4" t="str">
        <f t="shared" si="1"/>
        <v>20.3,经脉受损·4层;</v>
      </c>
      <c r="L4">
        <f t="shared" si="6"/>
        <v>12</v>
      </c>
      <c r="M4" t="s">
        <v>1807</v>
      </c>
      <c r="N4" t="str">
        <f t="shared" si="2"/>
        <v>12,经脉受损·4层;</v>
      </c>
      <c r="P4">
        <f t="shared" si="7"/>
        <v>20</v>
      </c>
      <c r="Q4" t="s">
        <v>1807</v>
      </c>
      <c r="R4" t="str">
        <f t="shared" si="3"/>
        <v>20,经脉受损·4层;</v>
      </c>
    </row>
    <row r="5" spans="1:19">
      <c r="A5">
        <v>5</v>
      </c>
      <c r="B5">
        <f t="shared" si="4"/>
        <v>300</v>
      </c>
      <c r="C5" t="s">
        <v>1803</v>
      </c>
      <c r="D5">
        <f t="shared" si="5"/>
        <v>14</v>
      </c>
      <c r="E5" t="str">
        <f t="shared" si="0"/>
        <v>300,复活·时间·14秒;</v>
      </c>
      <c r="H5">
        <f>H4+4.8</f>
        <v>25.1</v>
      </c>
      <c r="I5" t="s">
        <v>1808</v>
      </c>
      <c r="J5" t="str">
        <f t="shared" si="1"/>
        <v>25.1,经脉受损·5层;</v>
      </c>
      <c r="L5">
        <f t="shared" si="6"/>
        <v>15</v>
      </c>
      <c r="M5" t="s">
        <v>1808</v>
      </c>
      <c r="N5" t="str">
        <f t="shared" si="2"/>
        <v>15,经脉受损·5层;</v>
      </c>
      <c r="P5">
        <f t="shared" si="7"/>
        <v>25</v>
      </c>
      <c r="Q5" t="s">
        <v>1808</v>
      </c>
      <c r="R5" t="str">
        <f t="shared" si="3"/>
        <v>25,经脉受损·5层;</v>
      </c>
    </row>
    <row r="6" spans="1:19">
      <c r="A6">
        <v>6</v>
      </c>
      <c r="B6">
        <f t="shared" si="4"/>
        <v>360</v>
      </c>
      <c r="C6" t="s">
        <v>1803</v>
      </c>
      <c r="D6">
        <f t="shared" si="5"/>
        <v>15</v>
      </c>
      <c r="E6" t="str">
        <f t="shared" si="0"/>
        <v>360,复活·时间·15秒;</v>
      </c>
      <c r="H6">
        <f>H5+5.2</f>
        <v>30.3</v>
      </c>
      <c r="I6" t="s">
        <v>1809</v>
      </c>
      <c r="J6" t="str">
        <f t="shared" si="1"/>
        <v>30.3,经脉受损·6层;</v>
      </c>
      <c r="L6">
        <f t="shared" si="6"/>
        <v>18</v>
      </c>
      <c r="M6" t="s">
        <v>1809</v>
      </c>
      <c r="N6" t="str">
        <f t="shared" si="2"/>
        <v>18,经脉受损·6层;</v>
      </c>
      <c r="P6">
        <f t="shared" si="7"/>
        <v>30</v>
      </c>
      <c r="Q6" t="s">
        <v>1809</v>
      </c>
      <c r="R6" t="str">
        <f t="shared" si="3"/>
        <v>30,经脉受损·6层;</v>
      </c>
    </row>
    <row r="7" spans="1:19">
      <c r="A7">
        <v>7</v>
      </c>
      <c r="B7">
        <f t="shared" si="4"/>
        <v>420</v>
      </c>
      <c r="C7" t="s">
        <v>1803</v>
      </c>
      <c r="D7">
        <f t="shared" si="5"/>
        <v>16</v>
      </c>
      <c r="E7" t="str">
        <f t="shared" si="0"/>
        <v>420,复活·时间·16秒;</v>
      </c>
      <c r="H7">
        <f>H6+4.8</f>
        <v>35.1</v>
      </c>
      <c r="I7" t="s">
        <v>1810</v>
      </c>
      <c r="J7" t="str">
        <f t="shared" si="1"/>
        <v>35.1,经脉受损·7层;</v>
      </c>
      <c r="L7">
        <f t="shared" si="6"/>
        <v>21</v>
      </c>
      <c r="M7" t="s">
        <v>1810</v>
      </c>
      <c r="N7" t="str">
        <f t="shared" si="2"/>
        <v>21,经脉受损·7层;</v>
      </c>
      <c r="P7">
        <f t="shared" si="7"/>
        <v>35</v>
      </c>
      <c r="Q7" t="s">
        <v>1810</v>
      </c>
      <c r="R7" t="str">
        <f t="shared" si="3"/>
        <v>35,经脉受损·7层;</v>
      </c>
    </row>
    <row r="8" spans="1:19">
      <c r="A8">
        <v>8</v>
      </c>
      <c r="B8">
        <f t="shared" si="4"/>
        <v>480</v>
      </c>
      <c r="C8" t="s">
        <v>1803</v>
      </c>
      <c r="D8">
        <f t="shared" si="5"/>
        <v>17</v>
      </c>
      <c r="E8" t="str">
        <f t="shared" si="0"/>
        <v>480,复活·时间·17秒;</v>
      </c>
      <c r="H8">
        <f>H7+5.2</f>
        <v>40.3</v>
      </c>
      <c r="I8" t="s">
        <v>1811</v>
      </c>
      <c r="J8" t="str">
        <f t="shared" si="1"/>
        <v>40.3,经脉受损·8层;</v>
      </c>
      <c r="L8">
        <f t="shared" si="6"/>
        <v>24</v>
      </c>
      <c r="M8" t="s">
        <v>1811</v>
      </c>
      <c r="N8" t="str">
        <f t="shared" si="2"/>
        <v>24,经脉受损·8层;</v>
      </c>
      <c r="P8">
        <f t="shared" si="7"/>
        <v>40</v>
      </c>
      <c r="Q8" t="s">
        <v>1811</v>
      </c>
      <c r="R8" t="str">
        <f t="shared" si="3"/>
        <v>40,经脉受损·8层;</v>
      </c>
    </row>
    <row r="9" spans="1:19">
      <c r="A9">
        <v>9</v>
      </c>
      <c r="B9">
        <f t="shared" si="4"/>
        <v>540</v>
      </c>
      <c r="C9" t="s">
        <v>1803</v>
      </c>
      <c r="D9">
        <f t="shared" si="5"/>
        <v>18</v>
      </c>
      <c r="E9" t="str">
        <f t="shared" si="0"/>
        <v>540,复活·时间·18秒;</v>
      </c>
      <c r="H9">
        <f>H8+4.8</f>
        <v>45.1</v>
      </c>
      <c r="I9" t="s">
        <v>1812</v>
      </c>
      <c r="J9" t="str">
        <f t="shared" si="1"/>
        <v>45.1,经脉受损·9层;</v>
      </c>
      <c r="L9">
        <f t="shared" si="6"/>
        <v>27</v>
      </c>
      <c r="M9" t="s">
        <v>1812</v>
      </c>
      <c r="N9" t="str">
        <f t="shared" si="2"/>
        <v>27,经脉受损·9层;</v>
      </c>
      <c r="P9">
        <f t="shared" si="7"/>
        <v>45</v>
      </c>
      <c r="Q9" t="s">
        <v>1812</v>
      </c>
      <c r="R9" t="str">
        <f t="shared" si="3"/>
        <v>45,经脉受损·9层;</v>
      </c>
    </row>
    <row r="10" spans="1:19">
      <c r="A10">
        <v>10</v>
      </c>
      <c r="B10">
        <f t="shared" si="4"/>
        <v>600</v>
      </c>
      <c r="C10" t="s">
        <v>1803</v>
      </c>
      <c r="D10">
        <f t="shared" si="5"/>
        <v>19</v>
      </c>
      <c r="E10" t="str">
        <f t="shared" si="0"/>
        <v>600,复活·时间·19秒;</v>
      </c>
      <c r="H10">
        <f>H9+5.2</f>
        <v>50.3</v>
      </c>
      <c r="I10" t="s">
        <v>1813</v>
      </c>
      <c r="J10" t="str">
        <f t="shared" si="1"/>
        <v>50.3,经脉受损·10层;</v>
      </c>
      <c r="L10">
        <f t="shared" si="6"/>
        <v>30</v>
      </c>
      <c r="M10" t="s">
        <v>1813</v>
      </c>
      <c r="N10" t="str">
        <f t="shared" si="2"/>
        <v>30,经脉受损·10层;</v>
      </c>
      <c r="P10">
        <f t="shared" si="7"/>
        <v>50</v>
      </c>
      <c r="Q10" t="s">
        <v>1813</v>
      </c>
      <c r="R10" t="str">
        <f t="shared" si="3"/>
        <v>50,经脉受损·10层;</v>
      </c>
    </row>
    <row r="11" spans="1:19">
      <c r="A11">
        <v>11</v>
      </c>
      <c r="B11">
        <f t="shared" si="4"/>
        <v>660</v>
      </c>
      <c r="C11" t="s">
        <v>1803</v>
      </c>
      <c r="D11">
        <f>D10+2</f>
        <v>21</v>
      </c>
      <c r="E11" t="str">
        <f t="shared" si="0"/>
        <v>660,复活·时间·21秒;</v>
      </c>
      <c r="H11">
        <f>H10+4.8</f>
        <v>55.1</v>
      </c>
      <c r="I11" t="s">
        <v>1814</v>
      </c>
      <c r="J11" t="str">
        <f t="shared" si="1"/>
        <v>55.1,经脉受损·11层;</v>
      </c>
      <c r="L11">
        <f t="shared" si="6"/>
        <v>33</v>
      </c>
      <c r="M11" t="s">
        <v>1814</v>
      </c>
      <c r="N11" t="str">
        <f t="shared" si="2"/>
        <v>33,经脉受损·11层;</v>
      </c>
      <c r="P11">
        <f t="shared" si="7"/>
        <v>55</v>
      </c>
      <c r="Q11" t="s">
        <v>1814</v>
      </c>
      <c r="R11" t="str">
        <f t="shared" si="3"/>
        <v>55,经脉受损·11层;</v>
      </c>
    </row>
    <row r="12" spans="1:19">
      <c r="A12">
        <v>12</v>
      </c>
      <c r="B12">
        <f t="shared" si="4"/>
        <v>720</v>
      </c>
      <c r="C12" t="s">
        <v>1803</v>
      </c>
      <c r="D12">
        <f t="shared" ref="D12:D20" si="8">D11+2</f>
        <v>23</v>
      </c>
      <c r="E12" t="str">
        <f t="shared" si="0"/>
        <v>720,复活·时间·23秒;</v>
      </c>
      <c r="H12">
        <f>H11+5.2</f>
        <v>60.3</v>
      </c>
      <c r="I12" t="s">
        <v>1815</v>
      </c>
      <c r="J12" t="str">
        <f t="shared" si="1"/>
        <v>60.3,经脉受损·12层;</v>
      </c>
      <c r="L12">
        <f t="shared" si="6"/>
        <v>36</v>
      </c>
      <c r="M12" t="s">
        <v>1815</v>
      </c>
      <c r="N12" t="str">
        <f t="shared" si="2"/>
        <v>36,经脉受损·12层;</v>
      </c>
      <c r="P12">
        <f t="shared" si="7"/>
        <v>60</v>
      </c>
      <c r="Q12" t="s">
        <v>1815</v>
      </c>
      <c r="R12" t="str">
        <f t="shared" si="3"/>
        <v>60,经脉受损·12层;</v>
      </c>
    </row>
    <row r="13" spans="1:19">
      <c r="A13">
        <v>13</v>
      </c>
      <c r="B13">
        <f t="shared" si="4"/>
        <v>780</v>
      </c>
      <c r="C13" t="s">
        <v>1803</v>
      </c>
      <c r="D13">
        <f t="shared" si="8"/>
        <v>25</v>
      </c>
      <c r="E13" t="str">
        <f t="shared" si="0"/>
        <v>780,复活·时间·25秒;</v>
      </c>
      <c r="H13">
        <f>H12+4.8</f>
        <v>65.1</v>
      </c>
      <c r="I13" t="s">
        <v>1816</v>
      </c>
      <c r="J13" t="str">
        <f t="shared" si="1"/>
        <v>65.1,经脉受损·13层;</v>
      </c>
      <c r="L13">
        <f t="shared" si="6"/>
        <v>39</v>
      </c>
      <c r="M13" t="s">
        <v>1816</v>
      </c>
      <c r="N13" t="str">
        <f t="shared" si="2"/>
        <v>39,经脉受损·13层;</v>
      </c>
      <c r="P13">
        <f t="shared" si="7"/>
        <v>65</v>
      </c>
      <c r="Q13" t="s">
        <v>1816</v>
      </c>
      <c r="R13" t="str">
        <f t="shared" si="3"/>
        <v>65,经脉受损·13层;</v>
      </c>
    </row>
    <row r="14" spans="1:19">
      <c r="A14">
        <v>14</v>
      </c>
      <c r="B14">
        <f t="shared" si="4"/>
        <v>840</v>
      </c>
      <c r="C14" t="s">
        <v>1803</v>
      </c>
      <c r="D14">
        <f t="shared" si="8"/>
        <v>27</v>
      </c>
      <c r="E14" t="str">
        <f t="shared" si="0"/>
        <v>840,复活·时间·27秒;</v>
      </c>
      <c r="H14">
        <f>H13+5.2</f>
        <v>70.3</v>
      </c>
      <c r="I14" t="s">
        <v>1817</v>
      </c>
      <c r="J14" t="str">
        <f t="shared" si="1"/>
        <v>70.3,经脉受损·14层;</v>
      </c>
      <c r="L14">
        <f t="shared" si="6"/>
        <v>42</v>
      </c>
      <c r="M14" t="s">
        <v>1817</v>
      </c>
      <c r="N14" t="str">
        <f t="shared" si="2"/>
        <v>42,经脉受损·14层;</v>
      </c>
      <c r="P14">
        <f t="shared" si="7"/>
        <v>70</v>
      </c>
      <c r="Q14" t="s">
        <v>1817</v>
      </c>
      <c r="R14" t="str">
        <f t="shared" si="3"/>
        <v>70,经脉受损·14层;</v>
      </c>
    </row>
    <row r="15" spans="1:19">
      <c r="A15">
        <v>15</v>
      </c>
      <c r="B15">
        <f t="shared" si="4"/>
        <v>900</v>
      </c>
      <c r="C15" t="s">
        <v>1803</v>
      </c>
      <c r="D15">
        <f t="shared" si="8"/>
        <v>29</v>
      </c>
      <c r="E15" t="str">
        <f t="shared" si="0"/>
        <v>900,复活·时间·29秒;</v>
      </c>
      <c r="H15">
        <f>H14+4.8</f>
        <v>75.1</v>
      </c>
      <c r="I15" t="s">
        <v>1818</v>
      </c>
      <c r="J15" t="str">
        <f t="shared" si="1"/>
        <v>75.1,经脉受损·15层;</v>
      </c>
      <c r="L15">
        <f t="shared" si="6"/>
        <v>45</v>
      </c>
      <c r="M15" t="s">
        <v>1818</v>
      </c>
      <c r="N15" t="str">
        <f t="shared" si="2"/>
        <v>45,经脉受损·15层;</v>
      </c>
      <c r="P15">
        <f t="shared" si="7"/>
        <v>75</v>
      </c>
      <c r="Q15" t="s">
        <v>1818</v>
      </c>
      <c r="R15" t="str">
        <f t="shared" si="3"/>
        <v>75,经脉受损·15层;</v>
      </c>
    </row>
    <row r="16" spans="1:19">
      <c r="A16">
        <v>16</v>
      </c>
      <c r="B16">
        <f t="shared" si="4"/>
        <v>960</v>
      </c>
      <c r="C16" t="s">
        <v>1803</v>
      </c>
      <c r="D16">
        <f t="shared" si="8"/>
        <v>31</v>
      </c>
      <c r="E16" t="str">
        <f t="shared" si="0"/>
        <v>960,复活·时间·31秒;</v>
      </c>
      <c r="H16">
        <f>H15+5.2</f>
        <v>80.3</v>
      </c>
      <c r="I16" t="s">
        <v>1819</v>
      </c>
      <c r="J16" t="str">
        <f t="shared" si="1"/>
        <v>80.3,经脉受损·16层;</v>
      </c>
      <c r="L16">
        <f t="shared" si="6"/>
        <v>48</v>
      </c>
      <c r="M16" t="s">
        <v>1819</v>
      </c>
      <c r="N16" t="str">
        <f t="shared" si="2"/>
        <v>48,经脉受损·16层;</v>
      </c>
      <c r="P16">
        <f t="shared" si="7"/>
        <v>80</v>
      </c>
      <c r="Q16" t="s">
        <v>1819</v>
      </c>
      <c r="R16" t="str">
        <f t="shared" si="3"/>
        <v>80,经脉受损·16层;</v>
      </c>
    </row>
    <row r="17" spans="1:18">
      <c r="A17">
        <v>17</v>
      </c>
      <c r="B17">
        <f t="shared" si="4"/>
        <v>1020</v>
      </c>
      <c r="C17" t="s">
        <v>1803</v>
      </c>
      <c r="D17">
        <f t="shared" si="8"/>
        <v>33</v>
      </c>
      <c r="E17" t="str">
        <f t="shared" si="0"/>
        <v>1020,复活·时间·33秒;</v>
      </c>
      <c r="H17">
        <f>H16+4.8</f>
        <v>85.1</v>
      </c>
      <c r="I17" t="s">
        <v>1820</v>
      </c>
      <c r="J17" t="str">
        <f t="shared" si="1"/>
        <v>85.1,经脉受损·17层;</v>
      </c>
      <c r="L17">
        <f t="shared" si="6"/>
        <v>51</v>
      </c>
      <c r="M17" t="s">
        <v>1820</v>
      </c>
      <c r="N17" t="str">
        <f t="shared" si="2"/>
        <v>51,经脉受损·17层;</v>
      </c>
      <c r="P17">
        <f t="shared" si="7"/>
        <v>85</v>
      </c>
      <c r="Q17" t="s">
        <v>1820</v>
      </c>
      <c r="R17" t="str">
        <f t="shared" si="3"/>
        <v>85,经脉受损·17层;</v>
      </c>
    </row>
    <row r="18" spans="1:18">
      <c r="A18">
        <v>18</v>
      </c>
      <c r="B18">
        <f t="shared" si="4"/>
        <v>1080</v>
      </c>
      <c r="C18" t="s">
        <v>1803</v>
      </c>
      <c r="D18">
        <f t="shared" si="8"/>
        <v>35</v>
      </c>
      <c r="E18" t="str">
        <f t="shared" si="0"/>
        <v>1080,复活·时间·35秒;</v>
      </c>
      <c r="H18">
        <f>H17+5.2</f>
        <v>90.3</v>
      </c>
      <c r="I18" t="s">
        <v>1821</v>
      </c>
      <c r="J18" t="str">
        <f t="shared" si="1"/>
        <v>90.3,经脉受损·18层;</v>
      </c>
      <c r="L18">
        <f t="shared" si="6"/>
        <v>54</v>
      </c>
      <c r="M18" t="s">
        <v>1821</v>
      </c>
      <c r="N18" t="str">
        <f t="shared" si="2"/>
        <v>54,经脉受损·18层;</v>
      </c>
      <c r="P18">
        <f t="shared" si="7"/>
        <v>90</v>
      </c>
      <c r="Q18" t="s">
        <v>1821</v>
      </c>
      <c r="R18" t="str">
        <f t="shared" si="3"/>
        <v>90,经脉受损·18层;</v>
      </c>
    </row>
    <row r="19" spans="1:18">
      <c r="A19">
        <v>19</v>
      </c>
      <c r="B19">
        <f t="shared" si="4"/>
        <v>1140</v>
      </c>
      <c r="C19" t="s">
        <v>1803</v>
      </c>
      <c r="D19">
        <f t="shared" si="8"/>
        <v>37</v>
      </c>
      <c r="E19" t="str">
        <f t="shared" si="0"/>
        <v>1140,复活·时间·37秒;</v>
      </c>
      <c r="H19">
        <f>H18+4.8</f>
        <v>95.1</v>
      </c>
      <c r="I19" t="s">
        <v>1822</v>
      </c>
      <c r="J19" t="str">
        <f t="shared" si="1"/>
        <v>95.1,经脉受损·19层;</v>
      </c>
      <c r="L19">
        <f t="shared" si="6"/>
        <v>57</v>
      </c>
      <c r="M19" t="s">
        <v>1822</v>
      </c>
      <c r="N19" t="str">
        <f t="shared" si="2"/>
        <v>57,经脉受损·19层;</v>
      </c>
      <c r="P19">
        <f t="shared" si="7"/>
        <v>95</v>
      </c>
      <c r="Q19" t="s">
        <v>1822</v>
      </c>
      <c r="R19" t="str">
        <f t="shared" si="3"/>
        <v>95,经脉受损·19层;</v>
      </c>
    </row>
    <row r="20" spans="1:18">
      <c r="A20">
        <v>20</v>
      </c>
      <c r="B20">
        <f t="shared" si="4"/>
        <v>1200</v>
      </c>
      <c r="C20" t="s">
        <v>1803</v>
      </c>
      <c r="D20">
        <f t="shared" si="8"/>
        <v>39</v>
      </c>
      <c r="E20" t="str">
        <f t="shared" si="0"/>
        <v>1200,复活·时间·39秒;</v>
      </c>
      <c r="H20">
        <f>H19+5.2</f>
        <v>100.3</v>
      </c>
      <c r="I20" t="s">
        <v>1823</v>
      </c>
      <c r="J20" t="str">
        <f t="shared" si="1"/>
        <v>100.3,经脉受损·20层;</v>
      </c>
      <c r="L20">
        <f t="shared" si="6"/>
        <v>60</v>
      </c>
      <c r="M20" t="s">
        <v>1823</v>
      </c>
      <c r="N20" t="str">
        <f t="shared" si="2"/>
        <v>60,经脉受损·20层;</v>
      </c>
      <c r="P20">
        <f t="shared" si="7"/>
        <v>100</v>
      </c>
      <c r="Q20" t="s">
        <v>1823</v>
      </c>
      <c r="R20" t="str">
        <f t="shared" si="3"/>
        <v>100,经脉受损·20层;</v>
      </c>
    </row>
    <row r="21" spans="1:18">
      <c r="A21">
        <v>21</v>
      </c>
      <c r="B21">
        <f t="shared" si="4"/>
        <v>1260</v>
      </c>
      <c r="C21" t="s">
        <v>1803</v>
      </c>
      <c r="D21">
        <f>D20+1</f>
        <v>40</v>
      </c>
      <c r="E21" t="str">
        <f t="shared" si="0"/>
        <v>1260,复活·时间·40秒;</v>
      </c>
      <c r="H21">
        <f>H20+4.8</f>
        <v>105.1</v>
      </c>
      <c r="I21" t="s">
        <v>1824</v>
      </c>
      <c r="J21" t="str">
        <f t="shared" si="1"/>
        <v>105.1,经脉受损·21层;</v>
      </c>
      <c r="L21">
        <f t="shared" si="6"/>
        <v>63</v>
      </c>
      <c r="M21" t="s">
        <v>1824</v>
      </c>
      <c r="N21" t="str">
        <f t="shared" si="2"/>
        <v>63,经脉受损·21层;</v>
      </c>
      <c r="P21">
        <f t="shared" si="7"/>
        <v>105</v>
      </c>
      <c r="Q21" t="s">
        <v>1824</v>
      </c>
      <c r="R21" t="str">
        <f t="shared" si="3"/>
        <v>105,经脉受损·21层;</v>
      </c>
    </row>
    <row r="22" spans="1:18">
      <c r="A22">
        <v>22</v>
      </c>
      <c r="B22">
        <f t="shared" si="4"/>
        <v>1320</v>
      </c>
      <c r="C22" t="s">
        <v>1803</v>
      </c>
      <c r="D22">
        <f t="shared" ref="D22:D30" si="9">D21+1</f>
        <v>41</v>
      </c>
      <c r="E22" t="str">
        <f t="shared" si="0"/>
        <v>1320,复活·时间·41秒;</v>
      </c>
      <c r="H22">
        <f>H21+5.2</f>
        <v>110.3</v>
      </c>
      <c r="I22" t="s">
        <v>1825</v>
      </c>
      <c r="J22" t="str">
        <f t="shared" si="1"/>
        <v>110.3,经脉受损·22层;</v>
      </c>
      <c r="L22">
        <f t="shared" si="6"/>
        <v>66</v>
      </c>
      <c r="M22" t="s">
        <v>1825</v>
      </c>
      <c r="N22" t="str">
        <f t="shared" si="2"/>
        <v>66,经脉受损·22层;</v>
      </c>
      <c r="P22">
        <f t="shared" si="7"/>
        <v>110</v>
      </c>
      <c r="Q22" t="s">
        <v>1825</v>
      </c>
      <c r="R22" t="str">
        <f t="shared" si="3"/>
        <v>110,经脉受损·22层;</v>
      </c>
    </row>
    <row r="23" spans="1:18">
      <c r="A23">
        <v>23</v>
      </c>
      <c r="B23">
        <f t="shared" si="4"/>
        <v>1380</v>
      </c>
      <c r="C23" t="s">
        <v>1803</v>
      </c>
      <c r="D23">
        <f t="shared" si="9"/>
        <v>42</v>
      </c>
      <c r="E23" t="str">
        <f t="shared" si="0"/>
        <v>1380,复活·时间·42秒;</v>
      </c>
      <c r="H23">
        <f>H22+4.8</f>
        <v>115.1</v>
      </c>
      <c r="I23" t="s">
        <v>1826</v>
      </c>
      <c r="J23" t="str">
        <f t="shared" si="1"/>
        <v>115.1,经脉受损·23层;</v>
      </c>
      <c r="L23">
        <f t="shared" si="6"/>
        <v>69</v>
      </c>
      <c r="M23" t="s">
        <v>1826</v>
      </c>
      <c r="N23" t="str">
        <f t="shared" si="2"/>
        <v>69,经脉受损·23层;</v>
      </c>
      <c r="P23">
        <f t="shared" si="7"/>
        <v>115</v>
      </c>
      <c r="Q23" t="s">
        <v>1826</v>
      </c>
      <c r="R23" t="str">
        <f t="shared" si="3"/>
        <v>115,经脉受损·23层;</v>
      </c>
    </row>
    <row r="24" spans="1:18">
      <c r="A24">
        <v>24</v>
      </c>
      <c r="B24">
        <f t="shared" si="4"/>
        <v>1440</v>
      </c>
      <c r="C24" t="s">
        <v>1803</v>
      </c>
      <c r="D24">
        <f t="shared" si="9"/>
        <v>43</v>
      </c>
      <c r="E24" t="str">
        <f t="shared" si="0"/>
        <v>1440,复活·时间·43秒;</v>
      </c>
      <c r="H24">
        <f>H23+5.2</f>
        <v>120.3</v>
      </c>
      <c r="I24" t="s">
        <v>1827</v>
      </c>
      <c r="J24" t="str">
        <f t="shared" si="1"/>
        <v>120.3,经脉受损·24层;</v>
      </c>
      <c r="L24">
        <f t="shared" si="6"/>
        <v>72</v>
      </c>
      <c r="M24" t="s">
        <v>1827</v>
      </c>
      <c r="N24" t="str">
        <f t="shared" si="2"/>
        <v>72,经脉受损·24层;</v>
      </c>
      <c r="P24">
        <f t="shared" si="7"/>
        <v>120</v>
      </c>
      <c r="Q24" t="s">
        <v>1827</v>
      </c>
      <c r="R24" t="str">
        <f t="shared" si="3"/>
        <v>120,经脉受损·24层;</v>
      </c>
    </row>
    <row r="25" spans="1:18">
      <c r="A25">
        <v>25</v>
      </c>
      <c r="B25">
        <f t="shared" si="4"/>
        <v>1500</v>
      </c>
      <c r="C25" t="s">
        <v>1803</v>
      </c>
      <c r="D25">
        <f t="shared" si="9"/>
        <v>44</v>
      </c>
      <c r="E25" t="str">
        <f t="shared" si="0"/>
        <v>1500,复活·时间·44秒;</v>
      </c>
      <c r="H25">
        <v>180</v>
      </c>
      <c r="I25" t="s">
        <v>1828</v>
      </c>
      <c r="J25" t="str">
        <f t="shared" si="1"/>
        <v>180,经脉受损·25层;</v>
      </c>
      <c r="L25">
        <v>180</v>
      </c>
      <c r="M25" t="s">
        <v>1828</v>
      </c>
      <c r="N25" t="str">
        <f t="shared" si="2"/>
        <v>180,经脉受损·25层;</v>
      </c>
      <c r="P25">
        <v>180</v>
      </c>
      <c r="Q25" t="s">
        <v>1828</v>
      </c>
      <c r="R25" t="str">
        <f t="shared" si="3"/>
        <v>180,经脉受损·25层;</v>
      </c>
    </row>
    <row r="26" spans="1:18">
      <c r="A26">
        <v>26</v>
      </c>
      <c r="B26">
        <f t="shared" si="4"/>
        <v>1560</v>
      </c>
      <c r="C26" t="s">
        <v>1803</v>
      </c>
      <c r="D26">
        <f t="shared" si="9"/>
        <v>45</v>
      </c>
      <c r="E26" t="str">
        <f t="shared" si="0"/>
        <v>1560,复活·时间·45秒;</v>
      </c>
    </row>
    <row r="27" spans="1:18">
      <c r="A27">
        <v>27</v>
      </c>
      <c r="B27">
        <f t="shared" si="4"/>
        <v>1620</v>
      </c>
      <c r="C27" t="s">
        <v>1803</v>
      </c>
      <c r="D27">
        <f t="shared" si="9"/>
        <v>46</v>
      </c>
      <c r="E27" t="str">
        <f t="shared" si="0"/>
        <v>1620,复活·时间·46秒;</v>
      </c>
    </row>
    <row r="28" spans="1:18">
      <c r="A28">
        <v>28</v>
      </c>
      <c r="B28">
        <f t="shared" si="4"/>
        <v>1680</v>
      </c>
      <c r="C28" t="s">
        <v>1803</v>
      </c>
      <c r="D28">
        <f t="shared" si="9"/>
        <v>47</v>
      </c>
      <c r="E28" t="str">
        <f t="shared" si="0"/>
        <v>1680,复活·时间·47秒;</v>
      </c>
    </row>
    <row r="29" spans="1:18">
      <c r="A29">
        <v>29</v>
      </c>
      <c r="B29">
        <f t="shared" si="4"/>
        <v>1740</v>
      </c>
      <c r="C29" t="s">
        <v>1803</v>
      </c>
      <c r="D29">
        <f t="shared" si="9"/>
        <v>48</v>
      </c>
      <c r="E29" t="str">
        <f t="shared" si="0"/>
        <v>1740,复活·时间·48秒;</v>
      </c>
    </row>
    <row r="30" spans="1:18">
      <c r="A30">
        <v>30</v>
      </c>
      <c r="B30">
        <f t="shared" si="4"/>
        <v>1800</v>
      </c>
      <c r="C30" t="s">
        <v>1803</v>
      </c>
      <c r="D30">
        <f t="shared" si="9"/>
        <v>49</v>
      </c>
      <c r="E30" t="str">
        <f t="shared" si="0"/>
        <v>1800,复活·时间·49秒;</v>
      </c>
    </row>
    <row r="31" spans="1:18">
      <c r="A31">
        <v>31</v>
      </c>
      <c r="B31">
        <f t="shared" si="4"/>
        <v>1860</v>
      </c>
      <c r="C31" t="s">
        <v>1803</v>
      </c>
      <c r="D31">
        <f>D30+2</f>
        <v>51</v>
      </c>
      <c r="E31" t="str">
        <f t="shared" si="0"/>
        <v>1860,复活·时间·51秒;</v>
      </c>
    </row>
    <row r="32" spans="1:18">
      <c r="A32">
        <v>32</v>
      </c>
      <c r="B32">
        <f t="shared" si="4"/>
        <v>1920</v>
      </c>
      <c r="C32" t="s">
        <v>1803</v>
      </c>
      <c r="D32">
        <f t="shared" ref="D32:D40" si="10">D31+2</f>
        <v>53</v>
      </c>
      <c r="E32" t="str">
        <f t="shared" si="0"/>
        <v>1920,复活·时间·53秒;</v>
      </c>
    </row>
    <row r="33" spans="1:5">
      <c r="A33">
        <v>33</v>
      </c>
      <c r="B33">
        <f t="shared" si="4"/>
        <v>1980</v>
      </c>
      <c r="C33" t="s">
        <v>1803</v>
      </c>
      <c r="D33">
        <f t="shared" si="10"/>
        <v>55</v>
      </c>
      <c r="E33" t="str">
        <f t="shared" si="0"/>
        <v>1980,复活·时间·55秒;</v>
      </c>
    </row>
    <row r="34" spans="1:5">
      <c r="A34">
        <v>34</v>
      </c>
      <c r="B34">
        <f t="shared" si="4"/>
        <v>2040</v>
      </c>
      <c r="C34" t="s">
        <v>1803</v>
      </c>
      <c r="D34">
        <f t="shared" si="10"/>
        <v>57</v>
      </c>
      <c r="E34" t="str">
        <f t="shared" si="0"/>
        <v>2040,复活·时间·57秒;</v>
      </c>
    </row>
    <row r="35" spans="1:5">
      <c r="A35">
        <v>35</v>
      </c>
      <c r="B35">
        <f t="shared" si="4"/>
        <v>2100</v>
      </c>
      <c r="C35" t="s">
        <v>1803</v>
      </c>
      <c r="D35">
        <f t="shared" si="10"/>
        <v>59</v>
      </c>
      <c r="E35" t="str">
        <f t="shared" si="0"/>
        <v>2100,复活·时间·59秒;</v>
      </c>
    </row>
    <row r="36" spans="1:5">
      <c r="A36">
        <v>36</v>
      </c>
      <c r="B36">
        <f t="shared" si="4"/>
        <v>2160</v>
      </c>
      <c r="C36" t="s">
        <v>1803</v>
      </c>
      <c r="D36">
        <f t="shared" si="10"/>
        <v>61</v>
      </c>
      <c r="E36" t="str">
        <f t="shared" si="0"/>
        <v>2160,复活·时间·61秒;</v>
      </c>
    </row>
    <row r="37" spans="1:5">
      <c r="A37">
        <v>37</v>
      </c>
      <c r="B37">
        <f t="shared" si="4"/>
        <v>2220</v>
      </c>
      <c r="C37" t="s">
        <v>1803</v>
      </c>
      <c r="D37">
        <f t="shared" si="10"/>
        <v>63</v>
      </c>
      <c r="E37" t="str">
        <f t="shared" si="0"/>
        <v>2220,复活·时间·63秒;</v>
      </c>
    </row>
    <row r="38" spans="1:5">
      <c r="A38">
        <v>38</v>
      </c>
      <c r="B38">
        <f t="shared" si="4"/>
        <v>2280</v>
      </c>
      <c r="C38" t="s">
        <v>1803</v>
      </c>
      <c r="D38">
        <f t="shared" si="10"/>
        <v>65</v>
      </c>
      <c r="E38" t="str">
        <f t="shared" si="0"/>
        <v>2280,复活·时间·65秒;</v>
      </c>
    </row>
    <row r="39" spans="1:5">
      <c r="A39">
        <v>39</v>
      </c>
      <c r="B39">
        <f t="shared" si="4"/>
        <v>2340</v>
      </c>
      <c r="C39" t="s">
        <v>1803</v>
      </c>
      <c r="D39">
        <f t="shared" si="10"/>
        <v>67</v>
      </c>
      <c r="E39" t="str">
        <f t="shared" si="0"/>
        <v>2340,复活·时间·67秒;</v>
      </c>
    </row>
    <row r="40" spans="1:5">
      <c r="A40">
        <v>40</v>
      </c>
      <c r="B40">
        <f t="shared" si="4"/>
        <v>2400</v>
      </c>
      <c r="C40" t="s">
        <v>1803</v>
      </c>
      <c r="D40">
        <f t="shared" si="10"/>
        <v>69</v>
      </c>
      <c r="E40" t="str">
        <f t="shared" si="0"/>
        <v>2400,复活·时间·69秒;</v>
      </c>
    </row>
    <row r="41" spans="1:5">
      <c r="A41">
        <v>41</v>
      </c>
      <c r="B41">
        <f t="shared" si="4"/>
        <v>2460</v>
      </c>
      <c r="C41" t="s">
        <v>1803</v>
      </c>
      <c r="D41">
        <f>D40+1</f>
        <v>70</v>
      </c>
      <c r="E41" t="str">
        <f t="shared" si="0"/>
        <v>2460,复活·时间·70秒;</v>
      </c>
    </row>
    <row r="42" spans="1:5">
      <c r="A42">
        <v>42</v>
      </c>
      <c r="B42">
        <f t="shared" si="4"/>
        <v>2520</v>
      </c>
      <c r="C42" t="s">
        <v>1803</v>
      </c>
      <c r="D42">
        <f t="shared" ref="D42:D50" si="11">D41+1</f>
        <v>71</v>
      </c>
      <c r="E42" t="str">
        <f t="shared" si="0"/>
        <v>2520,复活·时间·71秒;</v>
      </c>
    </row>
    <row r="43" spans="1:5">
      <c r="A43">
        <v>43</v>
      </c>
      <c r="B43">
        <f t="shared" si="4"/>
        <v>2580</v>
      </c>
      <c r="C43" t="s">
        <v>1803</v>
      </c>
      <c r="D43">
        <f t="shared" si="11"/>
        <v>72</v>
      </c>
      <c r="E43" t="str">
        <f t="shared" si="0"/>
        <v>2580,复活·时间·72秒;</v>
      </c>
    </row>
    <row r="44" spans="1:5">
      <c r="A44">
        <v>44</v>
      </c>
      <c r="B44">
        <f t="shared" si="4"/>
        <v>2640</v>
      </c>
      <c r="C44" t="s">
        <v>1803</v>
      </c>
      <c r="D44">
        <f t="shared" si="11"/>
        <v>73</v>
      </c>
      <c r="E44" t="str">
        <f t="shared" si="0"/>
        <v>2640,复活·时间·73秒;</v>
      </c>
    </row>
    <row r="45" spans="1:5">
      <c r="A45">
        <v>45</v>
      </c>
      <c r="B45">
        <f t="shared" si="4"/>
        <v>2700</v>
      </c>
      <c r="C45" t="s">
        <v>1803</v>
      </c>
      <c r="D45">
        <f t="shared" si="11"/>
        <v>74</v>
      </c>
      <c r="E45" t="str">
        <f t="shared" si="0"/>
        <v>2700,复活·时间·74秒;</v>
      </c>
    </row>
    <row r="46" spans="1:5">
      <c r="A46">
        <v>46</v>
      </c>
      <c r="B46">
        <f t="shared" ref="B46:B60" si="12">B45+60</f>
        <v>2760</v>
      </c>
      <c r="C46" t="s">
        <v>1803</v>
      </c>
      <c r="D46">
        <f t="shared" si="11"/>
        <v>75</v>
      </c>
      <c r="E46" t="str">
        <f t="shared" si="0"/>
        <v>2760,复活·时间·75秒;</v>
      </c>
    </row>
    <row r="47" spans="1:5">
      <c r="A47">
        <v>47</v>
      </c>
      <c r="B47">
        <f t="shared" si="12"/>
        <v>2820</v>
      </c>
      <c r="C47" t="s">
        <v>1803</v>
      </c>
      <c r="D47">
        <f t="shared" si="11"/>
        <v>76</v>
      </c>
      <c r="E47" t="str">
        <f t="shared" si="0"/>
        <v>2820,复活·时间·76秒;</v>
      </c>
    </row>
    <row r="48" spans="1:5">
      <c r="A48">
        <v>48</v>
      </c>
      <c r="B48">
        <f t="shared" si="12"/>
        <v>2880</v>
      </c>
      <c r="C48" t="s">
        <v>1803</v>
      </c>
      <c r="D48">
        <f t="shared" si="11"/>
        <v>77</v>
      </c>
      <c r="E48" t="str">
        <f t="shared" si="0"/>
        <v>2880,复活·时间·77秒;</v>
      </c>
    </row>
    <row r="49" spans="1:5">
      <c r="A49">
        <v>49</v>
      </c>
      <c r="B49">
        <f t="shared" si="12"/>
        <v>2940</v>
      </c>
      <c r="C49" t="s">
        <v>1803</v>
      </c>
      <c r="D49">
        <f t="shared" si="11"/>
        <v>78</v>
      </c>
      <c r="E49" t="str">
        <f t="shared" si="0"/>
        <v>2940,复活·时间·78秒;</v>
      </c>
    </row>
    <row r="50" spans="1:5">
      <c r="A50">
        <v>50</v>
      </c>
      <c r="B50">
        <f t="shared" si="12"/>
        <v>3000</v>
      </c>
      <c r="C50" t="s">
        <v>1803</v>
      </c>
      <c r="D50">
        <f t="shared" si="11"/>
        <v>79</v>
      </c>
      <c r="E50" t="str">
        <f t="shared" si="0"/>
        <v>3000,复活·时间·79秒;</v>
      </c>
    </row>
    <row r="51" spans="1:5">
      <c r="A51">
        <v>51</v>
      </c>
      <c r="B51">
        <f t="shared" si="12"/>
        <v>3060</v>
      </c>
      <c r="C51" t="s">
        <v>1803</v>
      </c>
      <c r="D51">
        <f>D50+2</f>
        <v>81</v>
      </c>
      <c r="E51" t="str">
        <f t="shared" si="0"/>
        <v>3060,复活·时间·81秒;</v>
      </c>
    </row>
    <row r="52" spans="1:5">
      <c r="A52">
        <v>52</v>
      </c>
      <c r="B52">
        <f t="shared" si="12"/>
        <v>3120</v>
      </c>
      <c r="C52" t="s">
        <v>1803</v>
      </c>
      <c r="D52">
        <f t="shared" ref="D52:D60" si="13">D51+2</f>
        <v>83</v>
      </c>
      <c r="E52" t="str">
        <f t="shared" si="0"/>
        <v>3120,复活·时间·83秒;</v>
      </c>
    </row>
    <row r="53" spans="1:5">
      <c r="A53">
        <v>53</v>
      </c>
      <c r="B53">
        <f t="shared" si="12"/>
        <v>3180</v>
      </c>
      <c r="C53" t="s">
        <v>1803</v>
      </c>
      <c r="D53">
        <f t="shared" si="13"/>
        <v>85</v>
      </c>
      <c r="E53" t="str">
        <f t="shared" si="0"/>
        <v>3180,复活·时间·85秒;</v>
      </c>
    </row>
    <row r="54" spans="1:5">
      <c r="A54">
        <v>54</v>
      </c>
      <c r="B54">
        <f t="shared" si="12"/>
        <v>3240</v>
      </c>
      <c r="C54" t="s">
        <v>1803</v>
      </c>
      <c r="D54">
        <f t="shared" si="13"/>
        <v>87</v>
      </c>
      <c r="E54" t="str">
        <f t="shared" si="0"/>
        <v>3240,复活·时间·87秒;</v>
      </c>
    </row>
    <row r="55" spans="1:5">
      <c r="A55">
        <v>55</v>
      </c>
      <c r="B55">
        <f t="shared" si="12"/>
        <v>3300</v>
      </c>
      <c r="C55" t="s">
        <v>1803</v>
      </c>
      <c r="D55">
        <f t="shared" si="13"/>
        <v>89</v>
      </c>
      <c r="E55" t="str">
        <f t="shared" si="0"/>
        <v>3300,复活·时间·89秒;</v>
      </c>
    </row>
    <row r="56" spans="1:5">
      <c r="A56">
        <v>56</v>
      </c>
      <c r="B56">
        <f t="shared" si="12"/>
        <v>3360</v>
      </c>
      <c r="C56" t="s">
        <v>1803</v>
      </c>
      <c r="D56">
        <f t="shared" si="13"/>
        <v>91</v>
      </c>
      <c r="E56" t="str">
        <f t="shared" si="0"/>
        <v>3360,复活·时间·91秒;</v>
      </c>
    </row>
    <row r="57" spans="1:5">
      <c r="A57">
        <v>57</v>
      </c>
      <c r="B57">
        <f t="shared" si="12"/>
        <v>3420</v>
      </c>
      <c r="C57" t="s">
        <v>1803</v>
      </c>
      <c r="D57">
        <f t="shared" si="13"/>
        <v>93</v>
      </c>
      <c r="E57" t="str">
        <f t="shared" si="0"/>
        <v>3420,复活·时间·93秒;</v>
      </c>
    </row>
    <row r="58" spans="1:5">
      <c r="A58">
        <v>58</v>
      </c>
      <c r="B58">
        <f t="shared" si="12"/>
        <v>3480</v>
      </c>
      <c r="C58" t="s">
        <v>1803</v>
      </c>
      <c r="D58">
        <f t="shared" si="13"/>
        <v>95</v>
      </c>
      <c r="E58" t="str">
        <f t="shared" si="0"/>
        <v>3480,复活·时间·95秒;</v>
      </c>
    </row>
    <row r="59" spans="1:5">
      <c r="A59">
        <v>59</v>
      </c>
      <c r="B59">
        <f t="shared" si="12"/>
        <v>3540</v>
      </c>
      <c r="C59" t="s">
        <v>1803</v>
      </c>
      <c r="D59">
        <f t="shared" si="13"/>
        <v>97</v>
      </c>
      <c r="E59" t="str">
        <f t="shared" si="0"/>
        <v>3540,复活·时间·97秒;</v>
      </c>
    </row>
    <row r="60" spans="1:5">
      <c r="A60">
        <v>60</v>
      </c>
      <c r="B60">
        <f t="shared" si="12"/>
        <v>3600</v>
      </c>
      <c r="C60" t="s">
        <v>1803</v>
      </c>
      <c r="D60">
        <f t="shared" si="13"/>
        <v>99</v>
      </c>
      <c r="E60" t="str">
        <f t="shared" si="0"/>
        <v>3600,复活·时间·99秒;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  <vt:lpstr>公式生成</vt:lpstr>
      <vt:lpstr>复活时间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2026-09-04T06:20:06Z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3BEA60E79B6B480CA200CB4EB34B5625_12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