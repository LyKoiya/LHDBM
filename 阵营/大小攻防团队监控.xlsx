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1E651EAB-6FC0-4CBF-9D7E-C4BCC59EE09F}" xr6:coauthVersionLast="45" xr6:coauthVersionMax="45" xr10:uidLastSave="{00000000-0000-0000-0000-000000000000}"/>
  <bookViews>
    <workbookView xWindow="-120" yWindow="-120" windowWidth="29040" windowHeight="15720" activeTab="3"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3" hidden="1">不利气劲!$A$1:$BY$98</definedName>
    <definedName name="_xlnm._FilterDatabase" localSheetId="7" hidden="1">角色喊话!$A$1:$AV$192</definedName>
    <definedName name="_xlnm._FilterDatabase" localSheetId="5" hidden="1">系统角色!$A$1:$X$409</definedName>
    <definedName name="_xlnm._FilterDatabase" localSheetId="8" hidden="1">系统频道!$A$1:$BG$149</definedName>
    <definedName name="_xlnm._FilterDatabase" localSheetId="2" hidden="1">有利气劲!$A$1:$AS$45</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AN3" i="15" l="1"/>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AN96" i="15"/>
  <c r="AN97" i="15"/>
  <c r="AN98" i="15"/>
  <c r="V3" i="12" l="1"/>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 i="10" l="1"/>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V184" i="10"/>
  <c r="V185" i="10"/>
  <c r="V186" i="10"/>
  <c r="V187" i="10"/>
  <c r="V188" i="10"/>
  <c r="V189" i="10"/>
  <c r="V190" i="10"/>
  <c r="V191" i="10"/>
  <c r="V192" i="10"/>
  <c r="V193" i="10"/>
  <c r="V194" i="10"/>
  <c r="V195" i="10"/>
  <c r="V196" i="10"/>
  <c r="V3" i="10"/>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T144" i="11"/>
  <c r="T145" i="11"/>
  <c r="T146" i="11"/>
  <c r="T147" i="11"/>
  <c r="T148" i="11"/>
  <c r="T149" i="11"/>
  <c r="T150" i="11"/>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Y89" i="10" l="1"/>
  <c r="Y88" i="10"/>
  <c r="Y87" i="10"/>
  <c r="Y86" i="10"/>
  <c r="Y85" i="10"/>
  <c r="Y84" i="10"/>
  <c r="Y83" i="10"/>
  <c r="Y82" i="10"/>
  <c r="Y81" i="10"/>
  <c r="Y80" i="10"/>
  <c r="Y79" i="10"/>
  <c r="Y78" i="10"/>
  <c r="Y77" i="10"/>
  <c r="Y76" i="10"/>
  <c r="Y75" i="10"/>
  <c r="Y74" i="10"/>
  <c r="Y68" i="10"/>
  <c r="Y67" i="10"/>
  <c r="Y66" i="10"/>
  <c r="Y65" i="10"/>
  <c r="Y64" i="10"/>
  <c r="Y63" i="10"/>
  <c r="Y62" i="10"/>
  <c r="Y61" i="10"/>
  <c r="Y60" i="10"/>
  <c r="Y59" i="10"/>
  <c r="Y58" i="10"/>
  <c r="Y57" i="10"/>
  <c r="Y56" i="10"/>
  <c r="Y55" i="10"/>
  <c r="Y54" i="10"/>
  <c r="Y53" i="10"/>
  <c r="Z40" i="10"/>
  <c r="Z39" i="10"/>
  <c r="Z38" i="10"/>
  <c r="Z37" i="10"/>
  <c r="Z36" i="10"/>
  <c r="Z35" i="10"/>
  <c r="Z34" i="10"/>
  <c r="Z33" i="10"/>
  <c r="Z32" i="10"/>
  <c r="Z31" i="10"/>
  <c r="Y30" i="10"/>
  <c r="Y29" i="10"/>
  <c r="Y28" i="10"/>
  <c r="Y27" i="10"/>
  <c r="Y26" i="10"/>
  <c r="Y25" i="10"/>
  <c r="Y24" i="10"/>
  <c r="Y23" i="10"/>
  <c r="Y22" i="10"/>
  <c r="Y21" i="10"/>
  <c r="Y20" i="10"/>
  <c r="Y19" i="10"/>
  <c r="Y18" i="10"/>
  <c r="Y17" i="10"/>
  <c r="U15" i="11"/>
  <c r="U14" i="11"/>
  <c r="U2" i="17" l="1"/>
  <c r="V15" i="11" l="1"/>
  <c r="V14" i="11"/>
  <c r="Z89" i="10"/>
  <c r="Z88" i="10"/>
  <c r="Z87" i="10"/>
  <c r="Z86" i="10"/>
  <c r="Z85" i="10"/>
  <c r="Z84" i="10"/>
  <c r="Z83" i="10"/>
  <c r="Z82" i="10"/>
  <c r="Z81" i="10"/>
  <c r="Z80" i="10"/>
  <c r="Z79" i="10"/>
  <c r="Z78" i="10"/>
  <c r="Z77" i="10"/>
  <c r="Z76" i="10"/>
  <c r="Z75" i="10"/>
  <c r="Z74" i="10"/>
  <c r="Z68" i="10"/>
  <c r="Z67" i="10"/>
  <c r="Z66" i="10"/>
  <c r="Z65" i="10"/>
  <c r="Z64" i="10"/>
  <c r="Z63" i="10"/>
  <c r="Z62" i="10"/>
  <c r="Z61" i="10"/>
  <c r="Z60" i="10"/>
  <c r="Z59" i="10"/>
  <c r="Z58" i="10"/>
  <c r="Z57" i="10"/>
  <c r="Z56" i="10"/>
  <c r="Z55" i="10"/>
  <c r="Z54" i="10"/>
  <c r="Z53" i="10"/>
  <c r="AA40" i="10"/>
  <c r="AA39" i="10"/>
  <c r="AA38" i="10"/>
  <c r="AA37" i="10"/>
  <c r="AA36" i="10"/>
  <c r="AA35" i="10"/>
  <c r="AA34" i="10"/>
  <c r="AA33" i="10"/>
  <c r="AA32" i="10"/>
  <c r="AA31" i="10"/>
  <c r="Z30" i="10"/>
  <c r="Z29" i="10"/>
  <c r="Z28" i="10"/>
  <c r="Z27" i="10"/>
  <c r="Z26" i="10"/>
  <c r="Z25" i="10"/>
  <c r="Z24" i="10"/>
  <c r="Z23" i="10"/>
  <c r="Z22" i="10"/>
  <c r="Z21" i="10"/>
  <c r="Z20" i="10"/>
  <c r="Z19" i="10"/>
  <c r="Z18" i="10"/>
  <c r="Z17" i="10"/>
  <c r="X3" i="16" l="1"/>
  <c r="X4" i="16"/>
  <c r="X5" i="16"/>
  <c r="Y34" i="10" l="1"/>
  <c r="X34" i="10"/>
  <c r="Y32" i="10"/>
  <c r="X32" i="10"/>
  <c r="Y36" i="10"/>
  <c r="X36" i="10"/>
  <c r="C30" i="10"/>
  <c r="X30" i="10"/>
  <c r="W30" i="10"/>
  <c r="E30"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AE140" i="11" l="1"/>
  <c r="AF140" i="11"/>
  <c r="AG140" i="11"/>
  <c r="AH140" i="11"/>
  <c r="AE137" i="11"/>
  <c r="AF137" i="11"/>
  <c r="AG137" i="11"/>
  <c r="AH137" i="11"/>
  <c r="AE134" i="1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C101" i="11"/>
  <c r="AD101" i="11"/>
  <c r="AC95" i="11"/>
  <c r="AD95" i="11"/>
  <c r="X2" i="16" l="1"/>
  <c r="X89" i="10" l="1"/>
  <c r="W89" i="10"/>
  <c r="X88" i="10"/>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54" i="10"/>
  <c r="X55" i="10"/>
  <c r="X56" i="10"/>
  <c r="X57" i="10"/>
  <c r="X58" i="10"/>
  <c r="X59" i="10"/>
  <c r="X60" i="10"/>
  <c r="X61" i="10"/>
  <c r="X62" i="10"/>
  <c r="X63" i="10"/>
  <c r="X64" i="10"/>
  <c r="X65" i="10"/>
  <c r="X66" i="10"/>
  <c r="X67" i="10"/>
  <c r="X68" i="10"/>
  <c r="X53" i="10"/>
  <c r="W54" i="10"/>
  <c r="W55" i="10"/>
  <c r="W56" i="10"/>
  <c r="W57" i="10"/>
  <c r="W58" i="10"/>
  <c r="W59" i="10"/>
  <c r="W60" i="10"/>
  <c r="W61" i="10"/>
  <c r="W62" i="10"/>
  <c r="W63" i="10"/>
  <c r="W64" i="10"/>
  <c r="W65" i="10"/>
  <c r="W66" i="10"/>
  <c r="W67" i="10"/>
  <c r="W68" i="10"/>
  <c r="W53" i="10"/>
  <c r="X33" i="10"/>
  <c r="X35" i="10"/>
  <c r="X37" i="10"/>
  <c r="X38" i="10"/>
  <c r="X39" i="10"/>
  <c r="X40" i="10"/>
  <c r="X31" i="10"/>
  <c r="Y33" i="10"/>
  <c r="Y35" i="10"/>
  <c r="Y37" i="10"/>
  <c r="Y38" i="10"/>
  <c r="Y39" i="10"/>
  <c r="Y40" i="10"/>
  <c r="Y31" i="10"/>
  <c r="W18" i="10"/>
  <c r="W19" i="10"/>
  <c r="W20" i="10"/>
  <c r="W21" i="10"/>
  <c r="W22" i="10"/>
  <c r="W23" i="10"/>
  <c r="W24" i="10"/>
  <c r="W25" i="10"/>
  <c r="W26" i="10"/>
  <c r="W27" i="10"/>
  <c r="W28" i="10"/>
  <c r="W29" i="10"/>
  <c r="W17" i="10"/>
  <c r="X18" i="10"/>
  <c r="X19" i="10"/>
  <c r="X20" i="10"/>
  <c r="X21" i="10"/>
  <c r="X22" i="10"/>
  <c r="X23" i="10"/>
  <c r="X24" i="10"/>
  <c r="X25" i="10"/>
  <c r="X26" i="10"/>
  <c r="X27" i="10"/>
  <c r="X28" i="10"/>
  <c r="X29" i="10"/>
  <c r="X17" i="10"/>
  <c r="E54" i="10" l="1"/>
  <c r="E55" i="10"/>
  <c r="E56" i="10"/>
  <c r="E57" i="10"/>
  <c r="E58" i="10"/>
  <c r="E59" i="10"/>
  <c r="E60" i="10"/>
  <c r="E61" i="10"/>
  <c r="E62" i="10"/>
  <c r="E63" i="10"/>
  <c r="E64" i="10"/>
  <c r="E65" i="10"/>
  <c r="E66" i="10"/>
  <c r="E67" i="10"/>
  <c r="E68" i="10"/>
  <c r="E53" i="10"/>
  <c r="E75" i="10"/>
  <c r="E76" i="10"/>
  <c r="E77" i="10"/>
  <c r="E78" i="10"/>
  <c r="E79" i="10"/>
  <c r="E80" i="10"/>
  <c r="E81" i="10"/>
  <c r="E82" i="10"/>
  <c r="E83" i="10"/>
  <c r="E84" i="10"/>
  <c r="E85" i="10"/>
  <c r="E86" i="10"/>
  <c r="E87" i="10"/>
  <c r="E88" i="10"/>
  <c r="E89" i="10"/>
  <c r="E74" i="10"/>
  <c r="E19" i="10" l="1"/>
  <c r="E20" i="10"/>
  <c r="E21" i="10"/>
  <c r="E22" i="10"/>
  <c r="E23" i="10"/>
  <c r="E24" i="10"/>
  <c r="E18" i="10"/>
  <c r="E25" i="10"/>
  <c r="E26" i="10"/>
  <c r="E27" i="10"/>
  <c r="E28" i="10"/>
  <c r="E29" i="10"/>
  <c r="E17" i="10"/>
  <c r="C18" i="10"/>
  <c r="C17" i="10"/>
  <c r="C20" i="10"/>
  <c r="C21" i="10"/>
  <c r="C22" i="10"/>
  <c r="C23" i="10"/>
  <c r="C24" i="10"/>
  <c r="C25" i="10"/>
  <c r="C26" i="10"/>
  <c r="C27" i="10"/>
  <c r="C28" i="10"/>
  <c r="C29" i="10"/>
  <c r="C19" i="10"/>
  <c r="AN2" i="14" l="1"/>
  <c r="AN2" i="15"/>
  <c r="T2" i="11" l="1"/>
  <c r="V2" i="10"/>
  <c r="V2" i="12" l="1"/>
  <c r="A4" i="2" l="1"/>
  <c r="B33" i="4" l="1"/>
  <c r="U2" i="4" l="1"/>
  <c r="S2" i="4"/>
</calcChain>
</file>

<file path=xl/sharedStrings.xml><?xml version="1.0" encoding="utf-8"?>
<sst xmlns="http://purl.oclc.org/ooxml/spreadsheetml/main" count="5811" uniqueCount="2743">
  <si>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</si>
  <si>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</si>
  <si>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</si>
  <si>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</si>
  <si>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</si>
  <si>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</si>
  <si>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</si>
  <si>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</si>
  <si>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</si>
  <si>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</si>
  <si>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</si>
  <si>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</si>
  <si>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</si>
  <si>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</si>
  <si>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</si>
  <si>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</si>
  <si>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</si>
  <si>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</si>
  <si>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</si>
  <si>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</si>
  <si>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</si>
  <si>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</si>
  <si>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</si>
  <si>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</si>
  <si>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</si>
  <si>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</si>
  <si>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</si>
  <si>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</si>
  <si>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</si>
  <si>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</si>
  <si>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</si>
  <si>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</si>
  <si>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</si>
  <si>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</si>
  <si>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</si>
  <si>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</si>
  <si>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</si>
  <si>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</si>
  <si>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</si>
  <si>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</si>
  <si>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</si>
  <si>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</si>
  <si>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</si>
  <si>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</si>
  <si>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</si>
  <si>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</si>
  <si>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</si>
  <si>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</si>
  <si>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</si>
  <si>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</si>
  <si>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</si>
  <si>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</si>
  <si>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</si>
  <si>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</si>
  <si>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</si>
  <si>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</si>
  <si>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</si>
  <si>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</si>
  <si>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</si>
  <si>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</si>
  <si>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</si>
  <si>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</si>
  <si>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</si>
  <si>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</si>
  <si>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</si>
  <si>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</si>
  <si>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</si>
  <si>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</si>
  <si>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</si>
  <si>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</si>
  <si>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</si>
  <si>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</si>
  <si>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</si>
  <si>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</si>
  <si>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</si>
  <si>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</si>
  <si>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</si>
  <si>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</si>
  <si>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</si>
  <si>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</si>
  <si>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</si>
  <si>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</si>
  <si>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</si>
  <si>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</si>
  <si>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</si>
  <si>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</si>
  <si>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</si>
  <si>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</si>
  <si>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</si>
  <si>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</si>
  <si>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</si>
  <si>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</si>
  <si>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</si>
  <si>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</si>
  <si>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</si>
  <si>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</si>
  <si>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</si>
  <si>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</si>
  <si>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</si>
  <si>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</si>
  <si>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</si>
  <si>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</si>
  <si>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</si>
  <si>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</si>
  <si>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</si>
  <si>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</si>
  <si>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</si>
  <si>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</si>
  <si>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</si>
  <si>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</si>
  <si>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</si>
  <si>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</si>
  <si>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</si>
  <si>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</si>
  <si>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</si>
  <si>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</si>
  <si>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</si>
  <si>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</si>
  <si>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</si>
  <si>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</si>
  <si>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</si>
  <si>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</si>
  <si>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</si>
  <si>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</si>
  <si>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</si>
  <si>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</si>
  <si>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</si>
  <si>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</si>
  <si>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</si>
  <si>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</si>
  <si>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</si>
  <si>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</si>
  <si>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</si>
  <si>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</si>
  <si>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</si>
  <si>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</si>
  <si>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</si>
  <si>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</si>
  <si>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</si>
  <si>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</si>
  <si>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</si>
  <si>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</si>
  <si>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</si>
  <si>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</si>
  <si>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</si>
  <si>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</si>
  <si>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</si>
  <si>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</si>
  <si>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</si>
  <si>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</si>
  <si>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</si>
  <si>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</si>
  <si>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</si>
  <si>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</si>
  <si>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</si>
  <si>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</si>
  <si>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</si>
  <si>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</si>
  <si>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</si>
  <si>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</si>
  <si>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</si>
  <si>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</si>
  <si>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</si>
  <si>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</si>
  <si>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</si>
  <si>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</si>
  <si>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</si>
  <si>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</si>
  <si>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</si>
  <si>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</si>
  <si>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</si>
  <si>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</si>
  <si>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</si>
  <si>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</si>
  <si>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</si>
  <si>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</si>
  <si>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</si>
  <si>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</si>
  <si>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</si>
  <si>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</si>
  <si>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</si>
  <si>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</si>
  <si>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</si>
  <si>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</si>
  <si>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</si>
  <si>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</si>
  <si>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</si>
  <si>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</si>
  <si>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</si>
  <si>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</si>
  <si>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</si>
  <si>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</si>
  <si>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</si>
  <si>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</si>
  <si>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</si>
  <si>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</si>
  <si>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</si>
  <si>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</si>
  <si>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</si>
  <si>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</si>
  <si>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</si>
  <si>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</si>
  <si>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</si>
  <si>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</si>
  <si>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</si>
  <si>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</si>
  <si>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</si>
  <si>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</si>
  <si>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</si>
  <si>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</si>
  <si>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</si>
  <si>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</si>
  <si>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</si>
  <si>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</si>
  <si>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</si>
  <si>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</si>
  <si>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</si>
  <si>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</si>
  <si>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</si>
  <si>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</si>
  <si>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</si>
  <si>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</si>
  <si>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</si>
  <si>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</si>
  <si>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</si>
  <si>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</si>
  <si>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</si>
  <si>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</si>
  <si>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</si>
  <si>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</si>
  <si>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</si>
  <si>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</si>
  <si>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</si>
  <si>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</si>
  <si>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</si>
  <si>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</si>
  <si>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</si>
  <si>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</si>
  <si>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</si>
  <si>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</si>
  <si>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</si>
  <si>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</si>
  <si>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</si>
  <si>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</si>
  <si>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</si>
  <si>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</si>
  <si>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</si>
  <si>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</si>
  <si>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</si>
  <si>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</si>
  <si>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</si>
  <si>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</si>
  <si>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</si>
  <si>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</si>
  <si>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</si>
  <si>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</si>
  <si>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</si>
  <si>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</si>
  <si>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</si>
  <si>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</si>
  <si>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</si>
  <si>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</si>
  <si>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</si>
  <si>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</si>
  <si>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</si>
  <si>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</si>
  <si>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</si>
  <si>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</si>
  <si>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</si>
  <si>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</si>
  <si>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</si>
  <si>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</si>
  <si>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</si>
  <si>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</si>
  <si>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</si>
  <si>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</si>
  <si>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</si>
  <si>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</si>
  <si>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</si>
  <si>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</si>
  <si>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</si>
  <si>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</si>
  <si>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</si>
  <si>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</si>
  <si>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</si>
  <si>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</si>
  <si>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</si>
  <si>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</si>
  <si>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</si>
  <si>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</si>
  <si>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</si>
  <si>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</si>
  <si>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</si>
  <si>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</si>
  <si>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</si>
  <si>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</si>
  <si>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</si>
  <si>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</si>
  <si>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</si>
  <si>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</si>
  <si>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</si>
  <si>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</si>
  <si>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</si>
  <si>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</si>
  <si>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</si>
  <si>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</si>
  <si>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</si>
  <si>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</si>
  <si>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</si>
  <si>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</si>
  <si>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</si>
  <si>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</si>
  <si>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</si>
  <si>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</si>
  <si>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</si>
  <si>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</si>
  <si>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</si>
  <si>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</si>
  <si>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</si>
  <si>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</si>
  <si>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</si>
  <si>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</si>
  <si>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</si>
  <si>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</si>
  <si>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</si>
  <si>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</si>
  <si>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</si>
  <si>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</si>
  <si>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</si>
  <si>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</si>
  <si>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</si>
  <si>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</si>
  <si>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</si>
  <si>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</si>
  <si>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</si>
  <si>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</si>
  <si>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</si>
  <si>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</si>
  <si>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</si>
  <si>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</si>
  <si>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</si>
  <si>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</si>
  <si>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</si>
  <si>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</si>
  <si>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</si>
  <si>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</si>
  <si>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</si>
  <si>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</si>
  <si>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</si>
  <si>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</si>
  <si>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</si>
  <si>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</si>
  <si>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</si>
  <si>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</si>
  <si>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</si>
  <si>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</si>
  <si>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</si>
  <si>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</si>
  <si>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</si>
  <si>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</si>
  <si>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</si>
  <si>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</si>
  <si>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</si>
  <si>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</si>
  <si>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</si>
  <si>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</si>
  <si>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</si>
  <si>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</si>
  <si>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</si>
  <si>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</si>
  <si>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</si>
  <si>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</si>
  <si>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</si>
  <si>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</si>
  <si>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</si>
  <si>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</si>
  <si>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</si>
  <si>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</si>
  <si>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</si>
  <si>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</si>
  <si>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</si>
  <si>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</si>
  <si>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</si>
  <si>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</si>
  <si>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</si>
  <si>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</si>
  <si>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</si>
  <si>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</si>
  <si>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</si>
  <si>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</si>
  <si>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</si>
  <si>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</si>
  <si>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</si>
  <si>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</si>
  <si>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</si>
  <si>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</si>
  <si>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</si>
  <si>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</si>
  <si>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</si>
  <si>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</si>
  <si>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</si>
  <si>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</si>
  <si>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</si>
  <si>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</si>
  <si>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</si>
  <si>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</si>
  <si>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</si>
  <si>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</si>
  <si>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</si>
  <si>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</si>
  <si>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</si>
  <si>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</si>
  <si>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</si>
  <si>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</si>
  <si>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</si>
  <si>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</si>
  <si>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</si>
  <si>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</si>
  <si>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</si>
  <si>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</si>
  <si>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</si>
  <si>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</si>
  <si>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</si>
  <si>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</si>
  <si>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</si>
  <si>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</si>
  <si>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</si>
  <si>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</si>
  <si>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</si>
  <si>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</si>
  <si>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</si>
  <si>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</si>
  <si>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</si>
  <si>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</si>
  <si>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</si>
  <si>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</si>
  <si>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</si>
  <si>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</si>
  <si>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</si>
  <si>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</si>
  <si>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</si>
  <si>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</si>
  <si>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</si>
  <si>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</si>
  <si>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</si>
  <si>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</si>
  <si>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</si>
  <si>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</si>
  <si>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</si>
  <si>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</si>
  <si>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</si>
  <si>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</si>
  <si>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</si>
  <si>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</si>
  <si>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</si>
  <si>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</si>
  <si>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</si>
  <si>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</si>
  <si>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</si>
  <si>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</si>
  <si>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</si>
  <si>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</si>
  <si>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</si>
  <si>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</si>
  <si>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</si>
  <si>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</si>
  <si>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</si>
  <si>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</si>
  <si>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</si>
  <si>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</si>
  <si>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</si>
  <si>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</si>
  <si>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</si>
  <si>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</si>
  <si>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</si>
  <si>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</si>
  <si>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</si>
  <si>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</si>
  <si>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</si>
  <si>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</si>
  <si>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</si>
  <si>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</si>
  <si>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</si>
  <si>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</si>
  <si>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</si>
  <si>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</si>
  <si>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</si>
  <si>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</si>
  <si>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</si>
  <si>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</si>
  <si>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</si>
  <si>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</si>
  <si>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</si>
  <si>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</si>
  <si>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</si>
  <si>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</si>
  <si>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</si>
  <si>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</si>
  <si>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</si>
  <si>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</si>
  <si>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</si>
  <si>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</si>
  <si>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</si>
  <si>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</si>
  <si>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</si>
  <si>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</si>
  <si>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</si>
  <si>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</si>
  <si>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</si>
  <si>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</si>
  <si>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</si>
  <si>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</si>
  <si>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</si>
  <si>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</si>
  <si>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</si>
  <si>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</si>
  <si>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</si>
  <si>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</si>
  <si>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</si>
  <si>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</si>
  <si>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</si>
  <si>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</si>
  <si>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</si>
  <si>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</si>
  <si>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</si>
  <si>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</si>
  <si>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</si>
  <si>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</si>
  <si>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</si>
  <si>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</si>
  <si>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</si>
  <si>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</si>
  <si>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</si>
  <si>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</si>
  <si>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</si>
  <si>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</si>
  <si>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</si>
  <si>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</si>
  <si>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</si>
  <si>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</si>
  <si>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</si>
  <si>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</si>
  <si>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</si>
  <si>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</si>
  <si>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</si>
  <si>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</si>
  <si>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</si>
  <si>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</si>
  <si>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</si>
  <si>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</si>
  <si>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</si>
  <si>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</si>
  <si>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</si>
  <si>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</si>
  <si>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</si>
  <si>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</si>
  <si>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</si>
  <si>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</si>
  <si>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</si>
  <si>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</si>
  <si>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</si>
  <si>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</si>
  <si>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</si>
  <si>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</si>
  <si>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</si>
  <si>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</si>
  <si>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</si>
  <si>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</si>
  <si>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</si>
  <si>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</si>
  <si>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</si>
  <si>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</si>
  <si>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</si>
  <si>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</si>
  <si>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</si>
  <si>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</si>
  <si>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</si>
  <si>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</si>
  <si>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</si>
  <si>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</si>
  <si>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</si>
  <si>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</si>
  <si>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</si>
  <si>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</si>
  <si>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</si>
  <si>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</si>
  <si>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</si>
  <si>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</si>
  <si>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</si>
  <si>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</si>
  <si>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</si>
  <si>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</si>
  <si>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</si>
  <si>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</si>
  <si>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</si>
  <si>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</si>
  <si>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</si>
  <si>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</si>
  <si>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</si>
  <si>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</si>
  <si>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</si>
  <si>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</si>
  <si>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</si>
  <si>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</si>
  <si>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</si>
  <si>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</si>
  <si>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</si>
  <si>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</si>
  <si>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</si>
  <si>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</si>
  <si>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</si>
  <si>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</si>
  <si>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</si>
  <si>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</si>
  <si>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</si>
  <si>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</si>
  <si>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</si>
  <si>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</si>
  <si>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</si>
  <si>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</si>
  <si>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</si>
  <si>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</si>
  <si>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</si>
  <si>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</si>
  <si>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</si>
  <si>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</si>
  <si>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</si>
  <si>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</si>
  <si>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</si>
  <si>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</si>
  <si>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</si>
  <si>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</si>
  <si>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</si>
  <si>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</si>
  <si>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</si>
  <si>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</si>
  <si>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</si>
  <si>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</si>
  <si>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</si>
  <si>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</si>
  <si>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</si>
  <si>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</si>
  <si>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</si>
  <si>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</si>
  <si>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</si>
  <si>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</si>
  <si>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</si>
  <si>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</si>
  <si>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</si>
  <si>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</si>
  <si>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</si>
  <si>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</si>
  <si>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</si>
  <si>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</si>
  <si>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</si>
  <si>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</si>
  <si>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</si>
  <si>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</si>
  <si>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</si>
  <si>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</si>
  <si>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</si>
  <si>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</si>
  <si>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</si>
  <si>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</si>
  <si>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</si>
  <si>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</si>
  <si>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</si>
  <si>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</si>
  <si>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</si>
  <si>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</si>
  <si>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</si>
  <si>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</si>
  <si>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</si>
  <si>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</si>
  <si>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</si>
  <si>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</si>
  <si>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</si>
  <si>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</si>
  <si>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</si>
  <si>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</si>
  <si>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</si>
  <si>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</si>
  <si>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</si>
  <si>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</si>
  <si>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</si>
  <si>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</si>
  <si>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</si>
  <si>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</si>
  <si>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</si>
  <si>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</si>
  <si>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</si>
  <si>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</si>
  <si>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</si>
  <si>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</si>
  <si>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</si>
  <si>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</si>
  <si>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</si>
  <si>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</si>
  <si>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</si>
  <si>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</si>
  <si>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</si>
  <si>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</si>
  <si>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</si>
  <si>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</si>
  <si>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</si>
  <si>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</si>
  <si>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</si>
  <si>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</si>
  <si>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</si>
  <si>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</si>
  <si>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</si>
  <si>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</si>
  <si>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</si>
  <si>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</si>
  <si>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</si>
  <si>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</si>
  <si>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</si>
  <si>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</si>
  <si>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</si>
  <si>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</si>
  <si>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</si>
  <si>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</si>
  <si>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</si>
  <si>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</si>
  <si>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</si>
  <si>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</si>
  <si>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</si>
  <si>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</si>
  <si>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</si>
  <si>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</si>
  <si>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</si>
  <si>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</si>
  <si>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</si>
  <si>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</si>
  <si>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</si>
  <si>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</si>
  <si>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</si>
  <si>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</si>
  <si>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</si>
  <si>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</si>
  <si>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</si>
  <si>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</si>
  <si>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</si>
  <si>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</si>
  <si>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</si>
  <si>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</si>
  <si>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</si>
  <si>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</si>
  <si>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</si>
  <si>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</si>
  <si>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</si>
  <si>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</si>
  <si>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</si>
  <si>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</si>
  <si>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</si>
  <si>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</si>
  <si>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</si>
  <si>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</si>
  <si>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</si>
  <si>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</si>
  <si>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</si>
  <si>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</si>
  <si>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</si>
  <si>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</si>
  <si>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</si>
  <si>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</si>
  <si>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</si>
  <si>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</si>
  <si>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</si>
  <si>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</si>
  <si>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</si>
  <si>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</si>
  <si>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</si>
  <si>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</si>
  <si>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</si>
  <si>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</si>
  <si>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</si>
  <si>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</si>
  <si>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</si>
  <si>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</si>
  <si>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</si>
  <si>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</si>
  <si>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</si>
  <si>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</si>
  <si>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</si>
  <si>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</si>
  <si>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</si>
  <si>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</si>
  <si>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</si>
  <si>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</si>
  <si>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</si>
  <si>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</si>
  <si>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</si>
  <si>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</si>
  <si>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</si>
  <si>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</si>
  <si>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</si>
  <si>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</si>
  <si>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</si>
  <si>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</si>
  <si>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</si>
  <si>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</si>
  <si>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</si>
  <si>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</si>
  <si>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</si>
  <si>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</si>
  <si>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</si>
  <si>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</si>
  <si>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</si>
  <si>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</si>
  <si>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</si>
  <si>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</si>
  <si>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</si>
  <si>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</si>
  <si>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</si>
  <si>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</si>
  <si>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</si>
  <si>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</si>
  <si>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</si>
  <si>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</si>
  <si>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</si>
  <si>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</si>
  <si>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</si>
  <si>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</si>
  <si>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</si>
  <si>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</si>
  <si>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</si>
  <si>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</si>
  <si>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</si>
  <si>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</si>
  <si>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</si>
  <si>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</si>
  <si>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</si>
  <si>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</si>
  <si>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</si>
  <si>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</si>
  <si>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</si>
  <si>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</si>
  <si>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</si>
  <si>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</si>
  <si>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</si>
  <si>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</si>
  <si>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</si>
  <si>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</si>
  <si>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</si>
  <si>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</si>
  <si>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</si>
  <si>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</si>
  <si>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</si>
  <si>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</si>
  <si>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</si>
  <si>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</si>
  <si>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</si>
  <si>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</si>
  <si>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</si>
  <si>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</si>
  <si>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</si>
  <si>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</si>
  <si>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</si>
  <si>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</si>
  <si>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</si>
  <si>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</si>
  <si>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</si>
  <si>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</si>
  <si>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</si>
  <si>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</si>
  <si>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</si>
  <si>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</si>
  <si>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</si>
  <si>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</si>
  <si>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</si>
  <si>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</si>
  <si>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</si>
  <si>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</si>
  <si>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</si>
  <si>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</si>
  <si>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</si>
  <si>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</si>
  <si>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</si>
  <si>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</si>
  <si>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</si>
  <si>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</si>
  <si>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</si>
  <si>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</si>
  <si>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</si>
  <si>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</si>
  <si>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</si>
  <si>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</si>
  <si>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</si>
  <si>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</si>
  <si>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</si>
  <si>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</si>
  <si>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</si>
  <si>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</si>
  <si>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</si>
  <si>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</si>
  <si>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</si>
  <si>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</si>
  <si>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</si>
  <si>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</si>
  <si>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</si>
  <si>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</si>
  <si>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</si>
  <si>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</si>
  <si>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</si>
  <si>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</si>
  <si>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</si>
  <si>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</si>
  <si>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</si>
  <si>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</si>
  <si>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</si>
  <si>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</si>
  <si>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</si>
  <si>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</si>
  <si>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</si>
  <si>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</si>
  <si>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</si>
  <si>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</si>
  <si>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</si>
  <si>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</si>
  <si>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</si>
  <si>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</si>
  <si>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</si>
  <si>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</si>
  <si>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</si>
  <si>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</si>
  <si>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</si>
  <si>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</si>
  <si>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</si>
  <si>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</si>
  <si>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</si>
  <si>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</si>
  <si>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</si>
  <si>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</si>
  <si>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</si>
  <si>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</si>
  <si>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</si>
  <si>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</si>
  <si>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</si>
  <si>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</si>
  <si>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</si>
  <si>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</si>
  <si>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</si>
  <si>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</si>
  <si>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</si>
  <si>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</si>
  <si>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</si>
  <si>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</si>
  <si>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</si>
  <si>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</si>
  <si>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</si>
  <si>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</si>
  <si>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</si>
  <si>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</si>
  <si>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</si>
  <si>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</si>
  <si>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</si>
  <si>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</si>
  <si>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</si>
  <si>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</si>
  <si>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</si>
  <si>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</si>
  <si>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</si>
  <si>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</si>
  <si>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</si>
  <si>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</si>
  <si>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</si>
  <si>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</si>
  <si>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</si>
  <si>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</si>
  <si>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</si>
  <si>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</si>
  <si>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</si>
  <si>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</si>
  <si>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</si>
  <si>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</si>
  <si>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</si>
  <si>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</si>
  <si>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</si>
  <si>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</si>
  <si>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</si>
  <si>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</si>
  <si>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</si>
  <si>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</si>
  <si>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</si>
  <si>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</si>
  <si>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</si>
  <si>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</si>
  <si>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</si>
  <si>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</si>
  <si>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</si>
  <si>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</si>
  <si>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</si>
  <si>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</si>
  <si>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</si>
  <si>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</si>
  <si>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</si>
  <si>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</si>
  <si>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</si>
  <si>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</si>
  <si>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</si>
  <si>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</si>
  <si>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</si>
  <si>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</si>
  <si>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</si>
  <si>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</si>
  <si>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</si>
  <si>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</si>
  <si>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</si>
  <si>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</si>
  <si>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</si>
  <si>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</si>
  <si>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</si>
  <si>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</si>
  <si>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</si>
  <si>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</si>
  <si>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</si>
  <si>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</si>
  <si>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</si>
  <si>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</si>
  <si>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</si>
  <si>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</si>
  <si>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</si>
  <si>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</si>
  <si>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</si>
  <si>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</si>
  <si>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</si>
  <si>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</si>
  <si>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</si>
  <si>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</si>
  <si>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</si>
  <si>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</si>
  <si>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</si>
  <si>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</si>
  <si>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</si>
  <si>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</si>
  <si>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</si>
  <si>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</si>
  <si>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</si>
  <si>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</si>
  <si>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</si>
  <si>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</si>
  <si>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</si>
  <si>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</si>
  <si>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</si>
  <si>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</si>
  <si>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</si>
  <si>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</si>
  <si>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</si>
  <si>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</si>
  <si>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</si>
  <si>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</si>
  <si>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</si>
  <si>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</si>
  <si>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</si>
  <si>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</si>
  <si>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</si>
  <si>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</si>
  <si>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</si>
  <si>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</si>
  <si>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</si>
  <si>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</si>
  <si>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</si>
  <si>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</si>
  <si>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</si>
  <si>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</si>
  <si>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</si>
  <si>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</si>
  <si>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</si>
  <si>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</si>
  <si>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</si>
  <si>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</si>
  <si>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</si>
  <si>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</si>
  <si>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</si>
  <si>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</si>
  <si>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</si>
  <si>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</si>
  <si>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</si>
  <si>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</si>
  <si>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</si>
  <si>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</si>
  <si>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</si>
  <si>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</si>
  <si>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</si>
  <si>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</si>
  <si>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</si>
  <si>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</si>
  <si>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</si>
  <si>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</si>
  <si>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</si>
  <si>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</si>
  <si>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</si>
  <si>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</si>
  <si>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</si>
  <si>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</si>
  <si>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</si>
  <si>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</si>
  <si>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</si>
  <si>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</si>
  <si>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</si>
  <si>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</si>
  <si>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</si>
  <si>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</si>
  <si>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</si>
  <si>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</si>
  <si>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</si>
  <si>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</si>
  <si>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</si>
  <si>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</si>
  <si>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</si>
  <si>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</si>
  <si>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</si>
  <si>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</si>
  <si>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</si>
  <si>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</si>
  <si>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</si>
  <si>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</si>
  <si>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</si>
  <si>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</si>
  <si>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</si>
  <si>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</si>
  <si>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</si>
  <si>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</si>
  <si>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</si>
  <si>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</si>
  <si>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</si>
  <si>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</si>
  <si>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</si>
  <si>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</si>
  <si>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</si>
  <si>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</si>
  <si>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</si>
  <si>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</si>
  <si>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</si>
  <si>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</si>
  <si>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</si>
  <si>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</si>
  <si>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</si>
  <si>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</si>
  <si>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</si>
  <si>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</si>
  <si>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</si>
  <si>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</si>
  <si>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</si>
  <si>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</si>
  <si>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</si>
  <si>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</si>
  <si>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</si>
  <si>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</si>
  <si>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</si>
  <si>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</si>
  <si>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</si>
  <si>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</si>
  <si>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</si>
  <si>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</si>
  <si>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</si>
  <si>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</si>
  <si>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</si>
  <si>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</si>
  <si>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</si>
  <si>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</si>
  <si>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</si>
  <si>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</si>
  <si>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</si>
  <si>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</si>
  <si>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</si>
  <si>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</si>
  <si>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</si>
  <si>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</si>
  <si>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</si>
  <si>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</si>
  <si>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</si>
  <si>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</si>
  <si>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</si>
  <si>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</si>
  <si>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</si>
  <si>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</si>
  <si>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</si>
  <si>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</si>
  <si>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</si>
  <si>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</si>
  <si>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</si>
  <si>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</si>
  <si>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</si>
  <si>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</si>
  <si>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</si>
  <si>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</si>
  <si>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</si>
  <si>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</si>
  <si>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</si>
  <si>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</si>
  <si>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</si>
  <si>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</si>
  <si>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</si>
  <si>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</si>
  <si>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</si>
  <si>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</si>
  <si>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</si>
  <si>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</si>
  <si>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</si>
  <si>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</si>
  <si>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</si>
  <si>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</si>
  <si>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</si>
  <si>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</si>
  <si>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</si>
  <si>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</si>
  <si>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</si>
  <si>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</si>
  <si>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</si>
  <si>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</si>
  <si>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</si>
  <si>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</si>
  <si>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</si>
  <si>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</si>
  <si>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</si>
  <si>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</si>
  <si>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</si>
  <si>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</si>
  <si>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</si>
  <si>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</si>
  <si>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</si>
  <si>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</si>
  <si>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</si>
  <si>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</si>
  <si>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</si>
  <si>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</si>
  <si>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</si>
  <si>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</si>
  <si>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</si>
  <si>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</si>
  <si>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</si>
  <si>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</si>
  <si>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</si>
  <si>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</si>
  <si>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</si>
  <si>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</si>
  <si>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</si>
  <si>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</si>
  <si>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</si>
  <si>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</si>
  <si>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</si>
  <si>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</si>
  <si>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</si>
  <si>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</si>
  <si>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</si>
  <si>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</si>
  <si>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</si>
  <si>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</si>
  <si>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</si>
  <si>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</si>
  <si>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</si>
  <si>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</si>
  <si>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</si>
  <si>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</si>
  <si>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</si>
  <si>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</si>
  <si>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</si>
  <si>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</si>
  <si>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</si>
  <si>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</si>
  <si>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</si>
  <si>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</si>
  <si>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</si>
  <si>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</si>
  <si>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</si>
  <si>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</si>
  <si>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</si>
  <si>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</si>
  <si>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</si>
  <si>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</si>
  <si>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</si>
  <si>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</si>
  <si>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</si>
  <si>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</si>
  <si>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</si>
  <si>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</si>
  <si>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</si>
  <si>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</si>
  <si>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</si>
  <si>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</si>
  <si>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</si>
  <si>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</si>
  <si>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</si>
  <si>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</si>
  <si>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</si>
  <si>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</si>
  <si>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</si>
  <si>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</si>
  <si>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</si>
  <si>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</si>
  <si>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</si>
  <si>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</si>
  <si>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</si>
  <si>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</si>
  <si>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</si>
  <si>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</si>
  <si>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</si>
  <si>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</si>
  <si>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</si>
  <si>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</si>
  <si>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</si>
  <si>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</si>
  <si>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</si>
  <si>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</si>
  <si>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</si>
  <si>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</si>
  <si>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</si>
  <si>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</si>
  <si>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</si>
  <si>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</si>
  <si>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</si>
  <si>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</si>
  <si>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</si>
  <si>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</si>
  <si>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</si>
  <si>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</si>
  <si>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</si>
  <si>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</si>
  <si>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</si>
  <si>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</si>
  <si>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</si>
  <si>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</si>
  <si>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</si>
  <si>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</si>
  <si>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</si>
  <si>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</si>
  <si>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</si>
  <si>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</si>
  <si>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</si>
  <si>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</si>
  <si>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</si>
  <si>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</si>
  <si>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</si>
  <si>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</si>
  <si>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</si>
  <si>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</si>
  <si>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</si>
  <si>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</si>
  <si>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</si>
  <si>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</si>
  <si>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</si>
  <si>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</si>
  <si>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</si>
  <si>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</si>
  <si>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</si>
  <si>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</si>
  <si>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</si>
  <si>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</si>
  <si>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</si>
  <si>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</si>
  <si>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</si>
  <si>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</si>
  <si>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</si>
  <si>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</si>
  <si>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</si>
  <si>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</si>
  <si>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</si>
  <si>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</si>
  <si>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</si>
  <si>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</si>
  <si>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</si>
  <si>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</si>
  <si>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</si>
  <si>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</si>
  <si>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</si>
  <si>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</si>
  <si>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</si>
  <si>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</si>
  <si>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</si>
  <si>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</si>
  <si>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</si>
  <si>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</si>
  <si>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</si>
  <si>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</si>
  <si>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</si>
  <si>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</si>
  <si>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</si>
  <si>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</si>
  <si>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</si>
  <si>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</si>
  <si>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</si>
  <si>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</si>
  <si>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</si>
  <si>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</si>
  <si>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</si>
  <si>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</si>
  <si>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</si>
  <si>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</si>
  <si>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</si>
  <si>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</si>
  <si>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</si>
  <si>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</si>
  <si>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</si>
  <si>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</si>
  <si>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</si>
  <si>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</si>
  <si>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</si>
  <si>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</si>
  <si>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</si>
  <si>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</si>
  <si>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</si>
  <si>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</si>
  <si>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</si>
  <si>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</si>
  <si>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</si>
  <si>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</si>
  <si>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</si>
  <si>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</si>
  <si>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</si>
  <si>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</si>
  <si>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</si>
  <si>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</si>
  <si>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</si>
  <si>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</si>
  <si>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</si>
  <si>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</si>
  <si>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</si>
  <si>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</si>
  <si>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</si>
  <si>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</si>
  <si>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</si>
  <si>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</si>
  <si>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</si>
  <si>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</si>
  <si>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</si>
  <si>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</si>
  <si>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</si>
  <si>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</si>
  <si>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</si>
  <si>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</si>
  <si>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</si>
  <si>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</si>
  <si>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</si>
  <si>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</si>
  <si>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</si>
  <si>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</si>
  <si>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</si>
  <si>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</si>
  <si>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</si>
  <si>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</si>
  <si>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</si>
  <si>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</si>
  <si>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</si>
  <si>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</si>
  <si>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</si>
  <si>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</si>
  <si>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</si>
  <si>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</si>
  <si>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</si>
  <si>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</si>
  <si>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</si>
  <si>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</si>
  <si>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</si>
  <si>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</si>
  <si>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</si>
  <si>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</si>
  <si>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</si>
  <si>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</si>
  <si>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</si>
  <si>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</si>
  <si>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</si>
  <si>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</si>
  <si>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</si>
  <si>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</si>
  <si>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</si>
  <si>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</si>
  <si>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</si>
  <si>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</si>
  <si>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</si>
  <si>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</si>
  <si>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</si>
  <si>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</si>
  <si>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</si>
  <si>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</si>
  <si>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</si>
  <si>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</si>
  <si>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</si>
  <si>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</si>
  <si>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</si>
  <si>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</si>
  <si>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</si>
  <si>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</si>
  <si>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</si>
  <si>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</si>
  <si>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</si>
  <si>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</si>
  <si>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</si>
  <si>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</si>
  <si>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</si>
  <si>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</si>
  <si>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</si>
  <si>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</si>
  <si>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</si>
  <si>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</si>
  <si>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</si>
  <si>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</si>
  <si>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</si>
  <si>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</si>
  <si>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</si>
  <si>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</si>
  <si>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</si>
  <si>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</si>
  <si>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</si>
  <si>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</si>
  <si>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</si>
  <si>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</si>
  <si>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</si>
  <si>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</si>
  <si>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</si>
  <si>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</si>
  <si>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</si>
  <si>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</si>
  <si>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</si>
  <si>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</si>
  <si>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</si>
  <si>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</si>
  <si>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</si>
  <si>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</si>
  <si>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</si>
  <si>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</si>
  <si>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</si>
  <si>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</si>
  <si>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</si>
  <si>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</si>
  <si>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</si>
  <si>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</si>
  <si>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</si>
  <si>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</si>
  <si>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</si>
  <si>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</si>
  <si>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</si>
  <si>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</si>
  <si>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</si>
  <si>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</si>
  <si>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</si>
  <si>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</si>
  <si>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</si>
  <si>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</si>
  <si>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</si>
  <si>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</si>
  <si>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</si>
  <si>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</si>
  <si>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</si>
  <si>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</si>
  <si>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</si>
  <si>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</si>
  <si>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</si>
  <si>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</si>
  <si>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</si>
  <si>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</si>
  <si>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</si>
  <si>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</si>
  <si>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</si>
  <si>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</si>
  <si>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</si>
  <si>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</si>
  <si>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</si>
  <si>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</si>
  <si>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</si>
  <si>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</si>
  <si>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</si>
  <si>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</si>
  <si>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</si>
  <si>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</si>
  <si>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</si>
  <si>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</si>
  <si>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</si>
  <si>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</si>
  <si>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</si>
  <si>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</si>
  <si>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</si>
  <si>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</si>
  <si>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</si>
  <si>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</si>
  <si>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</si>
  <si>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</si>
  <si>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</si>
  <si>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</si>
  <si>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</si>
  <si>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</si>
  <si>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</si>
  <si>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</si>
  <si>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</si>
  <si>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</si>
  <si>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</si>
  <si>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</si>
  <si>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</si>
  <si>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</si>
  <si>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</si>
  <si>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</si>
  <si>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</si>
  <si>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</si>
  <si>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</si>
  <si>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</si>
  <si>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</si>
  <si>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</si>
  <si>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</si>
  <si>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</si>
  <si>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</si>
  <si>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</si>
  <si>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</si>
  <si>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</si>
  <si>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</si>
  <si>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</si>
  <si>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</si>
  <si>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</si>
  <si>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</si>
  <si>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</si>
  <si>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</si>
  <si>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</si>
  <si>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</si>
  <si>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</si>
  <si>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</si>
  <si>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</si>
  <si>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</si>
  <si>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</si>
  <si>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</si>
  <si>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</si>
  <si>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</si>
  <si>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</si>
  <si>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</si>
  <si>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</si>
  <si>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</si>
  <si>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</si>
  <si>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</si>
  <si>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</si>
  <si>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</si>
  <si>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</si>
  <si>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</si>
  <si>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</si>
  <si>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</si>
  <si>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</si>
  <si>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</si>
  <si>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</si>
  <si>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</si>
  <si>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</si>
  <si>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</si>
  <si>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</si>
  <si>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</si>
  <si>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</si>
  <si>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</si>
  <si>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</si>
  <si>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</si>
  <si>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</si>
  <si>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</si>
  <si>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</si>
  <si>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</si>
  <si>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</si>
  <si>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</si>
  <si>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</si>
  <si>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</si>
  <si>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</si>
  <si>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</si>
  <si>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</si>
  <si>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</si>
  <si>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</si>
  <si>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</si>
  <si>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</si>
  <si>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</si>
  <si>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</si>
  <si>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</si>
  <si>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</si>
  <si>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</si>
  <si>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</si>
  <si>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</si>
  <si>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</si>
  <si>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</si>
  <si>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</si>
  <si>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</si>
  <si>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</si>
  <si>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</si>
  <si>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</si>
  <si>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</si>
  <si>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</si>
  <si>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</si>
  <si>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</si>
  <si>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</si>
  <si>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</si>
  <si>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</si>
  <si>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</si>
  <si>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</si>
  <si>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</si>
  <si>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</si>
  <si>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</si>
  <si>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</si>
  <si>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</si>
  <si>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</si>
  <si>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</si>
  <si>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</si>
  <si>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</si>
  <si>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</si>
  <si>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</si>
  <si>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</si>
  <si>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</si>
  <si>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</si>
  <si>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</si>
  <si>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</si>
  <si>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</si>
  <si>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</si>
  <si>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</si>
  <si>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</si>
  <si>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</si>
  <si>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</si>
  <si>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</si>
  <si>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</si>
  <si>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</si>
  <si>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</si>
  <si>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</si>
  <si>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</si>
  <si>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</si>
  <si>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</si>
  <si>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</si>
  <si>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</si>
  <si>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</si>
  <si>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</si>
  <si>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</si>
  <si>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</si>
  <si>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</si>
  <si>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</si>
  <si>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</si>
  <si>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</si>
  <si>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</si>
  <si>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</si>
  <si>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</si>
  <si>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</si>
  <si>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</si>
  <si>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</si>
  <si>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</si>
  <si>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</si>
  <si>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</si>
  <si>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</si>
  <si>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</si>
  <si>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</si>
  <si>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</si>
  <si>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</si>
  <si>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</si>
  <si>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</si>
  <si>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</si>
  <si>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</si>
  <si>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</si>
  <si>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</si>
  <si>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</si>
  <si>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</si>
  <si>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</si>
  <si>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</si>
  <si>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</si>
  <si>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</si>
  <si>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</si>
  <si>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</si>
  <si>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</si>
  <si>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</si>
  <si>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</si>
  <si>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</si>
  <si>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</si>
  <si>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</si>
  <si>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</si>
  <si>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</si>
  <si>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</si>
  <si>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</si>
  <si>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</si>
  <si>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</si>
  <si>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</si>
  <si>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</si>
  <si>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</si>
  <si>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</si>
  <si>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</si>
  <si>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</si>
  <si>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</si>
  <si>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</si>
  <si>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</si>
  <si>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</si>
  <si>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</si>
  <si>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</si>
  <si>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</si>
  <si>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</si>
  <si>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</si>
  <si>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</si>
  <si>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</si>
  <si>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</si>
  <si>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</si>
  <si>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</si>
  <si>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</si>
  <si>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</si>
  <si>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</si>
  <si>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</si>
  <si>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</si>
  <si>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</si>
  <si>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</si>
  <si>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</si>
  <si>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</si>
  <si>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</si>
  <si>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</si>
  <si>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</si>
  <si>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</si>
  <si>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</si>
  <si>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</si>
  <si>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</si>
  <si>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</si>
  <si>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</si>
  <si>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</si>
  <si>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</si>
  <si>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</si>
  <si>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</si>
  <si>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</si>
  <si>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</si>
  <si>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</si>
  <si>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</si>
  <si>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</si>
  <si>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</si>
  <si>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</si>
  <si>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</si>
  <si>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</si>
  <si>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</si>
  <si>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</si>
  <si>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</si>
  <si>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</si>
  <si>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</si>
  <si>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</si>
  <si>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</si>
  <si>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</si>
  <si>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</si>
  <si>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</si>
  <si>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</si>
  <si>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</si>
  <si>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</si>
  <si>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</si>
  <si>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</si>
  <si>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</si>
  <si>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</si>
  <si>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</si>
  <si>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</si>
  <si>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</si>
  <si>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</si>
  <si>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</si>
  <si>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</si>
  <si>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</si>
  <si>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</si>
  <si>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</si>
  <si>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</si>
  <si>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</si>
  <si>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</si>
  <si>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</si>
  <si>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</si>
  <si>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</si>
  <si>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</si>
  <si>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</si>
  <si>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</si>
  <si>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</si>
  <si>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</si>
  <si>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</si>
  <si>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</si>
  <si>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</si>
  <si>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</si>
  <si>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</si>
  <si>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</si>
  <si>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</si>
  <si>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</si>
  <si>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</si>
  <si>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</si>
  <si>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</si>
  <si>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</si>
  <si>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</si>
  <si>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</si>
  <si>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</si>
  <si>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</si>
  <si>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</si>
  <si>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</si>
  <si>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</si>
  <si>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</si>
  <si>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</si>
  <si>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</si>
  <si>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</si>
  <si>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</si>
  <si>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</si>
  <si>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</si>
  <si>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</si>
  <si>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</si>
  <si>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</si>
  <si>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</si>
  <si>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</si>
  <si>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</si>
  <si>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</si>
  <si>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</si>
  <si>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</si>
  <si>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</si>
  <si>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</si>
  <si>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</si>
  <si>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</si>
  <si>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</si>
  <si>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</si>
  <si>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</si>
  <si>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</si>
  <si>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</si>
  <si>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</si>
  <si>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</si>
  <si>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</si>
  <si>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</si>
  <si>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</si>
  <si>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</si>
  <si>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</si>
  <si>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</si>
  <si>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</si>
  <si>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</si>
  <si>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</si>
  <si>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</si>
  <si>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</si>
  <si>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</si>
  <si>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</si>
  <si>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</si>
  <si>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</si>
  <si>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</si>
  <si>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</si>
  <si>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</si>
  <si>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</si>
  <si>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</si>
  <si>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</si>
  <si>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</si>
  <si>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</si>
  <si>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</si>
  <si>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</si>
  <si>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</si>
  <si>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</si>
  <si>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</si>
  <si>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</si>
  <si>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</si>
  <si>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</si>
  <si>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</si>
  <si>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</si>
  <si>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</si>
  <si>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</si>
  <si>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</si>
  <si>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</si>
  <si>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</si>
  <si>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</si>
  <si>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</si>
  <si>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</si>
  <si>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</si>
  <si>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</si>
  <si>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</si>
  <si>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</si>
  <si>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</si>
  <si>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</si>
  <si>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</si>
  <si>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</si>
  <si>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</si>
  <si>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</si>
  <si>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</si>
  <si>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</si>
  <si>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</si>
  <si>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</si>
  <si>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</si>
  <si>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</si>
  <si>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</si>
  <si>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</si>
  <si>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</si>
  <si>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</si>
  <si>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</si>
  <si>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</si>
  <si>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</si>
  <si>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</si>
  <si>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</si>
  <si>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</si>
  <si>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</si>
  <si>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</si>
  <si>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</si>
  <si>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</si>
  <si>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</si>
  <si>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</si>
  <si>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</si>
  <si>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</si>
  <si>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</si>
  <si>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</si>
  <si>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</si>
  <si>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</si>
  <si>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</si>
  <si>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</si>
  <si>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</si>
  <si>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</si>
  <si>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</si>
  <si>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</si>
  <si>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</si>
  <si>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</si>
  <si>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</si>
  <si>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</si>
  <si>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</si>
  <si>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</si>
  <si>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</si>
  <si>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</si>
  <si>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</si>
  <si>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</si>
  <si>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</si>
  <si>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</si>
  <si>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</si>
  <si>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</si>
  <si>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</si>
  <si>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</si>
  <si>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</si>
  <si>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</si>
  <si>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</si>
  <si>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</si>
  <si>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</si>
  <si>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</si>
  <si>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</si>
  <si>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</si>
  <si>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</si>
  <si>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</si>
  <si>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</si>
  <si>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</si>
  <si>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</si>
  <si>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</si>
  <si>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</si>
  <si>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</si>
  <si>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</si>
  <si>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</si>
  <si>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</si>
  <si>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</si>
  <si>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</si>
  <si>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</si>
  <si>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</si>
  <si>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</si>
  <si>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</si>
  <si>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</si>
  <si>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</si>
  <si>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</si>
  <si>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</si>
  <si>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</si>
  <si>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</si>
  <si>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</si>
  <si>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</si>
  <si>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</si>
  <si>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</si>
  <si>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</si>
  <si>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</si>
  <si>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</si>
  <si>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</si>
  <si>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</si>
  <si>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</si>
  <si>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</si>
  <si>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</si>
  <si>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</si>
  <si>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</si>
  <si>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</si>
  <si>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</si>
  <si>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</si>
  <si>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</si>
  <si>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</si>
  <si>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</si>
  <si>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</si>
  <si>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</si>
  <si>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</si>
  <si>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</si>
  <si>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</si>
  <si>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</si>
  <si>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</si>
  <si>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</si>
  <si>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</si>
  <si>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</si>
  <si>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</si>
  <si>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</si>
  <si>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</si>
  <si>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</si>
  <si>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</si>
  <si>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</si>
  <si>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</si>
  <si>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</si>
  <si>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</si>
  <si>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</si>
  <si>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</si>
  <si>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</si>
  <si>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</si>
  <si>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</si>
  <si>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</si>
  <si>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</si>
  <si>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</si>
  <si>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</si>
  <si>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</si>
  <si>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</si>
  <si>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</si>
  <si>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</si>
  <si>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</si>
  <si>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</si>
  <si>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</si>
  <si>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</si>
  <si>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</si>
  <si>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</si>
  <si>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</si>
  <si>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</si>
  <si>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</si>
  <si>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</si>
  <si>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</si>
  <si>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</si>
  <si>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</si>
  <si>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</si>
  <si>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</si>
  <si>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</si>
  <si>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</si>
  <si>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</si>
  <si>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</si>
  <si>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</si>
  <si>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</si>
  <si>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</si>
  <si>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</si>
  <si>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</si>
  <si>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</si>
  <si>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</si>
  <si>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</si>
  <si>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</si>
  <si>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</si>
  <si>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</si>
  <si>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</si>
  <si>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</si>
  <si>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</si>
  <si>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</si>
  <si>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</si>
  <si>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</si>
  <si>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</si>
  <si>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</si>
  <si>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</si>
  <si>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</si>
  <si>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</si>
  <si>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</si>
  <si>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</si>
  <si>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</si>
  <si>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</si>
  <si>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</si>
  <si>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</si>
  <si>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</si>
  <si>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</si>
  <si>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</si>
  <si>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</si>
  <si>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</si>
  <si>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</si>
  <si>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</si>
  <si>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</si>
  <si>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</si>
  <si>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</si>
  <si>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</si>
  <si>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</si>
  <si>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</si>
  <si>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</si>
  <si>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</si>
  <si>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</si>
  <si>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</si>
  <si>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</si>
  <si>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</si>
  <si>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</si>
  <si>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</si>
  <si>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</si>
  <si>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</si>
  <si>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</si>
  <si>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</si>
  <si>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</si>
  <si>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</si>
  <si>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</si>
  <si>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</si>
  <si>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</si>
  <si>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</si>
  <si>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</si>
  <si>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</si>
  <si>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</si>
  <si>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</si>
  <si>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</si>
  <si>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</si>
  <si>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</si>
  <si>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</si>
  <si>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</si>
  <si>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</si>
  <si>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</si>
  <si>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</si>
  <si>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</si>
  <si>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</si>
  <si>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</si>
  <si>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</si>
  <si>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</si>
  <si>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</si>
  <si>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</si>
  <si>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</si>
  <si>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</si>
  <si>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</si>
  <si>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</si>
  <si>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</si>
  <si>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</si>
  <si>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</si>
  <si>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</si>
  <si>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</si>
  <si>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</si>
  <si>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</si>
  <si>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</si>
  <si>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</si>
  <si>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</si>
  <si>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</si>
  <si>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</si>
  <si>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</si>
  <si>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</si>
  <si>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</si>
  <si>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</si>
  <si>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</si>
  <si>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</si>
  <si>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</si>
  <si>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</si>
  <si>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</si>
  <si>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</si>
  <si>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</si>
  <si>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</si>
  <si>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</si>
  <si>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</si>
  <si>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</si>
  <si>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</si>
  <si>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</si>
  <si>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</si>
  <si>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</si>
  <si>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</si>
  <si>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</si>
  <si>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</si>
  <si>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</si>
  <si>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</si>
  <si>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</si>
  <si>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</si>
  <si>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</si>
  <si>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</si>
  <si>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</si>
  <si>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</si>
  <si>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</si>
  <si>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</si>
  <si>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</si>
  <si>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</si>
  <si>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</si>
  <si>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</si>
  <si>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</si>
  <si>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</si>
  <si>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</si>
  <si>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</si>
  <si>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</si>
  <si>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</si>
  <si>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</si>
  <si>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</si>
  <si>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</si>
  <si>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</si>
  <si>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</si>
  <si>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</si>
  <si>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</si>
  <si>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</si>
  <si>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</si>
  <si>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</si>
  <si>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</si>
  <si>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</si>
  <si>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</si>
  <si>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</si>
  <si>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</si>
  <si>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</si>
  <si>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</si>
  <si>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</si>
  <si>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</si>
  <si>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</si>
  <si>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</si>
  <si>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</si>
  <si>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</si>
  <si>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</si>
  <si>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</si>
  <si>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</si>
  <si>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</si>
  <si>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</si>
  <si>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</si>
  <si>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</si>
  <si>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</si>
  <si>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</si>
  <si>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</si>
  <si>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</si>
  <si>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</si>
  <si>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</si>
  <si>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</si>
  <si>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</si>
  <si>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</si>
  <si>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</si>
  <si>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</si>
  <si>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</si>
  <si>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</si>
  <si>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</si>
  <si>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</si>
  <si>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</si>
  <si>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</si>
  <si>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</si>
  <si>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</si>
  <si>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</si>
  <si>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</si>
  <si>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</si>
  <si>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</si>
  <si>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</si>
  <si>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</si>
  <si>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</si>
  <si>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</si>
  <si>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</si>
  <si>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</si>
  <si>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</si>
  <si>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</si>
  <si>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</si>
  <si>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</si>
  <si>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</si>
  <si>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</si>
  <si>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</si>
  <si>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</si>
  <si>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</si>
  <si>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</si>
  <si>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</si>
  <si>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</si>
  <si>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</si>
  <si>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</si>
  <si>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</si>
  <si>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</si>
  <si>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</si>
  <si>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</si>
  <si>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</si>
  <si>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</si>
  <si>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</si>
  <si>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</si>
  <si>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</si>
  <si>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</si>
  <si>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</si>
  <si>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</si>
  <si>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</si>
  <si>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</si>
  <si>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</si>
  <si>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</si>
  <si>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</si>
  <si>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</si>
  <si>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</si>
  <si>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</si>
  <si>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</si>
  <si>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</si>
  <si>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</si>
  <si>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</si>
  <si>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</si>
  <si>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</si>
  <si>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</si>
  <si>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</si>
  <si>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</si>
  <si>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</si>
  <si>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</si>
  <si>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</si>
  <si>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</si>
  <si>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</si>
  <si>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</si>
  <si>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</si>
  <si>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</si>
  <si>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</si>
  <si>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</si>
  <si>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</si>
  <si>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</si>
  <si>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</si>
  <si>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</si>
  <si>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</si>
  <si>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</si>
  <si>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</si>
  <si>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</si>
  <si>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</si>
  <si>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</si>
  <si>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</si>
  <si>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</si>
  <si>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</si>
  <si>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</si>
  <si>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</si>
  <si>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</si>
  <si>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</si>
  <si>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</si>
  <si>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</si>
  <si>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</si>
  <si>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</si>
  <si>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</si>
  <si>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</si>
  <si>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</si>
  <si>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</si>
  <si>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</si>
  <si>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</si>
  <si>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</si>
  <si>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</si>
  <si>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</si>
  <si>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</si>
  <si>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</si>
  <si>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</si>
  <si>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</si>
  <si>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</si>
  <si>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</si>
  <si>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</si>
  <si>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</si>
  <si>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</si>
  <si>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</si>
  <si>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</si>
  <si>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</si>
  <si>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</si>
  <si>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</si>
  <si>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</si>
  <si>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</si>
  <si>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</si>
  <si>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</si>
  <si>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</si>
  <si>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</si>
  <si>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</si>
  <si>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</si>
  <si>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</si>
  <si>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</si>
  <si>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</si>
  <si>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</si>
  <si>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</si>
  <si>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</si>
  <si>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</si>
  <si>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</si>
  <si>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</si>
  <si>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</si>
  <si>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</si>
  <si>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</si>
  <si>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</si>
  <si>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</si>
  <si>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</si>
  <si>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</si>
  <si>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</si>
  <si>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</si>
  <si>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</si>
  <si>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</si>
  <si>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</si>
  <si>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</si>
  <si>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</si>
  <si>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</si>
  <si>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</si>
  <si>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</si>
  <si>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</si>
  <si>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</si>
  <si>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</si>
  <si>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</si>
  <si>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</si>
  <si>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</si>
  <si>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</si>
  <si>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</si>
  <si>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</si>
  <si>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</si>
  <si>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</si>
  <si>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</si>
  <si>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</si>
  <si>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</si>
  <si>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</si>
  <si>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</si>
  <si>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</si>
  <si>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</si>
  <si>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</si>
  <si>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</si>
  <si>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</si>
  <si>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</si>
  <si>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</si>
  <si>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</si>
  <si>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</si>
  <si>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</si>
  <si>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</si>
  <si>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</si>
  <si>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</si>
  <si>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</si>
  <si>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</si>
  <si>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</si>
  <si>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</si>
  <si>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</si>
  <si>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</si>
  <si>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</si>
  <si>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</si>
  <si>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</si>
  <si>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</si>
  <si>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</si>
  <si>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</si>
  <si>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</si>
  <si>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</si>
  <si>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</si>
  <si>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</si>
  <si>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</si>
  <si>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</si>
  <si>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</si>
  <si>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</si>
  <si>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</si>
  <si>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</si>
  <si>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</si>
  <si>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</si>
  <si>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</si>
  <si>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</si>
  <si>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</si>
  <si>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</si>
  <si>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</si>
  <si>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</si>
  <si>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</si>
  <si>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</si>
  <si>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</si>
  <si>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</si>
  <si>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</si>
  <si>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</si>
  <si>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</si>
  <si>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</si>
  <si>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</si>
  <si>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</si>
  <si>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</si>
  <si>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</si>
  <si>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</si>
  <si>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</si>
  <si>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</si>
  <si>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</si>
  <si>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</si>
  <si>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</si>
  <si>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</si>
  <si>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</si>
  <si>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</si>
  <si>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</si>
  <si>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</si>
  <si>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</si>
  <si>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</si>
  <si>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</si>
  <si>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</si>
  <si>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</si>
  <si>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</si>
  <si>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</si>
  <si>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</si>
  <si>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</si>
  <si>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</si>
  <si>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</si>
  <si>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</si>
  <si>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</si>
  <si>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</si>
  <si>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</si>
  <si>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</si>
  <si>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</si>
  <si>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</si>
  <si>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</si>
  <si>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</si>
  <si>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</si>
  <si>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</si>
  <si>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</si>
  <si>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</si>
  <si>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</si>
  <si>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</si>
  <si>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</si>
  <si>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</si>
  <si>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</si>
  <si>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</si>
  <si>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</si>
  <si>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</si>
  <si>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</si>
  <si>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</si>
  <si>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</si>
  <si>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</si>
  <si>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</si>
  <si>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</si>
  <si>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</si>
  <si>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</si>
  <si>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</si>
  <si>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</si>
  <si>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</si>
  <si>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</si>
  <si>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</si>
  <si>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</si>
  <si>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</si>
  <si>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</si>
  <si>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</si>
  <si>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</si>
  <si>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</si>
  <si>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</si>
  <si>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</si>
  <si>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</si>
  <si>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</si>
  <si>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</si>
  <si>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</si>
  <si>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</si>
  <si>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</si>
  <si>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</si>
  <si>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</si>
  <si>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</si>
  <si>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</si>
  <si>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</si>
  <si>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</si>
  <si>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</si>
  <si>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</si>
  <si>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</si>
  <si>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</si>
  <si>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</si>
  <si>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</si>
  <si>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</si>
  <si>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</si>
  <si>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</si>
  <si>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</si>
  <si>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</si>
  <si>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</si>
  <si>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</si>
  <si>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</si>
  <si>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</si>
  <si>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</si>
  <si>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</si>
  <si>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</si>
  <si>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</si>
  <si>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</si>
  <si>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</si>
  <si>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</si>
  <si>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</si>
  <si>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</si>
  <si>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</si>
  <si>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</si>
  <si>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</si>
  <si>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</si>
  <si>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</si>
  <si>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</si>
  <si>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</si>
  <si>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</si>
  <si>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</si>
  <si>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</si>
  <si>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</si>
  <si>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</si>
  <si>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</si>
  <si>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</si>
  <si>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</si>
  <si>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</si>
  <si>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</si>
  <si>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</si>
  <si>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</si>
  <si>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</si>
  <si>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</si>
  <si>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</si>
  <si>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</si>
  <si>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</si>
  <si>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</si>
  <si>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</si>
  <si>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</si>
  <si>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</si>
  <si>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</si>
  <si>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</si>
  <si>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</si>
  <si>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</si>
  <si>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</si>
  <si>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</si>
  <si>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</si>
  <si>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</si>
  <si>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</si>
  <si>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</si>
  <si>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</si>
  <si>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</si>
  <si>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</si>
  <si>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</si>
  <si>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</si>
  <si>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</si>
  <si>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</si>
  <si>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</si>
  <si>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</si>
  <si>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</si>
  <si>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</si>
  <si>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</si>
  <si>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</si>
  <si>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</si>
  <si>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</si>
  <si>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</si>
  <si>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</si>
  <si>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</si>
  <si>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</si>
  <si>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</si>
  <si>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</si>
  <si>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</si>
  <si>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</si>
  <si>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</si>
  <si>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</si>
  <si>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</si>
  <si>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</si>
  <si>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</si>
  <si>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</si>
  <si>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</si>
  <si>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</si>
  <si>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</si>
  <si>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</si>
  <si>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</si>
  <si>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</si>
  <si>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</si>
  <si>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</si>
  <si>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</si>
  <si>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</si>
  <si>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</si>
  <si>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</si>
  <si>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</si>
  <si>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</si>
  <si>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</si>
  <si>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</si>
  <si>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</si>
  <si>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</si>
  <si>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</si>
  <si>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</si>
  <si>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</si>
  <si>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</si>
  <si>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</si>
  <si>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</si>
  <si>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</si>
  <si>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</si>
  <si>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</si>
  <si>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</si>
  <si>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</si>
  <si>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</si>
  <si>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</si>
  <si>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</si>
  <si>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</si>
  <si>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</si>
  <si>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</si>
  <si>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</si>
  <si>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</si>
  <si>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</si>
  <si>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</si>
  <si>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</si>
  <si>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</si>
  <si>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</si>
  <si>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</si>
  <si>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</si>
  <si>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</si>
  <si>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</si>
  <si>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</si>
  <si>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</si>
  <si>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</si>
  <si>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</si>
  <si>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</si>
  <si>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</si>
  <si>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</si>
  <si>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</si>
  <si>
    <t>{nClass=14,nIcon=592,nFrame=2,szName="据点大旗·重置剩余",nTime=10,key="据点大旗·旗手提示",},</t>
    <phoneticPr fontId="18" type="noConversion"/>
  </si>
  <si>
    <t>{nClass=1,nIcon=1272,nFrame=2,szName="据点大旗·旗手提示",nTime=-1,key="据点大旗·旗手提示",},</t>
    <phoneticPr fontId="18" type="noConversion"/>
  </si>
  <si>
    <t>{nClass=-1,nIcon=2864,nFrame=7,szName="霸图·已刷新",nTime=2,nRefresh=600,key="霸图",},</t>
    <phoneticPr fontId="18" type="noConversion"/>
  </si>
  <si>
    <t>{nClass=-1,nIcon=845,nFrame=3,szName="孙永恒·已刷新",nTime=2,nRefresh=600,key="孙永恒",},</t>
    <phoneticPr fontId="18" type="noConversion"/>
  </si>
  <si>
    <t>{nClass=-1,nIcon=589,nFrame=7,szName="赵新宇·已刷新",nTime=2,nRefresh=600,key="赵新宇",},</t>
    <phoneticPr fontId="18" type="noConversion"/>
  </si>
  <si>
    <t>{nClass=-1,nIcon=308,nFrame=3,szName="方超·已刷新",nTime=2,nRefresh=600,key="方超",},</t>
    <phoneticPr fontId="18" type="noConversion"/>
  </si>
  <si>
    <t>{nClass=14,nIcon=592,nFrame=8,szName="【{$me}】·拾取大旗",nTime=30,key="拾取大旗·{$me}",},</t>
    <phoneticPr fontId="18" type="noConversion"/>
  </si>
  <si>
    <t>{nClass=8,nIcon=1537,nFrame=0,nTime="1,屹立不倒·{$sender}·正在释放;9.5,屹立不倒·{$sender}·50减伤;32.5,屹立不倒·{$sender}·释放剩余;40.5,屹立不倒·{$sender}·释放延迟",szName="屹立不倒",nRefresh=0,key="屹立不倒",},</t>
    <phoneticPr fontId="18" type="noConversion"/>
  </si>
  <si>
    <t>{nClass=9,nIcon=1537,nFrame=0,nTime="9,屹立不倒·{$sender}·50减伤;31.5,屹立不倒·{$sender}·释放剩余;40,屹立不倒·{$sender}·释放延迟",szName="屹立不倒",nRefresh=1,key="屹立不倒",},</t>
    <phoneticPr fontId="18" type="noConversion"/>
  </si>
  <si>
    <t>{nClass=4,nIcon=13,nTime=-1,szName="屹立不倒",key="屹立不倒",},</t>
    <phoneticPr fontId="18" type="noConversion"/>
  </si>
  <si>
    <t>{nClass=7,nIcon=1537,nFrame=0,nTime=32.5,szName="屹立不倒·{$receiver}·释放剩余",key="屹立不倒",},</t>
    <phoneticPr fontId="18" type="noConversion"/>
  </si>
  <si>
    <t>减疗</t>
    <phoneticPr fontId="18" type="noConversion"/>
  </si>
  <si>
    <t>火圈每层减疗10%</t>
    <phoneticPr fontId="18" type="noConversion"/>
  </si>
  <si>
    <t>疗</t>
    <phoneticPr fontId="18" type="noConversion"/>
  </si>
  <si>
    <t>#AAAAAA</t>
  </si>
  <si>
    <t>#AAAAAAFF</t>
    <phoneticPr fontId="18" type="noConversion"/>
  </si>
  <si>
    <t>170,170,170,</t>
    <phoneticPr fontId="18" type="noConversion"/>
  </si>
  <si>
    <t>当前分线即将关闭，请离场景内所有侠士。</t>
    <phoneticPr fontId="18" type="noConversion"/>
  </si>
  <si>
    <t>分线关闭·请离侠士</t>
    <phoneticPr fontId="18" type="noConversion"/>
  </si>
  <si>
    <t>{nClass=20,nIcon=2400,nFrame=0,bHold=true,szName="主战场·平局",nTime=57,nRefresh=5,key="大攻防·主战场",},</t>
    <phoneticPr fontId="18" type="noConversion"/>
  </si>
  <si>
    <t>{nClass=20,nIcon=2402,nFrame=4,bHold=true,szName="奇袭场·平局",nTime=57,nRefresh=5,key="大攻防·奇袭场",},</t>
    <phoneticPr fontId="18" type="noConversion"/>
  </si>
  <si>
    <t>{nClass=20,nIcon=2402,nFrame=4,bHold=true,szName="{$1}·{$2}·{$3}",nTime=57,nRefresh=5,key="大攻防·奇袭场",},</t>
    <phoneticPr fontId="18" type="noConversion"/>
  </si>
  <si>
    <t>{nClass=20,nIcon=2400,nFrame=0,bHold=true,szName="{$1}·{$2}·{$3}",nTime=57,nRefresh=5,key="大攻防·主战场",},</t>
    <phoneticPr fontId="18" type="noConversion"/>
  </si>
  <si>
    <t>{dwMapID=-1,nMaxDistance=6,tRelation={bAll=false,bEnemy=false,bAlly=true,},tLife={bEnable=false,szOperator="&gt;",nValue=0,},},</t>
    <phoneticPr fontId="18" type="noConversion"/>
  </si>
  <si>
    <t>{nClass=1,nIcon=13,szName="绣球花",nTime=-1,key="绣球花",},{nClass=1,nIcon=13,szName="郁金香",nTime=-1,key="郁金香",},{nClass=1,nIcon=13,szName="牵牛花",nTime=-1,key="牵牛花",},</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</si>
</sst>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7">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xf numFmtId="0" fontId="0" fillId="44" borderId="0" xfId="0" applyFill="1">
      <alignment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1778162949810,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2392</v>
      </c>
      <c r="K38" s="2" t="s">
        <v>2391</v>
      </c>
      <c r="M38" s="3" t="s">
        <v>1120</v>
      </c>
      <c r="N38" s="3" t="s">
        <v>1121</v>
      </c>
      <c r="O38" s="3" t="s">
        <v>1122</v>
      </c>
    </row>
    <row r="39" spans="1:15" x14ac:dyDescent="0.15">
      <c r="A39" s="3">
        <v>7</v>
      </c>
      <c r="B39" s="3" t="s">
        <v>95</v>
      </c>
      <c r="K39" s="44" t="s">
        <v>2631</v>
      </c>
      <c r="M39" s="3" t="s">
        <v>1123</v>
      </c>
      <c r="N39" s="3" t="s">
        <v>1124</v>
      </c>
      <c r="O39" s="3" t="s">
        <v>1123</v>
      </c>
    </row>
    <row r="40" spans="1:15" x14ac:dyDescent="0.15">
      <c r="A40" s="3">
        <v>8</v>
      </c>
      <c r="B40" s="3" t="s">
        <v>99</v>
      </c>
      <c r="K40" s="45" t="s">
        <v>2632</v>
      </c>
      <c r="M40" s="3" t="s">
        <v>1125</v>
      </c>
      <c r="N40" s="3" t="s">
        <v>1126</v>
      </c>
      <c r="O40" s="3" t="s">
        <v>1127</v>
      </c>
    </row>
    <row r="41" spans="1:15" x14ac:dyDescent="0.15">
      <c r="A41" s="3">
        <v>9</v>
      </c>
      <c r="B41" s="3" t="s">
        <v>104</v>
      </c>
      <c r="K41" s="46" t="s">
        <v>2633</v>
      </c>
      <c r="M41" s="3" t="s">
        <v>1128</v>
      </c>
      <c r="N41" s="3" t="s">
        <v>1129</v>
      </c>
      <c r="O41" s="3" t="s">
        <v>1130</v>
      </c>
    </row>
    <row r="42" spans="1:15" x14ac:dyDescent="0.15">
      <c r="A42" s="3">
        <v>10</v>
      </c>
      <c r="B42" s="3" t="s">
        <v>107</v>
      </c>
      <c r="K42" s="47" t="s">
        <v>2634</v>
      </c>
      <c r="M42" s="3" t="s">
        <v>1131</v>
      </c>
      <c r="N42" s="3" t="s">
        <v>1132</v>
      </c>
      <c r="O42" s="3" t="s">
        <v>1131</v>
      </c>
    </row>
    <row r="43" spans="1:15" x14ac:dyDescent="0.15">
      <c r="A43" s="3">
        <v>11</v>
      </c>
      <c r="B43" s="3" t="s">
        <v>111</v>
      </c>
      <c r="K43" s="49" t="s">
        <v>2636</v>
      </c>
      <c r="M43" s="3" t="s">
        <v>1133</v>
      </c>
      <c r="N43" s="3" t="s">
        <v>1134</v>
      </c>
      <c r="O43" s="3" t="s">
        <v>1135</v>
      </c>
    </row>
    <row r="44" spans="1:15" x14ac:dyDescent="0.15">
      <c r="A44" s="3">
        <v>12</v>
      </c>
      <c r="B44" s="3" t="s">
        <v>115</v>
      </c>
      <c r="K44" s="48" t="s">
        <v>2635</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6"/>
  <sheetViews>
    <sheetView topLeftCell="AB9" workbookViewId="0">
      <selection activeCell="AN46" sqref="AN46"/>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1965</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1927</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2054</v>
      </c>
      <c r="I3" s="36">
        <v>1</v>
      </c>
      <c r="K3" s="36" t="s">
        <v>1824</v>
      </c>
      <c r="T3" s="36">
        <v>1</v>
      </c>
      <c r="AN3" s="36"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1826</v>
      </c>
      <c r="I4" s="36">
        <v>2</v>
      </c>
      <c r="K4" s="36" t="s">
        <v>1825</v>
      </c>
      <c r="L4" s="36" t="s">
        <v>1827</v>
      </c>
      <c r="T4" s="36">
        <v>1</v>
      </c>
      <c r="AE4" s="36" t="s">
        <v>1968</v>
      </c>
      <c r="AF4" s="36">
        <v>3</v>
      </c>
      <c r="AG4" s="36" t="s">
        <v>1829</v>
      </c>
      <c r="AH4" s="36" t="s">
        <v>1828</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2387</v>
      </c>
      <c r="I5" s="36">
        <v>3</v>
      </c>
      <c r="K5" s="36" t="s">
        <v>2386</v>
      </c>
      <c r="L5" s="36" t="s">
        <v>1961</v>
      </c>
      <c r="R5" s="36">
        <v>1</v>
      </c>
      <c r="AN5" s="36" t="str">
        <f t="shared" si="0"/>
        <v>{dwID=7373,nLevel=1,nIcon=134,szName="箭弩车",nScrutinyType=3,szNote="箭弩车记录ID",col={255,50,255,},[1]={bScreenHead=true,},[2]={},},</v>
      </c>
    </row>
    <row r="6" spans="1:45" s="36" customFormat="1" x14ac:dyDescent="0.15">
      <c r="C6" s="36">
        <v>13876</v>
      </c>
      <c r="D6" s="36">
        <v>1</v>
      </c>
      <c r="G6" s="36" t="s">
        <v>2675</v>
      </c>
      <c r="I6" s="36">
        <v>2</v>
      </c>
      <c r="K6" s="36" t="s">
        <v>2674</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2627</v>
      </c>
      <c r="T7" s="36">
        <v>1</v>
      </c>
      <c r="V7" s="36">
        <v>1</v>
      </c>
      <c r="AN7" s="36" t="str">
        <f t="shared" si="0"/>
        <v>{dwID=13885,nLevel=1,szName="庇佑",nScrutinyType=2,szNote="战车庇佑",col={0,255,0,},[1]={bBuffList=true,bTeamPanel=true,},[2]={},},</v>
      </c>
    </row>
    <row r="8" spans="1:45" s="36" customFormat="1" x14ac:dyDescent="0.15">
      <c r="C8" s="36">
        <v>8606</v>
      </c>
      <c r="D8" s="36">
        <v>1</v>
      </c>
      <c r="G8" s="36" t="s">
        <v>1912</v>
      </c>
      <c r="I8" s="36">
        <v>1</v>
      </c>
      <c r="K8" s="36" t="s">
        <v>1911</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2165</v>
      </c>
      <c r="AQ9" s="35"/>
      <c r="AR9" s="35"/>
      <c r="AS9" s="35"/>
    </row>
    <row r="10" spans="1:45" x14ac:dyDescent="0.15">
      <c r="A10" s="35"/>
      <c r="B10" s="35"/>
      <c r="C10" s="35">
        <v>8607</v>
      </c>
      <c r="D10" s="35">
        <v>1</v>
      </c>
      <c r="E10" s="35"/>
      <c r="F10" s="35"/>
      <c r="G10" s="35" t="s">
        <v>2676</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2680</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2628</v>
      </c>
      <c r="H13" s="31"/>
      <c r="I13" s="31"/>
      <c r="J13" s="31"/>
      <c r="K13" s="31" t="s">
        <v>1653</v>
      </c>
      <c r="L13" s="31" t="s">
        <v>2112</v>
      </c>
      <c r="M13" s="31"/>
      <c r="N13" s="31"/>
      <c r="O13" s="31"/>
      <c r="P13" s="31"/>
      <c r="Q13" s="31"/>
      <c r="R13" s="31">
        <v>1</v>
      </c>
      <c r="S13" s="31">
        <v>1</v>
      </c>
      <c r="T13" s="31">
        <v>1</v>
      </c>
      <c r="V13" s="31">
        <v>1</v>
      </c>
      <c r="W13" s="31"/>
      <c r="X13" s="31"/>
      <c r="Y13" s="31"/>
      <c r="Z13" s="31"/>
      <c r="AA13" s="31"/>
      <c r="AB13" s="31"/>
      <c r="AC13" s="31"/>
      <c r="AD13" s="31"/>
      <c r="AE13" s="31" t="s">
        <v>2020</v>
      </c>
      <c r="AF13" s="31">
        <v>2</v>
      </c>
      <c r="AG13" s="31" t="s">
        <v>2174</v>
      </c>
      <c r="AH13" s="31" t="s">
        <v>2175</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2571</v>
      </c>
      <c r="AP13" s="36" t="s">
        <v>2570</v>
      </c>
      <c r="AQ13" s="31"/>
      <c r="AR13" s="31"/>
      <c r="AS13" s="31"/>
    </row>
    <row r="14" spans="1:45" x14ac:dyDescent="0.15">
      <c r="A14" s="31"/>
      <c r="B14" s="31"/>
      <c r="C14" s="31">
        <v>7525</v>
      </c>
      <c r="D14" s="31">
        <v>1</v>
      </c>
      <c r="E14" s="31"/>
      <c r="F14" s="31"/>
      <c r="G14" s="31" t="s">
        <v>2629</v>
      </c>
      <c r="H14" s="31"/>
      <c r="I14" s="31"/>
      <c r="J14" s="31"/>
      <c r="K14" s="31" t="s">
        <v>1652</v>
      </c>
      <c r="L14" s="31" t="s">
        <v>2112</v>
      </c>
      <c r="M14" s="31"/>
      <c r="N14" s="31"/>
      <c r="O14" s="31"/>
      <c r="P14" s="31"/>
      <c r="Q14" s="31"/>
      <c r="R14" s="31">
        <v>1</v>
      </c>
      <c r="S14" s="31">
        <v>1</v>
      </c>
      <c r="T14" s="31">
        <v>1</v>
      </c>
      <c r="V14" s="31">
        <v>1</v>
      </c>
      <c r="W14" s="31"/>
      <c r="X14" s="31"/>
      <c r="Y14" s="31"/>
      <c r="Z14" s="31"/>
      <c r="AA14" s="31"/>
      <c r="AB14" s="31"/>
      <c r="AC14" s="31"/>
      <c r="AD14" s="31"/>
      <c r="AE14" s="31" t="s">
        <v>2020</v>
      </c>
      <c r="AF14" s="31">
        <v>2</v>
      </c>
      <c r="AG14" s="31" t="s">
        <v>2174</v>
      </c>
      <c r="AH14" s="31" t="s">
        <v>2175</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2571</v>
      </c>
      <c r="AP14" s="31" t="s">
        <v>2570</v>
      </c>
      <c r="AQ14" s="31"/>
      <c r="AR14" s="31"/>
      <c r="AS14" s="31"/>
    </row>
    <row r="15" spans="1:45" s="36" customFormat="1" x14ac:dyDescent="0.15">
      <c r="C15" s="36">
        <v>7373</v>
      </c>
      <c r="D15" s="36">
        <v>1</v>
      </c>
      <c r="F15" s="36">
        <v>134</v>
      </c>
      <c r="G15" s="36" t="s">
        <v>2387</v>
      </c>
      <c r="I15" s="36">
        <v>3</v>
      </c>
      <c r="K15" s="36" t="s">
        <v>2386</v>
      </c>
      <c r="L15" s="36" t="s">
        <v>1961</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1912</v>
      </c>
      <c r="I17" s="36">
        <v>1</v>
      </c>
      <c r="K17" s="36" t="s">
        <v>1911</v>
      </c>
      <c r="T17" s="36">
        <v>1</v>
      </c>
      <c r="AN17" s="36" t="str">
        <f t="shared" si="0"/>
        <v>{dwID=8606,nLevel=1,szName="抗摔",nScrutinyType=1,szNote="抗摔·强健",[1]={bBuffList=true,},[2]={},},</v>
      </c>
    </row>
    <row r="18" spans="1:42" s="36" customFormat="1" x14ac:dyDescent="0.15">
      <c r="A18" s="36" t="s">
        <v>2162</v>
      </c>
      <c r="B18" s="36">
        <v>50</v>
      </c>
      <c r="AN18" s="36" t="str">
        <f t="shared" si="0"/>
        <v>},[50]={</v>
      </c>
    </row>
    <row r="19" spans="1:42" s="36" customFormat="1" x14ac:dyDescent="0.15">
      <c r="C19" s="36">
        <v>8477</v>
      </c>
      <c r="D19" s="36">
        <v>1</v>
      </c>
      <c r="F19" s="36">
        <v>6491</v>
      </c>
      <c r="G19" s="36" t="s">
        <v>1647</v>
      </c>
      <c r="I19" s="36">
        <v>1</v>
      </c>
      <c r="K19" s="36" t="s">
        <v>1650</v>
      </c>
      <c r="T19" s="36">
        <v>1</v>
      </c>
      <c r="AN19" s="36" t="str">
        <f t="shared" si="0"/>
        <v>{dwID=8477,nLevel=1,nIcon=6491,szName="劲足",nScrutinyType=1,szNote="速度·劲足",[1]={bBuffList=true,},[2]={},tCountdown={{nClass=1,nIcon=6491,nFrame=6,szName="骑御·劲足",nTime=0.5,nRefresh=300,key="骑御·调息",},{nClass=2,nIcon=6491,nFrame=1,szName="劲足·已消失",nTime=3,nRefresh=5,key="骑御·劲足",},},},</v>
      </c>
      <c r="AO19" s="36" t="s">
        <v>1782</v>
      </c>
      <c r="AP19" s="36" t="s">
        <v>2165</v>
      </c>
    </row>
    <row r="20" spans="1:42" s="36" customFormat="1" x14ac:dyDescent="0.15">
      <c r="C20" s="36">
        <v>8607</v>
      </c>
      <c r="D20" s="36">
        <v>1</v>
      </c>
      <c r="G20" s="36" t="s">
        <v>2676</v>
      </c>
      <c r="I20" s="36">
        <v>1</v>
      </c>
      <c r="K20" s="36" t="s">
        <v>1649</v>
      </c>
      <c r="T20" s="36">
        <v>1</v>
      </c>
      <c r="AN20" s="36" t="str">
        <f t="shared" si="0"/>
        <v>{dwID=8607,nLevel=1,szName="气力",nScrutinyType=1,szNote="气力·调息",[1]={bBuffList=true,},[2]={},tCountdown={{nClass=1,nIcon=6678,nFrame=6,szName="骑御·调息",nTime=0,key="骑御·调息",},},},</v>
      </c>
      <c r="AO20" s="36" t="s">
        <v>1648</v>
      </c>
    </row>
    <row r="21" spans="1:42" s="36" customFormat="1" x14ac:dyDescent="0.15">
      <c r="C21" s="36">
        <v>244</v>
      </c>
      <c r="D21" s="36">
        <v>1</v>
      </c>
      <c r="H21" s="36">
        <v>1</v>
      </c>
      <c r="I21" s="36">
        <v>1</v>
      </c>
      <c r="K21" s="36" t="s">
        <v>1651</v>
      </c>
      <c r="AN21"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s="36" t="s">
        <v>1646</v>
      </c>
      <c r="AP21" s="36" t="s">
        <v>1821</v>
      </c>
    </row>
    <row r="22" spans="1:42" s="36" customFormat="1" x14ac:dyDescent="0.15">
      <c r="A22" s="36" t="s">
        <v>2090</v>
      </c>
      <c r="B22" s="36">
        <v>74</v>
      </c>
      <c r="AN22" s="36" t="str">
        <f t="shared" si="0"/>
        <v>},[74]={</v>
      </c>
    </row>
    <row r="23" spans="1:42" s="36" customFormat="1" x14ac:dyDescent="0.15">
      <c r="C23" s="36">
        <v>8477</v>
      </c>
      <c r="D23" s="36">
        <v>1</v>
      </c>
      <c r="F23" s="36">
        <v>6491</v>
      </c>
      <c r="G23" s="36" t="s">
        <v>1647</v>
      </c>
      <c r="I23" s="36">
        <v>1</v>
      </c>
      <c r="K23" s="36" t="s">
        <v>1650</v>
      </c>
      <c r="T23" s="36">
        <v>1</v>
      </c>
      <c r="AN23" s="36" t="str">
        <f t="shared" si="0"/>
        <v>{dwID=8477,nLevel=1,nIcon=6491,szName="劲足",nScrutinyType=1,szNote="速度·劲足",[1]={bBuffList=true,},[2]={},tCountdown={{nClass=1,nIcon=6491,nFrame=6,szName="骑御·劲足",nTime=0.5,nRefresh=300,key="骑御·调息",},{nClass=2,nIcon=6491,nFrame=1,szName="劲足·已消失",nTime=3,nRefresh=5,key="骑御·劲足",},},},</v>
      </c>
      <c r="AO23" s="36" t="s">
        <v>1782</v>
      </c>
      <c r="AP23" s="36" t="s">
        <v>2165</v>
      </c>
    </row>
    <row r="24" spans="1:42" s="36" customFormat="1" x14ac:dyDescent="0.15">
      <c r="C24" s="36">
        <v>8607</v>
      </c>
      <c r="D24" s="36">
        <v>1</v>
      </c>
      <c r="I24" s="36">
        <v>1</v>
      </c>
      <c r="K24" s="36" t="s">
        <v>1649</v>
      </c>
      <c r="T24" s="36">
        <v>1</v>
      </c>
      <c r="AN24" s="36" t="str">
        <f t="shared" si="0"/>
        <v>{dwID=8607,nLevel=1,nScrutinyType=1,szNote="气力·调息",[1]={bBuffList=true,},[2]={},tCountdown={{nClass=1,nIcon=6678,nFrame=6,szName="骑御·调息",nTime=0,key="骑御·调息",},},},</v>
      </c>
      <c r="AO24" s="36" t="s">
        <v>1648</v>
      </c>
    </row>
    <row r="25" spans="1:42" s="36" customFormat="1" x14ac:dyDescent="0.15">
      <c r="C25" s="36">
        <v>244</v>
      </c>
      <c r="D25" s="36">
        <v>1</v>
      </c>
      <c r="H25" s="36">
        <v>1</v>
      </c>
      <c r="I25" s="36">
        <v>1</v>
      </c>
      <c r="K25" s="36" t="s">
        <v>1651</v>
      </c>
      <c r="AN25"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s="36" t="s">
        <v>1646</v>
      </c>
      <c r="AP25" s="36" t="s">
        <v>1821</v>
      </c>
    </row>
    <row r="26" spans="1:42" s="36" customFormat="1" x14ac:dyDescent="0.15">
      <c r="A26" s="36" t="s">
        <v>1767</v>
      </c>
      <c r="B26" s="36">
        <v>214</v>
      </c>
      <c r="AN26" s="36" t="str">
        <f t="shared" si="0"/>
        <v>},[214]={</v>
      </c>
    </row>
    <row r="27" spans="1:42" s="36" customFormat="1" x14ac:dyDescent="0.15">
      <c r="C27" s="36">
        <v>10067</v>
      </c>
      <c r="D27" s="36">
        <v>1</v>
      </c>
      <c r="G27" s="36" t="s">
        <v>2307</v>
      </c>
      <c r="I27" s="36">
        <v>1</v>
      </c>
      <c r="K27" s="36" t="s">
        <v>2306</v>
      </c>
      <c r="L27" s="36" t="s">
        <v>2308</v>
      </c>
      <c r="T27" s="36">
        <v>1</v>
      </c>
      <c r="AN27" s="36" t="str">
        <f t="shared" si="0"/>
        <v>{dwID=10067,nLevel=1,szName="补货点",nScrutinyType=1,szNote="阴山商路贸易区",col={255,150,0,},[1]={bBuffList=true,},[2]={},},</v>
      </c>
    </row>
    <row r="28" spans="1:42" s="36" customFormat="1" x14ac:dyDescent="0.15">
      <c r="C28" s="36">
        <v>7508</v>
      </c>
      <c r="D28" s="36">
        <v>1</v>
      </c>
      <c r="I28" s="36">
        <v>1</v>
      </c>
      <c r="K28" s="36" t="s">
        <v>2305</v>
      </c>
      <c r="L28" s="36" t="s">
        <v>2304</v>
      </c>
      <c r="R28" s="36">
        <v>1</v>
      </c>
      <c r="T28" s="36">
        <v>1</v>
      </c>
      <c r="AN28" s="36" t="str">
        <f t="shared" si="0"/>
        <v>{dwID=7508,nLevel=1,nScrutinyType=1,szNote="哑运",col={179,238,58,},[1]={bScreenHead=true,bBuffList=true,},[2]={},},</v>
      </c>
    </row>
    <row r="29" spans="1:42" s="36" customFormat="1" x14ac:dyDescent="0.15">
      <c r="A29" s="36" t="s">
        <v>19</v>
      </c>
      <c r="B29" s="36">
        <v>217</v>
      </c>
      <c r="AN29" s="36" t="str">
        <f t="shared" si="0"/>
        <v>},[217]={</v>
      </c>
    </row>
    <row r="30" spans="1:42" s="36" customFormat="1" x14ac:dyDescent="0.15">
      <c r="C30" s="36">
        <v>7508</v>
      </c>
      <c r="D30" s="36">
        <v>1</v>
      </c>
      <c r="I30" s="36">
        <v>1</v>
      </c>
      <c r="K30" s="36" t="s">
        <v>2305</v>
      </c>
      <c r="L30" s="36" t="s">
        <v>2304</v>
      </c>
      <c r="R30" s="36">
        <v>1</v>
      </c>
      <c r="T30" s="36">
        <v>1</v>
      </c>
      <c r="AN30" s="36" t="str">
        <f t="shared" si="0"/>
        <v>{dwID=7508,nLevel=1,nScrutinyType=1,szNote="哑运",col={179,238,58,},[1]={bScreenHead=true,bBuffList=true,},[2]={},},</v>
      </c>
    </row>
    <row r="31" spans="1:42" s="36" customFormat="1" x14ac:dyDescent="0.15">
      <c r="A31" s="36" t="s">
        <v>18</v>
      </c>
      <c r="B31" s="36">
        <v>216</v>
      </c>
      <c r="AN31" s="36" t="str">
        <f t="shared" si="0"/>
        <v>},[216]={</v>
      </c>
    </row>
    <row r="32" spans="1:42" s="36" customFormat="1" x14ac:dyDescent="0.15">
      <c r="C32" s="36">
        <v>10067</v>
      </c>
      <c r="D32" s="36">
        <v>1</v>
      </c>
      <c r="G32" s="36" t="s">
        <v>2307</v>
      </c>
      <c r="I32" s="36">
        <v>1</v>
      </c>
      <c r="K32" s="36" t="s">
        <v>2306</v>
      </c>
      <c r="L32" s="36" t="s">
        <v>2308</v>
      </c>
      <c r="T32" s="36">
        <v>1</v>
      </c>
      <c r="AN32" s="36" t="str">
        <f t="shared" si="0"/>
        <v>{dwID=10067,nLevel=1,szName="补货点",nScrutinyType=1,szNote="阴山商路贸易区",col={255,150,0,},[1]={bBuffList=true,},[2]={},},</v>
      </c>
    </row>
    <row r="33" spans="1:42" s="36" customFormat="1" x14ac:dyDescent="0.15">
      <c r="C33" s="36">
        <v>7508</v>
      </c>
      <c r="D33" s="36">
        <v>1</v>
      </c>
      <c r="I33" s="36">
        <v>1</v>
      </c>
      <c r="K33" s="36" t="s">
        <v>2305</v>
      </c>
      <c r="L33" s="36" t="s">
        <v>2304</v>
      </c>
      <c r="R33" s="36">
        <v>1</v>
      </c>
      <c r="T33" s="36">
        <v>1</v>
      </c>
      <c r="AN33" s="36" t="str">
        <f t="shared" si="0"/>
        <v>{dwID=7508,nLevel=1,nScrutinyType=1,szNote="哑运",col={179,238,58,},[1]={bScreenHead=true,bBuffList=true,},[2]={},},</v>
      </c>
    </row>
    <row r="34" spans="1:42" s="36" customFormat="1" x14ac:dyDescent="0.15">
      <c r="C34" s="40">
        <v>7561</v>
      </c>
      <c r="D34" s="36">
        <v>1</v>
      </c>
      <c r="G34" s="36" t="s">
        <v>2628</v>
      </c>
      <c r="K34" s="36" t="s">
        <v>1653</v>
      </c>
      <c r="L34" s="36" t="s">
        <v>2112</v>
      </c>
      <c r="R34" s="36">
        <v>1</v>
      </c>
      <c r="S34" s="36">
        <v>1</v>
      </c>
      <c r="T34" s="36">
        <v>1</v>
      </c>
      <c r="V34" s="36">
        <v>1</v>
      </c>
      <c r="AE34" s="36" t="s">
        <v>2020</v>
      </c>
      <c r="AF34" s="36">
        <v>2</v>
      </c>
      <c r="AG34" s="36" t="s">
        <v>2174</v>
      </c>
      <c r="AH34" s="36" t="s">
        <v>2175</v>
      </c>
      <c r="AI34" s="36">
        <v>255</v>
      </c>
      <c r="AL34" s="36">
        <v>1</v>
      </c>
      <c r="AN34"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s="36" t="s">
        <v>2571</v>
      </c>
      <c r="AP34" s="36" t="s">
        <v>2570</v>
      </c>
    </row>
    <row r="35" spans="1:42" s="36" customFormat="1" x14ac:dyDescent="0.15">
      <c r="C35" s="40">
        <v>7525</v>
      </c>
      <c r="D35" s="36">
        <v>1</v>
      </c>
      <c r="G35" s="36" t="s">
        <v>2629</v>
      </c>
      <c r="K35" s="36" t="s">
        <v>1652</v>
      </c>
      <c r="L35" s="36" t="s">
        <v>2112</v>
      </c>
      <c r="R35" s="36">
        <v>1</v>
      </c>
      <c r="S35" s="36">
        <v>1</v>
      </c>
      <c r="T35" s="36">
        <v>1</v>
      </c>
      <c r="V35" s="36">
        <v>1</v>
      </c>
      <c r="AE35" s="36" t="s">
        <v>2020</v>
      </c>
      <c r="AF35" s="36">
        <v>2</v>
      </c>
      <c r="AG35" s="36" t="s">
        <v>2174</v>
      </c>
      <c r="AH35" s="36" t="s">
        <v>2175</v>
      </c>
      <c r="AI35" s="36">
        <v>255</v>
      </c>
      <c r="AL35" s="36">
        <v>1</v>
      </c>
      <c r="AN35"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s="36" t="s">
        <v>2571</v>
      </c>
      <c r="AP35" s="36" t="s">
        <v>2570</v>
      </c>
    </row>
    <row r="36" spans="1:42" s="36" customFormat="1" x14ac:dyDescent="0.15">
      <c r="C36" s="40">
        <v>7373</v>
      </c>
      <c r="D36" s="36">
        <v>1</v>
      </c>
      <c r="F36" s="36">
        <v>134</v>
      </c>
      <c r="G36" s="36" t="s">
        <v>2387</v>
      </c>
      <c r="I36" s="36">
        <v>3</v>
      </c>
      <c r="K36" s="36" t="s">
        <v>2386</v>
      </c>
      <c r="L36" s="36" t="s">
        <v>1961</v>
      </c>
      <c r="R36" s="36">
        <v>1</v>
      </c>
      <c r="AN36" s="36" t="str">
        <f t="shared" si="0"/>
        <v>{dwID=7373,nLevel=1,nIcon=134,szName="箭弩车",nScrutinyType=3,szNote="箭弩车记录ID",col={255,50,255,},[1]={bScreenHead=true,},[2]={},},</v>
      </c>
    </row>
    <row r="37" spans="1:42" s="36" customFormat="1" x14ac:dyDescent="0.15">
      <c r="C37" s="40">
        <v>7492</v>
      </c>
      <c r="D37" s="36">
        <v>1</v>
      </c>
      <c r="G37" s="36" t="s">
        <v>1785</v>
      </c>
      <c r="I37" s="36">
        <v>2</v>
      </c>
      <c r="K37" s="36" t="s">
        <v>1784</v>
      </c>
      <c r="L37" s="36" t="s">
        <v>1527</v>
      </c>
      <c r="T37" s="36">
        <v>1</v>
      </c>
      <c r="AN37" s="36" t="str">
        <f t="shared" si="0"/>
        <v>{dwID=7492,nLevel=1,szName="御城矛",nScrutinyType=2,szNote="御城·矛",col={0,255,0,},[1]={bBuffList=true,},[2]={},},</v>
      </c>
    </row>
    <row r="38" spans="1:42" s="36" customFormat="1" x14ac:dyDescent="0.15">
      <c r="C38" s="40">
        <v>8606</v>
      </c>
      <c r="D38" s="36">
        <v>1</v>
      </c>
      <c r="G38" s="36" t="s">
        <v>1912</v>
      </c>
      <c r="I38" s="36">
        <v>1</v>
      </c>
      <c r="K38" s="36" t="s">
        <v>1911</v>
      </c>
      <c r="T38" s="36">
        <v>1</v>
      </c>
      <c r="AN38" s="36" t="str">
        <f t="shared" si="0"/>
        <v>{dwID=8606,nLevel=1,szName="抗摔",nScrutinyType=1,szNote="抗摔·强健",[1]={bBuffList=true,},[2]={},},</v>
      </c>
    </row>
    <row r="39" spans="1:42" s="36" customFormat="1" x14ac:dyDescent="0.15">
      <c r="A39" s="36" t="s">
        <v>613</v>
      </c>
      <c r="B39" s="36">
        <v>656</v>
      </c>
      <c r="AN39" s="36" t="str">
        <f t="shared" si="0"/>
        <v>},[656]={</v>
      </c>
    </row>
    <row r="40" spans="1:42" s="36" customFormat="1" x14ac:dyDescent="0.15">
      <c r="C40" s="40">
        <v>7561</v>
      </c>
      <c r="D40" s="36">
        <v>1</v>
      </c>
      <c r="G40" s="36" t="s">
        <v>2628</v>
      </c>
      <c r="K40" s="36" t="s">
        <v>1653</v>
      </c>
      <c r="L40" s="36" t="s">
        <v>2112</v>
      </c>
      <c r="R40" s="36">
        <v>1</v>
      </c>
      <c r="S40" s="36">
        <v>1</v>
      </c>
      <c r="T40" s="36">
        <v>1</v>
      </c>
      <c r="V40" s="36">
        <v>1</v>
      </c>
      <c r="AE40" s="36" t="s">
        <v>2020</v>
      </c>
      <c r="AF40" s="36">
        <v>2</v>
      </c>
      <c r="AG40" s="36" t="s">
        <v>2174</v>
      </c>
      <c r="AH40" s="36" t="s">
        <v>2175</v>
      </c>
      <c r="AI40" s="36">
        <v>255</v>
      </c>
      <c r="AL40" s="36">
        <v>1</v>
      </c>
      <c r="AN40"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s="36" t="s">
        <v>2571</v>
      </c>
      <c r="AP40" s="36" t="s">
        <v>2570</v>
      </c>
    </row>
    <row r="41" spans="1:42" s="36" customFormat="1" x14ac:dyDescent="0.15">
      <c r="C41" s="40">
        <v>7525</v>
      </c>
      <c r="D41" s="36">
        <v>1</v>
      </c>
      <c r="G41" s="36" t="s">
        <v>2629</v>
      </c>
      <c r="K41" s="36" t="s">
        <v>1652</v>
      </c>
      <c r="L41" s="36" t="s">
        <v>2112</v>
      </c>
      <c r="R41" s="36">
        <v>1</v>
      </c>
      <c r="S41" s="36">
        <v>1</v>
      </c>
      <c r="T41" s="36">
        <v>1</v>
      </c>
      <c r="V41" s="36">
        <v>1</v>
      </c>
      <c r="AE41" s="36" t="s">
        <v>2020</v>
      </c>
      <c r="AF41" s="36">
        <v>2</v>
      </c>
      <c r="AG41" s="36" t="s">
        <v>2174</v>
      </c>
      <c r="AH41" s="36" t="s">
        <v>2175</v>
      </c>
      <c r="AI41" s="36">
        <v>255</v>
      </c>
      <c r="AL41" s="36">
        <v>1</v>
      </c>
      <c r="AN41"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s="36" t="s">
        <v>2571</v>
      </c>
      <c r="AP41" s="36" t="s">
        <v>2570</v>
      </c>
    </row>
    <row r="42" spans="1:42" s="36" customFormat="1" x14ac:dyDescent="0.15">
      <c r="C42" s="40">
        <v>7373</v>
      </c>
      <c r="D42" s="36">
        <v>1</v>
      </c>
      <c r="F42" s="36">
        <v>134</v>
      </c>
      <c r="G42" s="36" t="s">
        <v>2387</v>
      </c>
      <c r="I42" s="36">
        <v>3</v>
      </c>
      <c r="K42" s="36" t="s">
        <v>2386</v>
      </c>
      <c r="L42" s="36" t="s">
        <v>1961</v>
      </c>
      <c r="R42" s="36">
        <v>1</v>
      </c>
      <c r="AN42" s="36" t="str">
        <f t="shared" si="0"/>
        <v>{dwID=7373,nLevel=1,nIcon=134,szName="箭弩车",nScrutinyType=3,szNote="箭弩车记录ID",col={255,50,255,},[1]={bScreenHead=true,},[2]={},},</v>
      </c>
    </row>
    <row r="43" spans="1:42" s="36" customFormat="1" x14ac:dyDescent="0.15">
      <c r="C43" s="40">
        <v>7492</v>
      </c>
      <c r="D43" s="36">
        <v>1</v>
      </c>
      <c r="G43" s="36" t="s">
        <v>1785</v>
      </c>
      <c r="I43" s="36">
        <v>2</v>
      </c>
      <c r="K43" s="36" t="s">
        <v>1784</v>
      </c>
      <c r="L43" s="36" t="s">
        <v>1527</v>
      </c>
      <c r="T43" s="36">
        <v>1</v>
      </c>
      <c r="AN43" s="36" t="str">
        <f t="shared" si="0"/>
        <v>{dwID=7492,nLevel=1,szName="御城矛",nScrutinyType=2,szNote="御城·矛",col={0,255,0,},[1]={bBuffList=true,},[2]={},},</v>
      </c>
    </row>
    <row r="44" spans="1:42" s="36" customFormat="1" x14ac:dyDescent="0.15">
      <c r="C44" s="40">
        <v>8606</v>
      </c>
      <c r="D44" s="36">
        <v>1</v>
      </c>
      <c r="G44" s="36" t="s">
        <v>1912</v>
      </c>
      <c r="I44" s="36">
        <v>1</v>
      </c>
      <c r="K44" s="36" t="s">
        <v>1911</v>
      </c>
      <c r="T44" s="36">
        <v>1</v>
      </c>
      <c r="AN44" s="36" t="str">
        <f t="shared" si="0"/>
        <v>{dwID=8606,nLevel=1,szName="抗摔",nScrutinyType=1,szNote="抗摔·强健",[1]={bBuffList=true,},[2]={},},</v>
      </c>
    </row>
    <row r="45" spans="1:42" x14ac:dyDescent="0.15">
      <c r="AN45" s="36" t="str">
        <f t="shared" si="0"/>
        <v>},},}</v>
      </c>
    </row>
    <row r="46" spans="1:42" x14ac:dyDescent="0.15">
      <c r="AN46" s="36"/>
    </row>
  </sheetData>
  <autoFilter ref="A1:AS45"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9"/>
  <sheetViews>
    <sheetView tabSelected="1" topLeftCell="AK1" zoomScale="90" zoomScaleNormal="90" workbookViewId="0">
      <pane ySplit="1" topLeftCell="A2" activePane="bottomLeft" state="frozen"/>
      <selection pane="bottomLeft" activeCell="AN10" sqref="AN10"/>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1965</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1926</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66"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2088</v>
      </c>
      <c r="I3" s="36">
        <v>1</v>
      </c>
      <c r="K3" s="36" t="s">
        <v>1950</v>
      </c>
      <c r="L3" s="36" t="s">
        <v>1781</v>
      </c>
      <c r="AN3" s="36" t="str">
        <f t="shared" si="0"/>
        <v>{dwID=11567,nLevel=1,nIcon=1245,szName="答对",nScrutinyType=1,szNote="回答奖励",col={255,255,0,},[1]={},[2]={},tCountdown={{nClass=1,nIcon=13,nFrame=1,szName="答题验证·回答正确",nTime=5,key="挂机检测",},},},</v>
      </c>
      <c r="AO3" s="36" t="s">
        <v>2080</v>
      </c>
    </row>
    <row r="4" spans="1:46" s="36" customFormat="1" x14ac:dyDescent="0.15">
      <c r="C4" s="36">
        <v>11559</v>
      </c>
      <c r="D4" s="36">
        <v>1</v>
      </c>
      <c r="F4" s="36">
        <v>1244</v>
      </c>
      <c r="G4" s="36" t="s">
        <v>1954</v>
      </c>
      <c r="I4" s="36">
        <v>1</v>
      </c>
      <c r="K4" s="36" t="s">
        <v>1951</v>
      </c>
      <c r="L4" s="36" t="s">
        <v>1961</v>
      </c>
      <c r="N4" s="36" t="s">
        <v>1787</v>
      </c>
      <c r="O4" s="36">
        <v>1</v>
      </c>
      <c r="P4" s="36">
        <v>1</v>
      </c>
      <c r="Q4" s="36">
        <v>1</v>
      </c>
      <c r="R4" s="36">
        <v>1</v>
      </c>
      <c r="T4" s="36">
        <v>1</v>
      </c>
      <c r="U4" s="36">
        <v>1</v>
      </c>
      <c r="V4" s="36">
        <v>1</v>
      </c>
      <c r="AE4" s="36" t="s">
        <v>1970</v>
      </c>
      <c r="AF4" s="36">
        <v>3</v>
      </c>
      <c r="AG4" s="36" t="s">
        <v>1952</v>
      </c>
      <c r="AH4" s="36" t="s">
        <v>1953</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2081</v>
      </c>
    </row>
    <row r="5" spans="1:46" s="36" customFormat="1" x14ac:dyDescent="0.15">
      <c r="C5" s="36">
        <v>30543</v>
      </c>
      <c r="D5" s="36">
        <v>1</v>
      </c>
      <c r="G5" s="36" t="s">
        <v>2042</v>
      </c>
      <c r="I5" s="36">
        <v>1</v>
      </c>
      <c r="K5" s="36" t="s">
        <v>2043</v>
      </c>
      <c r="L5" s="36" t="s">
        <v>2044</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2115</v>
      </c>
      <c r="AP5" s="36" t="s">
        <v>2121</v>
      </c>
    </row>
    <row r="6" spans="1:46" s="36" customFormat="1" x14ac:dyDescent="0.15">
      <c r="C6" s="36">
        <v>30542</v>
      </c>
      <c r="D6" s="36">
        <v>1</v>
      </c>
      <c r="G6" s="36" t="s">
        <v>2045</v>
      </c>
      <c r="I6" s="36">
        <v>1</v>
      </c>
      <c r="K6" s="36" t="s">
        <v>2046</v>
      </c>
      <c r="L6" s="36" t="s">
        <v>2044</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2116</v>
      </c>
      <c r="AP6" s="36" t="s">
        <v>2122</v>
      </c>
    </row>
    <row r="7" spans="1:46" s="36" customFormat="1" x14ac:dyDescent="0.15">
      <c r="C7" s="36">
        <v>30541</v>
      </c>
      <c r="D7" s="36">
        <v>1</v>
      </c>
      <c r="G7" s="36" t="s">
        <v>2315</v>
      </c>
      <c r="I7" s="36">
        <v>1</v>
      </c>
      <c r="K7" s="36" t="s">
        <v>2047</v>
      </c>
      <c r="L7" s="36" t="s">
        <v>2044</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2117</v>
      </c>
      <c r="AP7" s="36" t="s">
        <v>2136</v>
      </c>
    </row>
    <row r="8" spans="1:46" s="36" customFormat="1" x14ac:dyDescent="0.15">
      <c r="C8" s="36">
        <v>30540</v>
      </c>
      <c r="D8" s="36">
        <v>1</v>
      </c>
      <c r="G8" s="36" t="s">
        <v>2048</v>
      </c>
      <c r="I8" s="36">
        <v>1</v>
      </c>
      <c r="K8" s="36" t="s">
        <v>2049</v>
      </c>
      <c r="L8" s="36" t="s">
        <v>2044</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2118</v>
      </c>
      <c r="AP8" s="36" t="s">
        <v>2124</v>
      </c>
    </row>
    <row r="9" spans="1:46" s="36" customFormat="1" x14ac:dyDescent="0.15">
      <c r="C9" s="36">
        <v>30539</v>
      </c>
      <c r="D9" s="36">
        <v>1</v>
      </c>
      <c r="G9" s="36" t="s">
        <v>2050</v>
      </c>
      <c r="I9" s="36">
        <v>1</v>
      </c>
      <c r="K9" s="36" t="s">
        <v>2051</v>
      </c>
      <c r="L9" s="36" t="s">
        <v>2044</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2123</v>
      </c>
      <c r="AP9" s="36" t="s">
        <v>2298</v>
      </c>
    </row>
    <row r="10" spans="1:46" s="36" customFormat="1" x14ac:dyDescent="0.15">
      <c r="C10" s="36">
        <v>30538</v>
      </c>
      <c r="D10" s="36">
        <v>1</v>
      </c>
      <c r="G10" s="36" t="s">
        <v>2052</v>
      </c>
      <c r="I10" s="36">
        <v>1</v>
      </c>
      <c r="K10" s="36" t="s">
        <v>2053</v>
      </c>
      <c r="L10" s="36" t="s">
        <v>2044</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2297</v>
      </c>
      <c r="AP10" s="36" t="s">
        <v>2135</v>
      </c>
    </row>
    <row r="11" spans="1:46" s="36" customFormat="1" x14ac:dyDescent="0.15">
      <c r="C11" s="36">
        <v>10662</v>
      </c>
      <c r="D11" s="36">
        <v>1</v>
      </c>
      <c r="F11" s="36">
        <v>3287</v>
      </c>
      <c r="G11" s="36" t="s">
        <v>1959</v>
      </c>
      <c r="I11" s="36">
        <v>1</v>
      </c>
      <c r="K11" s="36" t="s">
        <v>1960</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1963</v>
      </c>
      <c r="I12" s="36">
        <v>1</v>
      </c>
      <c r="K12" s="36" t="s">
        <v>1962</v>
      </c>
      <c r="L12" s="36" t="s">
        <v>1961</v>
      </c>
      <c r="N12" s="36" t="s">
        <v>1787</v>
      </c>
      <c r="O12" s="36">
        <v>1</v>
      </c>
      <c r="P12" s="36">
        <v>1</v>
      </c>
      <c r="Q12" s="36">
        <v>1</v>
      </c>
      <c r="T12" s="36">
        <v>1</v>
      </c>
      <c r="U12" s="36">
        <v>1</v>
      </c>
      <c r="AE12" s="36" t="s">
        <v>1969</v>
      </c>
      <c r="AF12" s="36">
        <v>2</v>
      </c>
      <c r="AG12" s="36" t="s">
        <v>1952</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2079</v>
      </c>
    </row>
    <row r="13" spans="1:46" s="36" customFormat="1" x14ac:dyDescent="0.15">
      <c r="C13" s="36">
        <v>7756</v>
      </c>
      <c r="D13" s="36">
        <v>1</v>
      </c>
      <c r="I13" s="36">
        <v>1</v>
      </c>
      <c r="K13" s="36" t="s">
        <v>2035</v>
      </c>
      <c r="L13" s="36" t="s">
        <v>1781</v>
      </c>
      <c r="T13" s="36">
        <v>1</v>
      </c>
      <c r="AE13" s="36" t="s">
        <v>2036</v>
      </c>
      <c r="AF13" s="36">
        <v>3</v>
      </c>
      <c r="AG13" s="36" t="s">
        <v>2630</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2076</v>
      </c>
      <c r="AP13" s="36" t="s">
        <v>2077</v>
      </c>
    </row>
    <row r="14" spans="1:46" s="36" customFormat="1" x14ac:dyDescent="0.15">
      <c r="C14" s="36">
        <v>29721</v>
      </c>
      <c r="D14" s="36">
        <v>1</v>
      </c>
      <c r="I14" s="36">
        <v>1</v>
      </c>
      <c r="K14" s="36" t="s">
        <v>2176</v>
      </c>
      <c r="L14" s="36" t="s">
        <v>1781</v>
      </c>
      <c r="AN14" s="36" t="str">
        <f t="shared" si="0"/>
        <v>{dwID=29721,nLevel=1,nScrutinyType=1,szNote="业务繁忙",col={255,255,0,},[1]={},[2]={},tCountdown={{nClass=1,nIcon=13,szName="通用事件",nTime=-1,nRefresh=99999,key="通用事件",},{nClass=2,nIcon=13,szName="通用事件",nTime=-2,key="通用事件",},},},</v>
      </c>
      <c r="AO14" s="36" t="s">
        <v>2399</v>
      </c>
      <c r="AP14" s="36" t="s">
        <v>2166</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2400</v>
      </c>
      <c r="AP15" s="36" t="s">
        <v>2399</v>
      </c>
      <c r="AQ15" s="36" t="s">
        <v>2742</v>
      </c>
    </row>
    <row r="16" spans="1:46" s="36" customFormat="1" x14ac:dyDescent="0.15">
      <c r="C16" s="36">
        <v>29007</v>
      </c>
      <c r="D16" s="36">
        <v>2</v>
      </c>
      <c r="I16" s="36">
        <v>1</v>
      </c>
      <c r="K16" s="36" t="s">
        <v>2314</v>
      </c>
      <c r="L16" s="36" t="s">
        <v>2383</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2133</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2108</v>
      </c>
      <c r="AP17" s="36" t="s">
        <v>2109</v>
      </c>
      <c r="AQ17" s="36" t="s">
        <v>1939</v>
      </c>
      <c r="AR17" s="36" t="s">
        <v>1940</v>
      </c>
      <c r="AS17" s="36" t="s">
        <v>2618</v>
      </c>
      <c r="AT17" s="52" t="s">
        <v>2645</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2134</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2402</v>
      </c>
      <c r="AP18" s="40" t="s">
        <v>2401</v>
      </c>
      <c r="AQ18" s="36" t="s">
        <v>2619</v>
      </c>
      <c r="AR18" s="36"/>
      <c r="AS18" s="36"/>
      <c r="AT18" s="36"/>
      <c r="AU18" s="36"/>
      <c r="AV18" s="36"/>
      <c r="AW18" s="36"/>
      <c r="AX18" s="36"/>
      <c r="AY18" s="36"/>
      <c r="AZ18" s="36"/>
      <c r="BA18" s="36"/>
      <c r="BB18" s="36"/>
    </row>
    <row r="19" spans="1:77" s="36" customFormat="1" x14ac:dyDescent="0.15">
      <c r="C19" s="36">
        <v>10323</v>
      </c>
      <c r="D19" s="36">
        <v>1</v>
      </c>
      <c r="F19" s="36">
        <v>18973</v>
      </c>
      <c r="G19" s="36" t="s">
        <v>1822</v>
      </c>
      <c r="I19" s="36">
        <v>1</v>
      </c>
      <c r="K19" s="36" t="s">
        <v>1823</v>
      </c>
      <c r="T19" s="36">
        <v>1</v>
      </c>
      <c r="AN19" s="36" t="str">
        <f t="shared" si="0"/>
        <v>{dwID=10323,nLevel=1,nIcon=18973,szName="重伤",nScrutinyType=1,szNote="死亡挂机",[1]={bBuffList=true,},[2]={},},</v>
      </c>
    </row>
    <row r="20" spans="1:77" s="36" customFormat="1" x14ac:dyDescent="0.15">
      <c r="C20" s="36">
        <v>7913</v>
      </c>
      <c r="D20" s="36">
        <v>1</v>
      </c>
      <c r="I20" s="36">
        <v>2</v>
      </c>
      <c r="K20" s="36" t="s">
        <v>1830</v>
      </c>
      <c r="L20" s="36" t="s">
        <v>1827</v>
      </c>
      <c r="T20" s="36">
        <v>1</v>
      </c>
      <c r="AE20" s="36" t="s">
        <v>2371</v>
      </c>
      <c r="AF20" s="36">
        <v>5</v>
      </c>
      <c r="AG20" s="36" t="s">
        <v>1829</v>
      </c>
      <c r="AH20" s="36" t="s">
        <v>1828</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1944</v>
      </c>
      <c r="L21" s="36" t="s">
        <v>1961</v>
      </c>
      <c r="R21" s="36">
        <v>1</v>
      </c>
      <c r="T21" s="36">
        <v>1</v>
      </c>
      <c r="AE21" s="36" t="s">
        <v>1971</v>
      </c>
      <c r="AF21" s="36">
        <v>4</v>
      </c>
      <c r="AG21" s="36" t="s">
        <v>1952</v>
      </c>
      <c r="AH21" s="36" t="s">
        <v>1953</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2362</v>
      </c>
      <c r="L22" s="36" t="s">
        <v>2358</v>
      </c>
      <c r="R22" s="36">
        <v>1</v>
      </c>
      <c r="T22" s="36">
        <v>1</v>
      </c>
      <c r="AE22" s="36" t="s">
        <v>2359</v>
      </c>
      <c r="AF22" s="36">
        <v>15</v>
      </c>
      <c r="AG22" s="36" t="s">
        <v>2360</v>
      </c>
      <c r="AH22" s="36" t="s">
        <v>2361</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2373</v>
      </c>
      <c r="I23" s="36">
        <v>2</v>
      </c>
      <c r="K23" s="36" t="s">
        <v>2374</v>
      </c>
      <c r="L23" s="36" t="s">
        <v>1781</v>
      </c>
      <c r="R23" s="36">
        <v>1</v>
      </c>
      <c r="T23" s="36">
        <v>1</v>
      </c>
      <c r="AE23" s="36" t="s">
        <v>2039</v>
      </c>
      <c r="AF23" s="36">
        <v>13</v>
      </c>
      <c r="AG23" s="36" t="s">
        <v>2040</v>
      </c>
      <c r="AH23" s="36" t="s">
        <v>2041</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2372</v>
      </c>
      <c r="I24" s="36">
        <v>1</v>
      </c>
      <c r="K24" s="36" t="s">
        <v>2362</v>
      </c>
      <c r="L24" s="36" t="s">
        <v>2358</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1967</v>
      </c>
      <c r="AH26" s="36" t="s">
        <v>2389</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2484</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2372</v>
      </c>
      <c r="I29" s="36">
        <v>1</v>
      </c>
      <c r="K29" s="36" t="s">
        <v>2362</v>
      </c>
      <c r="L29" s="36" t="s">
        <v>2358</v>
      </c>
      <c r="R29" s="36">
        <v>1</v>
      </c>
      <c r="T29" s="36">
        <v>1</v>
      </c>
      <c r="AN29" s="36" t="str">
        <f t="shared" si="0"/>
        <v>{dwID=1499,nLevel=1,szName="锁足·呔",nScrutinyType=1,szNote="锁足·首领",col={31,63,255,},[1]={bScreenHead=true,bBuffList=true,},[2]={},},</v>
      </c>
    </row>
    <row r="30" spans="1:77" x14ac:dyDescent="0.15">
      <c r="A30" s="36" t="s">
        <v>2680</v>
      </c>
      <c r="B30" s="36">
        <v>-20</v>
      </c>
      <c r="AN30" s="36" t="str">
        <f t="shared" si="0"/>
        <v>},[-20]={</v>
      </c>
    </row>
    <row r="31" spans="1:77" s="36" customFormat="1" x14ac:dyDescent="0.15">
      <c r="C31" s="36">
        <v>11567</v>
      </c>
      <c r="D31" s="36">
        <v>1</v>
      </c>
      <c r="F31" s="36">
        <v>1245</v>
      </c>
      <c r="G31" s="36" t="s">
        <v>2088</v>
      </c>
      <c r="I31" s="36">
        <v>1</v>
      </c>
      <c r="K31" s="36" t="s">
        <v>1950</v>
      </c>
      <c r="L31" s="36" t="s">
        <v>1781</v>
      </c>
      <c r="AN31" s="36" t="str">
        <f t="shared" si="0"/>
        <v>{dwID=11567,nLevel=1,nIcon=1245,szName="答对",nScrutinyType=1,szNote="回答奖励",col={255,255,0,},[1]={},[2]={},tCountdown={{nClass=1,nIcon=13,nFrame=1,szName="答题验证·回答正确",nTime=5,key="挂机检测",},},},</v>
      </c>
      <c r="AO31" s="36" t="s">
        <v>2080</v>
      </c>
    </row>
    <row r="32" spans="1:77" s="36" customFormat="1" x14ac:dyDescent="0.15">
      <c r="C32" s="36">
        <v>11559</v>
      </c>
      <c r="D32" s="36">
        <v>1</v>
      </c>
      <c r="F32" s="36">
        <v>1244</v>
      </c>
      <c r="G32" s="36" t="s">
        <v>1954</v>
      </c>
      <c r="I32" s="36">
        <v>1</v>
      </c>
      <c r="K32" s="36" t="s">
        <v>1951</v>
      </c>
      <c r="L32" s="36" t="s">
        <v>1961</v>
      </c>
      <c r="N32" s="36" t="s">
        <v>1787</v>
      </c>
      <c r="O32" s="36">
        <v>1</v>
      </c>
      <c r="P32" s="36">
        <v>1</v>
      </c>
      <c r="Q32" s="36">
        <v>1</v>
      </c>
      <c r="R32" s="36">
        <v>1</v>
      </c>
      <c r="T32" s="36">
        <v>1</v>
      </c>
      <c r="U32" s="36">
        <v>1</v>
      </c>
      <c r="V32" s="36">
        <v>1</v>
      </c>
      <c r="AE32" s="36" t="s">
        <v>1970</v>
      </c>
      <c r="AF32" s="36">
        <v>3</v>
      </c>
      <c r="AG32" s="36" t="s">
        <v>1952</v>
      </c>
      <c r="AH32" s="36" t="s">
        <v>1953</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2081</v>
      </c>
    </row>
    <row r="33" spans="3:45" s="36" customFormat="1" x14ac:dyDescent="0.15">
      <c r="C33" s="36">
        <v>11565</v>
      </c>
      <c r="D33" s="36">
        <v>1</v>
      </c>
      <c r="F33" s="36">
        <v>592</v>
      </c>
      <c r="G33" s="36" t="s">
        <v>2384</v>
      </c>
      <c r="K33" s="36" t="s">
        <v>2385</v>
      </c>
      <c r="L33" s="36" t="s">
        <v>2112</v>
      </c>
      <c r="R33" s="36">
        <v>1</v>
      </c>
      <c r="AN33" s="36" t="str">
        <f t="shared" si="0"/>
        <v>{dwID=11565,nLevel=1,nIcon=592,szName="大旗手",szNote="大旗手检测",col={0,255,255,},[1]={bScreenHead=true,},[2]={},},</v>
      </c>
    </row>
    <row r="34" spans="3:45" s="36" customFormat="1" x14ac:dyDescent="0.15">
      <c r="C34" s="36">
        <v>32813</v>
      </c>
      <c r="D34" s="36">
        <v>1</v>
      </c>
      <c r="F34" s="36">
        <v>16834</v>
      </c>
      <c r="G34" s="36" t="s">
        <v>2696</v>
      </c>
      <c r="K34" s="36" t="s">
        <v>2691</v>
      </c>
      <c r="L34" s="36" t="s">
        <v>2693</v>
      </c>
      <c r="T34" s="36">
        <v>1</v>
      </c>
      <c r="V34" s="36">
        <v>1</v>
      </c>
      <c r="AE34" s="36" t="s">
        <v>2692</v>
      </c>
      <c r="AF34" s="36">
        <v>37</v>
      </c>
      <c r="AG34" s="36" t="s">
        <v>2694</v>
      </c>
      <c r="AH34" s="36" t="s">
        <v>2695</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s="36" t="s">
        <v>2702</v>
      </c>
    </row>
    <row r="35" spans="3:45" s="36" customFormat="1" x14ac:dyDescent="0.15">
      <c r="C35" s="36">
        <v>32812</v>
      </c>
      <c r="D35" s="36">
        <v>1</v>
      </c>
      <c r="F35" s="36">
        <v>3451</v>
      </c>
      <c r="G35" s="36" t="s">
        <v>2697</v>
      </c>
      <c r="K35" s="36" t="s">
        <v>2698</v>
      </c>
      <c r="L35" s="36" t="s">
        <v>2699</v>
      </c>
      <c r="T35" s="36">
        <v>1</v>
      </c>
      <c r="AN35" s="36" t="str">
        <f t="shared" si="0"/>
        <v>{dwID=32812,nLevel=1,nIcon=3451,szName="损CD",szNote="据点大旗赛点CD",col={255,50,50,},[1]={bBuffList=true,},[2]={},tCountdown={{nClass=1,nIcon=16834,nFrame=1,szName="大旗赛点·CD",nTime="60,大旗赛点·触发冷却;62,大旗赛点·解除冷却",nRefresh=1,key="大旗赛点·CD",},},},</v>
      </c>
      <c r="AO35" s="36" t="s">
        <v>2700</v>
      </c>
    </row>
    <row r="36" spans="3:45" s="36" customFormat="1" x14ac:dyDescent="0.15">
      <c r="C36" s="36">
        <v>31381</v>
      </c>
      <c r="D36" s="36">
        <v>1</v>
      </c>
      <c r="G36" s="36" t="s">
        <v>2556</v>
      </c>
      <c r="K36" s="36" t="s">
        <v>2382</v>
      </c>
      <c r="L36" s="36" t="s">
        <v>1961</v>
      </c>
      <c r="R36" s="36">
        <v>1</v>
      </c>
      <c r="T36" s="36">
        <v>1</v>
      </c>
      <c r="AE36" s="36" t="s">
        <v>2572</v>
      </c>
      <c r="AF36" s="36">
        <v>11</v>
      </c>
      <c r="AG36" s="36" t="s">
        <v>1952</v>
      </c>
      <c r="AH36" s="36" t="s">
        <v>1953</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2716</v>
      </c>
      <c r="AP36" s="36" t="s">
        <v>2717</v>
      </c>
    </row>
    <row r="37" spans="3:45" s="36" customFormat="1" x14ac:dyDescent="0.15">
      <c r="C37" s="36">
        <v>12888</v>
      </c>
      <c r="D37" s="36">
        <v>1</v>
      </c>
      <c r="G37" s="36" t="s">
        <v>2729</v>
      </c>
      <c r="I37" s="36">
        <v>2</v>
      </c>
      <c r="K37" s="36" t="s">
        <v>2730</v>
      </c>
      <c r="L37" s="36" t="s">
        <v>2734</v>
      </c>
      <c r="T37" s="36">
        <v>1</v>
      </c>
      <c r="V37" s="36">
        <v>1</v>
      </c>
      <c r="AE37" s="36" t="s">
        <v>2731</v>
      </c>
      <c r="AF37" s="36">
        <v>29</v>
      </c>
      <c r="AG37" s="36" t="s">
        <v>2733</v>
      </c>
      <c r="AH37" s="36" t="s">
        <v>2732</v>
      </c>
      <c r="AI37" s="36">
        <v>255</v>
      </c>
      <c r="AN37" s="36" t="str">
        <f t="shared" si="0"/>
        <v>{dwID=12888,nLevel=1,szName="减疗",nScrutinyType=2,szNote="火圈每层减疗10%",col={170,170,170,},[1]={bBuffList=true,bTeamPanel=true,},[2]={},aCataclysmBuff={{szReminder="疗",nPriority=29,col="#AAAAAAFF",colScreenHead="#AAAAAA",nColAlpha=255,},},},</v>
      </c>
    </row>
    <row r="38" spans="3:45" s="36" customFormat="1" x14ac:dyDescent="0.15">
      <c r="C38" s="36">
        <v>8807</v>
      </c>
      <c r="D38" s="36">
        <v>1</v>
      </c>
      <c r="G38" s="36" t="s">
        <v>1963</v>
      </c>
      <c r="I38" s="36">
        <v>1</v>
      </c>
      <c r="K38" s="36" t="s">
        <v>1964</v>
      </c>
      <c r="L38" s="36" t="s">
        <v>1961</v>
      </c>
      <c r="N38" s="36" t="s">
        <v>1787</v>
      </c>
      <c r="O38" s="36">
        <v>1</v>
      </c>
      <c r="P38" s="36">
        <v>1</v>
      </c>
      <c r="Q38" s="36">
        <v>1</v>
      </c>
      <c r="T38" s="36">
        <v>1</v>
      </c>
      <c r="U38" s="36">
        <v>1</v>
      </c>
      <c r="AE38" s="36" t="s">
        <v>1969</v>
      </c>
      <c r="AF38" s="36">
        <v>2</v>
      </c>
      <c r="AG38" s="36" t="s">
        <v>1952</v>
      </c>
      <c r="AI38" s="36">
        <v>255</v>
      </c>
      <c r="AJ38" s="36">
        <v>1</v>
      </c>
      <c r="AN38"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s="36" t="s">
        <v>2079</v>
      </c>
    </row>
    <row r="39" spans="3:45" s="36" customFormat="1" x14ac:dyDescent="0.15">
      <c r="C39" s="36">
        <v>7913</v>
      </c>
      <c r="D39" s="36">
        <v>1</v>
      </c>
      <c r="I39" s="36">
        <v>2</v>
      </c>
      <c r="K39" s="36" t="s">
        <v>1830</v>
      </c>
      <c r="L39" s="36" t="s">
        <v>1827</v>
      </c>
      <c r="T39" s="36">
        <v>1</v>
      </c>
      <c r="AE39" s="36" t="s">
        <v>2371</v>
      </c>
      <c r="AF39" s="36">
        <v>5</v>
      </c>
      <c r="AG39" s="36" t="s">
        <v>1829</v>
      </c>
      <c r="AH39" s="36" t="s">
        <v>1828</v>
      </c>
      <c r="AI39" s="36">
        <v>255</v>
      </c>
      <c r="AJ39" s="36">
        <v>1</v>
      </c>
      <c r="AL39" s="36">
        <v>1</v>
      </c>
      <c r="AN39" s="36" t="str">
        <f t="shared" si="0"/>
        <v>{dwID=7913,nLevel=1,nScrutinyType=2,szNote="意涌系统通用抗百分比回血",col={255,204,0,},[1]={bBuffList=true,},[2]={},aCataclysmBuff={{szReminder="涌",nPriority=5,col="#FFCC00FF",colScreenHead="#FFCC00",nColAlpha=255,bAttention=true,bScreenHead=true,},},},</v>
      </c>
    </row>
    <row r="40" spans="3:45" s="36" customFormat="1" x14ac:dyDescent="0.15">
      <c r="C40" s="36">
        <v>7911</v>
      </c>
      <c r="D40" s="36">
        <v>1</v>
      </c>
      <c r="I40" s="36">
        <v>2</v>
      </c>
      <c r="K40" s="36" t="s">
        <v>1944</v>
      </c>
      <c r="L40" s="36" t="s">
        <v>1961</v>
      </c>
      <c r="R40" s="36">
        <v>1</v>
      </c>
      <c r="T40" s="36">
        <v>1</v>
      </c>
      <c r="AE40" s="36" t="s">
        <v>1971</v>
      </c>
      <c r="AF40" s="36">
        <v>4</v>
      </c>
      <c r="AG40" s="36" t="s">
        <v>1952</v>
      </c>
      <c r="AH40" s="36" t="s">
        <v>1953</v>
      </c>
      <c r="AI40" s="36">
        <v>255</v>
      </c>
      <c r="AJ40" s="36">
        <v>1</v>
      </c>
      <c r="AL40" s="36">
        <v>1</v>
      </c>
      <c r="AN40" s="36" t="str">
        <f t="shared" si="0"/>
        <v>{dwID=7911,nLevel=1,nScrutinyType=2,szNote="繁忙",col={255,50,255,},[1]={bScreenHead=true,bBuffList=true,},[2]={},aCataclysmBuff={{szReminder="忙",nPriority=4,col="#FF32FFFF",colScreenHead="#FF32FF",nColAlpha=255,bAttention=true,bScreenHead=true,},},},</v>
      </c>
    </row>
    <row r="41" spans="3:45" s="36" customFormat="1" x14ac:dyDescent="0.15">
      <c r="C41" s="36">
        <v>7756</v>
      </c>
      <c r="D41" s="36">
        <v>1</v>
      </c>
      <c r="I41" s="36">
        <v>1</v>
      </c>
      <c r="K41" s="36" t="s">
        <v>2035</v>
      </c>
      <c r="L41" s="36" t="s">
        <v>1781</v>
      </c>
      <c r="T41" s="36">
        <v>1</v>
      </c>
      <c r="AE41" s="36" t="s">
        <v>2036</v>
      </c>
      <c r="AF41" s="36">
        <v>3</v>
      </c>
      <c r="AG41" s="36" t="s">
        <v>2630</v>
      </c>
      <c r="AI41" s="36">
        <v>0</v>
      </c>
      <c r="AN41" s="36" t="str">
        <f t="shared" si="0"/>
        <v>{dwID=7756,nLevel=1,nScrutinyType=1,szNote="燃火20s",col={255,255,0,},[1]={bBuffList=true,},[2]={},aCataclysmBuff={{szReminder="火",nPriority=3,col="#00FFFF00",},},tCountdown={{nClass=1,nIcon=5399,nFrame=0,szName="增益·燃火·持续剩余",nTime=20,key="燃火",},{nClass=2,nIcon=13,szName="燃火",nTime=-1,key="燃火",},},},</v>
      </c>
      <c r="AO41" s="36" t="s">
        <v>2076</v>
      </c>
      <c r="AP41" s="36" t="s">
        <v>2077</v>
      </c>
    </row>
    <row r="42" spans="3:45" s="36" customFormat="1" x14ac:dyDescent="0.15">
      <c r="C42" s="36">
        <v>7497</v>
      </c>
      <c r="D42" s="36">
        <v>1</v>
      </c>
      <c r="G42" s="36" t="s">
        <v>2038</v>
      </c>
      <c r="I42" s="36">
        <v>2</v>
      </c>
      <c r="K42" s="36" t="s">
        <v>2037</v>
      </c>
      <c r="L42" s="36" t="s">
        <v>1781</v>
      </c>
      <c r="R42" s="36">
        <v>1</v>
      </c>
      <c r="T42" s="36">
        <v>1</v>
      </c>
      <c r="AE42" s="36" t="s">
        <v>2039</v>
      </c>
      <c r="AF42" s="36">
        <v>13</v>
      </c>
      <c r="AG42" s="36" t="s">
        <v>2040</v>
      </c>
      <c r="AH42" s="36" t="s">
        <v>2041</v>
      </c>
      <c r="AI42" s="36">
        <v>255</v>
      </c>
      <c r="AL42" s="36">
        <v>1</v>
      </c>
      <c r="AN42" s="36" t="str">
        <f t="shared" si="0"/>
        <v>{dwID=7497,nLevel=1,szName="眩晕·抛掷",nScrutinyType=2,szNote="御城·抛掷",col={255,255,0,},[1]={bScreenHead=true,bBuffList=true,},[2]={},aCataclysmBuff={{szReminder="晕",nPriority=13,col="#FFFF00FF",colScreenHead="#FFFF00",nColAlpha=255,bScreenHead=true,},},},</v>
      </c>
    </row>
    <row r="43" spans="3:45" s="36" customFormat="1" x14ac:dyDescent="0.15">
      <c r="C43" s="36">
        <v>7504</v>
      </c>
      <c r="D43" s="36">
        <v>1</v>
      </c>
      <c r="G43" s="36" t="s">
        <v>2164</v>
      </c>
      <c r="I43" s="36">
        <v>2</v>
      </c>
      <c r="K43" s="36" t="s">
        <v>2163</v>
      </c>
      <c r="L43" s="36" t="s">
        <v>1781</v>
      </c>
      <c r="R43" s="36">
        <v>1</v>
      </c>
      <c r="T43" s="36">
        <v>1</v>
      </c>
      <c r="AE43" s="36" t="s">
        <v>2039</v>
      </c>
      <c r="AF43" s="36">
        <v>13</v>
      </c>
      <c r="AG43" s="36" t="s">
        <v>2040</v>
      </c>
      <c r="AH43" s="36" t="s">
        <v>2041</v>
      </c>
      <c r="AI43" s="36">
        <v>255</v>
      </c>
      <c r="AL43" s="36">
        <v>1</v>
      </c>
      <c r="AN43" s="36" t="str">
        <f t="shared" si="0"/>
        <v>{dwID=7504,nLevel=1,szName="眩晕·御城",nScrutinyType=2,szNote="御城·精准",col={255,255,0,},[1]={bScreenHead=true,bBuffList=true,},[2]={},aCataclysmBuff={{szReminder="晕",nPriority=13,col="#FFFF00FF",colScreenHead="#FFFF00",nColAlpha=255,bScreenHead=true,},},},</v>
      </c>
    </row>
    <row r="44" spans="3:45" s="36" customFormat="1" x14ac:dyDescent="0.15">
      <c r="C44" s="36">
        <v>7503</v>
      </c>
      <c r="D44" s="36">
        <v>1</v>
      </c>
      <c r="G44" s="36" t="s">
        <v>2502</v>
      </c>
      <c r="I44" s="36">
        <v>1</v>
      </c>
      <c r="K44" s="36" t="s">
        <v>2503</v>
      </c>
      <c r="L44" s="36" t="s">
        <v>2358</v>
      </c>
      <c r="T44" s="36">
        <v>1</v>
      </c>
      <c r="V44" s="36">
        <v>1</v>
      </c>
      <c r="AF44" s="36">
        <v>37</v>
      </c>
      <c r="AG44" s="36" t="s">
        <v>2504</v>
      </c>
      <c r="AH44" s="36" t="s">
        <v>2361</v>
      </c>
      <c r="AI44" s="36">
        <v>170</v>
      </c>
      <c r="AN44" s="36" t="str">
        <f t="shared" si="0"/>
        <v>{dwID=7503,nLevel=1,szName="减速·御城",nScrutinyType=1,szNote="御城·断股",col={31,63,255,},[1]={bBuffList=true,bTeamPanel=true,},[2]={},aCataclysmBuff={{nPriority=37,col="#1F3FFFAA",colScreenHead="#1F3FFF",nColAlpha=170,},},},</v>
      </c>
    </row>
    <row r="45" spans="3:45" s="36" customFormat="1" x14ac:dyDescent="0.15">
      <c r="C45" s="36">
        <v>4038</v>
      </c>
      <c r="D45" s="36">
        <v>1</v>
      </c>
      <c r="I45" s="36">
        <v>1</v>
      </c>
      <c r="K45" s="36" t="s">
        <v>2362</v>
      </c>
      <c r="L45" s="36" t="s">
        <v>2358</v>
      </c>
      <c r="R45" s="36">
        <v>1</v>
      </c>
      <c r="T45" s="36">
        <v>1</v>
      </c>
      <c r="AE45" s="36" t="s">
        <v>2359</v>
      </c>
      <c r="AF45" s="36">
        <v>15</v>
      </c>
      <c r="AG45" s="36" t="s">
        <v>2360</v>
      </c>
      <c r="AH45" s="36" t="s">
        <v>2361</v>
      </c>
      <c r="AI45" s="36">
        <v>255</v>
      </c>
      <c r="AL45" s="36">
        <v>1</v>
      </c>
      <c r="AN45" s="36" t="str">
        <f t="shared" si="0"/>
        <v>{dwID=4038,nLevel=1,nScrutinyType=1,szNote="锁足·首领",col={31,63,255,},[1]={bScreenHead=true,bBuffList=true,},[2]={},aCataclysmBuff={{szReminder="锁",nPriority=15,col="#1F3FFFFF",colScreenHead="#1F3FFF",nColAlpha=255,bScreenHead=true,},},},</v>
      </c>
    </row>
    <row r="46" spans="3:45" s="36" customFormat="1" x14ac:dyDescent="0.15">
      <c r="C46" s="36">
        <v>29007</v>
      </c>
      <c r="D46" s="36">
        <v>1</v>
      </c>
      <c r="I46" s="36">
        <v>1</v>
      </c>
      <c r="K46" s="56" t="s">
        <v>2157</v>
      </c>
      <c r="L46" s="36" t="s">
        <v>2383</v>
      </c>
      <c r="AN46"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40" t="s">
        <v>2402</v>
      </c>
      <c r="AP46" s="40" t="s">
        <v>2401</v>
      </c>
      <c r="AQ46" s="36" t="s">
        <v>2742</v>
      </c>
      <c r="AR46" s="38" t="s">
        <v>2568</v>
      </c>
      <c r="AS46" s="38" t="s">
        <v>2569</v>
      </c>
    </row>
    <row r="47" spans="3:45" s="36" customFormat="1" x14ac:dyDescent="0.15">
      <c r="C47" s="36">
        <v>11561</v>
      </c>
      <c r="D47" s="36">
        <v>1</v>
      </c>
      <c r="G47" s="36" t="s">
        <v>2579</v>
      </c>
      <c r="I47" s="36">
        <v>1</v>
      </c>
      <c r="K47" s="36" t="s">
        <v>2581</v>
      </c>
      <c r="L47" s="36" t="s">
        <v>2580</v>
      </c>
      <c r="AN47" s="36" t="str">
        <f t="shared" si="0"/>
        <v>{dwID=11561,nLevel=1,szName="据点内",nScrutinyType=1,szNote="判断是否在大旗附近",col={80,231,236,},[1]={},[2]={},tCountdown={{nClass=1,nIcon=1272,nFrame=2,szName="据点大旗·旗手提示",nTime=-1,key="据点大旗·旗手提示",},},},</v>
      </c>
      <c r="AO47" s="36" t="s">
        <v>2719</v>
      </c>
      <c r="AP47" s="39"/>
      <c r="AQ47" s="39"/>
      <c r="AR47" s="39"/>
    </row>
    <row r="48" spans="3:45" x14ac:dyDescent="0.15">
      <c r="C48">
        <v>7723</v>
      </c>
      <c r="D48">
        <v>1</v>
      </c>
      <c r="I48">
        <v>2</v>
      </c>
      <c r="K48" t="s">
        <v>1797</v>
      </c>
      <c r="L48" s="36" t="s">
        <v>1667</v>
      </c>
      <c r="T48">
        <v>1</v>
      </c>
      <c r="V48">
        <v>1</v>
      </c>
      <c r="AF48" s="36">
        <v>1</v>
      </c>
      <c r="AG48" s="36" t="s">
        <v>2484</v>
      </c>
      <c r="AH48" s="36"/>
      <c r="AI48" s="36">
        <v>170</v>
      </c>
      <c r="AN48" s="36" t="str">
        <f t="shared" si="0"/>
        <v>{dwID=7723,nLevel=1,nScrutinyType=2,szNote="神机雷",col={255,255,255,},[1]={bBuffList=true,bTeamPanel=true,},[2]={},aCataclysmBuff={{nPriority=1,col="#FFFFFFAA",nColAlpha=170,},},},</v>
      </c>
    </row>
    <row r="49" spans="1:74" x14ac:dyDescent="0.15">
      <c r="A49" s="36" t="s">
        <v>1767</v>
      </c>
      <c r="B49" s="36">
        <v>214</v>
      </c>
      <c r="AN49" s="36" t="str">
        <f t="shared" si="0"/>
        <v>},[214]={</v>
      </c>
      <c r="BM49" s="36"/>
      <c r="BN49" s="36"/>
      <c r="BO49" s="36"/>
      <c r="BP49" s="36"/>
      <c r="BQ49" s="36"/>
      <c r="BR49" s="36"/>
      <c r="BS49" s="36"/>
      <c r="BT49" s="36"/>
      <c r="BU49" s="36"/>
      <c r="BV49" s="36"/>
    </row>
    <row r="50" spans="1:74" s="36" customFormat="1" x14ac:dyDescent="0.15">
      <c r="C50" s="36">
        <v>9992</v>
      </c>
      <c r="D50" s="36">
        <v>1</v>
      </c>
      <c r="F50" s="36">
        <v>8004</v>
      </c>
      <c r="G50" s="36" t="s">
        <v>2300</v>
      </c>
      <c r="I50" s="36">
        <v>1</v>
      </c>
      <c r="K50" s="36" t="s">
        <v>2301</v>
      </c>
      <c r="L50" s="36" t="s">
        <v>1781</v>
      </c>
      <c r="T50" s="36">
        <v>1</v>
      </c>
      <c r="AN50" s="36" t="str">
        <f t="shared" si="0"/>
        <v>{dwID=9992,nLevel=1,nIcon=8004,szName="大跑商",nScrutinyType=1,szNote="场景标记",col={255,255,0,},[1]={bBuffList=true,},[2]={},},</v>
      </c>
    </row>
    <row r="51" spans="1:74" s="36" customFormat="1" x14ac:dyDescent="0.15">
      <c r="C51" s="36">
        <v>9982</v>
      </c>
      <c r="D51" s="36">
        <v>1</v>
      </c>
      <c r="I51" s="36">
        <v>2</v>
      </c>
      <c r="K51" s="36" t="s">
        <v>2302</v>
      </c>
      <c r="L51" s="36" t="s">
        <v>1667</v>
      </c>
      <c r="AE51" s="36" t="s">
        <v>2303</v>
      </c>
      <c r="AF51" s="36">
        <v>2</v>
      </c>
      <c r="AG51" s="36" t="s">
        <v>1967</v>
      </c>
      <c r="AH51" s="36" t="s">
        <v>1967</v>
      </c>
      <c r="AI51" s="36">
        <v>255</v>
      </c>
      <c r="AN51" s="36" t="str">
        <f t="shared" si="0"/>
        <v>{dwID=9982,nLevel=1,nScrutinyType=2,szNote="运货首领",col={255,255,255,},[1]={},[2]={},aCataclysmBuff={{szReminder="镖",nPriority=2,col="#FFFFFFFF",colScreenHead="#FFFFFFFF",nColAlpha=255,},},},</v>
      </c>
    </row>
    <row r="52" spans="1:74" s="36" customFormat="1" x14ac:dyDescent="0.15">
      <c r="C52" s="36">
        <v>7851</v>
      </c>
      <c r="D52" s="36">
        <v>1</v>
      </c>
      <c r="I52" s="36">
        <v>1</v>
      </c>
      <c r="K52" s="36" t="s">
        <v>2557</v>
      </c>
      <c r="L52" s="36" t="s">
        <v>2309</v>
      </c>
      <c r="T52" s="36">
        <v>1</v>
      </c>
      <c r="AN52" s="36" t="str">
        <f t="shared" si="0"/>
        <v>{dwID=7851,nLevel=1,nScrutinyType=1,szNote="追踪·减速50%",col={31,63,255,},[1]={bBuffList=true,},[2]={},},</v>
      </c>
    </row>
    <row r="53" spans="1:74" x14ac:dyDescent="0.15">
      <c r="A53" s="36" t="s">
        <v>19</v>
      </c>
      <c r="B53" s="36">
        <v>217</v>
      </c>
      <c r="AN53" s="36" t="str">
        <f t="shared" si="0"/>
        <v>},[217]={</v>
      </c>
    </row>
    <row r="54" spans="1:74" s="36" customFormat="1" x14ac:dyDescent="0.15">
      <c r="C54" s="36">
        <v>9992</v>
      </c>
      <c r="D54" s="36">
        <v>1</v>
      </c>
      <c r="F54" s="36">
        <v>8004</v>
      </c>
      <c r="G54" s="36" t="s">
        <v>2300</v>
      </c>
      <c r="I54" s="36">
        <v>1</v>
      </c>
      <c r="K54" s="36" t="s">
        <v>2301</v>
      </c>
      <c r="L54" s="36" t="s">
        <v>1781</v>
      </c>
      <c r="T54" s="36">
        <v>1</v>
      </c>
      <c r="AN54" s="36" t="str">
        <f t="shared" si="0"/>
        <v>{dwID=9992,nLevel=1,nIcon=8004,szName="大跑商",nScrutinyType=1,szNote="场景标记",col={255,255,0,},[1]={bBuffList=true,},[2]={},},</v>
      </c>
    </row>
    <row r="55" spans="1:74" s="36" customFormat="1" x14ac:dyDescent="0.15">
      <c r="C55" s="36">
        <v>9982</v>
      </c>
      <c r="D55" s="36">
        <v>1</v>
      </c>
      <c r="I55" s="36">
        <v>2</v>
      </c>
      <c r="K55" s="36" t="s">
        <v>2302</v>
      </c>
      <c r="L55" s="36" t="s">
        <v>1667</v>
      </c>
      <c r="AE55" s="36" t="s">
        <v>2303</v>
      </c>
      <c r="AF55" s="36">
        <v>2</v>
      </c>
      <c r="AG55" s="36" t="s">
        <v>1967</v>
      </c>
      <c r="AH55" s="36" t="s">
        <v>1967</v>
      </c>
      <c r="AI55" s="36">
        <v>255</v>
      </c>
      <c r="AN55" s="36" t="str">
        <f t="shared" si="0"/>
        <v>{dwID=9982,nLevel=1,nScrutinyType=2,szNote="运货首领",col={255,255,255,},[1]={},[2]={},aCataclysmBuff={{szReminder="镖",nPriority=2,col="#FFFFFFFF",colScreenHead="#FFFFFFFF",nColAlpha=255,},},},</v>
      </c>
    </row>
    <row r="56" spans="1:74" s="36" customFormat="1" x14ac:dyDescent="0.15">
      <c r="C56" s="36">
        <v>7851</v>
      </c>
      <c r="D56" s="36">
        <v>1</v>
      </c>
      <c r="I56" s="36">
        <v>1</v>
      </c>
      <c r="K56" s="36" t="s">
        <v>2557</v>
      </c>
      <c r="L56" s="36" t="s">
        <v>2309</v>
      </c>
      <c r="T56" s="36">
        <v>1</v>
      </c>
      <c r="AN56" s="36" t="str">
        <f t="shared" si="0"/>
        <v>{dwID=7851,nLevel=1,nScrutinyType=1,szNote="追踪·减速50%",col={31,63,255,},[1]={bBuffList=true,},[2]={},},</v>
      </c>
    </row>
    <row r="57" spans="1:74" x14ac:dyDescent="0.15">
      <c r="A57" s="36" t="s">
        <v>18</v>
      </c>
      <c r="B57" s="36">
        <v>216</v>
      </c>
      <c r="AN57" s="36" t="str">
        <f t="shared" si="0"/>
        <v>},[216]={</v>
      </c>
    </row>
    <row r="58" spans="1:74" s="36" customFormat="1" x14ac:dyDescent="0.15">
      <c r="C58" s="36">
        <v>9992</v>
      </c>
      <c r="D58" s="36">
        <v>1</v>
      </c>
      <c r="F58" s="36">
        <v>8004</v>
      </c>
      <c r="G58" s="36" t="s">
        <v>2300</v>
      </c>
      <c r="I58" s="36">
        <v>1</v>
      </c>
      <c r="K58" s="36" t="s">
        <v>2301</v>
      </c>
      <c r="L58" s="36" t="s">
        <v>1781</v>
      </c>
      <c r="T58" s="36">
        <v>1</v>
      </c>
      <c r="AN58" s="36" t="str">
        <f t="shared" si="0"/>
        <v>{dwID=9992,nLevel=1,nIcon=8004,szName="大跑商",nScrutinyType=1,szNote="场景标记",col={255,255,0,},[1]={bBuffList=true,},[2]={},},</v>
      </c>
    </row>
    <row r="59" spans="1:74" s="36" customFormat="1" x14ac:dyDescent="0.15">
      <c r="C59" s="36">
        <v>9982</v>
      </c>
      <c r="D59" s="36">
        <v>1</v>
      </c>
      <c r="I59" s="36">
        <v>2</v>
      </c>
      <c r="K59" s="36" t="s">
        <v>2302</v>
      </c>
      <c r="L59" s="36" t="s">
        <v>1667</v>
      </c>
      <c r="AE59" s="36" t="s">
        <v>2303</v>
      </c>
      <c r="AF59" s="36">
        <v>2</v>
      </c>
      <c r="AG59" s="36" t="s">
        <v>1967</v>
      </c>
      <c r="AH59" s="36" t="s">
        <v>1967</v>
      </c>
      <c r="AI59" s="36">
        <v>255</v>
      </c>
      <c r="AN59" s="36" t="str">
        <f t="shared" si="0"/>
        <v>{dwID=9982,nLevel=1,nScrutinyType=2,szNote="运货首领",col={255,255,255,},[1]={},[2]={},aCataclysmBuff={{szReminder="镖",nPriority=2,col="#FFFFFFFF",colScreenHead="#FFFFFFFF",nColAlpha=255,},},},</v>
      </c>
    </row>
    <row r="60" spans="1:74" s="36" customFormat="1" x14ac:dyDescent="0.15">
      <c r="C60" s="36">
        <v>7851</v>
      </c>
      <c r="D60" s="36">
        <v>1</v>
      </c>
      <c r="I60" s="36">
        <v>1</v>
      </c>
      <c r="K60" s="36" t="s">
        <v>2557</v>
      </c>
      <c r="L60" s="36" t="s">
        <v>2309</v>
      </c>
      <c r="T60" s="36">
        <v>1</v>
      </c>
      <c r="AN60" s="36" t="str">
        <f t="shared" si="0"/>
        <v>{dwID=7851,nLevel=1,nScrutinyType=1,szNote="追踪·减速50%",col={31,63,255,},[1]={bBuffList=true,},[2]={},},</v>
      </c>
    </row>
    <row r="61" spans="1:74" s="36" customFormat="1" x14ac:dyDescent="0.15">
      <c r="C61" s="40">
        <v>11567</v>
      </c>
      <c r="D61" s="36">
        <v>1</v>
      </c>
      <c r="F61" s="36">
        <v>1245</v>
      </c>
      <c r="G61" s="36" t="s">
        <v>2088</v>
      </c>
      <c r="I61" s="36">
        <v>1</v>
      </c>
      <c r="K61" s="36" t="s">
        <v>1950</v>
      </c>
      <c r="L61" s="36" t="s">
        <v>1781</v>
      </c>
      <c r="AN61" s="36" t="str">
        <f t="shared" si="0"/>
        <v>{dwID=11567,nLevel=1,nIcon=1245,szName="答对",nScrutinyType=1,szNote="回答奖励",col={255,255,0,},[1]={},[2]={},tCountdown={{nClass=1,nIcon=13,nFrame=1,szName="答题验证·回答正确",nTime=5,key="挂机检测",},},},</v>
      </c>
      <c r="AO61" s="36" t="s">
        <v>2080</v>
      </c>
    </row>
    <row r="62" spans="1:74" s="36" customFormat="1" x14ac:dyDescent="0.15">
      <c r="C62" s="40">
        <v>11559</v>
      </c>
      <c r="D62" s="36">
        <v>1</v>
      </c>
      <c r="F62" s="36">
        <v>1244</v>
      </c>
      <c r="G62" s="36" t="s">
        <v>1954</v>
      </c>
      <c r="I62" s="36">
        <v>1</v>
      </c>
      <c r="K62" s="36" t="s">
        <v>1951</v>
      </c>
      <c r="L62" s="36" t="s">
        <v>1961</v>
      </c>
      <c r="N62" s="36" t="s">
        <v>1787</v>
      </c>
      <c r="O62" s="36">
        <v>1</v>
      </c>
      <c r="P62" s="36">
        <v>1</v>
      </c>
      <c r="Q62" s="36">
        <v>1</v>
      </c>
      <c r="R62" s="36">
        <v>1</v>
      </c>
      <c r="T62" s="36">
        <v>1</v>
      </c>
      <c r="U62" s="36">
        <v>1</v>
      </c>
      <c r="V62" s="36">
        <v>1</v>
      </c>
      <c r="AE62" s="36" t="s">
        <v>1970</v>
      </c>
      <c r="AF62" s="36">
        <v>3</v>
      </c>
      <c r="AG62" s="36" t="s">
        <v>1952</v>
      </c>
      <c r="AH62" s="36" t="s">
        <v>1953</v>
      </c>
      <c r="AI62" s="36">
        <v>255</v>
      </c>
      <c r="AJ62" s="36">
        <v>1</v>
      </c>
      <c r="AK62" s="36">
        <v>1</v>
      </c>
      <c r="AL62" s="36">
        <v>1</v>
      </c>
      <c r="AN6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s="36" t="s">
        <v>2081</v>
      </c>
    </row>
    <row r="63" spans="1:74" s="36" customFormat="1" x14ac:dyDescent="0.15">
      <c r="C63" s="40">
        <v>11565</v>
      </c>
      <c r="D63" s="36">
        <v>1</v>
      </c>
      <c r="F63" s="36">
        <v>592</v>
      </c>
      <c r="G63" s="36" t="s">
        <v>2384</v>
      </c>
      <c r="K63" s="36" t="s">
        <v>2385</v>
      </c>
      <c r="L63" s="36" t="s">
        <v>2112</v>
      </c>
      <c r="R63" s="36">
        <v>1</v>
      </c>
      <c r="AN63" s="36" t="str">
        <f t="shared" si="0"/>
        <v>{dwID=11565,nLevel=1,nIcon=592,szName="大旗手",szNote="大旗手检测",col={0,255,255,},[1]={bScreenHead=true,},[2]={},},</v>
      </c>
    </row>
    <row r="64" spans="1:74" s="36" customFormat="1" x14ac:dyDescent="0.15">
      <c r="C64" s="40">
        <v>32813</v>
      </c>
      <c r="D64" s="36">
        <v>1</v>
      </c>
      <c r="F64" s="36">
        <v>16834</v>
      </c>
      <c r="G64" s="36" t="s">
        <v>2696</v>
      </c>
      <c r="K64" s="36" t="s">
        <v>2691</v>
      </c>
      <c r="L64" s="36" t="s">
        <v>2693</v>
      </c>
      <c r="T64" s="36">
        <v>1</v>
      </c>
      <c r="V64" s="36">
        <v>1</v>
      </c>
      <c r="AE64" s="36" t="s">
        <v>2692</v>
      </c>
      <c r="AF64" s="36">
        <v>37</v>
      </c>
      <c r="AG64" s="36" t="s">
        <v>2694</v>
      </c>
      <c r="AH64" s="36" t="s">
        <v>2695</v>
      </c>
      <c r="AI64" s="36">
        <v>255</v>
      </c>
      <c r="AN6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s="36" t="s">
        <v>2702</v>
      </c>
    </row>
    <row r="65" spans="1:44" s="36" customFormat="1" x14ac:dyDescent="0.15">
      <c r="C65" s="40">
        <v>32812</v>
      </c>
      <c r="D65" s="36">
        <v>1</v>
      </c>
      <c r="F65" s="36">
        <v>3451</v>
      </c>
      <c r="G65" s="36" t="s">
        <v>2697</v>
      </c>
      <c r="K65" s="36" t="s">
        <v>2698</v>
      </c>
      <c r="L65" s="36" t="s">
        <v>2699</v>
      </c>
      <c r="T65" s="36">
        <v>1</v>
      </c>
      <c r="AN65" s="36" t="str">
        <f t="shared" si="0"/>
        <v>{dwID=32812,nLevel=1,nIcon=3451,szName="损CD",szNote="据点大旗赛点CD",col={255,50,50,},[1]={bBuffList=true,},[2]={},tCountdown={{nClass=1,nIcon=16834,nFrame=1,szName="大旗赛点·CD",nTime="60,大旗赛点·触发冷却;62,大旗赛点·解除冷却",nRefresh=1,key="大旗赛点·CD",},},},</v>
      </c>
      <c r="AO65" s="36" t="s">
        <v>2700</v>
      </c>
    </row>
    <row r="66" spans="1:44" s="36" customFormat="1" x14ac:dyDescent="0.15">
      <c r="C66" s="40">
        <v>31381</v>
      </c>
      <c r="D66" s="36">
        <v>1</v>
      </c>
      <c r="G66" s="36" t="s">
        <v>2556</v>
      </c>
      <c r="K66" s="36" t="s">
        <v>2382</v>
      </c>
      <c r="L66" s="36" t="s">
        <v>1961</v>
      </c>
      <c r="R66" s="36">
        <v>1</v>
      </c>
      <c r="T66" s="36">
        <v>1</v>
      </c>
      <c r="AE66" s="36" t="s">
        <v>2572</v>
      </c>
      <c r="AF66" s="36">
        <v>11</v>
      </c>
      <c r="AG66" s="36" t="s">
        <v>1952</v>
      </c>
      <c r="AH66" s="36" t="s">
        <v>1953</v>
      </c>
      <c r="AI66" s="36">
        <v>255</v>
      </c>
      <c r="AL66" s="36">
        <v>1</v>
      </c>
      <c r="AN6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66" s="36" t="s">
        <v>2716</v>
      </c>
      <c r="AP66" s="36" t="s">
        <v>2388</v>
      </c>
    </row>
    <row r="67" spans="1:44" s="36" customFormat="1" x14ac:dyDescent="0.15">
      <c r="C67" s="40">
        <v>12888</v>
      </c>
      <c r="D67" s="36">
        <v>1</v>
      </c>
      <c r="G67" s="36" t="s">
        <v>2729</v>
      </c>
      <c r="I67" s="36">
        <v>2</v>
      </c>
      <c r="K67" s="36" t="s">
        <v>2730</v>
      </c>
      <c r="L67" s="36" t="s">
        <v>2734</v>
      </c>
      <c r="T67" s="36">
        <v>1</v>
      </c>
      <c r="V67" s="36">
        <v>1</v>
      </c>
      <c r="AE67" s="36" t="s">
        <v>2731</v>
      </c>
      <c r="AF67" s="36">
        <v>29</v>
      </c>
      <c r="AG67" s="36" t="s">
        <v>2733</v>
      </c>
      <c r="AH67" s="36" t="s">
        <v>2732</v>
      </c>
      <c r="AI67" s="36">
        <v>255</v>
      </c>
      <c r="AN67" s="36" t="str">
        <f t="shared" ref="AN67:AN98" si="1">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spans="1:44" s="36" customFormat="1" x14ac:dyDescent="0.15">
      <c r="C68" s="40">
        <v>8807</v>
      </c>
      <c r="D68" s="36">
        <v>1</v>
      </c>
      <c r="G68" s="36" t="s">
        <v>1963</v>
      </c>
      <c r="I68" s="36">
        <v>1</v>
      </c>
      <c r="K68" s="36" t="s">
        <v>1964</v>
      </c>
      <c r="L68" s="36" t="s">
        <v>1961</v>
      </c>
      <c r="N68" s="36" t="s">
        <v>1787</v>
      </c>
      <c r="O68" s="36">
        <v>1</v>
      </c>
      <c r="P68" s="36">
        <v>1</v>
      </c>
      <c r="Q68" s="36">
        <v>1</v>
      </c>
      <c r="T68" s="36">
        <v>1</v>
      </c>
      <c r="U68" s="36">
        <v>1</v>
      </c>
      <c r="AE68" s="36" t="s">
        <v>1969</v>
      </c>
      <c r="AF68" s="36">
        <v>2</v>
      </c>
      <c r="AG68" s="36" t="s">
        <v>1952</v>
      </c>
      <c r="AI68" s="36">
        <v>255</v>
      </c>
      <c r="AJ68" s="36">
        <v>1</v>
      </c>
      <c r="AN68"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s="36" t="s">
        <v>2079</v>
      </c>
    </row>
    <row r="69" spans="1:44" s="36" customFormat="1" x14ac:dyDescent="0.15">
      <c r="C69" s="40">
        <v>7913</v>
      </c>
      <c r="D69" s="36">
        <v>1</v>
      </c>
      <c r="I69" s="36">
        <v>2</v>
      </c>
      <c r="K69" s="36" t="s">
        <v>1830</v>
      </c>
      <c r="L69" s="36" t="s">
        <v>1827</v>
      </c>
      <c r="T69" s="36">
        <v>1</v>
      </c>
      <c r="AE69" s="36" t="s">
        <v>2371</v>
      </c>
      <c r="AF69" s="36">
        <v>5</v>
      </c>
      <c r="AG69" s="36" t="s">
        <v>1829</v>
      </c>
      <c r="AH69" s="36" t="s">
        <v>1828</v>
      </c>
      <c r="AI69" s="36">
        <v>255</v>
      </c>
      <c r="AJ69" s="36">
        <v>1</v>
      </c>
      <c r="AL69" s="36">
        <v>1</v>
      </c>
      <c r="AN69" s="36" t="str">
        <f t="shared" si="1"/>
        <v>{dwID=7913,nLevel=1,nScrutinyType=2,szNote="意涌系统通用抗百分比回血",col={255,204,0,},[1]={bBuffList=true,},[2]={},aCataclysmBuff={{szReminder="涌",nPriority=5,col="#FFCC00FF",colScreenHead="#FFCC00",nColAlpha=255,bAttention=true,bScreenHead=true,},},},</v>
      </c>
    </row>
    <row r="70" spans="1:44" s="36" customFormat="1" x14ac:dyDescent="0.15">
      <c r="C70" s="40">
        <v>7911</v>
      </c>
      <c r="D70" s="36">
        <v>1</v>
      </c>
      <c r="I70" s="36">
        <v>2</v>
      </c>
      <c r="K70" s="36" t="s">
        <v>1944</v>
      </c>
      <c r="L70" s="36" t="s">
        <v>1961</v>
      </c>
      <c r="R70" s="36">
        <v>1</v>
      </c>
      <c r="T70" s="36">
        <v>1</v>
      </c>
      <c r="AE70" s="36" t="s">
        <v>1971</v>
      </c>
      <c r="AF70" s="36">
        <v>4</v>
      </c>
      <c r="AG70" s="36" t="s">
        <v>1952</v>
      </c>
      <c r="AH70" s="36" t="s">
        <v>1953</v>
      </c>
      <c r="AI70" s="36">
        <v>255</v>
      </c>
      <c r="AJ70" s="36">
        <v>1</v>
      </c>
      <c r="AL70" s="36">
        <v>1</v>
      </c>
      <c r="AN70" s="36" t="str">
        <f t="shared" si="1"/>
        <v>{dwID=7911,nLevel=1,nScrutinyType=2,szNote="繁忙",col={255,50,255,},[1]={bScreenHead=true,bBuffList=true,},[2]={},aCataclysmBuff={{szReminder="忙",nPriority=4,col="#FF32FFFF",colScreenHead="#FF32FF",nColAlpha=255,bAttention=true,bScreenHead=true,},},},</v>
      </c>
    </row>
    <row r="71" spans="1:44" s="36" customFormat="1" x14ac:dyDescent="0.15">
      <c r="C71" s="40">
        <v>7756</v>
      </c>
      <c r="D71" s="36">
        <v>1</v>
      </c>
      <c r="I71" s="36">
        <v>1</v>
      </c>
      <c r="K71" s="36" t="s">
        <v>2035</v>
      </c>
      <c r="L71" s="36" t="s">
        <v>1781</v>
      </c>
      <c r="T71" s="36">
        <v>1</v>
      </c>
      <c r="AE71" s="36" t="s">
        <v>2036</v>
      </c>
      <c r="AF71" s="36">
        <v>3</v>
      </c>
      <c r="AG71" s="36" t="s">
        <v>2630</v>
      </c>
      <c r="AI71" s="36">
        <v>0</v>
      </c>
      <c r="AN71" s="36" t="str">
        <f t="shared" si="1"/>
        <v>{dwID=7756,nLevel=1,nScrutinyType=1,szNote="燃火20s",col={255,255,0,},[1]={bBuffList=true,},[2]={},aCataclysmBuff={{szReminder="火",nPriority=3,col="#00FFFF00",},},tCountdown={{nClass=1,nIcon=5399,nFrame=0,szName="增益·燃火·持续剩余",nTime=20,key="燃火",},{nClass=2,nIcon=13,szName="燃火",nTime=-1,key="燃火",},},},</v>
      </c>
      <c r="AO71" s="36" t="s">
        <v>2076</v>
      </c>
      <c r="AP71" s="36" t="s">
        <v>2077</v>
      </c>
    </row>
    <row r="72" spans="1:44" s="36" customFormat="1" x14ac:dyDescent="0.15">
      <c r="C72" s="40">
        <v>7497</v>
      </c>
      <c r="D72" s="36">
        <v>1</v>
      </c>
      <c r="G72" s="36" t="s">
        <v>2038</v>
      </c>
      <c r="I72" s="36">
        <v>2</v>
      </c>
      <c r="K72" s="36" t="s">
        <v>2037</v>
      </c>
      <c r="L72" s="36" t="s">
        <v>1781</v>
      </c>
      <c r="R72" s="36">
        <v>1</v>
      </c>
      <c r="T72" s="36">
        <v>1</v>
      </c>
      <c r="AE72" s="36" t="s">
        <v>2039</v>
      </c>
      <c r="AF72" s="36">
        <v>13</v>
      </c>
      <c r="AG72" s="36" t="s">
        <v>2040</v>
      </c>
      <c r="AH72" s="36" t="s">
        <v>2041</v>
      </c>
      <c r="AI72" s="36">
        <v>255</v>
      </c>
      <c r="AL72" s="36">
        <v>1</v>
      </c>
      <c r="AN72" s="36" t="str">
        <f t="shared" si="1"/>
        <v>{dwID=7497,nLevel=1,szName="眩晕·抛掷",nScrutinyType=2,szNote="御城·抛掷",col={255,255,0,},[1]={bScreenHead=true,bBuffList=true,},[2]={},aCataclysmBuff={{szReminder="晕",nPriority=13,col="#FFFF00FF",colScreenHead="#FFFF00",nColAlpha=255,bScreenHead=true,},},},</v>
      </c>
    </row>
    <row r="73" spans="1:44" s="36" customFormat="1" x14ac:dyDescent="0.15">
      <c r="C73" s="40">
        <v>7504</v>
      </c>
      <c r="D73" s="36">
        <v>1</v>
      </c>
      <c r="G73" s="36" t="s">
        <v>2164</v>
      </c>
      <c r="I73" s="36">
        <v>2</v>
      </c>
      <c r="K73" s="36" t="s">
        <v>2163</v>
      </c>
      <c r="L73" s="36" t="s">
        <v>1781</v>
      </c>
      <c r="R73" s="36">
        <v>1</v>
      </c>
      <c r="T73" s="36">
        <v>1</v>
      </c>
      <c r="AE73" s="36" t="s">
        <v>2039</v>
      </c>
      <c r="AF73" s="36">
        <v>13</v>
      </c>
      <c r="AG73" s="36" t="s">
        <v>2040</v>
      </c>
      <c r="AH73" s="36" t="s">
        <v>2041</v>
      </c>
      <c r="AI73" s="36">
        <v>255</v>
      </c>
      <c r="AL73" s="36">
        <v>1</v>
      </c>
      <c r="AN73" s="36" t="str">
        <f t="shared" si="1"/>
        <v>{dwID=7504,nLevel=1,szName="眩晕·御城",nScrutinyType=2,szNote="御城·精准",col={255,255,0,},[1]={bScreenHead=true,bBuffList=true,},[2]={},aCataclysmBuff={{szReminder="晕",nPriority=13,col="#FFFF00FF",colScreenHead="#FFFF00",nColAlpha=255,bScreenHead=true,},},},</v>
      </c>
    </row>
    <row r="74" spans="1:44" s="36" customFormat="1" x14ac:dyDescent="0.15">
      <c r="C74" s="40">
        <v>7503</v>
      </c>
      <c r="D74" s="36">
        <v>1</v>
      </c>
      <c r="G74" s="36" t="s">
        <v>2502</v>
      </c>
      <c r="I74" s="36">
        <v>1</v>
      </c>
      <c r="K74" s="36" t="s">
        <v>2503</v>
      </c>
      <c r="L74" s="36" t="s">
        <v>2358</v>
      </c>
      <c r="T74" s="36">
        <v>1</v>
      </c>
      <c r="V74" s="36">
        <v>1</v>
      </c>
      <c r="AF74" s="36">
        <v>37</v>
      </c>
      <c r="AG74" s="36" t="s">
        <v>2504</v>
      </c>
      <c r="AH74" s="36" t="s">
        <v>2361</v>
      </c>
      <c r="AI74" s="36">
        <v>170</v>
      </c>
      <c r="AN74" s="36" t="str">
        <f t="shared" si="1"/>
        <v>{dwID=7503,nLevel=1,szName="减速·御城",nScrutinyType=1,szNote="御城·断股",col={31,63,255,},[1]={bBuffList=true,bTeamPanel=true,},[2]={},aCataclysmBuff={{nPriority=37,col="#1F3FFFAA",colScreenHead="#1F3FFF",nColAlpha=170,},},},</v>
      </c>
    </row>
    <row r="75" spans="1:44" s="36" customFormat="1" x14ac:dyDescent="0.15">
      <c r="C75" s="40">
        <v>4038</v>
      </c>
      <c r="D75" s="36">
        <v>1</v>
      </c>
      <c r="I75" s="36">
        <v>1</v>
      </c>
      <c r="K75" s="36" t="s">
        <v>2362</v>
      </c>
      <c r="L75" s="36" t="s">
        <v>2358</v>
      </c>
      <c r="R75" s="36">
        <v>1</v>
      </c>
      <c r="T75" s="36">
        <v>1</v>
      </c>
      <c r="AE75" s="36" t="s">
        <v>2359</v>
      </c>
      <c r="AF75" s="36">
        <v>15</v>
      </c>
      <c r="AG75" s="36" t="s">
        <v>2360</v>
      </c>
      <c r="AH75" s="36" t="s">
        <v>2361</v>
      </c>
      <c r="AI75" s="36">
        <v>255</v>
      </c>
      <c r="AL75" s="36">
        <v>1</v>
      </c>
      <c r="AN75" s="36" t="str">
        <f t="shared" si="1"/>
        <v>{dwID=4038,nLevel=1,nScrutinyType=1,szNote="锁足·首领",col={31,63,255,},[1]={bScreenHead=true,bBuffList=true,},[2]={},aCataclysmBuff={{szReminder="锁",nPriority=15,col="#1F3FFFFF",colScreenHead="#1F3FFF",nColAlpha=255,bScreenHead=true,},},},</v>
      </c>
    </row>
    <row r="76" spans="1:44" s="36" customFormat="1" x14ac:dyDescent="0.15">
      <c r="C76" s="40">
        <v>29007</v>
      </c>
      <c r="D76" s="36">
        <v>1</v>
      </c>
      <c r="I76" s="36">
        <v>1</v>
      </c>
      <c r="K76" s="36" t="s">
        <v>2157</v>
      </c>
      <c r="L76" s="36" t="s">
        <v>2383</v>
      </c>
      <c r="AN76"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40" t="s">
        <v>2402</v>
      </c>
      <c r="AP76" s="40" t="s">
        <v>2401</v>
      </c>
      <c r="AQ76" s="38" t="s">
        <v>2568</v>
      </c>
      <c r="AR76" s="38" t="s">
        <v>2569</v>
      </c>
    </row>
    <row r="77" spans="1:44" s="36" customFormat="1" x14ac:dyDescent="0.15">
      <c r="C77" s="40">
        <v>11561</v>
      </c>
      <c r="D77" s="36">
        <v>1</v>
      </c>
      <c r="G77" s="36" t="s">
        <v>2579</v>
      </c>
      <c r="I77" s="36">
        <v>1</v>
      </c>
      <c r="K77" s="36" t="s">
        <v>2581</v>
      </c>
      <c r="L77" s="36" t="s">
        <v>2580</v>
      </c>
      <c r="AN77" s="36" t="str">
        <f t="shared" si="1"/>
        <v>{dwID=11561,nLevel=1,szName="据点内",nScrutinyType=1,szNote="判断是否在大旗附近",col={80,231,236,},[1]={},[2]={},tCountdown={{nClass=1,nIcon=1272,nFrame=2,szName="据点大旗·旗手提示",nTime=-1,key="据点大旗·旗手提示",},},},</v>
      </c>
      <c r="AO77" s="36" t="s">
        <v>2719</v>
      </c>
      <c r="AP77" s="39"/>
      <c r="AQ77" s="39"/>
      <c r="AR77" s="39"/>
    </row>
    <row r="78" spans="1:44" s="36" customFormat="1" x14ac:dyDescent="0.15">
      <c r="C78" s="40">
        <v>7723</v>
      </c>
      <c r="D78" s="36">
        <v>1</v>
      </c>
      <c r="I78" s="36">
        <v>2</v>
      </c>
      <c r="K78" s="36" t="s">
        <v>1797</v>
      </c>
      <c r="L78" s="36" t="s">
        <v>1667</v>
      </c>
      <c r="T78" s="36">
        <v>1</v>
      </c>
      <c r="V78" s="36">
        <v>1</v>
      </c>
      <c r="AF78" s="36">
        <v>1</v>
      </c>
      <c r="AG78" s="36" t="s">
        <v>2484</v>
      </c>
      <c r="AI78" s="36">
        <v>170</v>
      </c>
      <c r="AN78" s="36" t="str">
        <f t="shared" si="1"/>
        <v>{dwID=7723,nLevel=1,nScrutinyType=2,szNote="神机雷",col={255,255,255,},[1]={bBuffList=true,bTeamPanel=true,},[2]={},aCataclysmBuff={{nPriority=1,col="#FFFFFFAA",nColAlpha=170,},},},</v>
      </c>
    </row>
    <row r="79" spans="1:44" s="36" customFormat="1" x14ac:dyDescent="0.15">
      <c r="A79" s="36" t="s">
        <v>613</v>
      </c>
      <c r="B79" s="36">
        <v>656</v>
      </c>
      <c r="AN79" s="36" t="str">
        <f t="shared" si="1"/>
        <v>},[656]={</v>
      </c>
    </row>
    <row r="80" spans="1:44" s="36" customFormat="1" x14ac:dyDescent="0.15">
      <c r="C80" s="40">
        <v>11567</v>
      </c>
      <c r="D80" s="36">
        <v>1</v>
      </c>
      <c r="F80" s="36">
        <v>1245</v>
      </c>
      <c r="G80" s="36" t="s">
        <v>2088</v>
      </c>
      <c r="I80" s="36">
        <v>1</v>
      </c>
      <c r="K80" s="36" t="s">
        <v>1950</v>
      </c>
      <c r="L80" s="36" t="s">
        <v>1781</v>
      </c>
      <c r="AN80" s="36" t="str">
        <f t="shared" si="1"/>
        <v>{dwID=11567,nLevel=1,nIcon=1245,szName="答对",nScrutinyType=1,szNote="回答奖励",col={255,255,0,},[1]={},[2]={},tCountdown={{nClass=1,nIcon=13,nFrame=1,szName="答题验证·回答正确",nTime=5,key="挂机检测",},},},</v>
      </c>
      <c r="AO80" s="36" t="s">
        <v>2080</v>
      </c>
    </row>
    <row r="81" spans="3:44" s="36" customFormat="1" x14ac:dyDescent="0.15">
      <c r="C81" s="40">
        <v>11559</v>
      </c>
      <c r="D81" s="36">
        <v>1</v>
      </c>
      <c r="F81" s="36">
        <v>1244</v>
      </c>
      <c r="G81" s="36" t="s">
        <v>1954</v>
      </c>
      <c r="I81" s="36">
        <v>1</v>
      </c>
      <c r="K81" s="36" t="s">
        <v>1951</v>
      </c>
      <c r="L81" s="36" t="s">
        <v>1961</v>
      </c>
      <c r="N81" s="36" t="s">
        <v>1787</v>
      </c>
      <c r="O81" s="36">
        <v>1</v>
      </c>
      <c r="P81" s="36">
        <v>1</v>
      </c>
      <c r="Q81" s="36">
        <v>1</v>
      </c>
      <c r="R81" s="36">
        <v>1</v>
      </c>
      <c r="T81" s="36">
        <v>1</v>
      </c>
      <c r="U81" s="36">
        <v>1</v>
      </c>
      <c r="V81" s="36">
        <v>1</v>
      </c>
      <c r="AE81" s="36" t="s">
        <v>1970</v>
      </c>
      <c r="AF81" s="36">
        <v>3</v>
      </c>
      <c r="AG81" s="36" t="s">
        <v>1952</v>
      </c>
      <c r="AH81" s="36" t="s">
        <v>1953</v>
      </c>
      <c r="AI81" s="36">
        <v>255</v>
      </c>
      <c r="AJ81" s="36">
        <v>1</v>
      </c>
      <c r="AK81" s="36">
        <v>1</v>
      </c>
      <c r="AL81" s="36">
        <v>1</v>
      </c>
      <c r="AN81" s="36"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s="36" t="s">
        <v>2081</v>
      </c>
    </row>
    <row r="82" spans="3:44" s="36" customFormat="1" x14ac:dyDescent="0.15">
      <c r="C82" s="40">
        <v>11565</v>
      </c>
      <c r="D82" s="36">
        <v>1</v>
      </c>
      <c r="F82" s="36">
        <v>592</v>
      </c>
      <c r="G82" s="36" t="s">
        <v>2384</v>
      </c>
      <c r="K82" s="36" t="s">
        <v>2385</v>
      </c>
      <c r="L82" s="36" t="s">
        <v>2112</v>
      </c>
      <c r="R82" s="36">
        <v>1</v>
      </c>
      <c r="AN82" s="36" t="str">
        <f t="shared" si="1"/>
        <v>{dwID=11565,nLevel=1,nIcon=592,szName="大旗手",szNote="大旗手检测",col={0,255,255,},[1]={bScreenHead=true,},[2]={},},</v>
      </c>
    </row>
    <row r="83" spans="3:44" s="36" customFormat="1" x14ac:dyDescent="0.15">
      <c r="C83" s="40">
        <v>32813</v>
      </c>
      <c r="D83" s="36">
        <v>1</v>
      </c>
      <c r="F83" s="36">
        <v>16834</v>
      </c>
      <c r="G83" s="36" t="s">
        <v>2696</v>
      </c>
      <c r="K83" s="36" t="s">
        <v>2691</v>
      </c>
      <c r="L83" s="36" t="s">
        <v>2693</v>
      </c>
      <c r="T83" s="36">
        <v>1</v>
      </c>
      <c r="V83" s="36">
        <v>1</v>
      </c>
      <c r="AE83" s="36" t="s">
        <v>2692</v>
      </c>
      <c r="AF83" s="36">
        <v>37</v>
      </c>
      <c r="AG83" s="36" t="s">
        <v>2694</v>
      </c>
      <c r="AH83" s="36" t="s">
        <v>2695</v>
      </c>
      <c r="AI83" s="36">
        <v>255</v>
      </c>
      <c r="AN83" s="36"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3" s="36" t="s">
        <v>2702</v>
      </c>
    </row>
    <row r="84" spans="3:44" s="36" customFormat="1" x14ac:dyDescent="0.15">
      <c r="C84" s="40">
        <v>32812</v>
      </c>
      <c r="D84" s="36">
        <v>1</v>
      </c>
      <c r="F84" s="36">
        <v>3451</v>
      </c>
      <c r="G84" s="36" t="s">
        <v>2697</v>
      </c>
      <c r="K84" s="36" t="s">
        <v>2698</v>
      </c>
      <c r="L84" s="36" t="s">
        <v>2699</v>
      </c>
      <c r="T84" s="36">
        <v>1</v>
      </c>
      <c r="AN84" s="36" t="str">
        <f t="shared" si="1"/>
        <v>{dwID=32812,nLevel=1,nIcon=3451,szName="损CD",szNote="据点大旗赛点CD",col={255,50,50,},[1]={bBuffList=true,},[2]={},tCountdown={{nClass=1,nIcon=16834,nFrame=1,szName="大旗赛点·CD",nTime="60,大旗赛点·触发冷却;62,大旗赛点·解除冷却",nRefresh=1,key="大旗赛点·CD",},},},</v>
      </c>
      <c r="AO84" s="36" t="s">
        <v>2700</v>
      </c>
    </row>
    <row r="85" spans="3:44" s="36" customFormat="1" x14ac:dyDescent="0.15">
      <c r="C85" s="40">
        <v>31381</v>
      </c>
      <c r="D85" s="36">
        <v>1</v>
      </c>
      <c r="G85" s="36" t="s">
        <v>2556</v>
      </c>
      <c r="K85" s="36" t="s">
        <v>2382</v>
      </c>
      <c r="L85" s="36" t="s">
        <v>1961</v>
      </c>
      <c r="R85" s="36">
        <v>1</v>
      </c>
      <c r="T85" s="36">
        <v>1</v>
      </c>
      <c r="AE85" s="36" t="s">
        <v>2572</v>
      </c>
      <c r="AF85" s="36">
        <v>11</v>
      </c>
      <c r="AG85" s="36" t="s">
        <v>1952</v>
      </c>
      <c r="AH85" s="36" t="s">
        <v>1953</v>
      </c>
      <c r="AI85" s="36">
        <v>255</v>
      </c>
      <c r="AL85" s="36">
        <v>1</v>
      </c>
      <c r="AN85" s="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85" s="36" t="s">
        <v>2716</v>
      </c>
      <c r="AP85" s="36" t="s">
        <v>2388</v>
      </c>
    </row>
    <row r="86" spans="3:44" s="36" customFormat="1" x14ac:dyDescent="0.15">
      <c r="C86" s="40">
        <v>12888</v>
      </c>
      <c r="D86" s="36">
        <v>1</v>
      </c>
      <c r="G86" s="36" t="s">
        <v>2729</v>
      </c>
      <c r="I86" s="36">
        <v>2</v>
      </c>
      <c r="K86" s="36" t="s">
        <v>2730</v>
      </c>
      <c r="L86" s="36" t="s">
        <v>2734</v>
      </c>
      <c r="T86" s="36">
        <v>1</v>
      </c>
      <c r="V86" s="36">
        <v>1</v>
      </c>
      <c r="AE86" s="36" t="s">
        <v>2731</v>
      </c>
      <c r="AF86" s="36">
        <v>29</v>
      </c>
      <c r="AG86" s="36" t="s">
        <v>2733</v>
      </c>
      <c r="AH86" s="36" t="s">
        <v>2732</v>
      </c>
      <c r="AI86" s="36">
        <v>255</v>
      </c>
      <c r="AN86" s="36" t="str">
        <f t="shared" si="1"/>
        <v>{dwID=12888,nLevel=1,szName="减疗",nScrutinyType=2,szNote="火圈每层减疗10%",col={170,170,170,},[1]={bBuffList=true,bTeamPanel=true,},[2]={},aCataclysmBuff={{szReminder="疗",nPriority=29,col="#AAAAAAFF",colScreenHead="#AAAAAA",nColAlpha=255,},},},</v>
      </c>
    </row>
    <row r="87" spans="3:44" s="36" customFormat="1" x14ac:dyDescent="0.15">
      <c r="C87" s="40">
        <v>8807</v>
      </c>
      <c r="D87" s="36">
        <v>1</v>
      </c>
      <c r="G87" s="36" t="s">
        <v>1963</v>
      </c>
      <c r="I87" s="36">
        <v>1</v>
      </c>
      <c r="K87" s="36" t="s">
        <v>1964</v>
      </c>
      <c r="L87" s="36" t="s">
        <v>1961</v>
      </c>
      <c r="N87" s="36" t="s">
        <v>1787</v>
      </c>
      <c r="O87" s="36">
        <v>1</v>
      </c>
      <c r="P87" s="36">
        <v>1</v>
      </c>
      <c r="Q87" s="36">
        <v>1</v>
      </c>
      <c r="T87" s="36">
        <v>1</v>
      </c>
      <c r="U87" s="36">
        <v>1</v>
      </c>
      <c r="AE87" s="36" t="s">
        <v>1969</v>
      </c>
      <c r="AF87" s="36">
        <v>2</v>
      </c>
      <c r="AG87" s="36" t="s">
        <v>1952</v>
      </c>
      <c r="AI87" s="36">
        <v>255</v>
      </c>
      <c r="AJ87" s="36">
        <v>1</v>
      </c>
      <c r="AN87"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s="36" t="s">
        <v>2079</v>
      </c>
    </row>
    <row r="88" spans="3:44" s="36" customFormat="1" x14ac:dyDescent="0.15">
      <c r="C88" s="40">
        <v>7913</v>
      </c>
      <c r="D88" s="36">
        <v>1</v>
      </c>
      <c r="I88" s="36">
        <v>2</v>
      </c>
      <c r="K88" s="36" t="s">
        <v>1830</v>
      </c>
      <c r="L88" s="36" t="s">
        <v>1827</v>
      </c>
      <c r="T88" s="36">
        <v>1</v>
      </c>
      <c r="AE88" s="36" t="s">
        <v>2371</v>
      </c>
      <c r="AF88" s="36">
        <v>5</v>
      </c>
      <c r="AG88" s="36" t="s">
        <v>1829</v>
      </c>
      <c r="AH88" s="36" t="s">
        <v>1828</v>
      </c>
      <c r="AI88" s="36">
        <v>255</v>
      </c>
      <c r="AJ88" s="36">
        <v>1</v>
      </c>
      <c r="AL88" s="36">
        <v>1</v>
      </c>
      <c r="AN88" s="36" t="str">
        <f t="shared" si="1"/>
        <v>{dwID=7913,nLevel=1,nScrutinyType=2,szNote="意涌系统通用抗百分比回血",col={255,204,0,},[1]={bBuffList=true,},[2]={},aCataclysmBuff={{szReminder="涌",nPriority=5,col="#FFCC00FF",colScreenHead="#FFCC00",nColAlpha=255,bAttention=true,bScreenHead=true,},},},</v>
      </c>
    </row>
    <row r="89" spans="3:44" s="36" customFormat="1" x14ac:dyDescent="0.15">
      <c r="C89" s="40">
        <v>7911</v>
      </c>
      <c r="D89" s="36">
        <v>1</v>
      </c>
      <c r="I89" s="36">
        <v>2</v>
      </c>
      <c r="K89" s="36" t="s">
        <v>1944</v>
      </c>
      <c r="L89" s="36" t="s">
        <v>1961</v>
      </c>
      <c r="R89" s="36">
        <v>1</v>
      </c>
      <c r="T89" s="36">
        <v>1</v>
      </c>
      <c r="AE89" s="36" t="s">
        <v>1971</v>
      </c>
      <c r="AF89" s="36">
        <v>4</v>
      </c>
      <c r="AG89" s="36" t="s">
        <v>1952</v>
      </c>
      <c r="AH89" s="36" t="s">
        <v>1953</v>
      </c>
      <c r="AI89" s="36">
        <v>255</v>
      </c>
      <c r="AJ89" s="36">
        <v>1</v>
      </c>
      <c r="AL89" s="36">
        <v>1</v>
      </c>
      <c r="AN89" s="36" t="str">
        <f t="shared" si="1"/>
        <v>{dwID=7911,nLevel=1,nScrutinyType=2,szNote="繁忙",col={255,50,255,},[1]={bScreenHead=true,bBuffList=true,},[2]={},aCataclysmBuff={{szReminder="忙",nPriority=4,col="#FF32FFFF",colScreenHead="#FF32FF",nColAlpha=255,bAttention=true,bScreenHead=true,},},},</v>
      </c>
    </row>
    <row r="90" spans="3:44" s="36" customFormat="1" x14ac:dyDescent="0.15">
      <c r="C90" s="40">
        <v>7756</v>
      </c>
      <c r="D90" s="36">
        <v>1</v>
      </c>
      <c r="I90" s="36">
        <v>1</v>
      </c>
      <c r="K90" s="36" t="s">
        <v>2035</v>
      </c>
      <c r="L90" s="36" t="s">
        <v>1781</v>
      </c>
      <c r="T90" s="36">
        <v>1</v>
      </c>
      <c r="AE90" s="36" t="s">
        <v>2036</v>
      </c>
      <c r="AF90" s="36">
        <v>3</v>
      </c>
      <c r="AG90" s="36" t="s">
        <v>2630</v>
      </c>
      <c r="AI90" s="36">
        <v>0</v>
      </c>
      <c r="AN90" s="36" t="str">
        <f t="shared" si="1"/>
        <v>{dwID=7756,nLevel=1,nScrutinyType=1,szNote="燃火20s",col={255,255,0,},[1]={bBuffList=true,},[2]={},aCataclysmBuff={{szReminder="火",nPriority=3,col="#00FFFF00",},},tCountdown={{nClass=1,nIcon=5399,nFrame=0,szName="增益·燃火·持续剩余",nTime=20,key="燃火",},{nClass=2,nIcon=13,szName="燃火",nTime=-1,key="燃火",},},},</v>
      </c>
      <c r="AO90" s="36" t="s">
        <v>2076</v>
      </c>
      <c r="AP90" s="36" t="s">
        <v>2077</v>
      </c>
    </row>
    <row r="91" spans="3:44" s="36" customFormat="1" x14ac:dyDescent="0.15">
      <c r="C91" s="40">
        <v>7497</v>
      </c>
      <c r="D91" s="36">
        <v>1</v>
      </c>
      <c r="G91" s="36" t="s">
        <v>2038</v>
      </c>
      <c r="I91" s="36">
        <v>2</v>
      </c>
      <c r="K91" s="36" t="s">
        <v>2037</v>
      </c>
      <c r="L91" s="36" t="s">
        <v>1781</v>
      </c>
      <c r="R91" s="36">
        <v>1</v>
      </c>
      <c r="T91" s="36">
        <v>1</v>
      </c>
      <c r="AE91" s="36" t="s">
        <v>2039</v>
      </c>
      <c r="AF91" s="36">
        <v>13</v>
      </c>
      <c r="AG91" s="36" t="s">
        <v>2040</v>
      </c>
      <c r="AH91" s="36" t="s">
        <v>2041</v>
      </c>
      <c r="AI91" s="36">
        <v>255</v>
      </c>
      <c r="AL91" s="36">
        <v>1</v>
      </c>
      <c r="AN91" s="36" t="str">
        <f t="shared" si="1"/>
        <v>{dwID=7497,nLevel=1,szName="眩晕·抛掷",nScrutinyType=2,szNote="御城·抛掷",col={255,255,0,},[1]={bScreenHead=true,bBuffList=true,},[2]={},aCataclysmBuff={{szReminder="晕",nPriority=13,col="#FFFF00FF",colScreenHead="#FFFF00",nColAlpha=255,bScreenHead=true,},},},</v>
      </c>
    </row>
    <row r="92" spans="3:44" s="36" customFormat="1" x14ac:dyDescent="0.15">
      <c r="C92" s="40">
        <v>7504</v>
      </c>
      <c r="D92" s="36">
        <v>1</v>
      </c>
      <c r="G92" s="36" t="s">
        <v>2164</v>
      </c>
      <c r="I92" s="36">
        <v>2</v>
      </c>
      <c r="K92" s="36" t="s">
        <v>2163</v>
      </c>
      <c r="L92" s="36" t="s">
        <v>1781</v>
      </c>
      <c r="R92" s="36">
        <v>1</v>
      </c>
      <c r="T92" s="36">
        <v>1</v>
      </c>
      <c r="AE92" s="36" t="s">
        <v>2039</v>
      </c>
      <c r="AF92" s="36">
        <v>13</v>
      </c>
      <c r="AG92" s="36" t="s">
        <v>2040</v>
      </c>
      <c r="AH92" s="36" t="s">
        <v>2041</v>
      </c>
      <c r="AI92" s="36">
        <v>255</v>
      </c>
      <c r="AL92" s="36">
        <v>1</v>
      </c>
      <c r="AN92" s="36" t="str">
        <f t="shared" si="1"/>
        <v>{dwID=7504,nLevel=1,szName="眩晕·御城",nScrutinyType=2,szNote="御城·精准",col={255,255,0,},[1]={bScreenHead=true,bBuffList=true,},[2]={},aCataclysmBuff={{szReminder="晕",nPriority=13,col="#FFFF00FF",colScreenHead="#FFFF00",nColAlpha=255,bScreenHead=true,},},},</v>
      </c>
    </row>
    <row r="93" spans="3:44" s="36" customFormat="1" x14ac:dyDescent="0.15">
      <c r="C93" s="40">
        <v>7503</v>
      </c>
      <c r="D93" s="36">
        <v>1</v>
      </c>
      <c r="G93" s="36" t="s">
        <v>2502</v>
      </c>
      <c r="I93" s="36">
        <v>1</v>
      </c>
      <c r="K93" s="36" t="s">
        <v>2503</v>
      </c>
      <c r="L93" s="36" t="s">
        <v>2358</v>
      </c>
      <c r="T93" s="36">
        <v>1</v>
      </c>
      <c r="V93" s="36">
        <v>1</v>
      </c>
      <c r="AF93" s="36">
        <v>37</v>
      </c>
      <c r="AG93" s="36" t="s">
        <v>2504</v>
      </c>
      <c r="AH93" s="36" t="s">
        <v>2361</v>
      </c>
      <c r="AI93" s="36">
        <v>170</v>
      </c>
      <c r="AN93" s="36" t="str">
        <f t="shared" si="1"/>
        <v>{dwID=7503,nLevel=1,szName="减速·御城",nScrutinyType=1,szNote="御城·断股",col={31,63,255,},[1]={bBuffList=true,bTeamPanel=true,},[2]={},aCataclysmBuff={{nPriority=37,col="#1F3FFFAA",colScreenHead="#1F3FFF",nColAlpha=170,},},},</v>
      </c>
    </row>
    <row r="94" spans="3:44" s="36" customFormat="1" x14ac:dyDescent="0.15">
      <c r="C94" s="40">
        <v>4038</v>
      </c>
      <c r="D94" s="36">
        <v>1</v>
      </c>
      <c r="I94" s="36">
        <v>1</v>
      </c>
      <c r="K94" s="36" t="s">
        <v>2362</v>
      </c>
      <c r="L94" s="36" t="s">
        <v>2358</v>
      </c>
      <c r="R94" s="36">
        <v>1</v>
      </c>
      <c r="T94" s="36">
        <v>1</v>
      </c>
      <c r="AE94" s="36" t="s">
        <v>2359</v>
      </c>
      <c r="AF94" s="36">
        <v>15</v>
      </c>
      <c r="AG94" s="36" t="s">
        <v>2360</v>
      </c>
      <c r="AH94" s="36" t="s">
        <v>2361</v>
      </c>
      <c r="AI94" s="36">
        <v>255</v>
      </c>
      <c r="AL94" s="36">
        <v>1</v>
      </c>
      <c r="AN94" s="36" t="str">
        <f t="shared" si="1"/>
        <v>{dwID=4038,nLevel=1,nScrutinyType=1,szNote="锁足·首领",col={31,63,255,},[1]={bScreenHead=true,bBuffList=true,},[2]={},aCataclysmBuff={{szReminder="锁",nPriority=15,col="#1F3FFFFF",colScreenHead="#1F3FFF",nColAlpha=255,bScreenHead=true,},},},</v>
      </c>
    </row>
    <row r="95" spans="3:44" s="36" customFormat="1" x14ac:dyDescent="0.15">
      <c r="C95" s="40">
        <v>29007</v>
      </c>
      <c r="D95" s="36">
        <v>1</v>
      </c>
      <c r="I95" s="36">
        <v>1</v>
      </c>
      <c r="K95" s="36" t="s">
        <v>2157</v>
      </c>
      <c r="L95" s="36" t="s">
        <v>2383</v>
      </c>
      <c r="AN95"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40" t="s">
        <v>2402</v>
      </c>
      <c r="AP95" s="40" t="s">
        <v>2401</v>
      </c>
      <c r="AQ95" s="38" t="s">
        <v>2568</v>
      </c>
      <c r="AR95" s="38" t="s">
        <v>2569</v>
      </c>
    </row>
    <row r="96" spans="3:44" s="36" customFormat="1" x14ac:dyDescent="0.15">
      <c r="C96" s="40">
        <v>11561</v>
      </c>
      <c r="D96" s="36">
        <v>1</v>
      </c>
      <c r="G96" s="36" t="s">
        <v>2579</v>
      </c>
      <c r="I96" s="36">
        <v>1</v>
      </c>
      <c r="K96" s="36" t="s">
        <v>2581</v>
      </c>
      <c r="L96" s="36" t="s">
        <v>2580</v>
      </c>
      <c r="AN96" s="36" t="str">
        <f t="shared" si="1"/>
        <v>{dwID=11561,nLevel=1,szName="据点内",nScrutinyType=1,szNote="判断是否在大旗附近",col={80,231,236,},[1]={},[2]={},tCountdown={{nClass=1,nIcon=1272,nFrame=2,szName="据点大旗·旗手提示",nTime=-1,key="据点大旗·旗手提示",},},},</v>
      </c>
      <c r="AO96" s="36" t="s">
        <v>2719</v>
      </c>
      <c r="AP96" s="39"/>
      <c r="AQ96" s="39"/>
      <c r="AR96" s="39"/>
    </row>
    <row r="97" spans="3:40" s="36" customFormat="1" x14ac:dyDescent="0.15">
      <c r="C97" s="40">
        <v>7723</v>
      </c>
      <c r="D97" s="36">
        <v>1</v>
      </c>
      <c r="I97" s="36">
        <v>2</v>
      </c>
      <c r="K97" s="36" t="s">
        <v>1797</v>
      </c>
      <c r="L97" s="36" t="s">
        <v>1667</v>
      </c>
      <c r="T97" s="36">
        <v>1</v>
      </c>
      <c r="V97" s="36">
        <v>1</v>
      </c>
      <c r="AF97" s="36">
        <v>1</v>
      </c>
      <c r="AG97" s="36" t="s">
        <v>2484</v>
      </c>
      <c r="AI97" s="36">
        <v>170</v>
      </c>
      <c r="AN97" s="36" t="str">
        <f t="shared" si="1"/>
        <v>{dwID=7723,nLevel=1,nScrutinyType=2,szNote="神机雷",col={255,255,255,},[1]={bBuffList=true,bTeamPanel=true,},[2]={},aCataclysmBuff={{nPriority=1,col="#FFFFFFAA",nColAlpha=170,},},},</v>
      </c>
    </row>
    <row r="98" spans="3:40" x14ac:dyDescent="0.15">
      <c r="AN98" s="36" t="str">
        <f t="shared" si="1"/>
        <v>},},}</v>
      </c>
    </row>
    <row r="99" spans="3:40" x14ac:dyDescent="0.15">
      <c r="AN99" s="36"/>
    </row>
  </sheetData>
  <autoFilter ref="A1:BY98" xr:uid="{ABA792D9-52CC-4EDA-9BC4-CFEC1886BBBF}"/>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opLeftCell="N1" workbookViewId="0">
      <selection activeCell="U21" sqref="U21"/>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2096</v>
      </c>
      <c r="M1" s="36" t="s">
        <v>2097</v>
      </c>
      <c r="N1" s="36" t="s">
        <v>2098</v>
      </c>
      <c r="O1" s="36" t="s">
        <v>2099</v>
      </c>
      <c r="P1" s="36" t="s">
        <v>2100</v>
      </c>
      <c r="Q1" s="36" t="s">
        <v>2101</v>
      </c>
      <c r="R1" s="36" t="s">
        <v>2102</v>
      </c>
      <c r="S1" s="36" t="s">
        <v>2103</v>
      </c>
      <c r="T1" s="36" t="s">
        <v>2104</v>
      </c>
      <c r="U1" s="36" t="s">
        <v>2105</v>
      </c>
      <c r="V1" s="36" t="s">
        <v>2106</v>
      </c>
      <c r="W1" s="36" t="s">
        <v>2107</v>
      </c>
      <c r="X1" s="36" t="s">
        <v>2111</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2150</v>
      </c>
      <c r="H3" s="36">
        <v>2</v>
      </c>
      <c r="J3" s="36" t="s">
        <v>2132</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2390</v>
      </c>
      <c r="V4" s="36">
        <v>1</v>
      </c>
      <c r="X4" s="36" t="str">
        <f t="shared" si="0"/>
        <v>{dwID=7242,nLevel=1,szNote="屹立不倒",[9]={},[8]={bScreenHead=true,},tCountdown={{nClass=8,nIcon=1537,nFrame=0,nTime="1,屹立不倒·{$sender}·正在释放;9.5,屹立不倒·{$sender}·50减伤;32.5,屹立不倒·{$sender}·释放剩余;40.5,屹立不倒·{$sender}·释放延迟",szName="屹立不倒",nRefresh=0,key="屹立不倒",},{nClass=9,nIcon=1537,nFrame=0,nTime="9,屹立不倒·{$sender}·50减伤;31.5,屹立不倒·{$sender}·释放剩余;40,屹立不倒·{$sender}·释放延迟",szName="屹立不倒",nRefresh=1,key="屹立不倒",},},},</v>
      </c>
      <c r="Y4" s="36" t="s">
        <v>2725</v>
      </c>
      <c r="Z4" s="36" t="s">
        <v>2726</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14"/>
  <sheetViews>
    <sheetView topLeftCell="K1" workbookViewId="0">
      <pane ySplit="1" topLeftCell="A2" activePane="bottomLeft" state="frozen"/>
      <selection pane="bottomLeft" activeCell="V12" sqref="V12"/>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1925</v>
      </c>
      <c r="W1" t="s">
        <v>1422</v>
      </c>
    </row>
    <row r="2" spans="1:23" s="36" customFormat="1" x14ac:dyDescent="0.15">
      <c r="A2" s="36" t="s">
        <v>1920</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1921</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1921</v>
      </c>
      <c r="V4" s="36" t="str">
        <f t="shared" si="0"/>
        <v>{dwID=123867,nFrame=47,szNote="小曾",[3]={},[4]={},aFocus={{dwMapID=-1,szDisplay="分线·传送",nMaxDistance=6,tRelation={bAll=false,bEnemy=false,bAlly=true,},tLife={bEnable=false,szOperator="&gt;",nValue=0,},},},},</v>
      </c>
    </row>
    <row r="5" spans="1:23" x14ac:dyDescent="0.15">
      <c r="A5" t="s">
        <v>2680</v>
      </c>
      <c r="B5">
        <v>-20</v>
      </c>
      <c r="V5" s="36" t="str">
        <f t="shared" si="0"/>
        <v>},[-20]={</v>
      </c>
    </row>
    <row r="6" spans="1:23" x14ac:dyDescent="0.15">
      <c r="C6" s="36">
        <v>30201</v>
      </c>
      <c r="D6">
        <v>52</v>
      </c>
      <c r="I6" t="s">
        <v>2143</v>
      </c>
      <c r="U6" t="s">
        <v>2678</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2143</v>
      </c>
      <c r="U7" s="36" t="s">
        <v>2677</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2143</v>
      </c>
      <c r="U8" s="36" t="s">
        <v>2677</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2143</v>
      </c>
      <c r="U9" s="36" t="s">
        <v>2677</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2143</v>
      </c>
      <c r="U10" s="36" t="s">
        <v>2677</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2143</v>
      </c>
      <c r="U11" s="36" t="s">
        <v>2677</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2145</v>
      </c>
      <c r="U12" s="36" t="s">
        <v>2677</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2145</v>
      </c>
      <c r="U13" s="36" t="s">
        <v>2677</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2145</v>
      </c>
      <c r="U14" s="36" t="s">
        <v>2677</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2145</v>
      </c>
      <c r="U15" s="36" t="s">
        <v>2677</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2145</v>
      </c>
      <c r="U16" s="36" t="s">
        <v>2677</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2145</v>
      </c>
      <c r="U17" s="36" t="s">
        <v>2677</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2145</v>
      </c>
      <c r="U18" s="36" t="s">
        <v>2677</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2145</v>
      </c>
      <c r="U19" s="36" t="s">
        <v>2677</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2137</v>
      </c>
      <c r="U20" s="36" t="s">
        <v>2679</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2137</v>
      </c>
      <c r="U21" s="36" t="s">
        <v>2679</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2137</v>
      </c>
      <c r="U22" s="36" t="s">
        <v>2679</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2137</v>
      </c>
      <c r="U23" s="36" t="s">
        <v>2679</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2137</v>
      </c>
      <c r="U24" s="36" t="s">
        <v>2679</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2137</v>
      </c>
      <c r="U25" s="36" t="s">
        <v>2679</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2137</v>
      </c>
      <c r="U26" s="36" t="s">
        <v>2679</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2137</v>
      </c>
      <c r="U27" s="36" t="s">
        <v>2679</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2137</v>
      </c>
      <c r="U28" s="36" t="s">
        <v>2679</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2137</v>
      </c>
      <c r="U29" s="36" t="s">
        <v>2679</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2137</v>
      </c>
      <c r="U30" s="36" t="s">
        <v>2679</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2137</v>
      </c>
      <c r="U31" s="36" t="s">
        <v>2679</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2137</v>
      </c>
      <c r="U32" s="36" t="s">
        <v>2679</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2137</v>
      </c>
      <c r="U33" s="36" t="s">
        <v>2679</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2137</v>
      </c>
      <c r="U34" s="36" t="s">
        <v>2679</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2137</v>
      </c>
      <c r="U35" s="36" t="s">
        <v>2679</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2137</v>
      </c>
      <c r="U36" s="36" t="s">
        <v>2679</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1983</v>
      </c>
      <c r="U37" s="36" t="s">
        <v>2381</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1989</v>
      </c>
    </row>
    <row r="38" spans="3:23" s="36" customFormat="1" x14ac:dyDescent="0.15">
      <c r="C38" s="36">
        <v>30004</v>
      </c>
      <c r="D38" s="36">
        <v>52</v>
      </c>
      <c r="I38" s="36" t="s">
        <v>1983</v>
      </c>
      <c r="U38" s="36" t="s">
        <v>2381</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1989</v>
      </c>
    </row>
    <row r="39" spans="3:23" s="36" customFormat="1" x14ac:dyDescent="0.15">
      <c r="C39" s="36">
        <v>30003</v>
      </c>
      <c r="D39" s="36">
        <v>52</v>
      </c>
      <c r="I39" s="36" t="s">
        <v>1983</v>
      </c>
      <c r="U39" s="36" t="s">
        <v>2381</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1989</v>
      </c>
    </row>
    <row r="40" spans="3:23" s="36" customFormat="1" x14ac:dyDescent="0.15">
      <c r="C40" s="36">
        <v>30002</v>
      </c>
      <c r="D40" s="36">
        <v>52</v>
      </c>
      <c r="I40" s="36" t="s">
        <v>1983</v>
      </c>
      <c r="U40" s="36" t="s">
        <v>2381</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1989</v>
      </c>
    </row>
    <row r="41" spans="3:23" s="36" customFormat="1" x14ac:dyDescent="0.15">
      <c r="C41" s="36">
        <v>30001</v>
      </c>
      <c r="D41" s="36">
        <v>52</v>
      </c>
      <c r="I41" s="36" t="s">
        <v>1983</v>
      </c>
      <c r="U41" s="36" t="s">
        <v>2381</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1989</v>
      </c>
    </row>
    <row r="42" spans="3:23" s="36" customFormat="1" x14ac:dyDescent="0.15">
      <c r="C42" s="36">
        <v>66809</v>
      </c>
      <c r="D42" s="36">
        <v>57</v>
      </c>
      <c r="G42" s="36" t="s">
        <v>2065</v>
      </c>
      <c r="I42" s="36" t="s">
        <v>2066</v>
      </c>
      <c r="O42" s="36">
        <v>1</v>
      </c>
      <c r="U42" s="36" t="s">
        <v>2113</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2075</v>
      </c>
      <c r="I43" s="36" t="s">
        <v>2068</v>
      </c>
      <c r="J43" s="51" t="s">
        <v>2636</v>
      </c>
      <c r="O43" s="36">
        <v>1</v>
      </c>
      <c r="P43" s="36">
        <v>1</v>
      </c>
      <c r="U43" s="36" t="s">
        <v>2058</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2060</v>
      </c>
    </row>
    <row r="44" spans="3:23" s="36" customFormat="1" x14ac:dyDescent="0.15">
      <c r="C44" s="36">
        <v>36823</v>
      </c>
      <c r="D44" s="36">
        <v>52</v>
      </c>
      <c r="G44" s="36" t="s">
        <v>2074</v>
      </c>
      <c r="I44" s="36" t="s">
        <v>2067</v>
      </c>
      <c r="J44" s="50" t="s">
        <v>2635</v>
      </c>
      <c r="O44" s="36">
        <v>1</v>
      </c>
      <c r="P44" s="36">
        <v>1</v>
      </c>
      <c r="U44" s="36" t="s">
        <v>2057</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2061</v>
      </c>
    </row>
    <row r="45" spans="3:23" s="36" customFormat="1" x14ac:dyDescent="0.15">
      <c r="C45" s="36">
        <v>36825</v>
      </c>
      <c r="D45" s="36">
        <v>52</v>
      </c>
      <c r="G45" s="36" t="s">
        <v>2024</v>
      </c>
      <c r="I45" s="36" t="s">
        <v>2025</v>
      </c>
      <c r="J45" s="36" t="s">
        <v>1961</v>
      </c>
      <c r="P45" s="36">
        <v>1</v>
      </c>
      <c r="U45" s="36" t="s">
        <v>2026</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2027</v>
      </c>
      <c r="J46" s="36" t="s">
        <v>1961</v>
      </c>
      <c r="P46" s="36">
        <v>1</v>
      </c>
      <c r="U46" s="36" t="s">
        <v>2028</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2084</v>
      </c>
    </row>
    <row r="47" spans="3:23" s="36" customFormat="1" x14ac:dyDescent="0.15">
      <c r="C47" s="36">
        <v>36467</v>
      </c>
      <c r="D47" s="36">
        <v>52</v>
      </c>
      <c r="G47" s="36" t="s">
        <v>2071</v>
      </c>
      <c r="I47" s="36" t="s">
        <v>2069</v>
      </c>
      <c r="J47" s="51" t="s">
        <v>2636</v>
      </c>
      <c r="P47" s="36">
        <v>1</v>
      </c>
      <c r="V47" s="36" t="str">
        <f t="shared" si="0"/>
        <v>{dwID=36467,nFrame=52,szName="恶人·神机车",szNote="恶人·神机车·底座",col={255,120,31,},[3]={bScreenHead=true,},[4]={},},</v>
      </c>
    </row>
    <row r="48" spans="3:23" s="36" customFormat="1" x14ac:dyDescent="0.15">
      <c r="C48" s="36">
        <v>27617</v>
      </c>
      <c r="D48" s="36">
        <v>52</v>
      </c>
      <c r="G48" s="36" t="s">
        <v>2064</v>
      </c>
      <c r="I48" s="36" t="s">
        <v>2070</v>
      </c>
      <c r="J48" s="50" t="s">
        <v>2635</v>
      </c>
      <c r="P48" s="36">
        <v>1</v>
      </c>
      <c r="V48" s="36" t="str">
        <f t="shared" si="0"/>
        <v>{dwID=27617,nFrame=52,szName="浩气·神机车",szNote="浩气·神机车·底座",col={31,230,255,},[3]={bScreenHead=true,},[4]={},},</v>
      </c>
    </row>
    <row r="49" spans="1:23" s="36" customFormat="1" x14ac:dyDescent="0.15">
      <c r="C49" s="36">
        <v>36562</v>
      </c>
      <c r="D49" s="36">
        <v>52</v>
      </c>
      <c r="G49" s="36" t="s">
        <v>2072</v>
      </c>
      <c r="I49" s="36" t="s">
        <v>2062</v>
      </c>
      <c r="J49" s="51" t="s">
        <v>2636</v>
      </c>
      <c r="P49" s="36">
        <v>1</v>
      </c>
      <c r="V49" s="36" t="str">
        <f t="shared" si="0"/>
        <v>{dwID=36562,nFrame=52,szName="恶人·组装神机车",szNote="恶人·神机车·组装中",col={255,120,31,},[3]={bScreenHead=true,},[4]={},},</v>
      </c>
    </row>
    <row r="50" spans="1:23" s="36" customFormat="1" x14ac:dyDescent="0.15">
      <c r="C50" s="36">
        <v>36561</v>
      </c>
      <c r="D50" s="36">
        <v>52</v>
      </c>
      <c r="G50" s="36" t="s">
        <v>2073</v>
      </c>
      <c r="I50" s="36" t="s">
        <v>2063</v>
      </c>
      <c r="J50" s="50" t="s">
        <v>2635</v>
      </c>
      <c r="P50" s="36">
        <v>1</v>
      </c>
      <c r="V50" s="36" t="str">
        <f t="shared" si="0"/>
        <v>{dwID=36561,nFrame=52,szName="浩气·组装神机车",szNote="浩气·神机车·组装中",col={31,230,255,},[3]={bScreenHead=true,},[4]={},},</v>
      </c>
    </row>
    <row r="51" spans="1:23" s="36" customFormat="1" x14ac:dyDescent="0.15">
      <c r="C51" s="36">
        <v>36396</v>
      </c>
      <c r="D51" s="36">
        <v>52</v>
      </c>
      <c r="G51" s="36" t="s">
        <v>2034</v>
      </c>
      <c r="I51" s="36" t="s">
        <v>2087</v>
      </c>
      <c r="O51" s="36">
        <v>1</v>
      </c>
      <c r="P51" s="36">
        <v>1</v>
      </c>
      <c r="U51" s="36" t="s">
        <v>2033</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2023</v>
      </c>
    </row>
    <row r="52" spans="1:23" s="36" customFormat="1" x14ac:dyDescent="0.15">
      <c r="C52" s="36">
        <v>36005</v>
      </c>
      <c r="D52" s="36">
        <v>52</v>
      </c>
      <c r="I52" s="36" t="s">
        <v>2085</v>
      </c>
      <c r="P52" s="36">
        <v>1</v>
      </c>
      <c r="V52" s="36" t="str">
        <f t="shared" si="0"/>
        <v>{dwID=36005,nFrame=52,szNote="神机台·没人状态",[3]={bScreenHead=true,},[4]={},},</v>
      </c>
    </row>
    <row r="53" spans="1:23" s="36" customFormat="1" x14ac:dyDescent="0.15">
      <c r="C53" s="36">
        <v>100133</v>
      </c>
      <c r="D53" s="36">
        <v>57</v>
      </c>
      <c r="I53" s="36" t="s">
        <v>2683</v>
      </c>
      <c r="P53" s="36">
        <v>1</v>
      </c>
      <c r="U53" s="36" t="s">
        <v>2684</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2494</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2493</v>
      </c>
    </row>
    <row r="56" spans="1:23" s="36" customFormat="1" x14ac:dyDescent="0.15">
      <c r="C56" s="36">
        <v>30597</v>
      </c>
      <c r="D56" s="36">
        <v>47</v>
      </c>
      <c r="I56" s="36" t="s">
        <v>1747</v>
      </c>
      <c r="J56" s="51" t="s">
        <v>2636</v>
      </c>
      <c r="P56" s="36">
        <v>1</v>
      </c>
      <c r="V56" s="36" t="str">
        <f t="shared" si="0"/>
        <v>{dwID=30597,nFrame=47,szNote="恶人谷货郎",col={255,120,31,},[3]={bScreenHead=true,},[4]={},},</v>
      </c>
    </row>
    <row r="57" spans="1:23" s="36" customFormat="1" x14ac:dyDescent="0.15">
      <c r="C57" s="36">
        <v>30596</v>
      </c>
      <c r="D57" s="36">
        <v>47</v>
      </c>
      <c r="I57" s="36" t="s">
        <v>1746</v>
      </c>
      <c r="J57" s="50" t="s">
        <v>2635</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2183</v>
      </c>
      <c r="P59" s="36">
        <v>1</v>
      </c>
      <c r="U59" s="36" t="s">
        <v>2741</v>
      </c>
      <c r="V59" s="36" t="str">
        <f t="shared" si="0"/>
        <v>{dwID=36388,nFrame=47,szNote="浩气·据点总管",[3]={bScreenHead=true,},[4]={},aFocus={{dwMapID=-1,nMaxDistance=6,tRelation={bAll=false,bEnemy=false,bAlly=true,},tLife={bEnable=false,szOperator="&gt;",nValue=0,},},},},</v>
      </c>
    </row>
    <row r="60" spans="1:23" s="36" customFormat="1" x14ac:dyDescent="0.15">
      <c r="C60" s="36">
        <v>36387</v>
      </c>
      <c r="D60" s="36">
        <v>47</v>
      </c>
      <c r="I60" s="36" t="s">
        <v>2182</v>
      </c>
      <c r="P60" s="36">
        <v>1</v>
      </c>
      <c r="U60" s="36" t="s">
        <v>2741</v>
      </c>
      <c r="V60" s="36" t="str">
        <f t="shared" si="0"/>
        <v>{dwID=36387,nFrame=47,szNote="恶人·据点总管",[3]={bScreenHead=true,},[4]={},aFocus={{dwMapID=-1,nMaxDistance=6,tRelation={bAll=false,bEnemy=false,bAlly=true,},tLife={bEnable=false,szOperator="&gt;",nValue=0,},},},},</v>
      </c>
    </row>
    <row r="61" spans="1:23" s="36" customFormat="1" x14ac:dyDescent="0.15">
      <c r="A61" s="36" t="s">
        <v>1716</v>
      </c>
      <c r="B61" s="36">
        <v>-19</v>
      </c>
      <c r="V61" s="36" t="str">
        <f t="shared" si="0"/>
        <v>},[-19]={</v>
      </c>
    </row>
    <row r="62" spans="1:23" s="36" customFormat="1" x14ac:dyDescent="0.15">
      <c r="C62" s="36">
        <v>46194</v>
      </c>
      <c r="D62" s="36">
        <v>52</v>
      </c>
      <c r="G62" s="36" t="s">
        <v>2075</v>
      </c>
      <c r="I62" s="36" t="s">
        <v>2030</v>
      </c>
      <c r="J62" s="51" t="s">
        <v>2636</v>
      </c>
      <c r="O62" s="36">
        <v>1</v>
      </c>
      <c r="P62" s="36">
        <v>1</v>
      </c>
      <c r="U62" s="36" t="s">
        <v>2058</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2060</v>
      </c>
    </row>
    <row r="63" spans="1:23" s="36" customFormat="1" x14ac:dyDescent="0.15">
      <c r="C63" s="36">
        <v>46195</v>
      </c>
      <c r="D63" s="36">
        <v>52</v>
      </c>
      <c r="G63" s="36" t="s">
        <v>2074</v>
      </c>
      <c r="I63" s="36" t="s">
        <v>2029</v>
      </c>
      <c r="J63" s="50" t="s">
        <v>2635</v>
      </c>
      <c r="O63" s="36">
        <v>1</v>
      </c>
      <c r="P63" s="36">
        <v>1</v>
      </c>
      <c r="U63" s="36" t="s">
        <v>2057</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2061</v>
      </c>
    </row>
    <row r="64" spans="1:23" s="36" customFormat="1" x14ac:dyDescent="0.15">
      <c r="C64" s="36">
        <v>46193</v>
      </c>
      <c r="D64" s="36">
        <v>52</v>
      </c>
      <c r="I64" s="36" t="s">
        <v>2027</v>
      </c>
      <c r="J64" s="36" t="s">
        <v>1961</v>
      </c>
      <c r="P64" s="36">
        <v>1</v>
      </c>
      <c r="U64" s="36" t="s">
        <v>2059</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2084</v>
      </c>
    </row>
    <row r="65" spans="1:23" s="36" customFormat="1" x14ac:dyDescent="0.15">
      <c r="C65" s="36">
        <v>45171</v>
      </c>
      <c r="D65" s="36">
        <v>52</v>
      </c>
      <c r="G65" s="36" t="s">
        <v>2034</v>
      </c>
      <c r="I65" s="36" t="s">
        <v>2086</v>
      </c>
      <c r="O65" s="36">
        <v>1</v>
      </c>
      <c r="P65" s="36">
        <v>1</v>
      </c>
      <c r="U65" s="36" t="s">
        <v>2033</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2023</v>
      </c>
    </row>
    <row r="66" spans="1:23" s="36" customFormat="1" x14ac:dyDescent="0.15">
      <c r="C66" s="36">
        <v>45170</v>
      </c>
      <c r="D66" s="36">
        <v>52</v>
      </c>
      <c r="I66" s="36" t="s">
        <v>2637</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2636</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2635</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1961</v>
      </c>
      <c r="K69" s="36" t="s">
        <v>1982</v>
      </c>
      <c r="P69">
        <v>1</v>
      </c>
      <c r="U69" t="s">
        <v>2397</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1902</v>
      </c>
      <c r="O71" s="36">
        <v>1</v>
      </c>
      <c r="P71" s="36">
        <v>1</v>
      </c>
      <c r="U71" s="36" t="s">
        <v>1903</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2183</v>
      </c>
      <c r="P72" s="36">
        <v>1</v>
      </c>
      <c r="U72" s="36" t="s">
        <v>2741</v>
      </c>
      <c r="V72" s="36" t="str">
        <f t="shared" si="1"/>
        <v>{dwID=36388,nFrame=47,szNote="浩气·据点总管",[3]={bScreenHead=true,},[4]={},aFocus={{dwMapID=-1,nMaxDistance=6,tRelation={bAll=false,bEnemy=false,bAlly=true,},tLife={bEnable=false,szOperator="&gt;",nValue=0,},},},},</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2127</v>
      </c>
    </row>
    <row r="74" spans="1:23" x14ac:dyDescent="0.15">
      <c r="C74">
        <v>7607</v>
      </c>
      <c r="D74">
        <v>47</v>
      </c>
      <c r="I74" t="s">
        <v>1599</v>
      </c>
      <c r="J74" s="50" t="s">
        <v>2635</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2635</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2611</v>
      </c>
      <c r="J76" s="36" t="s">
        <v>1667</v>
      </c>
      <c r="K76" s="36"/>
      <c r="P76">
        <v>1</v>
      </c>
      <c r="U76" s="36" t="s">
        <v>2398</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2016</v>
      </c>
      <c r="J77" s="36" t="s">
        <v>1667</v>
      </c>
      <c r="K77" s="36"/>
      <c r="P77">
        <v>1</v>
      </c>
      <c r="U77" s="36" t="s">
        <v>2398</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2016</v>
      </c>
      <c r="J78" s="36" t="s">
        <v>1667</v>
      </c>
      <c r="K78" s="36"/>
      <c r="P78">
        <v>1</v>
      </c>
      <c r="U78" s="36" t="s">
        <v>2398</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2009</v>
      </c>
      <c r="J79" s="36" t="s">
        <v>1667</v>
      </c>
      <c r="K79" s="36"/>
      <c r="P79">
        <v>1</v>
      </c>
      <c r="U79" s="36" t="s">
        <v>2398</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2610</v>
      </c>
      <c r="J80" s="36" t="s">
        <v>1667</v>
      </c>
      <c r="K80" s="36"/>
      <c r="P80">
        <v>1</v>
      </c>
      <c r="U80" s="36" t="s">
        <v>2398</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2015</v>
      </c>
      <c r="J81" s="36" t="s">
        <v>1667</v>
      </c>
      <c r="K81" s="36"/>
      <c r="P81">
        <v>1</v>
      </c>
      <c r="U81" s="36" t="s">
        <v>2398</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2015</v>
      </c>
      <c r="J82" s="36" t="s">
        <v>1667</v>
      </c>
      <c r="K82" s="36"/>
      <c r="P82">
        <v>1</v>
      </c>
      <c r="U82" s="36" t="s">
        <v>2398</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2019</v>
      </c>
      <c r="J83" s="36" t="s">
        <v>1667</v>
      </c>
      <c r="K83" s="36"/>
      <c r="P83">
        <v>1</v>
      </c>
      <c r="U83" s="36" t="s">
        <v>2398</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2017</v>
      </c>
      <c r="J84" s="36" t="s">
        <v>1667</v>
      </c>
      <c r="K84" s="36"/>
      <c r="P84">
        <v>1</v>
      </c>
      <c r="U84" s="36" t="s">
        <v>2398</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2017</v>
      </c>
      <c r="J85" s="36" t="s">
        <v>1667</v>
      </c>
      <c r="K85" s="36"/>
      <c r="P85">
        <v>1</v>
      </c>
      <c r="U85" s="36" t="s">
        <v>2398</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2010</v>
      </c>
      <c r="J86" s="36" t="s">
        <v>1667</v>
      </c>
      <c r="K86" s="36"/>
      <c r="P86">
        <v>1</v>
      </c>
      <c r="U86" s="36" t="s">
        <v>2398</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2010</v>
      </c>
      <c r="J87" s="36" t="s">
        <v>1667</v>
      </c>
      <c r="K87" s="36"/>
      <c r="P87">
        <v>1</v>
      </c>
      <c r="U87" s="36" t="s">
        <v>2398</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2598</v>
      </c>
      <c r="J88" s="36" t="s">
        <v>1667</v>
      </c>
      <c r="K88" s="36"/>
      <c r="P88">
        <v>1</v>
      </c>
      <c r="U88" s="36" t="s">
        <v>2398</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2013</v>
      </c>
      <c r="J89" s="36" t="s">
        <v>1667</v>
      </c>
      <c r="K89" s="36"/>
      <c r="P89">
        <v>1</v>
      </c>
      <c r="U89" s="36" t="s">
        <v>2398</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2018</v>
      </c>
      <c r="J90" s="36" t="s">
        <v>1667</v>
      </c>
      <c r="K90" s="36"/>
      <c r="P90">
        <v>1</v>
      </c>
      <c r="U90" s="36" t="s">
        <v>2398</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2012</v>
      </c>
      <c r="J91" s="36" t="s">
        <v>1667</v>
      </c>
      <c r="K91" s="36"/>
      <c r="P91">
        <v>1</v>
      </c>
      <c r="U91" s="36" t="s">
        <v>2398</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2012</v>
      </c>
      <c r="J92" s="36" t="s">
        <v>1667</v>
      </c>
      <c r="K92" s="36"/>
      <c r="P92">
        <v>1</v>
      </c>
      <c r="U92" s="36" t="s">
        <v>2398</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2011</v>
      </c>
      <c r="J93" s="36" t="s">
        <v>1667</v>
      </c>
      <c r="P93">
        <v>1</v>
      </c>
      <c r="U93" s="36" t="s">
        <v>2398</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2011</v>
      </c>
      <c r="J94" s="36" t="s">
        <v>1667</v>
      </c>
      <c r="K94" s="36"/>
      <c r="P94">
        <v>1</v>
      </c>
      <c r="U94" s="36" t="s">
        <v>2398</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2600</v>
      </c>
      <c r="J95" s="36" t="s">
        <v>1667</v>
      </c>
      <c r="K95" s="36" t="s">
        <v>1982</v>
      </c>
      <c r="P95">
        <v>1</v>
      </c>
      <c r="U95" s="36" t="s">
        <v>2398</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1992</v>
      </c>
      <c r="J96" s="36" t="s">
        <v>1667</v>
      </c>
      <c r="K96" s="36" t="s">
        <v>1982</v>
      </c>
      <c r="P96">
        <v>1</v>
      </c>
      <c r="U96" s="36" t="s">
        <v>2398</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1993</v>
      </c>
      <c r="J97" s="36" t="s">
        <v>1667</v>
      </c>
      <c r="K97" s="36" t="s">
        <v>1982</v>
      </c>
      <c r="P97">
        <v>1</v>
      </c>
      <c r="U97" s="36" t="s">
        <v>2398</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1994</v>
      </c>
      <c r="J98" s="36" t="s">
        <v>1667</v>
      </c>
      <c r="K98" s="36" t="s">
        <v>1982</v>
      </c>
      <c r="P98">
        <v>1</v>
      </c>
      <c r="U98" s="36" t="s">
        <v>2398</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1990</v>
      </c>
      <c r="J99" s="36" t="s">
        <v>1667</v>
      </c>
      <c r="K99" s="36" t="s">
        <v>1982</v>
      </c>
      <c r="P99">
        <v>1</v>
      </c>
      <c r="U99" s="36" t="s">
        <v>2398</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1995</v>
      </c>
      <c r="J100" s="36" t="s">
        <v>1667</v>
      </c>
      <c r="K100" s="36" t="s">
        <v>1982</v>
      </c>
      <c r="P100">
        <v>1</v>
      </c>
      <c r="U100" s="36" t="s">
        <v>2398</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2000</v>
      </c>
      <c r="J101" s="36" t="s">
        <v>1667</v>
      </c>
      <c r="K101" s="36" t="s">
        <v>1982</v>
      </c>
      <c r="P101">
        <v>1</v>
      </c>
      <c r="U101" s="36" t="s">
        <v>2398</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2615</v>
      </c>
      <c r="J102" s="36" t="s">
        <v>1667</v>
      </c>
      <c r="K102" s="36" t="s">
        <v>1982</v>
      </c>
      <c r="P102">
        <v>1</v>
      </c>
      <c r="U102" s="36" t="s">
        <v>2398</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2614</v>
      </c>
      <c r="J103" s="36" t="s">
        <v>1667</v>
      </c>
      <c r="K103" s="36" t="s">
        <v>1982</v>
      </c>
      <c r="P103">
        <v>1</v>
      </c>
      <c r="U103" s="36" t="s">
        <v>2398</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1998</v>
      </c>
      <c r="J104" s="36" t="s">
        <v>1667</v>
      </c>
      <c r="K104" s="36" t="s">
        <v>1982</v>
      </c>
      <c r="P104">
        <v>1</v>
      </c>
      <c r="U104" s="36" t="s">
        <v>2398</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1996</v>
      </c>
      <c r="J105" s="36" t="s">
        <v>1667</v>
      </c>
      <c r="K105" s="36" t="s">
        <v>1982</v>
      </c>
      <c r="P105">
        <v>1</v>
      </c>
      <c r="U105" s="36" t="s">
        <v>2398</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1997</v>
      </c>
      <c r="J106" s="36" t="s">
        <v>1667</v>
      </c>
      <c r="K106" s="36" t="s">
        <v>1982</v>
      </c>
      <c r="P106">
        <v>1</v>
      </c>
      <c r="U106" s="36" t="s">
        <v>2398</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2001</v>
      </c>
      <c r="J107" s="36" t="s">
        <v>1667</v>
      </c>
      <c r="P107">
        <v>1</v>
      </c>
      <c r="U107" s="36" t="s">
        <v>2398</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s="36" t="s">
        <v>2728</v>
      </c>
      <c r="X107" s="36" t="s">
        <v>2727</v>
      </c>
    </row>
    <row r="108" spans="3:24" x14ac:dyDescent="0.15">
      <c r="C108">
        <v>17238</v>
      </c>
      <c r="D108">
        <v>47</v>
      </c>
      <c r="I108" s="36" t="s">
        <v>2002</v>
      </c>
      <c r="J108" s="36" t="s">
        <v>1667</v>
      </c>
      <c r="K108" s="36"/>
      <c r="P108">
        <v>1</v>
      </c>
      <c r="U108" s="36" t="s">
        <v>2398</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s="36" t="s">
        <v>2728</v>
      </c>
      <c r="X108" s="36" t="s">
        <v>2727</v>
      </c>
    </row>
    <row r="109" spans="3:24" x14ac:dyDescent="0.15">
      <c r="C109">
        <v>17240</v>
      </c>
      <c r="D109">
        <v>47</v>
      </c>
      <c r="I109" s="36" t="s">
        <v>2003</v>
      </c>
      <c r="J109" s="36" t="s">
        <v>1667</v>
      </c>
      <c r="K109" s="36"/>
      <c r="P109">
        <v>1</v>
      </c>
      <c r="U109" s="36" t="s">
        <v>2398</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s="36" t="s">
        <v>2728</v>
      </c>
      <c r="X109" s="36" t="s">
        <v>2727</v>
      </c>
    </row>
    <row r="110" spans="3:24" x14ac:dyDescent="0.15">
      <c r="C110">
        <v>17239</v>
      </c>
      <c r="D110">
        <v>47</v>
      </c>
      <c r="I110" s="36" t="s">
        <v>2004</v>
      </c>
      <c r="J110" s="36" t="s">
        <v>1667</v>
      </c>
      <c r="K110" s="36"/>
      <c r="P110">
        <v>1</v>
      </c>
      <c r="U110" s="36" t="s">
        <v>2398</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s="36" t="s">
        <v>2728</v>
      </c>
      <c r="X110" s="36" t="s">
        <v>2727</v>
      </c>
    </row>
    <row r="111" spans="3:24" x14ac:dyDescent="0.15">
      <c r="C111">
        <v>8954</v>
      </c>
      <c r="D111">
        <v>47</v>
      </c>
      <c r="I111" s="36" t="s">
        <v>2008</v>
      </c>
      <c r="J111" s="36" t="s">
        <v>1667</v>
      </c>
      <c r="K111" s="36"/>
      <c r="P111">
        <v>1</v>
      </c>
      <c r="U111" s="36" t="s">
        <v>2398</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s="36" t="s">
        <v>2728</v>
      </c>
      <c r="X111" s="36" t="s">
        <v>2727</v>
      </c>
    </row>
    <row r="112" spans="3:24" x14ac:dyDescent="0.15">
      <c r="C112">
        <v>6230</v>
      </c>
      <c r="D112">
        <v>47</v>
      </c>
      <c r="I112" s="36" t="s">
        <v>2005</v>
      </c>
      <c r="J112" s="36" t="s">
        <v>1667</v>
      </c>
      <c r="K112" s="36"/>
      <c r="P112">
        <v>1</v>
      </c>
      <c r="U112" s="36" t="s">
        <v>2398</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s="36" t="s">
        <v>2728</v>
      </c>
      <c r="X112" s="36" t="s">
        <v>2727</v>
      </c>
    </row>
    <row r="113" spans="1:24" x14ac:dyDescent="0.15">
      <c r="C113">
        <v>8952</v>
      </c>
      <c r="D113">
        <v>47</v>
      </c>
      <c r="I113" s="36" t="s">
        <v>2007</v>
      </c>
      <c r="J113" s="36" t="s">
        <v>1667</v>
      </c>
      <c r="K113" s="36"/>
      <c r="P113">
        <v>1</v>
      </c>
      <c r="U113" s="36" t="s">
        <v>2398</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s="36" t="s">
        <v>2728</v>
      </c>
      <c r="X113" s="36" t="s">
        <v>2727</v>
      </c>
    </row>
    <row r="114" spans="1:24" x14ac:dyDescent="0.15">
      <c r="C114">
        <v>8953</v>
      </c>
      <c r="D114">
        <v>47</v>
      </c>
      <c r="I114" s="36" t="s">
        <v>2006</v>
      </c>
      <c r="J114" s="36" t="s">
        <v>1667</v>
      </c>
      <c r="K114" s="36"/>
      <c r="P114">
        <v>1</v>
      </c>
      <c r="U114" s="36" t="s">
        <v>2398</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s="36" t="s">
        <v>2728</v>
      </c>
      <c r="X114" s="36" t="s">
        <v>2727</v>
      </c>
    </row>
    <row r="115" spans="1:24" x14ac:dyDescent="0.15">
      <c r="A115" t="s">
        <v>9</v>
      </c>
      <c r="B115">
        <v>27</v>
      </c>
      <c r="V115" s="36" t="str">
        <f t="shared" si="1"/>
        <v>},[27]={</v>
      </c>
    </row>
    <row r="116" spans="1:24" s="36" customFormat="1" x14ac:dyDescent="0.15">
      <c r="C116" s="36">
        <v>43577</v>
      </c>
      <c r="D116" s="36">
        <v>52</v>
      </c>
      <c r="I116" s="36" t="s">
        <v>1900</v>
      </c>
      <c r="O116" s="36">
        <v>1</v>
      </c>
      <c r="P116" s="36">
        <v>1</v>
      </c>
      <c r="U116" s="36" t="s">
        <v>1901</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2182</v>
      </c>
      <c r="P117" s="36">
        <v>1</v>
      </c>
      <c r="U117" s="36" t="s">
        <v>2741</v>
      </c>
      <c r="V117" s="36" t="str">
        <f t="shared" si="1"/>
        <v>{dwID=36387,nFrame=47,szNote="恶人·据点总管",[3]={bScreenHead=true,},[4]={},aFocus={{dwMapID=-1,nMaxDistance=6,tRelation={bAll=false,bEnemy=false,bAlly=true,},tLife={bEnable=false,szOperator="&gt;",nValue=0,},},},},</v>
      </c>
    </row>
    <row r="118" spans="1:24" x14ac:dyDescent="0.15">
      <c r="C118">
        <v>7604</v>
      </c>
      <c r="D118">
        <v>47</v>
      </c>
      <c r="I118" t="s">
        <v>1603</v>
      </c>
      <c r="J118" s="51" t="s">
        <v>2636</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2636</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2611</v>
      </c>
      <c r="J120" s="36" t="s">
        <v>1667</v>
      </c>
      <c r="K120" s="36"/>
      <c r="P120">
        <v>1</v>
      </c>
      <c r="U120" s="36" t="s">
        <v>2398</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2613</v>
      </c>
      <c r="J121" s="36" t="s">
        <v>1667</v>
      </c>
      <c r="K121" s="36"/>
      <c r="P121">
        <v>1</v>
      </c>
      <c r="U121" s="36" t="s">
        <v>2398</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2016</v>
      </c>
      <c r="J122" s="36" t="s">
        <v>1667</v>
      </c>
      <c r="K122" s="36"/>
      <c r="P122">
        <v>1</v>
      </c>
      <c r="U122" s="36" t="s">
        <v>2398</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2009</v>
      </c>
      <c r="J123" s="36" t="s">
        <v>1667</v>
      </c>
      <c r="K123" s="36"/>
      <c r="P123">
        <v>1</v>
      </c>
      <c r="U123" s="36" t="s">
        <v>2398</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2610</v>
      </c>
      <c r="J124" s="36" t="s">
        <v>1667</v>
      </c>
      <c r="K124" s="36"/>
      <c r="P124">
        <v>1</v>
      </c>
      <c r="U124" s="36" t="s">
        <v>2398</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2015</v>
      </c>
      <c r="J125" s="36" t="s">
        <v>1667</v>
      </c>
      <c r="K125" s="36"/>
      <c r="P125">
        <v>1</v>
      </c>
      <c r="U125" s="36" t="s">
        <v>2398</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2015</v>
      </c>
      <c r="J126" s="36" t="s">
        <v>1667</v>
      </c>
      <c r="K126" s="36"/>
      <c r="P126">
        <v>1</v>
      </c>
      <c r="U126" s="36" t="s">
        <v>2398</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2017</v>
      </c>
      <c r="J127" s="36" t="s">
        <v>1667</v>
      </c>
      <c r="K127" s="36"/>
      <c r="P127">
        <v>1</v>
      </c>
      <c r="U127" s="36" t="s">
        <v>2398</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2017</v>
      </c>
      <c r="J128" s="36" t="s">
        <v>1667</v>
      </c>
      <c r="K128" s="36"/>
      <c r="P128">
        <v>1</v>
      </c>
      <c r="U128" s="36" t="s">
        <v>2398</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2010</v>
      </c>
      <c r="J129" s="36" t="s">
        <v>1667</v>
      </c>
      <c r="K129" s="36"/>
      <c r="P129">
        <v>1</v>
      </c>
      <c r="U129" s="36" t="s">
        <v>2398</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2010</v>
      </c>
      <c r="J130" s="36" t="s">
        <v>1667</v>
      </c>
      <c r="K130" s="36"/>
      <c r="P130">
        <v>1</v>
      </c>
      <c r="U130" s="36" t="s">
        <v>2398</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2014</v>
      </c>
      <c r="J131" s="36" t="s">
        <v>1667</v>
      </c>
      <c r="K131" s="36"/>
      <c r="P131">
        <v>1</v>
      </c>
      <c r="U131" s="36" t="s">
        <v>2398</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2612</v>
      </c>
      <c r="J132" s="36" t="s">
        <v>1667</v>
      </c>
      <c r="K132" s="36"/>
      <c r="P132">
        <v>1</v>
      </c>
      <c r="U132" s="36" t="s">
        <v>2398</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2013</v>
      </c>
      <c r="J133" s="36" t="s">
        <v>1667</v>
      </c>
      <c r="K133" s="36"/>
      <c r="P133">
        <v>1</v>
      </c>
      <c r="U133" s="36" t="s">
        <v>2398</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2018</v>
      </c>
      <c r="J134" s="36" t="s">
        <v>1667</v>
      </c>
      <c r="K134" s="36"/>
      <c r="P134">
        <v>1</v>
      </c>
      <c r="U134" s="36" t="s">
        <v>2398</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2012</v>
      </c>
      <c r="J135" s="36" t="s">
        <v>1667</v>
      </c>
      <c r="K135" s="36"/>
      <c r="P135">
        <v>1</v>
      </c>
      <c r="U135" s="36" t="s">
        <v>2398</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2012</v>
      </c>
      <c r="J136" s="36" t="s">
        <v>1667</v>
      </c>
      <c r="K136" s="36"/>
      <c r="P136">
        <v>1</v>
      </c>
      <c r="U136" s="36" t="s">
        <v>2398</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2011</v>
      </c>
      <c r="J137" s="36" t="s">
        <v>1667</v>
      </c>
      <c r="P137">
        <v>1</v>
      </c>
      <c r="U137" s="36" t="s">
        <v>2398</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2011</v>
      </c>
      <c r="J138" s="36" t="s">
        <v>1667</v>
      </c>
      <c r="K138" s="36"/>
      <c r="P138">
        <v>1</v>
      </c>
      <c r="U138" s="36" t="s">
        <v>2398</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2599</v>
      </c>
      <c r="J139" s="36" t="s">
        <v>1667</v>
      </c>
      <c r="K139" s="36" t="s">
        <v>1982</v>
      </c>
      <c r="P139">
        <v>1</v>
      </c>
      <c r="U139" s="36" t="s">
        <v>2398</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1992</v>
      </c>
      <c r="J140" s="36" t="s">
        <v>1667</v>
      </c>
      <c r="K140" s="36" t="s">
        <v>1982</v>
      </c>
      <c r="P140">
        <v>1</v>
      </c>
      <c r="U140" s="36" t="s">
        <v>2398</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1993</v>
      </c>
      <c r="J141" s="36" t="s">
        <v>1667</v>
      </c>
      <c r="K141" s="36" t="s">
        <v>1982</v>
      </c>
      <c r="P141">
        <v>1</v>
      </c>
      <c r="U141" s="36" t="s">
        <v>2398</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1994</v>
      </c>
      <c r="J142" s="36" t="s">
        <v>1667</v>
      </c>
      <c r="K142" s="36" t="s">
        <v>1982</v>
      </c>
      <c r="P142">
        <v>1</v>
      </c>
      <c r="U142" s="36" t="s">
        <v>2398</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1990</v>
      </c>
      <c r="J143" s="36" t="s">
        <v>1667</v>
      </c>
      <c r="K143" s="36" t="s">
        <v>1982</v>
      </c>
      <c r="P143">
        <v>1</v>
      </c>
      <c r="U143" s="36" t="s">
        <v>2398</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1995</v>
      </c>
      <c r="J144" s="36" t="s">
        <v>1667</v>
      </c>
      <c r="K144" s="36" t="s">
        <v>1982</v>
      </c>
      <c r="P144">
        <v>1</v>
      </c>
      <c r="U144" s="36" t="s">
        <v>2398</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2000</v>
      </c>
      <c r="J145" s="36" t="s">
        <v>1667</v>
      </c>
      <c r="K145" s="36" t="s">
        <v>1982</v>
      </c>
      <c r="P145">
        <v>1</v>
      </c>
      <c r="U145" s="36" t="s">
        <v>2398</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1991</v>
      </c>
      <c r="J146" s="36" t="s">
        <v>1667</v>
      </c>
      <c r="K146" s="36" t="s">
        <v>1982</v>
      </c>
      <c r="P146">
        <v>1</v>
      </c>
      <c r="U146" s="36" t="s">
        <v>2398</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1999</v>
      </c>
      <c r="J147" s="36" t="s">
        <v>1667</v>
      </c>
      <c r="K147" s="36" t="s">
        <v>1982</v>
      </c>
      <c r="P147">
        <v>1</v>
      </c>
      <c r="U147" s="36" t="s">
        <v>2398</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1998</v>
      </c>
      <c r="J148" s="36" t="s">
        <v>1667</v>
      </c>
      <c r="K148" s="36" t="s">
        <v>1982</v>
      </c>
      <c r="P148">
        <v>1</v>
      </c>
      <c r="U148" s="36" t="s">
        <v>2398</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1996</v>
      </c>
      <c r="J149" s="36" t="s">
        <v>1667</v>
      </c>
      <c r="K149" s="36" t="s">
        <v>1982</v>
      </c>
      <c r="P149">
        <v>1</v>
      </c>
      <c r="U149" s="36" t="s">
        <v>2398</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1997</v>
      </c>
      <c r="J150" s="36" t="s">
        <v>1667</v>
      </c>
      <c r="K150" s="36" t="s">
        <v>1982</v>
      </c>
      <c r="P150">
        <v>1</v>
      </c>
      <c r="U150" s="36" t="s">
        <v>2398</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2001</v>
      </c>
      <c r="J151" s="36" t="s">
        <v>1667</v>
      </c>
      <c r="K151" s="36"/>
      <c r="P151">
        <v>1</v>
      </c>
      <c r="U151" s="36" t="s">
        <v>2398</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s="36" t="s">
        <v>2728</v>
      </c>
      <c r="X151" s="36" t="s">
        <v>2727</v>
      </c>
    </row>
    <row r="152" spans="1:24" x14ac:dyDescent="0.15">
      <c r="C152">
        <v>8956</v>
      </c>
      <c r="D152">
        <v>47</v>
      </c>
      <c r="I152" t="s">
        <v>2002</v>
      </c>
      <c r="J152" s="36" t="s">
        <v>1667</v>
      </c>
      <c r="K152" s="36"/>
      <c r="P152">
        <v>1</v>
      </c>
      <c r="U152" s="36" t="s">
        <v>2398</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s="36" t="s">
        <v>2728</v>
      </c>
      <c r="X152" s="36" t="s">
        <v>2727</v>
      </c>
    </row>
    <row r="153" spans="1:24" x14ac:dyDescent="0.15">
      <c r="C153">
        <v>8955</v>
      </c>
      <c r="D153">
        <v>47</v>
      </c>
      <c r="I153" t="s">
        <v>2003</v>
      </c>
      <c r="J153" s="36" t="s">
        <v>1667</v>
      </c>
      <c r="K153" s="36"/>
      <c r="P153">
        <v>1</v>
      </c>
      <c r="U153" s="36" t="s">
        <v>2398</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s="36" t="s">
        <v>2728</v>
      </c>
      <c r="X153" s="36" t="s">
        <v>2727</v>
      </c>
    </row>
    <row r="154" spans="1:24" x14ac:dyDescent="0.15">
      <c r="C154">
        <v>8957</v>
      </c>
      <c r="D154">
        <v>47</v>
      </c>
      <c r="I154" t="s">
        <v>2004</v>
      </c>
      <c r="J154" s="36" t="s">
        <v>1667</v>
      </c>
      <c r="K154" s="36"/>
      <c r="P154">
        <v>1</v>
      </c>
      <c r="U154" s="36" t="s">
        <v>2398</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s="36" t="s">
        <v>2728</v>
      </c>
      <c r="X154" s="36" t="s">
        <v>2727</v>
      </c>
    </row>
    <row r="155" spans="1:24" x14ac:dyDescent="0.15">
      <c r="C155">
        <v>17234</v>
      </c>
      <c r="D155">
        <v>47</v>
      </c>
      <c r="I155" t="s">
        <v>2008</v>
      </c>
      <c r="J155" s="36" t="s">
        <v>1667</v>
      </c>
      <c r="K155" s="36"/>
      <c r="P155">
        <v>1</v>
      </c>
      <c r="U155" s="36" t="s">
        <v>2398</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s="36" t="s">
        <v>2728</v>
      </c>
      <c r="X155" s="36" t="s">
        <v>2727</v>
      </c>
    </row>
    <row r="156" spans="1:24" x14ac:dyDescent="0.15">
      <c r="C156">
        <v>17233</v>
      </c>
      <c r="D156">
        <v>47</v>
      </c>
      <c r="I156" t="s">
        <v>2005</v>
      </c>
      <c r="J156" s="36" t="s">
        <v>1667</v>
      </c>
      <c r="K156" s="36"/>
      <c r="P156">
        <v>1</v>
      </c>
      <c r="U156" s="36" t="s">
        <v>2398</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s="36" t="s">
        <v>2728</v>
      </c>
      <c r="X156" s="36" t="s">
        <v>2727</v>
      </c>
    </row>
    <row r="157" spans="1:24" x14ac:dyDescent="0.15">
      <c r="C157">
        <v>17236</v>
      </c>
      <c r="D157">
        <v>47</v>
      </c>
      <c r="I157" t="s">
        <v>2007</v>
      </c>
      <c r="J157" s="36" t="s">
        <v>1667</v>
      </c>
      <c r="K157" s="36"/>
      <c r="P157">
        <v>1</v>
      </c>
      <c r="U157" s="36" t="s">
        <v>2398</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s="36" t="s">
        <v>2728</v>
      </c>
      <c r="X157" s="36" t="s">
        <v>2727</v>
      </c>
    </row>
    <row r="158" spans="1:24" x14ac:dyDescent="0.15">
      <c r="C158">
        <v>17235</v>
      </c>
      <c r="D158">
        <v>47</v>
      </c>
      <c r="I158" t="s">
        <v>2006</v>
      </c>
      <c r="J158" s="36" t="s">
        <v>1667</v>
      </c>
      <c r="K158" s="36"/>
      <c r="P158">
        <v>1</v>
      </c>
      <c r="U158" s="36" t="s">
        <v>2398</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s="36" t="s">
        <v>2728</v>
      </c>
      <c r="X158" s="36" t="s">
        <v>2727</v>
      </c>
    </row>
    <row r="159" spans="1:24" x14ac:dyDescent="0.15">
      <c r="A159" t="s">
        <v>1805</v>
      </c>
      <c r="B159">
        <v>22</v>
      </c>
      <c r="V159" s="36" t="str">
        <f t="shared" si="2"/>
        <v>},[22]={</v>
      </c>
    </row>
    <row r="160" spans="1:24" x14ac:dyDescent="0.15">
      <c r="C160">
        <v>7605</v>
      </c>
      <c r="D160">
        <v>47</v>
      </c>
      <c r="I160" t="s">
        <v>1692</v>
      </c>
      <c r="J160" s="51" t="s">
        <v>2636</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2635</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2313</v>
      </c>
      <c r="J170" s="50" t="s">
        <v>2635</v>
      </c>
      <c r="P170" s="36">
        <v>1</v>
      </c>
      <c r="V170" s="36" t="str">
        <f t="shared" si="2"/>
        <v>{dwID=59845,nFrame=47,szNote="浩气盟精锐队长",col={31,230,255,},[3]={bScreenHead=true,},[4]={},},</v>
      </c>
    </row>
    <row r="171" spans="1:24" x14ac:dyDescent="0.15">
      <c r="C171">
        <v>36413</v>
      </c>
      <c r="D171">
        <v>52</v>
      </c>
      <c r="I171" t="s">
        <v>1859</v>
      </c>
      <c r="J171" t="s">
        <v>1527</v>
      </c>
      <c r="U171" t="s">
        <v>1832</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2231</v>
      </c>
      <c r="X171" s="36" t="s">
        <v>2260</v>
      </c>
    </row>
    <row r="172" spans="1:24" x14ac:dyDescent="0.15">
      <c r="A172" t="s">
        <v>1806</v>
      </c>
      <c r="B172">
        <v>30</v>
      </c>
      <c r="V172" s="36" t="str">
        <f t="shared" si="2"/>
        <v>},[30]={</v>
      </c>
    </row>
    <row r="173" spans="1:24" x14ac:dyDescent="0.15">
      <c r="C173">
        <v>7604</v>
      </c>
      <c r="D173">
        <v>47</v>
      </c>
      <c r="I173" t="s">
        <v>1692</v>
      </c>
      <c r="J173" s="51" t="s">
        <v>2636</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2635</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2312</v>
      </c>
      <c r="J185" s="51" t="s">
        <v>2636</v>
      </c>
      <c r="P185" s="36">
        <v>1</v>
      </c>
      <c r="V185" s="36" t="str">
        <f t="shared" si="2"/>
        <v>{dwID=59858,nFrame=47,szNote="恶人谷精锐队长",col={255,120,31,},[3]={bScreenHead=true,},[4]={},},</v>
      </c>
    </row>
    <row r="186" spans="3:24" x14ac:dyDescent="0.15">
      <c r="C186">
        <v>36412</v>
      </c>
      <c r="D186">
        <v>52</v>
      </c>
      <c r="I186" t="s">
        <v>1860</v>
      </c>
      <c r="J186" t="s">
        <v>1527</v>
      </c>
      <c r="U186" t="s">
        <v>1833</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2232</v>
      </c>
      <c r="X186" s="36" t="s">
        <v>2261</v>
      </c>
    </row>
    <row r="187" spans="3:24" s="36" customFormat="1" x14ac:dyDescent="0.15">
      <c r="C187" s="36">
        <v>30041</v>
      </c>
      <c r="D187" s="36">
        <v>52</v>
      </c>
      <c r="I187" s="36" t="s">
        <v>2151</v>
      </c>
      <c r="U187" s="36" t="s">
        <v>2381</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1989</v>
      </c>
    </row>
    <row r="188" spans="3:24" s="36" customFormat="1" x14ac:dyDescent="0.15">
      <c r="C188" s="36">
        <v>29801</v>
      </c>
      <c r="D188" s="36">
        <v>52</v>
      </c>
      <c r="I188" s="36" t="s">
        <v>2139</v>
      </c>
      <c r="U188" s="36" t="s">
        <v>2679</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2139</v>
      </c>
      <c r="U189" s="36" t="s">
        <v>2679</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2139</v>
      </c>
      <c r="U190" s="36" t="s">
        <v>2679</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2139</v>
      </c>
      <c r="U191" s="36" t="s">
        <v>2679</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2155</v>
      </c>
      <c r="U192" s="36" t="s">
        <v>2679</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2155</v>
      </c>
      <c r="U193" s="36" t="s">
        <v>2679</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2155</v>
      </c>
      <c r="U194" s="36" t="s">
        <v>2679</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2155</v>
      </c>
      <c r="U195" s="36" t="s">
        <v>2679</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2155</v>
      </c>
      <c r="U196" s="36" t="s">
        <v>2679</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2155</v>
      </c>
      <c r="U197" s="36" t="s">
        <v>2679</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2313</v>
      </c>
      <c r="J199" s="50" t="s">
        <v>2635</v>
      </c>
      <c r="P199" s="36">
        <v>1</v>
      </c>
      <c r="V199" s="36" t="str">
        <f t="shared" si="3"/>
        <v>{dwID=59845,nFrame=47,szNote="浩气盟精锐队长",col={31,230,255,},[3]={bScreenHead=true,},[4]={},},</v>
      </c>
    </row>
    <row r="200" spans="1:24" x14ac:dyDescent="0.15">
      <c r="C200">
        <v>36434</v>
      </c>
      <c r="D200">
        <v>52</v>
      </c>
      <c r="I200" t="s">
        <v>1862</v>
      </c>
      <c r="J200" t="s">
        <v>1527</v>
      </c>
      <c r="U200" t="s">
        <v>1834</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2233</v>
      </c>
      <c r="X200" s="36" t="s">
        <v>2262</v>
      </c>
    </row>
    <row r="201" spans="1:24" x14ac:dyDescent="0.15">
      <c r="C201">
        <v>36435</v>
      </c>
      <c r="D201">
        <v>52</v>
      </c>
      <c r="I201" t="s">
        <v>1863</v>
      </c>
      <c r="J201" t="s">
        <v>1527</v>
      </c>
      <c r="U201" t="s">
        <v>1835</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2234</v>
      </c>
      <c r="X201" s="36" t="s">
        <v>2263</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2312</v>
      </c>
      <c r="J209" s="51" t="s">
        <v>2636</v>
      </c>
      <c r="P209" s="36">
        <v>1</v>
      </c>
      <c r="V209" s="36" t="str">
        <f t="shared" si="3"/>
        <v>{dwID=59858,nFrame=47,szNote="恶人谷精锐队长",col={255,120,31,},[3]={bScreenHead=true,},[4]={},},</v>
      </c>
    </row>
    <row r="210" spans="3:24" x14ac:dyDescent="0.15">
      <c r="C210">
        <v>36414</v>
      </c>
      <c r="D210">
        <v>52</v>
      </c>
      <c r="I210" t="s">
        <v>1875</v>
      </c>
      <c r="J210" t="s">
        <v>1527</v>
      </c>
      <c r="U210" t="s">
        <v>1836</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2235</v>
      </c>
      <c r="X210" s="36" t="s">
        <v>2264</v>
      </c>
    </row>
    <row r="211" spans="3:24" x14ac:dyDescent="0.15">
      <c r="C211">
        <v>36415</v>
      </c>
      <c r="D211">
        <v>52</v>
      </c>
      <c r="I211" t="s">
        <v>1874</v>
      </c>
      <c r="J211" t="s">
        <v>1527</v>
      </c>
      <c r="U211" t="s">
        <v>1837</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2236</v>
      </c>
      <c r="X211" s="36" t="s">
        <v>2265</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2153</v>
      </c>
      <c r="U220" s="36" t="s">
        <v>2381</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1989</v>
      </c>
    </row>
    <row r="221" spans="3:24" s="36" customFormat="1" x14ac:dyDescent="0.15">
      <c r="C221" s="36">
        <v>30022</v>
      </c>
      <c r="D221" s="36">
        <v>52</v>
      </c>
      <c r="I221" s="36" t="s">
        <v>2153</v>
      </c>
      <c r="U221" s="36" t="s">
        <v>2381</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1989</v>
      </c>
    </row>
    <row r="222" spans="3:24" s="36" customFormat="1" x14ac:dyDescent="0.15">
      <c r="C222" s="36">
        <v>30023</v>
      </c>
      <c r="D222" s="36">
        <v>52</v>
      </c>
      <c r="I222" s="36" t="s">
        <v>2153</v>
      </c>
      <c r="U222" s="36" t="s">
        <v>2381</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1989</v>
      </c>
    </row>
    <row r="223" spans="3:24" s="36" customFormat="1" x14ac:dyDescent="0.15">
      <c r="C223" s="36">
        <v>30024</v>
      </c>
      <c r="D223" s="36">
        <v>52</v>
      </c>
      <c r="I223" s="36" t="s">
        <v>2153</v>
      </c>
      <c r="U223" s="36" t="s">
        <v>2381</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1989</v>
      </c>
    </row>
    <row r="224" spans="3:24" s="36" customFormat="1" x14ac:dyDescent="0.15">
      <c r="C224" s="36">
        <v>30221</v>
      </c>
      <c r="D224" s="36">
        <v>52</v>
      </c>
      <c r="I224" s="36" t="s">
        <v>2144</v>
      </c>
      <c r="U224" s="36" t="s">
        <v>2677</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2144</v>
      </c>
      <c r="U225" s="36" t="s">
        <v>2677</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2144</v>
      </c>
      <c r="U226" s="36" t="s">
        <v>2677</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2144</v>
      </c>
      <c r="U227" s="36" t="s">
        <v>2677</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2146</v>
      </c>
      <c r="U228" s="36" t="s">
        <v>2677</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2146</v>
      </c>
      <c r="U229" s="36" t="s">
        <v>2677</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2146</v>
      </c>
      <c r="U230" s="36" t="s">
        <v>2677</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2138</v>
      </c>
      <c r="U231" s="36" t="s">
        <v>2679</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2138</v>
      </c>
      <c r="U232" s="36" t="s">
        <v>2679</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2138</v>
      </c>
      <c r="U233" s="36" t="s">
        <v>2679</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2138</v>
      </c>
      <c r="U234" s="36" t="s">
        <v>2679</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2138</v>
      </c>
      <c r="U235" s="36" t="s">
        <v>2679</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2138</v>
      </c>
      <c r="U236" s="36" t="s">
        <v>2679</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2138</v>
      </c>
      <c r="U237" s="36" t="s">
        <v>2679</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2138</v>
      </c>
      <c r="U238" s="36" t="s">
        <v>2679</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2138</v>
      </c>
      <c r="U239" s="36" t="s">
        <v>2679</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2138</v>
      </c>
      <c r="U240" s="36" t="s">
        <v>2679</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2156</v>
      </c>
      <c r="U241" s="36" t="s">
        <v>2679</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2138</v>
      </c>
      <c r="U242" s="36" t="s">
        <v>2679</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2313</v>
      </c>
      <c r="J244" s="50" t="s">
        <v>2635</v>
      </c>
      <c r="P244" s="36">
        <v>1</v>
      </c>
      <c r="V244" s="36" t="str">
        <f t="shared" si="3"/>
        <v>{dwID=59845,nFrame=47,szNote="浩气盟精锐队长",col={31,230,255,},[3]={bScreenHead=true,},[4]={},},</v>
      </c>
    </row>
    <row r="245" spans="1:24" x14ac:dyDescent="0.15">
      <c r="C245">
        <v>36433</v>
      </c>
      <c r="D245">
        <v>52</v>
      </c>
      <c r="I245" t="s">
        <v>1877</v>
      </c>
      <c r="J245" t="s">
        <v>1527</v>
      </c>
      <c r="U245" t="s">
        <v>1838</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2237</v>
      </c>
      <c r="X245" s="36" t="s">
        <v>2266</v>
      </c>
    </row>
    <row r="246" spans="1:24" x14ac:dyDescent="0.15">
      <c r="C246">
        <v>36432</v>
      </c>
      <c r="D246">
        <v>52</v>
      </c>
      <c r="I246" t="s">
        <v>1873</v>
      </c>
      <c r="J246" t="s">
        <v>1527</v>
      </c>
      <c r="U246" t="s">
        <v>1839</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2238</v>
      </c>
      <c r="X246" s="36" t="s">
        <v>2267</v>
      </c>
    </row>
    <row r="247" spans="1:24" x14ac:dyDescent="0.15">
      <c r="A247" t="s">
        <v>1810</v>
      </c>
      <c r="B247">
        <v>13</v>
      </c>
      <c r="V247" s="36" t="str">
        <f t="shared" si="3"/>
        <v>},[13]={</v>
      </c>
    </row>
    <row r="248" spans="1:24" x14ac:dyDescent="0.15">
      <c r="C248">
        <v>36430</v>
      </c>
      <c r="D248">
        <v>52</v>
      </c>
      <c r="I248" t="s">
        <v>1681</v>
      </c>
      <c r="J248" t="s">
        <v>1527</v>
      </c>
      <c r="U248" t="s">
        <v>1840</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2239</v>
      </c>
      <c r="X248" s="36" t="s">
        <v>2268</v>
      </c>
    </row>
    <row r="249" spans="1:24" x14ac:dyDescent="0.15">
      <c r="C249">
        <v>36431</v>
      </c>
      <c r="D249">
        <v>52</v>
      </c>
      <c r="I249" t="s">
        <v>1680</v>
      </c>
      <c r="J249" t="s">
        <v>1527</v>
      </c>
      <c r="U249" t="s">
        <v>1841</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2240</v>
      </c>
      <c r="X249" s="36" t="s">
        <v>2269</v>
      </c>
    </row>
    <row r="250" spans="1:24" x14ac:dyDescent="0.15">
      <c r="A250" t="s">
        <v>1811</v>
      </c>
      <c r="B250">
        <v>35</v>
      </c>
      <c r="V250" s="36" t="str">
        <f t="shared" si="3"/>
        <v>},[35]={</v>
      </c>
    </row>
    <row r="251" spans="1:24" x14ac:dyDescent="0.15">
      <c r="C251">
        <v>36425</v>
      </c>
      <c r="D251">
        <v>52</v>
      </c>
      <c r="I251" t="s">
        <v>1880</v>
      </c>
      <c r="J251" t="s">
        <v>1527</v>
      </c>
      <c r="U251" t="s">
        <v>1842</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2241</v>
      </c>
      <c r="X251" s="36" t="s">
        <v>2270</v>
      </c>
    </row>
    <row r="252" spans="1:24" x14ac:dyDescent="0.15">
      <c r="C252">
        <v>36424</v>
      </c>
      <c r="D252">
        <v>52</v>
      </c>
      <c r="I252" t="s">
        <v>1872</v>
      </c>
      <c r="J252" t="s">
        <v>1527</v>
      </c>
      <c r="U252" t="s">
        <v>1843</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2242</v>
      </c>
      <c r="X252" s="36" t="s">
        <v>2271</v>
      </c>
    </row>
    <row r="253" spans="1:24" s="36" customFormat="1" x14ac:dyDescent="0.15">
      <c r="C253" s="40">
        <v>29202</v>
      </c>
      <c r="D253" s="36">
        <v>52</v>
      </c>
      <c r="I253" s="36" t="s">
        <v>2154</v>
      </c>
      <c r="U253" s="36" t="s">
        <v>2679</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2140</v>
      </c>
      <c r="U254" s="36" t="s">
        <v>2679</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2140</v>
      </c>
      <c r="U255" s="36" t="s">
        <v>2679</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2140</v>
      </c>
      <c r="U256" s="36" t="s">
        <v>2679</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2140</v>
      </c>
      <c r="U257" s="36" t="s">
        <v>2679</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1882</v>
      </c>
      <c r="J259" t="s">
        <v>1527</v>
      </c>
      <c r="U259" t="s">
        <v>1844</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2243</v>
      </c>
      <c r="X259" s="36" t="s">
        <v>2272</v>
      </c>
    </row>
    <row r="260" spans="1:24" x14ac:dyDescent="0.15">
      <c r="C260">
        <v>36426</v>
      </c>
      <c r="D260">
        <v>52</v>
      </c>
      <c r="I260" t="s">
        <v>1871</v>
      </c>
      <c r="J260" t="s">
        <v>1527</v>
      </c>
      <c r="U260" t="s">
        <v>1845</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2244</v>
      </c>
      <c r="X260" s="36" t="s">
        <v>2273</v>
      </c>
    </row>
    <row r="261" spans="1:24" x14ac:dyDescent="0.15">
      <c r="A261" t="s">
        <v>1813</v>
      </c>
      <c r="B261">
        <v>101</v>
      </c>
      <c r="V261" s="36" t="str">
        <f t="shared" si="4"/>
        <v>},[101]={</v>
      </c>
    </row>
    <row r="262" spans="1:24" x14ac:dyDescent="0.15">
      <c r="C262">
        <v>36428</v>
      </c>
      <c r="D262">
        <v>52</v>
      </c>
      <c r="I262" t="s">
        <v>1884</v>
      </c>
      <c r="J262" t="s">
        <v>1527</v>
      </c>
      <c r="U262" t="s">
        <v>1846</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2245</v>
      </c>
      <c r="X262" s="36" t="s">
        <v>2274</v>
      </c>
    </row>
    <row r="263" spans="1:24" x14ac:dyDescent="0.15">
      <c r="C263">
        <v>36429</v>
      </c>
      <c r="D263">
        <v>52</v>
      </c>
      <c r="I263" t="s">
        <v>1870</v>
      </c>
      <c r="J263" t="s">
        <v>1527</v>
      </c>
      <c r="U263" t="s">
        <v>1847</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2246</v>
      </c>
      <c r="X263" s="36" t="s">
        <v>2275</v>
      </c>
    </row>
    <row r="264" spans="1:24" s="36" customFormat="1" x14ac:dyDescent="0.15">
      <c r="C264" s="36">
        <v>30006</v>
      </c>
      <c r="D264" s="36">
        <v>52</v>
      </c>
      <c r="I264" s="36" t="s">
        <v>2152</v>
      </c>
      <c r="U264" s="36" t="s">
        <v>2381</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1989</v>
      </c>
    </row>
    <row r="265" spans="1:24" s="36" customFormat="1" x14ac:dyDescent="0.15">
      <c r="C265" s="36">
        <v>30007</v>
      </c>
      <c r="D265" s="36">
        <v>52</v>
      </c>
      <c r="I265" s="36" t="s">
        <v>2152</v>
      </c>
      <c r="U265" s="36" t="s">
        <v>2381</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1989</v>
      </c>
    </row>
    <row r="266" spans="1:24" s="36" customFormat="1" x14ac:dyDescent="0.15">
      <c r="C266" s="36">
        <v>30008</v>
      </c>
      <c r="D266" s="36">
        <v>52</v>
      </c>
      <c r="I266" s="36" t="s">
        <v>2152</v>
      </c>
      <c r="U266" s="36" t="s">
        <v>2381</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1989</v>
      </c>
    </row>
    <row r="267" spans="1:24" s="36" customFormat="1" x14ac:dyDescent="0.15">
      <c r="C267" s="36">
        <v>29014</v>
      </c>
      <c r="D267" s="36">
        <v>52</v>
      </c>
      <c r="I267" s="36" t="s">
        <v>2141</v>
      </c>
      <c r="U267" s="36" t="s">
        <v>2679</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2312</v>
      </c>
      <c r="J269" s="51" t="s">
        <v>2636</v>
      </c>
      <c r="P269" s="36">
        <v>1</v>
      </c>
      <c r="V269" s="36" t="str">
        <f t="shared" si="4"/>
        <v>{dwID=59858,nFrame=47,szNote="恶人谷精锐队长",col={255,120,31,},[3]={bScreenHead=true,},[4]={},},</v>
      </c>
    </row>
    <row r="270" spans="1:24" x14ac:dyDescent="0.15">
      <c r="C270">
        <v>36418</v>
      </c>
      <c r="D270">
        <v>52</v>
      </c>
      <c r="I270" t="s">
        <v>1886</v>
      </c>
      <c r="J270" t="s">
        <v>1527</v>
      </c>
      <c r="U270" t="s">
        <v>1848</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2247</v>
      </c>
      <c r="X270" s="36" t="s">
        <v>2276</v>
      </c>
    </row>
    <row r="271" spans="1:24" x14ac:dyDescent="0.15">
      <c r="C271">
        <v>36419</v>
      </c>
      <c r="D271">
        <v>52</v>
      </c>
      <c r="I271" t="s">
        <v>1869</v>
      </c>
      <c r="J271" t="s">
        <v>1527</v>
      </c>
      <c r="U271" t="s">
        <v>1849</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2248</v>
      </c>
      <c r="X271" s="36" t="s">
        <v>2277</v>
      </c>
    </row>
    <row r="272" spans="1:24" x14ac:dyDescent="0.15">
      <c r="A272" t="s">
        <v>1815</v>
      </c>
      <c r="B272">
        <v>104</v>
      </c>
      <c r="V272" s="36" t="str">
        <f t="shared" si="4"/>
        <v>},[104]={</v>
      </c>
    </row>
    <row r="273" spans="1:24" x14ac:dyDescent="0.15">
      <c r="C273">
        <v>36421</v>
      </c>
      <c r="D273">
        <v>52</v>
      </c>
      <c r="I273" t="s">
        <v>1888</v>
      </c>
      <c r="J273" t="s">
        <v>1527</v>
      </c>
      <c r="U273" t="s">
        <v>1850</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2249</v>
      </c>
      <c r="X273" s="36" t="s">
        <v>2278</v>
      </c>
    </row>
    <row r="274" spans="1:24" x14ac:dyDescent="0.15">
      <c r="C274">
        <v>36420</v>
      </c>
      <c r="D274">
        <v>52</v>
      </c>
      <c r="I274" t="s">
        <v>1868</v>
      </c>
      <c r="J274" t="s">
        <v>1527</v>
      </c>
      <c r="U274" t="s">
        <v>1851</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2250</v>
      </c>
      <c r="X274" s="36" t="s">
        <v>2279</v>
      </c>
    </row>
    <row r="275" spans="1:24" x14ac:dyDescent="0.15">
      <c r="A275" t="s">
        <v>1816</v>
      </c>
      <c r="B275">
        <v>105</v>
      </c>
      <c r="V275" s="36" t="str">
        <f t="shared" si="4"/>
        <v>},[105]={</v>
      </c>
    </row>
    <row r="276" spans="1:24" s="36" customFormat="1" x14ac:dyDescent="0.15">
      <c r="C276" s="36">
        <v>59845</v>
      </c>
      <c r="D276" s="36">
        <v>47</v>
      </c>
      <c r="I276" s="38" t="s">
        <v>2313</v>
      </c>
      <c r="J276" s="50" t="s">
        <v>2635</v>
      </c>
      <c r="P276" s="36">
        <v>1</v>
      </c>
      <c r="V276" s="36" t="str">
        <f t="shared" si="4"/>
        <v>{dwID=59845,nFrame=47,szNote="浩气盟精锐队长",col={31,230,255,},[3]={bScreenHead=true,},[4]={},},</v>
      </c>
    </row>
    <row r="277" spans="1:24" x14ac:dyDescent="0.15">
      <c r="C277">
        <v>36436</v>
      </c>
      <c r="D277">
        <v>52</v>
      </c>
      <c r="I277" t="s">
        <v>1890</v>
      </c>
      <c r="J277" t="s">
        <v>1527</v>
      </c>
      <c r="U277" t="s">
        <v>1852</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2251</v>
      </c>
      <c r="X277" s="36" t="s">
        <v>2280</v>
      </c>
    </row>
    <row r="278" spans="1:24" x14ac:dyDescent="0.15">
      <c r="C278">
        <v>36437</v>
      </c>
      <c r="D278">
        <v>52</v>
      </c>
      <c r="I278" t="s">
        <v>1712</v>
      </c>
      <c r="J278" t="s">
        <v>1527</v>
      </c>
      <c r="U278" t="s">
        <v>1853</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2252</v>
      </c>
      <c r="X278" s="36" t="s">
        <v>2281</v>
      </c>
    </row>
    <row r="279" spans="1:24" s="36" customFormat="1" x14ac:dyDescent="0.15">
      <c r="C279" s="36">
        <v>30045</v>
      </c>
      <c r="D279" s="36">
        <v>52</v>
      </c>
      <c r="I279" s="36" t="s">
        <v>1984</v>
      </c>
      <c r="U279" s="36" t="s">
        <v>2381</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1989</v>
      </c>
    </row>
    <row r="280" spans="1:24" s="36" customFormat="1" x14ac:dyDescent="0.15">
      <c r="C280" s="36">
        <v>30044</v>
      </c>
      <c r="D280" s="36">
        <v>52</v>
      </c>
      <c r="I280" s="36" t="s">
        <v>1984</v>
      </c>
      <c r="U280" s="36" t="s">
        <v>2381</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1989</v>
      </c>
    </row>
    <row r="281" spans="1:24" s="36" customFormat="1" x14ac:dyDescent="0.15">
      <c r="C281" s="36">
        <v>30043</v>
      </c>
      <c r="D281" s="36">
        <v>52</v>
      </c>
      <c r="I281" s="36" t="s">
        <v>1984</v>
      </c>
      <c r="U281" s="36" t="s">
        <v>2381</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1989</v>
      </c>
    </row>
    <row r="282" spans="1:24" s="36" customFormat="1" x14ac:dyDescent="0.15">
      <c r="C282" s="36">
        <v>30042</v>
      </c>
      <c r="D282" s="36">
        <v>52</v>
      </c>
      <c r="I282" s="36" t="s">
        <v>1984</v>
      </c>
      <c r="U282" s="36" t="s">
        <v>2381</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1989</v>
      </c>
    </row>
    <row r="283" spans="1:24" s="36" customFormat="1" x14ac:dyDescent="0.15">
      <c r="C283" s="36">
        <v>30041</v>
      </c>
      <c r="D283" s="36">
        <v>52</v>
      </c>
      <c r="I283" s="36" t="s">
        <v>1984</v>
      </c>
      <c r="U283" s="36" t="s">
        <v>2381</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1989</v>
      </c>
    </row>
    <row r="284" spans="1:24" s="36" customFormat="1" x14ac:dyDescent="0.15">
      <c r="C284" s="36">
        <v>30242</v>
      </c>
      <c r="D284" s="36">
        <v>52</v>
      </c>
      <c r="I284" s="36" t="s">
        <v>2148</v>
      </c>
      <c r="U284" s="36" t="s">
        <v>2677</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2148</v>
      </c>
      <c r="U285" s="36" t="s">
        <v>2677</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2147</v>
      </c>
      <c r="U286" s="36" t="s">
        <v>2677</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2147</v>
      </c>
      <c r="U287" s="36" t="s">
        <v>2677</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2155</v>
      </c>
      <c r="U288" s="36" t="s">
        <v>2679</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2155</v>
      </c>
      <c r="U289" s="36" t="s">
        <v>2679</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2155</v>
      </c>
      <c r="U290" s="36" t="s">
        <v>2679</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2155</v>
      </c>
      <c r="U291" s="36" t="s">
        <v>2679</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2155</v>
      </c>
      <c r="U292" s="36" t="s">
        <v>2679</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2155</v>
      </c>
      <c r="U293" s="36" t="s">
        <v>2679</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2142</v>
      </c>
      <c r="U294" s="36" t="s">
        <v>2679</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2142</v>
      </c>
      <c r="U295" s="36" t="s">
        <v>2679</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2142</v>
      </c>
      <c r="U296" s="36" t="s">
        <v>2679</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2142</v>
      </c>
      <c r="U297" s="36" t="s">
        <v>2679</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2142</v>
      </c>
      <c r="U298" s="36" t="s">
        <v>2679</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2142</v>
      </c>
      <c r="U299" s="36" t="s">
        <v>2679</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2142</v>
      </c>
      <c r="U300" s="36" t="s">
        <v>2679</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2142</v>
      </c>
      <c r="U301" s="36" t="s">
        <v>2679</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1892</v>
      </c>
      <c r="J303" s="36" t="s">
        <v>1527</v>
      </c>
      <c r="U303" s="36" t="s">
        <v>1854</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2253</v>
      </c>
      <c r="X303" s="36" t="s">
        <v>2282</v>
      </c>
    </row>
    <row r="304" spans="1:24" s="36" customFormat="1" x14ac:dyDescent="0.15">
      <c r="C304" s="36">
        <v>36422</v>
      </c>
      <c r="D304" s="36">
        <v>52</v>
      </c>
      <c r="I304" s="36" t="s">
        <v>1713</v>
      </c>
      <c r="J304" s="36" t="s">
        <v>1527</v>
      </c>
      <c r="U304" s="36" t="s">
        <v>1855</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2254</v>
      </c>
      <c r="X304" s="36" t="s">
        <v>2283</v>
      </c>
    </row>
    <row r="305" spans="1:24" s="36" customFormat="1" x14ac:dyDescent="0.15">
      <c r="C305" s="40">
        <v>29202</v>
      </c>
      <c r="D305" s="36">
        <v>52</v>
      </c>
      <c r="I305" s="36" t="s">
        <v>2154</v>
      </c>
      <c r="U305" s="36" t="s">
        <v>2679</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2312</v>
      </c>
      <c r="J307" s="51" t="s">
        <v>2636</v>
      </c>
      <c r="P307" s="36">
        <v>1</v>
      </c>
      <c r="V307" s="36" t="str">
        <f t="shared" si="4"/>
        <v>{dwID=59858,nFrame=47,szNote="恶人谷精锐队长",col={255,120,31,},[3]={bScreenHead=true,},[4]={},},</v>
      </c>
    </row>
    <row r="308" spans="1:24" x14ac:dyDescent="0.15">
      <c r="C308">
        <v>36417</v>
      </c>
      <c r="D308">
        <v>52</v>
      </c>
      <c r="I308" t="s">
        <v>1864</v>
      </c>
      <c r="J308" t="s">
        <v>1527</v>
      </c>
      <c r="U308" t="s">
        <v>1856</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2255</v>
      </c>
      <c r="X308" s="36" t="s">
        <v>2284</v>
      </c>
    </row>
    <row r="309" spans="1:24" x14ac:dyDescent="0.15">
      <c r="C309">
        <v>36416</v>
      </c>
      <c r="D309">
        <v>52</v>
      </c>
      <c r="I309" t="s">
        <v>1866</v>
      </c>
      <c r="J309" t="s">
        <v>1527</v>
      </c>
      <c r="U309" t="s">
        <v>1857</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2256</v>
      </c>
      <c r="X309" s="36" t="s">
        <v>2285</v>
      </c>
    </row>
    <row r="310" spans="1:24" s="36" customFormat="1" x14ac:dyDescent="0.15">
      <c r="C310" s="36">
        <v>30063</v>
      </c>
      <c r="D310" s="36">
        <v>52</v>
      </c>
      <c r="I310" s="36" t="s">
        <v>1988</v>
      </c>
      <c r="U310" s="36" t="s">
        <v>2381</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1989</v>
      </c>
    </row>
    <row r="311" spans="1:24" s="36" customFormat="1" x14ac:dyDescent="0.15">
      <c r="C311" s="36">
        <v>30062</v>
      </c>
      <c r="D311" s="36">
        <v>52</v>
      </c>
      <c r="I311" s="36" t="s">
        <v>1988</v>
      </c>
      <c r="U311" s="36" t="s">
        <v>2381</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1989</v>
      </c>
    </row>
    <row r="312" spans="1:24" s="36" customFormat="1" x14ac:dyDescent="0.15">
      <c r="C312" s="36">
        <v>30061</v>
      </c>
      <c r="D312" s="36">
        <v>52</v>
      </c>
      <c r="I312" s="36" t="s">
        <v>1988</v>
      </c>
      <c r="U312" s="36" t="s">
        <v>2381</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1989</v>
      </c>
    </row>
    <row r="313" spans="1:24" s="36" customFormat="1" x14ac:dyDescent="0.15">
      <c r="C313" s="36">
        <v>30103</v>
      </c>
      <c r="D313" s="36">
        <v>52</v>
      </c>
      <c r="I313" s="36" t="s">
        <v>2149</v>
      </c>
      <c r="U313" s="36" t="s">
        <v>2677</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2156</v>
      </c>
      <c r="U314" s="36" t="s">
        <v>2679</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2636</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2635</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2310</v>
      </c>
      <c r="J323" s="51" t="s">
        <v>2636</v>
      </c>
      <c r="P323">
        <v>1</v>
      </c>
      <c r="U323" t="s">
        <v>2369</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2311</v>
      </c>
      <c r="J324" s="50" t="s">
        <v>2635</v>
      </c>
      <c r="P324">
        <v>1</v>
      </c>
      <c r="U324" t="s">
        <v>2370</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1909</v>
      </c>
      <c r="J327" t="s">
        <v>1527</v>
      </c>
      <c r="O327">
        <v>1</v>
      </c>
      <c r="P327">
        <v>1</v>
      </c>
      <c r="U327" t="s">
        <v>1972</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2257</v>
      </c>
      <c r="X327" s="36" t="s">
        <v>2286</v>
      </c>
    </row>
    <row r="328" spans="1:24" x14ac:dyDescent="0.15">
      <c r="C328">
        <v>123841</v>
      </c>
      <c r="D328">
        <v>52</v>
      </c>
      <c r="I328" t="s">
        <v>1910</v>
      </c>
      <c r="J328" t="s">
        <v>1527</v>
      </c>
      <c r="O328">
        <v>1</v>
      </c>
      <c r="P328">
        <v>1</v>
      </c>
      <c r="U328" t="s">
        <v>1973</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2258</v>
      </c>
      <c r="X328" s="36" t="s">
        <v>2259</v>
      </c>
    </row>
    <row r="329" spans="1:24" x14ac:dyDescent="0.15">
      <c r="C329">
        <v>101012</v>
      </c>
      <c r="D329">
        <v>47</v>
      </c>
      <c r="I329" t="s">
        <v>1707</v>
      </c>
      <c r="J329" s="51" t="s">
        <v>2636</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2635</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2494</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2493</v>
      </c>
    </row>
    <row r="339" spans="3:23" s="36" customFormat="1" x14ac:dyDescent="0.15">
      <c r="C339" s="36">
        <v>124104</v>
      </c>
      <c r="D339" s="36">
        <v>52</v>
      </c>
      <c r="I339" s="36" t="s">
        <v>1987</v>
      </c>
      <c r="U339" s="36" t="s">
        <v>2381</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1989</v>
      </c>
    </row>
    <row r="340" spans="3:23" s="36" customFormat="1" x14ac:dyDescent="0.15">
      <c r="C340" s="36">
        <v>124103</v>
      </c>
      <c r="D340" s="36">
        <v>52</v>
      </c>
      <c r="I340" s="36" t="s">
        <v>1987</v>
      </c>
      <c r="U340" s="36" t="s">
        <v>2381</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1989</v>
      </c>
    </row>
    <row r="341" spans="3:23" s="36" customFormat="1" x14ac:dyDescent="0.15">
      <c r="C341" s="36">
        <v>124102</v>
      </c>
      <c r="D341" s="36">
        <v>52</v>
      </c>
      <c r="I341" s="36" t="s">
        <v>1987</v>
      </c>
      <c r="U341" s="36" t="s">
        <v>2381</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1989</v>
      </c>
    </row>
    <row r="342" spans="3:23" s="36" customFormat="1" x14ac:dyDescent="0.15">
      <c r="C342" s="36">
        <v>124101</v>
      </c>
      <c r="D342" s="36">
        <v>52</v>
      </c>
      <c r="I342" s="36" t="s">
        <v>1987</v>
      </c>
      <c r="U342" s="36" t="s">
        <v>2381</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1989</v>
      </c>
    </row>
    <row r="343" spans="3:23" x14ac:dyDescent="0.15">
      <c r="C343">
        <v>124280</v>
      </c>
      <c r="D343">
        <v>52</v>
      </c>
      <c r="I343" t="s">
        <v>1752</v>
      </c>
      <c r="U343" s="36" t="s">
        <v>2677</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2677</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2677</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2677</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2677</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2677</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2677</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2677</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2679</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2679</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2679</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2679</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2679</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2679</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2679</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2679</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2679</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2679</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2679</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2679</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2679</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2679</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2679</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2679</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1918</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1918</v>
      </c>
      <c r="V368" s="36" t="str">
        <f t="shared" si="5"/>
        <v>{dwID=123867,nFrame=47,szNote="小曾",[3]={},[4]={},aFocus={{dwMapID=-1,szDisplay="分线·传送",nMaxDistance=12,tRelation={bAll=false,bEnemy=false,bAlly=true,},tLife={bEnable=false,szOperator="&gt;",nValue=0,},},},},</v>
      </c>
    </row>
    <row r="369" spans="1:23" s="36" customFormat="1" x14ac:dyDescent="0.15">
      <c r="C369" s="40">
        <v>66809</v>
      </c>
      <c r="D369" s="36">
        <v>57</v>
      </c>
      <c r="G369" s="36" t="s">
        <v>2065</v>
      </c>
      <c r="I369" s="36" t="s">
        <v>2066</v>
      </c>
      <c r="O369" s="36">
        <v>1</v>
      </c>
      <c r="U369" s="36" t="s">
        <v>2113</v>
      </c>
      <c r="V369" s="36" t="str">
        <f t="shared" si="5"/>
        <v>{dwID=66809,nFrame=57,szName="火圈",szNote="减疗火圈",[3]={bCenterAlarm=true,},[4]={},aFocus={{dwMapID=-1,szDisplay="火圈·减疗",nMaxDistance=8,tRelation={bAll=true,bEnemy=true,bAlly=true,},tLife={bEnable=false,szOperator="&gt;",nValue=0,},},},},</v>
      </c>
    </row>
    <row r="370" spans="1:23" s="36" customFormat="1" x14ac:dyDescent="0.15">
      <c r="C370" s="40">
        <v>36396</v>
      </c>
      <c r="D370" s="36">
        <v>52</v>
      </c>
      <c r="G370" s="36" t="s">
        <v>2034</v>
      </c>
      <c r="I370" s="36" t="s">
        <v>2087</v>
      </c>
      <c r="O370" s="36">
        <v>1</v>
      </c>
      <c r="P370" s="36">
        <v>1</v>
      </c>
      <c r="U370" s="36" t="s">
        <v>2033</v>
      </c>
      <c r="V370" s="3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s="36" t="s">
        <v>2023</v>
      </c>
    </row>
    <row r="371" spans="1:23" s="36" customFormat="1" x14ac:dyDescent="0.15">
      <c r="C371" s="40">
        <v>36005</v>
      </c>
      <c r="D371" s="36">
        <v>52</v>
      </c>
      <c r="I371" s="36" t="s">
        <v>2085</v>
      </c>
      <c r="P371" s="36">
        <v>1</v>
      </c>
      <c r="V371" s="36" t="str">
        <f t="shared" si="5"/>
        <v>{dwID=36005,nFrame=52,szNote="神机台·没人状态",[3]={bScreenHead=true,},[4]={},},</v>
      </c>
    </row>
    <row r="372" spans="1:23" s="36" customFormat="1" x14ac:dyDescent="0.15">
      <c r="C372" s="40">
        <v>100133</v>
      </c>
      <c r="D372" s="36">
        <v>57</v>
      </c>
      <c r="I372" s="36" t="s">
        <v>2683</v>
      </c>
      <c r="P372" s="36">
        <v>1</v>
      </c>
      <c r="U372" s="36" t="s">
        <v>2684</v>
      </c>
      <c r="V372" s="36" t="str">
        <f t="shared" si="5"/>
        <v>{dwID=100133,nFrame=57,szNote="狼牙先锋首领",[3]={bScreenHead=true,},[4]={},aFocus={{dwMapID=-1,nMaxDistance=90,tRelation={bAll=false,bEnemy=true,bAlly=false,},tLife={bEnable=false,szOperator="&gt;",nValue=0,},},},},</v>
      </c>
    </row>
    <row r="373" spans="1:23" s="36" customFormat="1" x14ac:dyDescent="0.15">
      <c r="C373" s="40">
        <v>30537</v>
      </c>
      <c r="D373" s="36">
        <v>47</v>
      </c>
      <c r="I373" s="36" t="s">
        <v>1749</v>
      </c>
      <c r="J373" s="36" t="s">
        <v>1751</v>
      </c>
      <c r="P373" s="36">
        <v>1</v>
      </c>
      <c r="U373" s="36" t="s">
        <v>1750</v>
      </c>
      <c r="V373" s="36" t="str">
        <f t="shared" si="5"/>
        <v>{dwID=30537,nFrame=47,szNote="据点伙计",col={100,255,100,},[3]={bScreenHead=true,},[4]={},aFocus={{dwMapID=-1,nMaxDistance=10,tRelation={bAll=false,bEnemy=false,bAlly=true,},tLife={bEnable=false,szOperator="&gt;",nValue=0,},},},},</v>
      </c>
    </row>
    <row r="374" spans="1:23" x14ac:dyDescent="0.15">
      <c r="A374" t="s">
        <v>1985</v>
      </c>
      <c r="B374">
        <v>656</v>
      </c>
      <c r="V374" s="36" t="str">
        <f t="shared" si="5"/>
        <v>},[656]={</v>
      </c>
    </row>
    <row r="375" spans="1:23" x14ac:dyDescent="0.15">
      <c r="C375">
        <v>123840</v>
      </c>
      <c r="D375">
        <v>52</v>
      </c>
      <c r="I375" t="s">
        <v>1909</v>
      </c>
      <c r="J375" t="s">
        <v>1527</v>
      </c>
      <c r="O375">
        <v>1</v>
      </c>
      <c r="P375">
        <v>1</v>
      </c>
      <c r="U375" t="s">
        <v>1972</v>
      </c>
      <c r="V375" s="36" t="str">
        <f t="shared" si="5"/>
        <v>{dwID=123840,nFrame=52,szNote="大旗·云台营",col={0,255,0,},[3]={bCenterAlarm=true,bScreenHead=true,},[4]={},aFocus={{dwMapID=-1,szDisplay="大旗·云台营",nMaxDistance=30,tRelation={bAll=true,bEnemy=false,bAlly=false,},tLife={bEnable=false,szOperator="&gt;",nValue=0,},},},},</v>
      </c>
    </row>
    <row r="376" spans="1:23" x14ac:dyDescent="0.15">
      <c r="C376">
        <v>123841</v>
      </c>
      <c r="D376">
        <v>52</v>
      </c>
      <c r="I376" t="s">
        <v>1910</v>
      </c>
      <c r="J376" t="s">
        <v>1527</v>
      </c>
      <c r="O376">
        <v>1</v>
      </c>
      <c r="P376">
        <v>1</v>
      </c>
      <c r="U376" t="s">
        <v>1973</v>
      </c>
      <c r="V376" s="36" t="str">
        <f t="shared" si="5"/>
        <v>{dwID=123841,nFrame=52,szNote="大旗·高阳营",col={0,255,0,},[3]={bCenterAlarm=true,bScreenHead=true,},[4]={},aFocus={{dwMapID=-1,szDisplay="大旗·高阳营",nMaxDistance=30,tRelation={bAll=true,bEnemy=false,bAlly=false,},tLife={bEnable=false,szOperator="&gt;",nValue=0,},},},},</v>
      </c>
    </row>
    <row r="377" spans="1:23" x14ac:dyDescent="0.15">
      <c r="C377">
        <v>123976</v>
      </c>
      <c r="D377">
        <v>47</v>
      </c>
      <c r="I377" t="s">
        <v>1709</v>
      </c>
      <c r="P377">
        <v>1</v>
      </c>
      <c r="U377" t="s">
        <v>1769</v>
      </c>
      <c r="V37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s="36" t="s">
        <v>2494</v>
      </c>
    </row>
    <row r="378" spans="1:23" x14ac:dyDescent="0.15">
      <c r="C378">
        <v>123975</v>
      </c>
      <c r="D378">
        <v>47</v>
      </c>
      <c r="I378" t="s">
        <v>1710</v>
      </c>
      <c r="P378">
        <v>1</v>
      </c>
      <c r="U378" t="s">
        <v>1769</v>
      </c>
      <c r="V37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s="36" t="s">
        <v>2493</v>
      </c>
    </row>
    <row r="379" spans="1:23" s="36" customFormat="1" x14ac:dyDescent="0.15">
      <c r="C379" s="36">
        <v>124104</v>
      </c>
      <c r="D379" s="36">
        <v>52</v>
      </c>
      <c r="I379" s="36" t="s">
        <v>1986</v>
      </c>
      <c r="U379" s="36" t="s">
        <v>2381</v>
      </c>
      <c r="V379"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s="36" t="s">
        <v>1989</v>
      </c>
    </row>
    <row r="380" spans="1:23" s="36" customFormat="1" x14ac:dyDescent="0.15">
      <c r="C380" s="36">
        <v>124103</v>
      </c>
      <c r="D380" s="36">
        <v>52</v>
      </c>
      <c r="I380" s="36" t="s">
        <v>1986</v>
      </c>
      <c r="U380" s="36" t="s">
        <v>2381</v>
      </c>
      <c r="V380"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s="36" t="s">
        <v>1989</v>
      </c>
    </row>
    <row r="381" spans="1:23" s="36" customFormat="1" x14ac:dyDescent="0.15">
      <c r="C381" s="36">
        <v>124102</v>
      </c>
      <c r="D381" s="36">
        <v>52</v>
      </c>
      <c r="I381" s="36" t="s">
        <v>1986</v>
      </c>
      <c r="U381" s="36" t="s">
        <v>2381</v>
      </c>
      <c r="V381"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s="36" t="s">
        <v>1989</v>
      </c>
    </row>
    <row r="382" spans="1:23" s="36" customFormat="1" x14ac:dyDescent="0.15">
      <c r="C382" s="36">
        <v>124101</v>
      </c>
      <c r="D382" s="36">
        <v>52</v>
      </c>
      <c r="I382" s="36" t="s">
        <v>1986</v>
      </c>
      <c r="U382" s="36" t="s">
        <v>2381</v>
      </c>
      <c r="V382"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s="36" t="s">
        <v>1989</v>
      </c>
    </row>
    <row r="383" spans="1:23" x14ac:dyDescent="0.15">
      <c r="C383">
        <v>124280</v>
      </c>
      <c r="D383">
        <v>52</v>
      </c>
      <c r="I383" t="s">
        <v>1754</v>
      </c>
      <c r="U383" s="36" t="s">
        <v>2677</v>
      </c>
      <c r="V383"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124281</v>
      </c>
      <c r="D384">
        <v>52</v>
      </c>
      <c r="I384" s="36" t="s">
        <v>1754</v>
      </c>
      <c r="U384" s="36" t="s">
        <v>2677</v>
      </c>
      <c r="V384"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124290</v>
      </c>
      <c r="D385">
        <v>52</v>
      </c>
      <c r="I385" s="36" t="s">
        <v>1754</v>
      </c>
      <c r="U385" s="36" t="s">
        <v>2677</v>
      </c>
      <c r="V385"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124291</v>
      </c>
      <c r="D386">
        <v>52</v>
      </c>
      <c r="I386" s="36" t="s">
        <v>1754</v>
      </c>
      <c r="U386" s="36" t="s">
        <v>2677</v>
      </c>
      <c r="V386" s="3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x14ac:dyDescent="0.15">
      <c r="C387">
        <v>124260</v>
      </c>
      <c r="D387">
        <v>52</v>
      </c>
      <c r="I387" t="s">
        <v>1755</v>
      </c>
      <c r="U387" s="36" t="s">
        <v>2677</v>
      </c>
      <c r="V387" s="36"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x14ac:dyDescent="0.15">
      <c r="C388">
        <v>124261</v>
      </c>
      <c r="D388">
        <v>52</v>
      </c>
      <c r="I388" s="36" t="s">
        <v>1755</v>
      </c>
      <c r="U388" s="36" t="s">
        <v>2677</v>
      </c>
      <c r="V388" s="36"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x14ac:dyDescent="0.15">
      <c r="C389">
        <v>124270</v>
      </c>
      <c r="D389">
        <v>52</v>
      </c>
      <c r="I389" s="36" t="s">
        <v>1755</v>
      </c>
      <c r="U389" s="36" t="s">
        <v>2677</v>
      </c>
      <c r="V389" s="36"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x14ac:dyDescent="0.15">
      <c r="C390">
        <v>124271</v>
      </c>
      <c r="D390">
        <v>52</v>
      </c>
      <c r="I390" s="36" t="s">
        <v>1755</v>
      </c>
      <c r="U390" s="36" t="s">
        <v>2677</v>
      </c>
      <c r="V390" s="36"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x14ac:dyDescent="0.15">
      <c r="C391">
        <v>124109</v>
      </c>
      <c r="D391">
        <v>52</v>
      </c>
      <c r="I391" t="s">
        <v>1756</v>
      </c>
      <c r="U391" s="36" t="s">
        <v>2679</v>
      </c>
      <c r="V391" s="36"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124110</v>
      </c>
      <c r="D392">
        <v>52</v>
      </c>
      <c r="I392" s="36" t="s">
        <v>1756</v>
      </c>
      <c r="U392" s="36" t="s">
        <v>2679</v>
      </c>
      <c r="V392"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124111</v>
      </c>
      <c r="D393">
        <v>52</v>
      </c>
      <c r="I393" s="36" t="s">
        <v>1756</v>
      </c>
      <c r="U393" s="36" t="s">
        <v>2679</v>
      </c>
      <c r="V393"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124112</v>
      </c>
      <c r="D394">
        <v>52</v>
      </c>
      <c r="I394" s="36" t="s">
        <v>1756</v>
      </c>
      <c r="U394" s="36" t="s">
        <v>2679</v>
      </c>
      <c r="V394"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124113</v>
      </c>
      <c r="D395">
        <v>52</v>
      </c>
      <c r="I395" s="36" t="s">
        <v>1756</v>
      </c>
      <c r="U395" s="36" t="s">
        <v>2679</v>
      </c>
      <c r="V395"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124114</v>
      </c>
      <c r="D396">
        <v>52</v>
      </c>
      <c r="I396" s="36" t="s">
        <v>1756</v>
      </c>
      <c r="U396" s="36" t="s">
        <v>2679</v>
      </c>
      <c r="V396"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124115</v>
      </c>
      <c r="D397">
        <v>52</v>
      </c>
      <c r="I397" s="36" t="s">
        <v>1756</v>
      </c>
      <c r="U397" s="36" t="s">
        <v>2679</v>
      </c>
      <c r="V397"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124116</v>
      </c>
      <c r="D398">
        <v>52</v>
      </c>
      <c r="I398" s="36" t="s">
        <v>1756</v>
      </c>
      <c r="U398" s="36" t="s">
        <v>2679</v>
      </c>
      <c r="V398"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124117</v>
      </c>
      <c r="D399">
        <v>52</v>
      </c>
      <c r="I399" s="36" t="s">
        <v>1756</v>
      </c>
      <c r="U399" s="36" t="s">
        <v>2679</v>
      </c>
      <c r="V399"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124118</v>
      </c>
      <c r="D400">
        <v>52</v>
      </c>
      <c r="I400" s="36" t="s">
        <v>1756</v>
      </c>
      <c r="U400" s="36" t="s">
        <v>2679</v>
      </c>
      <c r="V400"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x14ac:dyDescent="0.15">
      <c r="C401">
        <v>124119</v>
      </c>
      <c r="D401">
        <v>52</v>
      </c>
      <c r="I401" s="36" t="s">
        <v>1756</v>
      </c>
      <c r="U401" s="36" t="s">
        <v>2679</v>
      </c>
      <c r="V401"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x14ac:dyDescent="0.15">
      <c r="C402">
        <v>124120</v>
      </c>
      <c r="D402">
        <v>52</v>
      </c>
      <c r="I402" s="36" t="s">
        <v>1756</v>
      </c>
      <c r="U402" s="36" t="s">
        <v>2679</v>
      </c>
      <c r="V402"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x14ac:dyDescent="0.15">
      <c r="C403">
        <v>124121</v>
      </c>
      <c r="D403">
        <v>52</v>
      </c>
      <c r="I403" s="36" t="s">
        <v>1756</v>
      </c>
      <c r="U403" s="36" t="s">
        <v>2679</v>
      </c>
      <c r="V403"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x14ac:dyDescent="0.15">
      <c r="C404">
        <v>124122</v>
      </c>
      <c r="D404">
        <v>52</v>
      </c>
      <c r="I404" s="36" t="s">
        <v>1756</v>
      </c>
      <c r="U404" s="36" t="s">
        <v>2679</v>
      </c>
      <c r="V404"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x14ac:dyDescent="0.15">
      <c r="C405">
        <v>124123</v>
      </c>
      <c r="D405">
        <v>52</v>
      </c>
      <c r="I405" s="36" t="s">
        <v>1756</v>
      </c>
      <c r="U405" s="36" t="s">
        <v>2679</v>
      </c>
      <c r="V405"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x14ac:dyDescent="0.15">
      <c r="C406">
        <v>124124</v>
      </c>
      <c r="D406">
        <v>52</v>
      </c>
      <c r="I406" s="36" t="s">
        <v>1756</v>
      </c>
      <c r="U406" s="36" t="s">
        <v>2679</v>
      </c>
      <c r="V406"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x14ac:dyDescent="0.15">
      <c r="C407">
        <v>123871</v>
      </c>
      <c r="D407">
        <v>47</v>
      </c>
      <c r="I407" t="s">
        <v>1704</v>
      </c>
      <c r="U407" t="s">
        <v>1918</v>
      </c>
      <c r="V407" s="36" t="str">
        <f t="shared" si="6"/>
        <v>{dwID=123871,nFrame=47,szNote="小珍",[3]={},[4]={},aFocus={{dwMapID=-1,szDisplay="分线·传送",nMaxDistance=12,tRelation={bAll=false,bEnemy=false,bAlly=true,},tLife={bEnable=false,szOperator="&gt;",nValue=0,},},},},</v>
      </c>
    </row>
    <row r="408" spans="3:23" x14ac:dyDescent="0.15">
      <c r="C408">
        <v>123867</v>
      </c>
      <c r="D408">
        <v>47</v>
      </c>
      <c r="I408" t="s">
        <v>1705</v>
      </c>
      <c r="U408" t="s">
        <v>1918</v>
      </c>
      <c r="V408" s="36" t="str">
        <f t="shared" si="6"/>
        <v>{dwID=123867,nFrame=47,szNote="小曾",[3]={},[4]={},aFocus={{dwMapID=-1,szDisplay="分线·传送",nMaxDistance=12,tRelation={bAll=false,bEnemy=false,bAlly=true,},tLife={bEnable=false,szOperator="&gt;",nValue=0,},},},},</v>
      </c>
    </row>
    <row r="409" spans="3:23" s="36" customFormat="1" x14ac:dyDescent="0.15">
      <c r="C409" s="40">
        <v>66809</v>
      </c>
      <c r="D409" s="36">
        <v>57</v>
      </c>
      <c r="G409" s="36" t="s">
        <v>2065</v>
      </c>
      <c r="I409" s="36" t="s">
        <v>2066</v>
      </c>
      <c r="O409" s="36">
        <v>1</v>
      </c>
      <c r="U409" s="36" t="s">
        <v>2113</v>
      </c>
      <c r="V409" s="36" t="str">
        <f t="shared" si="6"/>
        <v>{dwID=66809,nFrame=57,szName="火圈",szNote="减疗火圈",[3]={bCenterAlarm=true,},[4]={},aFocus={{dwMapID=-1,szDisplay="火圈·减疗",nMaxDistance=8,tRelation={bAll=true,bEnemy=true,bAlly=true,},tLife={bEnable=false,szOperator="&gt;",nValue=0,},},},},</v>
      </c>
    </row>
    <row r="410" spans="3:23" s="36" customFormat="1" x14ac:dyDescent="0.15">
      <c r="C410" s="40">
        <v>36396</v>
      </c>
      <c r="D410" s="36">
        <v>52</v>
      </c>
      <c r="G410" s="36" t="s">
        <v>2034</v>
      </c>
      <c r="I410" s="36" t="s">
        <v>2087</v>
      </c>
      <c r="O410" s="36">
        <v>1</v>
      </c>
      <c r="P410" s="36">
        <v>1</v>
      </c>
      <c r="U410" s="36" t="s">
        <v>2033</v>
      </c>
      <c r="V410" s="36"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s="36" t="s">
        <v>2023</v>
      </c>
    </row>
    <row r="411" spans="3:23" s="36" customFormat="1" x14ac:dyDescent="0.15">
      <c r="C411" s="40">
        <v>36005</v>
      </c>
      <c r="D411" s="36">
        <v>52</v>
      </c>
      <c r="I411" s="36" t="s">
        <v>2085</v>
      </c>
      <c r="P411" s="36">
        <v>1</v>
      </c>
      <c r="V411" s="36" t="str">
        <f t="shared" si="6"/>
        <v>{dwID=36005,nFrame=52,szNote="神机台·没人状态",[3]={bScreenHead=true,},[4]={},},</v>
      </c>
    </row>
    <row r="412" spans="3:23" s="36" customFormat="1" x14ac:dyDescent="0.15">
      <c r="C412" s="40">
        <v>100133</v>
      </c>
      <c r="D412" s="36">
        <v>57</v>
      </c>
      <c r="I412" s="36" t="s">
        <v>2683</v>
      </c>
      <c r="P412" s="36">
        <v>1</v>
      </c>
      <c r="U412" s="36" t="s">
        <v>2684</v>
      </c>
      <c r="V412" s="36" t="str">
        <f t="shared" si="6"/>
        <v>{dwID=100133,nFrame=57,szNote="狼牙先锋首领",[3]={bScreenHead=true,},[4]={},aFocus={{dwMapID=-1,nMaxDistance=90,tRelation={bAll=false,bEnemy=true,bAlly=false,},tLife={bEnable=false,szOperator="&gt;",nValue=0,},},},},</v>
      </c>
    </row>
    <row r="413" spans="3:23" s="36" customFormat="1" x14ac:dyDescent="0.15">
      <c r="C413" s="40">
        <v>30537</v>
      </c>
      <c r="D413" s="36">
        <v>47</v>
      </c>
      <c r="I413" s="36" t="s">
        <v>1749</v>
      </c>
      <c r="J413" s="36" t="s">
        <v>1751</v>
      </c>
      <c r="P413" s="36">
        <v>1</v>
      </c>
      <c r="U413" s="36" t="s">
        <v>1750</v>
      </c>
      <c r="V413" s="36" t="str">
        <f t="shared" si="6"/>
        <v>{dwID=30537,nFrame=47,szNote="据点伙计",col={100,255,100,},[3]={bScreenHead=true,},[4]={},aFocus={{dwMapID=-1,nMaxDistance=10,tRelation={bAll=false,bEnemy=false,bAlly=true,},tLife={bEnable=false,szOperator="&gt;",nValue=0,},},},},</v>
      </c>
    </row>
    <row r="414" spans="3:23" x14ac:dyDescent="0.15">
      <c r="V414" s="36" t="str">
        <f t="shared" si="6"/>
        <v>},},}</v>
      </c>
    </row>
  </sheetData>
  <autoFilter ref="A1:X409"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F25" sqref="F25"/>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2646</v>
      </c>
      <c r="K1" s="36" t="s">
        <v>2647</v>
      </c>
      <c r="L1" s="36" t="s">
        <v>2648</v>
      </c>
      <c r="M1" s="36" t="s">
        <v>2649</v>
      </c>
      <c r="N1" s="36" t="s">
        <v>2650</v>
      </c>
      <c r="O1" s="36" t="s">
        <v>2651</v>
      </c>
      <c r="P1" s="36" t="s">
        <v>2652</v>
      </c>
      <c r="Q1" s="36" t="s">
        <v>2653</v>
      </c>
      <c r="R1" s="36" t="s">
        <v>2654</v>
      </c>
      <c r="S1" s="36" t="s">
        <v>2655</v>
      </c>
      <c r="T1" s="36" t="s">
        <v>1526</v>
      </c>
      <c r="U1" s="36" t="s">
        <v>2656</v>
      </c>
      <c r="V1" s="36" t="s">
        <v>1422</v>
      </c>
    </row>
    <row r="2" spans="1:22" x14ac:dyDescent="0.15">
      <c r="A2" s="36" t="s">
        <v>2657</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2658</v>
      </c>
      <c r="N3" s="36">
        <v>1</v>
      </c>
      <c r="T3" s="36" t="s">
        <v>2659</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2658</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2660</v>
      </c>
      <c r="I5" s="36" t="s">
        <v>2658</v>
      </c>
      <c r="M5" s="36">
        <v>1</v>
      </c>
      <c r="N5" s="36">
        <v>1</v>
      </c>
      <c r="T5" s="36" t="s">
        <v>2661</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2662</v>
      </c>
      <c r="I6" s="36" t="s">
        <v>2658</v>
      </c>
      <c r="M6" s="36">
        <v>1</v>
      </c>
      <c r="N6" s="36">
        <v>1</v>
      </c>
      <c r="T6" s="36" t="s">
        <v>2663</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2680</v>
      </c>
      <c r="B7" s="36">
        <v>-20</v>
      </c>
      <c r="U7" s="36" t="str">
        <f t="shared" si="0"/>
        <v>},[-20]={</v>
      </c>
    </row>
    <row r="8" spans="1:22" x14ac:dyDescent="0.15">
      <c r="C8" s="36">
        <v>7011</v>
      </c>
      <c r="H8" s="36" t="s">
        <v>1975</v>
      </c>
      <c r="I8" s="51" t="s">
        <v>2636</v>
      </c>
      <c r="N8" s="36">
        <v>1</v>
      </c>
      <c r="T8" s="36" t="s">
        <v>2664</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1976</v>
      </c>
      <c r="I9" s="50" t="s">
        <v>2635</v>
      </c>
      <c r="N9" s="36">
        <v>1</v>
      </c>
      <c r="T9" s="36" t="s">
        <v>2664</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2658</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2658</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40">
        <v>8418</v>
      </c>
      <c r="F13" s="36" t="s">
        <v>1550</v>
      </c>
      <c r="I13" s="36" t="s">
        <v>2658</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40">
        <v>6971</v>
      </c>
      <c r="F14" s="36" t="s">
        <v>1552</v>
      </c>
      <c r="I14" s="36" t="s">
        <v>2658</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40">
        <v>8418</v>
      </c>
      <c r="F16" s="36" t="s">
        <v>1550</v>
      </c>
      <c r="I16" s="36" t="s">
        <v>2658</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40">
        <v>6971</v>
      </c>
      <c r="F17" s="36" t="s">
        <v>1552</v>
      </c>
      <c r="I17" s="36" t="s">
        <v>2658</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2665</v>
      </c>
      <c r="I19" s="51" t="s">
        <v>2636</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2666</v>
      </c>
      <c r="I20" s="50" t="s">
        <v>2635</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2667</v>
      </c>
      <c r="I21" s="36" t="s">
        <v>2658</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2667</v>
      </c>
      <c r="I23" s="36" t="s">
        <v>2658</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2668</v>
      </c>
      <c r="I24" s="36" t="s">
        <v>2658</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2669</v>
      </c>
      <c r="I25" s="36" t="s">
        <v>2658</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2665</v>
      </c>
      <c r="I26" s="51" t="s">
        <v>2636</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2666</v>
      </c>
      <c r="I27" s="50" t="s">
        <v>2635</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2670</v>
      </c>
      <c r="I29" s="51" t="s">
        <v>2636</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2671</v>
      </c>
      <c r="I30" s="50" t="s">
        <v>2635</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2672</v>
      </c>
      <c r="I31" s="36" t="s">
        <v>2658</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2673</v>
      </c>
      <c r="I33" s="36" t="s">
        <v>2658</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2668</v>
      </c>
      <c r="I34" s="36" t="s">
        <v>2658</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2669</v>
      </c>
      <c r="I35" s="36" t="s">
        <v>2658</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2670</v>
      </c>
      <c r="I36" s="51" t="s">
        <v>2636</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2671</v>
      </c>
      <c r="I37" s="50" t="s">
        <v>2635</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96"/>
  <sheetViews>
    <sheetView zoomScale="80" zoomScaleNormal="80" workbookViewId="0">
      <pane ySplit="1" topLeftCell="A8" activePane="bottomLeft" state="frozen"/>
      <selection activeCell="E1" sqref="E1"/>
      <selection pane="bottomLeft" activeCell="E46" sqref="E46"/>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1966</v>
      </c>
      <c r="V1" t="s">
        <v>1924</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2735</v>
      </c>
      <c r="E3" s="36" t="s">
        <v>2736</v>
      </c>
      <c r="M3" s="36" t="s">
        <v>1748</v>
      </c>
      <c r="V3" s="36" t="str">
        <f>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spans="1:65" s="36" customFormat="1" x14ac:dyDescent="0.15">
      <c r="D4" s="36" t="s">
        <v>2056</v>
      </c>
      <c r="E4" s="36" t="s">
        <v>2055</v>
      </c>
      <c r="M4" s="36" t="s">
        <v>1748</v>
      </c>
      <c r="O4" s="36">
        <v>1</v>
      </c>
      <c r="V4" s="36" t="str">
        <f t="shared" ref="V4:V67" si="0">IF(ISBLANK(B4)=FALSE,IF(ISBLANK(B3),"},["&amp;B4&amp;"]={","["&amp;B4&amp;"]={"),IF(AND(ISBLANK(B4),ISBLANK(D4),ISBLANK(N4),ISBLANK(O4),OR(ISBLANK(B3)=FALSE,ISBLANK(D3)=FALSE,ISBLANK(N3)=FALSE,ISBLANK(O3)=FALSE)),"},},}",IF(ISBLANK(D4),"","{szContent="""&amp;D4&amp;""","&amp;IF(C4&lt;&gt;"","szTarget="""&amp;C4&amp;""",","")&amp;IF(E4&lt;&gt;"","szNote="""&amp;E4&amp;""",","")&amp;IF(M4&lt;&gt;"","col={"&amp;M4&amp;"},","")&amp;IF(N4&gt;0,"bSearch=true,","")&amp;IF(O4&gt;0,"bReg=true,","")&amp;"[14]={"&amp;IF(P4&gt;0,"szVoice="""&amp;P4&amp;""",","")&amp;IF(Q4&gt;0,"bTeamChannel=true,","")&amp;IF(R4&gt;0,"bWhisperChannel=true,","")&amp;IF(S4&gt;0,"bCenterAlarm=true,","")&amp;IF(T4&gt;0,"bScreenHead=true,","")&amp;IF(U4&gt;0,"bFullScreen=true,","")&amp;"},"&amp;IF(W4&lt;&gt;"","tCountdown={"&amp;_xlfn.TEXTJOIN("",TRUE,W4:AAH4)&amp;"},","")&amp;"},")))</f>
        <v>{szContent="放置一辆摧城车，本日本阵营还可放置(%d-)辆摧城车。",szNote="放置·摧城车",col={255,255,100,},bReg=true,[14]={},tCountdown={{nClass=14,nIcon=6158,nFrame=1,szName="摧城车·本日剩余·{$1}辆",nTime=10,key="摧城车",},},},</v>
      </c>
      <c r="W4" s="36" t="s">
        <v>2089</v>
      </c>
    </row>
    <row r="5" spans="1:65" s="36" customFormat="1" x14ac:dyDescent="0.15">
      <c r="D5" s="36" t="s">
        <v>2167</v>
      </c>
      <c r="E5" s="36" t="s">
        <v>2169</v>
      </c>
      <c r="M5" s="36" t="s">
        <v>1748</v>
      </c>
      <c r="V5" s="36" t="str">
        <f t="shared" si="0"/>
        <v>{szContent="五分钟内只可拾取一次对立阵营首领仓皇撤退留下的物资。",szNote="主场·助战首领堆·拾取间隔",col={255,255,100,},[14]={},tCountdown={{nClass=14,nIcon=13,szName="首领拾取间隔",nTime=-2,key="首领拾取间隔",},},},</v>
      </c>
      <c r="W5" s="36" t="s">
        <v>2168</v>
      </c>
    </row>
    <row r="6" spans="1:65" s="36" customFormat="1" x14ac:dyDescent="0.15">
      <c r="C6" s="36" t="s">
        <v>2185</v>
      </c>
      <c r="D6" s="43" t="s">
        <v>2704</v>
      </c>
      <c r="E6" s="36" t="s">
        <v>2709</v>
      </c>
      <c r="M6" s="36" t="s">
        <v>1432</v>
      </c>
      <c r="O6" s="36">
        <v>1</v>
      </c>
      <c r="S6" s="36">
        <v>1</v>
      </c>
      <c r="V6"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6" s="36" t="s">
        <v>2705</v>
      </c>
      <c r="X6" s="36" t="s">
        <v>2708</v>
      </c>
      <c r="Y6" s="36" t="s">
        <v>2706</v>
      </c>
      <c r="Z6" s="36" t="s">
        <v>2707</v>
      </c>
      <c r="AA6" s="36" t="s">
        <v>2714</v>
      </c>
      <c r="AB6" s="36" t="s">
        <v>2715</v>
      </c>
    </row>
    <row r="7" spans="1:65" s="36" customFormat="1" x14ac:dyDescent="0.15">
      <c r="C7" s="36" t="s">
        <v>1431</v>
      </c>
      <c r="D7" s="43" t="s">
        <v>2574</v>
      </c>
      <c r="E7" s="36" t="s">
        <v>2575</v>
      </c>
      <c r="M7" s="36" t="s">
        <v>1432</v>
      </c>
      <c r="O7" s="36">
        <v>1</v>
      </c>
      <c r="S7" s="36">
        <v>1</v>
      </c>
      <c r="V7" s="36" t="str">
        <f t="shared" si="0"/>
        <v>{szContent="^本周累计从(.-)奖励堆获得战阶：(%d-)/(%d+)",szTarget="%",szNote="{$1}·累计奖励堆·[{$2}/{$3}]",col={255,255,100,},bReg=true,[14]={bCenterAlarm=true,},},</v>
      </c>
    </row>
    <row r="8" spans="1:65" s="36" customFormat="1" x14ac:dyDescent="0.15">
      <c r="C8" s="36" t="s">
        <v>1431</v>
      </c>
      <c r="D8" s="43" t="s">
        <v>2577</v>
      </c>
      <c r="E8" s="36" t="s">
        <v>2578</v>
      </c>
      <c r="M8" s="36" t="s">
        <v>1432</v>
      </c>
      <c r="S8" s="36">
        <v>1</v>
      </c>
      <c r="V8" s="36" t="str">
        <f t="shared" si="0"/>
        <v>{szContent="本周累计从奇袭场奖励堆获得战阶：20000/20000",szTarget="%",szNote="奇袭场·奖励堆·战阶已上限",col={255,255,100,},[14]={bCenterAlarm=true,},},</v>
      </c>
    </row>
    <row r="9" spans="1:65" s="36" customFormat="1" x14ac:dyDescent="0.15">
      <c r="C9" s="36" t="s">
        <v>1431</v>
      </c>
      <c r="D9" s="36" t="s">
        <v>2082</v>
      </c>
      <c r="E9" s="36" t="s">
        <v>2083</v>
      </c>
      <c r="M9" s="36" t="s">
        <v>1432</v>
      </c>
      <c r="O9" s="36">
        <v>1</v>
      </c>
      <c r="V9"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52" t="s">
        <v>2643</v>
      </c>
    </row>
    <row r="10" spans="1:65" x14ac:dyDescent="0.15">
      <c r="C10" s="36" t="s">
        <v>1431</v>
      </c>
      <c r="D10" t="s">
        <v>1437</v>
      </c>
      <c r="E10" t="s">
        <v>1661</v>
      </c>
      <c r="G10"/>
      <c r="I10"/>
      <c r="M10" t="s">
        <v>1432</v>
      </c>
      <c r="O10">
        <v>1</v>
      </c>
      <c r="S10" s="36"/>
      <c r="T10" s="36"/>
      <c r="V10"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2544</v>
      </c>
      <c r="X10" t="s">
        <v>2545</v>
      </c>
      <c r="Y10" s="36" t="s">
        <v>2546</v>
      </c>
      <c r="Z10" s="36"/>
      <c r="AA10" s="36"/>
    </row>
    <row r="11" spans="1:65" x14ac:dyDescent="0.15">
      <c r="C11" s="36" t="s">
        <v>1431</v>
      </c>
      <c r="D11" t="s">
        <v>2177</v>
      </c>
      <c r="E11" t="s">
        <v>1662</v>
      </c>
      <c r="G11"/>
      <c r="I11"/>
      <c r="M11" t="s">
        <v>1432</v>
      </c>
      <c r="O11">
        <v>1</v>
      </c>
      <c r="S11" s="36"/>
      <c r="T11" s="36"/>
      <c r="V11"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2544</v>
      </c>
      <c r="X11" t="s">
        <v>2545</v>
      </c>
      <c r="Y11" s="36" t="s">
        <v>2686</v>
      </c>
      <c r="Z11" s="36"/>
      <c r="AA11" s="36"/>
    </row>
    <row r="12" spans="1:65" x14ac:dyDescent="0.15">
      <c r="C12" s="36" t="s">
        <v>1431</v>
      </c>
      <c r="D12" t="s">
        <v>2178</v>
      </c>
      <c r="E12" t="s">
        <v>2180</v>
      </c>
      <c r="G12"/>
      <c r="I12"/>
      <c r="M12" t="s">
        <v>1432</v>
      </c>
      <c r="O12">
        <v>1</v>
      </c>
      <c r="S12" s="36"/>
      <c r="T12" s="36"/>
      <c r="V12"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2547</v>
      </c>
      <c r="X12" t="s">
        <v>2548</v>
      </c>
      <c r="Y12" s="36" t="s">
        <v>2687</v>
      </c>
      <c r="Z12" s="36"/>
      <c r="AA12" s="36"/>
    </row>
    <row r="13" spans="1:65" s="36" customFormat="1" x14ac:dyDescent="0.15">
      <c r="C13" s="36" t="s">
        <v>1431</v>
      </c>
      <c r="D13" s="36" t="s">
        <v>2179</v>
      </c>
      <c r="E13" s="36" t="s">
        <v>2181</v>
      </c>
      <c r="M13" s="36" t="s">
        <v>1432</v>
      </c>
      <c r="O13" s="36">
        <v>1</v>
      </c>
      <c r="V13"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s="36" t="s">
        <v>2547</v>
      </c>
      <c r="X13" s="36" t="s">
        <v>2548</v>
      </c>
      <c r="Y13" s="36" t="s">
        <v>2688</v>
      </c>
    </row>
    <row r="14" spans="1:65" x14ac:dyDescent="0.15">
      <c r="C14" t="s">
        <v>1431</v>
      </c>
      <c r="D14" t="s">
        <v>1433</v>
      </c>
      <c r="E14" t="s">
        <v>1434</v>
      </c>
      <c r="M14" t="s">
        <v>1432</v>
      </c>
      <c r="O14">
        <v>1</v>
      </c>
      <c r="Q14">
        <v>1</v>
      </c>
      <c r="S14">
        <v>1</v>
      </c>
      <c r="T14" s="36"/>
      <c r="V14"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2403</v>
      </c>
      <c r="X14" t="s">
        <v>2404</v>
      </c>
      <c r="Y14" t="s">
        <v>1508</v>
      </c>
      <c r="Z14" t="s">
        <v>2689</v>
      </c>
      <c r="AA14" t="s">
        <v>2690</v>
      </c>
      <c r="AB14" s="36"/>
      <c r="AZ14" s="36"/>
      <c r="BA14" s="36"/>
      <c r="BB14" s="36"/>
      <c r="BC14" s="36"/>
      <c r="BD14" s="36"/>
      <c r="BE14" s="36"/>
      <c r="BF14" s="36"/>
      <c r="BG14" s="36"/>
      <c r="BH14" s="36"/>
      <c r="BI14" s="36"/>
      <c r="BJ14" s="36"/>
      <c r="BK14" s="36"/>
      <c r="BL14" s="36"/>
      <c r="BM14" s="36"/>
    </row>
    <row r="15" spans="1:65" s="36" customFormat="1" x14ac:dyDescent="0.15">
      <c r="C15" s="36" t="s">
        <v>1431</v>
      </c>
      <c r="D15" s="36" t="s">
        <v>2507</v>
      </c>
      <c r="E15" s="36" t="s">
        <v>2508</v>
      </c>
      <c r="M15" s="36" t="s">
        <v>1432</v>
      </c>
      <c r="V15"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s="36" t="s">
        <v>2509</v>
      </c>
      <c r="X15" s="36" t="s">
        <v>2510</v>
      </c>
      <c r="Y15" s="36" t="s">
        <v>2621</v>
      </c>
    </row>
    <row r="16" spans="1:65" x14ac:dyDescent="0.15">
      <c r="C16" t="s">
        <v>1431</v>
      </c>
      <c r="D16" t="s">
        <v>1435</v>
      </c>
      <c r="E16" t="s">
        <v>1436</v>
      </c>
      <c r="M16" t="s">
        <v>1432</v>
      </c>
      <c r="N16">
        <v>1</v>
      </c>
      <c r="S16">
        <v>1</v>
      </c>
      <c r="T16" s="36"/>
      <c r="V16"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2625</v>
      </c>
      <c r="X16" t="s">
        <v>2626</v>
      </c>
    </row>
    <row r="17" spans="3:28" s="39" customFormat="1" x14ac:dyDescent="0.15">
      <c r="C17" s="38" t="str">
        <f>L17</f>
        <v>谢渊</v>
      </c>
      <c r="D17" s="38" t="s">
        <v>1435</v>
      </c>
      <c r="E17" s="39" t="str">
        <f>K17&amp;"·"&amp;L17&amp;"·败退"</f>
        <v>浩气·谢渊·败退</v>
      </c>
      <c r="F17" s="39" t="s">
        <v>1446</v>
      </c>
      <c r="G17" s="39" t="s">
        <v>1444</v>
      </c>
      <c r="I17" s="39" t="s">
        <v>1607</v>
      </c>
      <c r="J17" s="39" t="s">
        <v>1444</v>
      </c>
      <c r="K17" s="39" t="s">
        <v>1609</v>
      </c>
      <c r="L17" s="39" t="s">
        <v>1446</v>
      </c>
      <c r="M17" s="39" t="s">
        <v>1454</v>
      </c>
      <c r="N17" s="39">
        <v>1</v>
      </c>
      <c r="S17" s="39">
        <v>1</v>
      </c>
      <c r="T17" s="36"/>
      <c r="V17"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39" t="str">
        <f>"{nClass=14,nIcon=13,szName="""&amp;F17&amp;"·"&amp;L17&amp;"·减伤"""&amp;",nTime=-2,key="""&amp;F17&amp;"·"&amp;L17&amp;"·减伤"""&amp;",},"</f>
        <v>{nClass=14,nIcon=13,szName="谢渊·谢渊·减伤",nTime=-2,key="谢渊·谢渊·减伤",},</v>
      </c>
      <c r="X17" s="39" t="str">
        <f>"{nClass=14,nIcon=13,szName="""&amp;""&amp;G17&amp;"·"&amp;""&amp;J17&amp;"·减伤"""&amp;",nTime=-2,key="""&amp;""&amp;G17&amp;"·"&amp;""&amp;J17&amp;"·减伤"""&amp;",},"</f>
        <v>{nClass=14,nIcon=13,szName="王遗风·王遗风·减伤",nTime=-2,key="王遗风·王遗风·减伤",},</v>
      </c>
      <c r="Y17" s="39" t="str">
        <f>"{nClass=14,nIcon=18829,nFrame=7,szName="""&amp;""&amp;K17&amp;"·"&amp;L17&amp;"·退场·易伤30%"",nTime=10,nRefresh=5,key="""&amp;""&amp;F17&amp;"·"&amp;L17&amp;"·减伤"""&amp;",},"</f>
        <v>{nClass=14,nIcon=18829,nFrame=7,szName="浩气·谢渊·退场·易伤30%",nTime=10,nRefresh=5,key="谢渊·谢渊·减伤",},</v>
      </c>
      <c r="Z17" s="39"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pans="3:28" s="39" customFormat="1" x14ac:dyDescent="0.15">
      <c r="C18" s="38" t="str">
        <f>L18</f>
        <v>王遗风</v>
      </c>
      <c r="D18" s="38" t="s">
        <v>1435</v>
      </c>
      <c r="E18" s="39" t="str">
        <f>K18&amp;"·"&amp;L18&amp;"·败退"</f>
        <v>恶人·王遗风·败退</v>
      </c>
      <c r="F18" s="39" t="s">
        <v>1444</v>
      </c>
      <c r="G18" s="39" t="s">
        <v>1446</v>
      </c>
      <c r="I18" s="39" t="s">
        <v>1609</v>
      </c>
      <c r="J18" s="39" t="s">
        <v>1446</v>
      </c>
      <c r="K18" s="39" t="s">
        <v>1607</v>
      </c>
      <c r="L18" s="39" t="s">
        <v>1444</v>
      </c>
      <c r="M18" s="39" t="s">
        <v>1486</v>
      </c>
      <c r="N18" s="39">
        <v>1</v>
      </c>
      <c r="S18" s="39">
        <v>1</v>
      </c>
      <c r="T18" s="36"/>
      <c r="V18"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39" t="str">
        <f t="shared" ref="W18:W29" si="1">"{nClass=14,nIcon=13,szName="""&amp;F18&amp;"·"&amp;L18&amp;"·减伤"""&amp;",nTime=-2,key="""&amp;F18&amp;"·"&amp;L18&amp;"·减伤"""&amp;",},"</f>
        <v>{nClass=14,nIcon=13,szName="王遗风·王遗风·减伤",nTime=-2,key="王遗风·王遗风·减伤",},</v>
      </c>
      <c r="X18" s="39" t="str">
        <f t="shared" ref="X18:X29" si="2">"{nClass=14,nIcon=13,szName="""&amp;""&amp;G18&amp;"·"&amp;""&amp;J18&amp;"·减伤"""&amp;",nTime=-2,key="""&amp;""&amp;G18&amp;"·"&amp;""&amp;J18&amp;"·减伤"""&amp;",},"</f>
        <v>{nClass=14,nIcon=13,szName="谢渊·谢渊·减伤",nTime=-2,key="谢渊·谢渊·减伤",},</v>
      </c>
      <c r="Y18" s="39" t="str">
        <f>"{nClass=14,nIcon=18830,nFrame=3,szName="""&amp;""&amp;K18&amp;"·"&amp;L18&amp;"·退场·易伤30%"",nTime=10,nRefresh=5,key="""&amp;""&amp;F18&amp;"·"&amp;L18&amp;"·减伤"""&amp;",},"</f>
        <v>{nClass=14,nIcon=18830,nFrame=3,szName="恶人·王遗风·退场·易伤30%",nTime=10,nRefresh=5,key="王遗风·王遗风·减伤",},</v>
      </c>
      <c r="Z18" s="39"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pans="3:28" s="39" customFormat="1" x14ac:dyDescent="0.15">
      <c r="C19" s="38" t="str">
        <f>L19</f>
        <v>小七</v>
      </c>
      <c r="D19" s="38" t="s">
        <v>1435</v>
      </c>
      <c r="E19" s="39" t="str">
        <f t="shared" ref="E19:E29" si="3">K19&amp;"·"&amp;L19&amp;"·败退"</f>
        <v>浩气·小七·败退</v>
      </c>
      <c r="F19" s="39" t="s">
        <v>1446</v>
      </c>
      <c r="G19" s="39" t="s">
        <v>1444</v>
      </c>
      <c r="I19" s="39" t="s">
        <v>1607</v>
      </c>
      <c r="J19" s="39" t="s">
        <v>1610</v>
      </c>
      <c r="K19" s="39" t="s">
        <v>1609</v>
      </c>
      <c r="L19" s="39" t="s">
        <v>1718</v>
      </c>
      <c r="M19" s="39" t="s">
        <v>1454</v>
      </c>
      <c r="N19" s="39">
        <v>1</v>
      </c>
      <c r="S19" s="39">
        <v>1</v>
      </c>
      <c r="T19" s="36"/>
      <c r="V19"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39" t="str">
        <f t="shared" si="1"/>
        <v>{nClass=14,nIcon=13,szName="谢渊·小七·减伤",nTime=-2,key="谢渊·小七·减伤",},</v>
      </c>
      <c r="X19" s="39" t="str">
        <f t="shared" si="2"/>
        <v>{nClass=14,nIcon=13,szName="王遗风·伊夜·减伤",nTime=-2,key="王遗风·伊夜·减伤",},</v>
      </c>
      <c r="Y19" s="39" t="str">
        <f t="shared" ref="Y19:Y24" si="4">"{nClass=14,nIcon=18829,nFrame=7,szName="""&amp;""&amp;K19&amp;"·"&amp;L19&amp;"·退场·易伤30%"",nTime=10,nRefresh=5,key="""&amp;""&amp;F19&amp;"·"&amp;L19&amp;"·减伤"""&amp;",},"</f>
        <v>{nClass=14,nIcon=18829,nFrame=7,szName="浩气·小七·退场·易伤30%",nTime=10,nRefresh=5,key="谢渊·小七·减伤",},</v>
      </c>
      <c r="Z19" s="39"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pans="3:28" s="39" customFormat="1" x14ac:dyDescent="0.15">
      <c r="C20" s="38" t="str">
        <f t="shared" ref="C20:C30" si="6">L20</f>
        <v>赵紫儿</v>
      </c>
      <c r="D20" s="38" t="s">
        <v>1435</v>
      </c>
      <c r="E20" s="39" t="str">
        <f t="shared" si="3"/>
        <v>浩气·赵紫儿·败退</v>
      </c>
      <c r="F20" s="39" t="s">
        <v>1446</v>
      </c>
      <c r="G20" s="39" t="s">
        <v>1444</v>
      </c>
      <c r="I20" s="39" t="s">
        <v>1607</v>
      </c>
      <c r="J20" s="39" t="s">
        <v>1464</v>
      </c>
      <c r="K20" s="39" t="s">
        <v>1609</v>
      </c>
      <c r="L20" s="39" t="s">
        <v>1456</v>
      </c>
      <c r="M20" s="39" t="s">
        <v>1454</v>
      </c>
      <c r="N20" s="39">
        <v>1</v>
      </c>
      <c r="S20" s="39">
        <v>1</v>
      </c>
      <c r="T20" s="36"/>
      <c r="V20"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39" t="str">
        <f t="shared" si="1"/>
        <v>{nClass=14,nIcon=13,szName="谢渊·赵紫儿·减伤",nTime=-2,key="谢渊·赵紫儿·减伤",},</v>
      </c>
      <c r="X20" s="39" t="str">
        <f t="shared" si="2"/>
        <v>{nClass=14,nIcon=13,szName="王遗风·丁丁·减伤",nTime=-2,key="王遗风·丁丁·减伤",},</v>
      </c>
      <c r="Y20" s="39" t="str">
        <f t="shared" si="4"/>
        <v>{nClass=14,nIcon=18829,nFrame=7,szName="浩气·赵紫儿·退场·易伤30%",nTime=10,nRefresh=5,key="谢渊·赵紫儿·减伤",},</v>
      </c>
      <c r="Z20" s="39" t="str">
        <f t="shared" si="5"/>
        <v>{nClass=14,nIcon=2992,nFrame=3,szName="王遗风·丁丁·减伤",nTime="300,恶人·丁丁·减伤3层;600,恶人·丁丁·减伤2层;900,恶人·丁丁·减伤1层;910,恶人·丁丁·减伤消失",nRefresh=5,key="王遗风·丁丁·减伤",},</v>
      </c>
    </row>
    <row r="21" spans="3:28" s="39" customFormat="1" x14ac:dyDescent="0.15">
      <c r="C21" s="38" t="str">
        <f t="shared" si="6"/>
        <v>影</v>
      </c>
      <c r="D21" s="38" t="s">
        <v>1435</v>
      </c>
      <c r="E21" s="39" t="str">
        <f t="shared" si="3"/>
        <v>浩气·影·败退</v>
      </c>
      <c r="F21" s="39" t="s">
        <v>1446</v>
      </c>
      <c r="G21" s="39" t="s">
        <v>1444</v>
      </c>
      <c r="I21" s="39" t="s">
        <v>1607</v>
      </c>
      <c r="J21" s="39" t="s">
        <v>1462</v>
      </c>
      <c r="K21" s="39" t="s">
        <v>1609</v>
      </c>
      <c r="L21" s="39" t="s">
        <v>1459</v>
      </c>
      <c r="M21" s="39" t="s">
        <v>1454</v>
      </c>
      <c r="N21" s="39">
        <v>1</v>
      </c>
      <c r="S21" s="39">
        <v>1</v>
      </c>
      <c r="T21" s="36"/>
      <c r="V21"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39" t="str">
        <f t="shared" si="1"/>
        <v>{nClass=14,nIcon=13,szName="谢渊·影·减伤",nTime=-2,key="谢渊·影·减伤",},</v>
      </c>
      <c r="X21" s="39" t="str">
        <f t="shared" si="2"/>
        <v>{nClass=14,nIcon=13,szName="王遗风·独孤修·减伤",nTime=-2,key="王遗风·独孤修·减伤",},</v>
      </c>
      <c r="Y21" s="39" t="str">
        <f t="shared" si="4"/>
        <v>{nClass=14,nIcon=18829,nFrame=7,szName="浩气·影·退场·易伤30%",nTime=10,nRefresh=5,key="谢渊·影·减伤",},</v>
      </c>
      <c r="Z21" s="39" t="str">
        <f t="shared" si="5"/>
        <v>{nClass=14,nIcon=2992,nFrame=3,szName="王遗风·独孤修·减伤",nTime="300,恶人·独孤修·减伤3层;600,恶人·独孤修·减伤2层;900,恶人·独孤修·减伤1层;910,恶人·独孤修·减伤消失",nRefresh=5,key="王遗风·独孤修·减伤",},</v>
      </c>
    </row>
    <row r="22" spans="3:28" s="39" customFormat="1" x14ac:dyDescent="0.15">
      <c r="C22" s="38" t="str">
        <f t="shared" si="6"/>
        <v>叶镜池</v>
      </c>
      <c r="D22" s="38" t="s">
        <v>1435</v>
      </c>
      <c r="E22" s="39" t="str">
        <f t="shared" si="3"/>
        <v>浩气·叶镜池·败退</v>
      </c>
      <c r="F22" s="39" t="s">
        <v>1446</v>
      </c>
      <c r="G22" s="39" t="s">
        <v>1444</v>
      </c>
      <c r="I22" s="39" t="s">
        <v>1607</v>
      </c>
      <c r="J22" s="39" t="s">
        <v>1461</v>
      </c>
      <c r="K22" s="39" t="s">
        <v>1609</v>
      </c>
      <c r="L22" s="39" t="s">
        <v>1457</v>
      </c>
      <c r="M22" s="39" t="s">
        <v>1454</v>
      </c>
      <c r="N22" s="39">
        <v>1</v>
      </c>
      <c r="S22" s="39">
        <v>1</v>
      </c>
      <c r="T22" s="36"/>
      <c r="V22"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39" t="str">
        <f t="shared" si="1"/>
        <v>{nClass=14,nIcon=13,szName="谢渊·叶镜池·减伤",nTime=-2,key="谢渊·叶镜池·减伤",},</v>
      </c>
      <c r="X22" s="39" t="str">
        <f t="shared" si="2"/>
        <v>{nClass=14,nIcon=13,szName="王遗风·岳琅·减伤",nTime=-2,key="王遗风·岳琅·减伤",},</v>
      </c>
      <c r="Y22" s="39" t="str">
        <f t="shared" si="4"/>
        <v>{nClass=14,nIcon=18829,nFrame=7,szName="浩气·叶镜池·退场·易伤30%",nTime=10,nRefresh=5,key="谢渊·叶镜池·减伤",},</v>
      </c>
      <c r="Z22" s="39" t="str">
        <f t="shared" si="5"/>
        <v>{nClass=14,nIcon=2992,nFrame=3,szName="王遗风·岳琅·减伤",nTime="300,恶人·岳琅·减伤3层;600,恶人·岳琅·减伤2层;900,恶人·岳琅·减伤1层;910,恶人·岳琅·减伤消失",nRefresh=5,key="王遗风·岳琅·减伤",},</v>
      </c>
    </row>
    <row r="23" spans="3:28" s="39" customFormat="1" x14ac:dyDescent="0.15">
      <c r="C23" s="38" t="str">
        <f t="shared" si="6"/>
        <v>谢铃儿</v>
      </c>
      <c r="D23" s="38" t="s">
        <v>1435</v>
      </c>
      <c r="E23" s="39" t="str">
        <f t="shared" si="3"/>
        <v>浩气·谢铃儿·败退</v>
      </c>
      <c r="F23" s="39" t="s">
        <v>1446</v>
      </c>
      <c r="G23" s="39" t="s">
        <v>1444</v>
      </c>
      <c r="I23" s="39" t="s">
        <v>1607</v>
      </c>
      <c r="J23" s="39" t="s">
        <v>1460</v>
      </c>
      <c r="K23" s="39" t="s">
        <v>1609</v>
      </c>
      <c r="L23" s="39" t="s">
        <v>2601</v>
      </c>
      <c r="M23" s="39" t="s">
        <v>1454</v>
      </c>
      <c r="N23" s="39">
        <v>1</v>
      </c>
      <c r="S23" s="39">
        <v>1</v>
      </c>
      <c r="T23" s="36"/>
      <c r="V23"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39" t="str">
        <f t="shared" si="1"/>
        <v>{nClass=14,nIcon=13,szName="谢渊·谢铃儿·减伤",nTime=-2,key="谢渊·谢铃儿·减伤",},</v>
      </c>
      <c r="X23" s="39" t="str">
        <f t="shared" si="2"/>
        <v>{nClass=14,nIcon=13,szName="王遗风·烟·减伤",nTime=-2,key="王遗风·烟·减伤",},</v>
      </c>
      <c r="Y23" s="39" t="str">
        <f t="shared" si="4"/>
        <v>{nClass=14,nIcon=18829,nFrame=7,szName="浩气·谢铃儿·退场·易伤30%",nTime=10,nRefresh=5,key="谢渊·谢铃儿·减伤",},</v>
      </c>
      <c r="Z23" s="39" t="str">
        <f t="shared" si="5"/>
        <v>{nClass=14,nIcon=2992,nFrame=3,szName="王遗风·烟·减伤",nTime="300,恶人·烟·减伤3层;600,恶人·烟·减伤2层;900,恶人·烟·减伤1层;910,恶人·烟·减伤消失",nRefresh=5,key="王遗风·烟·减伤",},</v>
      </c>
    </row>
    <row r="24" spans="3:28" s="39" customFormat="1" x14ac:dyDescent="0.15">
      <c r="C24" s="38" t="str">
        <f t="shared" si="6"/>
        <v>郭珠</v>
      </c>
      <c r="D24" s="38" t="s">
        <v>1435</v>
      </c>
      <c r="E24" s="39" t="str">
        <f t="shared" si="3"/>
        <v>浩气·郭珠·败退</v>
      </c>
      <c r="F24" s="39" t="s">
        <v>1446</v>
      </c>
      <c r="G24" s="39" t="s">
        <v>1444</v>
      </c>
      <c r="I24" s="39" t="s">
        <v>1607</v>
      </c>
      <c r="J24" s="39" t="s">
        <v>1729</v>
      </c>
      <c r="K24" s="39" t="s">
        <v>1609</v>
      </c>
      <c r="L24" s="39" t="s">
        <v>1458</v>
      </c>
      <c r="M24" s="39" t="s">
        <v>1454</v>
      </c>
      <c r="N24" s="39">
        <v>1</v>
      </c>
      <c r="S24" s="39">
        <v>1</v>
      </c>
      <c r="T24" s="36"/>
      <c r="V24"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39" t="str">
        <f t="shared" si="1"/>
        <v>{nClass=14,nIcon=13,szName="谢渊·郭珠·减伤",nTime=-2,key="谢渊·郭珠·减伤",},</v>
      </c>
      <c r="X24" s="39" t="str">
        <f t="shared" si="2"/>
        <v>{nClass=14,nIcon=13,szName="王遗风·白某·减伤",nTime=-2,key="王遗风·白某·减伤",},</v>
      </c>
      <c r="Y24" s="39" t="str">
        <f t="shared" si="4"/>
        <v>{nClass=14,nIcon=18829,nFrame=7,szName="浩气·郭珠·退场·易伤30%",nTime=10,nRefresh=5,key="谢渊·郭珠·减伤",},</v>
      </c>
      <c r="Z24" s="39" t="str">
        <f t="shared" si="5"/>
        <v>{nClass=14,nIcon=2992,nFrame=3,szName="王遗风·白某·减伤",nTime="300,恶人·白某·减伤3层;600,恶人·白某·减伤2层;900,恶人·白某·减伤1层;910,恶人·白某·减伤消失",nRefresh=5,key="王遗风·白某·减伤",},</v>
      </c>
    </row>
    <row r="25" spans="3:28" s="39" customFormat="1" x14ac:dyDescent="0.15">
      <c r="C25" s="38" t="str">
        <f t="shared" si="6"/>
        <v>伊夜</v>
      </c>
      <c r="D25" s="38" t="s">
        <v>1435</v>
      </c>
      <c r="E25" s="39" t="str">
        <f t="shared" si="3"/>
        <v>恶人·伊夜·败退</v>
      </c>
      <c r="F25" s="39" t="s">
        <v>1444</v>
      </c>
      <c r="G25" s="39" t="s">
        <v>1446</v>
      </c>
      <c r="I25" s="39" t="s">
        <v>1609</v>
      </c>
      <c r="J25" s="39" t="s">
        <v>1718</v>
      </c>
      <c r="K25" s="39" t="s">
        <v>1607</v>
      </c>
      <c r="L25" s="39" t="s">
        <v>1463</v>
      </c>
      <c r="M25" s="39" t="s">
        <v>1486</v>
      </c>
      <c r="N25" s="39">
        <v>1</v>
      </c>
      <c r="S25" s="39">
        <v>1</v>
      </c>
      <c r="T25" s="36"/>
      <c r="V25"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39" t="str">
        <f t="shared" si="1"/>
        <v>{nClass=14,nIcon=13,szName="王遗风·伊夜·减伤",nTime=-2,key="王遗风·伊夜·减伤",},</v>
      </c>
      <c r="X25" s="39" t="str">
        <f t="shared" si="2"/>
        <v>{nClass=14,nIcon=13,szName="谢渊·小七·减伤",nTime=-2,key="谢渊·小七·减伤",},</v>
      </c>
      <c r="Y25" s="39" t="str">
        <f t="shared" ref="Y25:Y30" si="7">"{nClass=14,nIcon=18830,nFrame=3,szName="""&amp;""&amp;K25&amp;"·"&amp;L25&amp;"·退场·易伤30%"",nTime=10,nRefresh=5,key="""&amp;""&amp;F25&amp;"·"&amp;L25&amp;"·减伤"""&amp;",},"</f>
        <v>{nClass=14,nIcon=18830,nFrame=3,szName="恶人·伊夜·退场·易伤30%",nTime=10,nRefresh=5,key="王遗风·伊夜·减伤",},</v>
      </c>
      <c r="Z25" s="39"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pans="3:28" s="39" customFormat="1" x14ac:dyDescent="0.15">
      <c r="C26" s="38" t="str">
        <f t="shared" si="6"/>
        <v>丁丁</v>
      </c>
      <c r="D26" s="38" t="s">
        <v>1435</v>
      </c>
      <c r="E26" s="39" t="str">
        <f t="shared" si="3"/>
        <v>恶人·丁丁·败退</v>
      </c>
      <c r="F26" s="39" t="s">
        <v>1444</v>
      </c>
      <c r="G26" s="39" t="s">
        <v>1446</v>
      </c>
      <c r="I26" s="39" t="s">
        <v>1609</v>
      </c>
      <c r="J26" s="39" t="s">
        <v>1456</v>
      </c>
      <c r="K26" s="39" t="s">
        <v>1607</v>
      </c>
      <c r="L26" s="39" t="s">
        <v>1464</v>
      </c>
      <c r="M26" s="39" t="s">
        <v>1486</v>
      </c>
      <c r="N26" s="39">
        <v>1</v>
      </c>
      <c r="S26" s="39">
        <v>1</v>
      </c>
      <c r="T26" s="36"/>
      <c r="V26"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39" t="str">
        <f t="shared" si="1"/>
        <v>{nClass=14,nIcon=13,szName="王遗风·丁丁·减伤",nTime=-2,key="王遗风·丁丁·减伤",},</v>
      </c>
      <c r="X26" s="39" t="str">
        <f t="shared" si="2"/>
        <v>{nClass=14,nIcon=13,szName="谢渊·赵紫儿·减伤",nTime=-2,key="谢渊·赵紫儿·减伤",},</v>
      </c>
      <c r="Y26" s="39" t="str">
        <f t="shared" si="7"/>
        <v>{nClass=14,nIcon=18830,nFrame=3,szName="恶人·丁丁·退场·易伤30%",nTime=10,nRefresh=5,key="王遗风·丁丁·减伤",},</v>
      </c>
      <c r="Z26" s="39" t="str">
        <f t="shared" si="8"/>
        <v>{nClass=14,nIcon=2939,nFrame=7,szName="谢渊·赵紫儿·减伤",nTime="300,浩气·赵紫儿·减伤3层;600,浩气·赵紫儿·减伤2层;900,浩气·赵紫儿·减伤1层;910,浩气·赵紫儿·减伤消失",nRefresh=5,key="谢渊·赵紫儿·减伤",},</v>
      </c>
    </row>
    <row r="27" spans="3:28" s="39" customFormat="1" x14ac:dyDescent="0.15">
      <c r="C27" s="38" t="str">
        <f t="shared" si="6"/>
        <v>独孤修</v>
      </c>
      <c r="D27" s="38" t="s">
        <v>1435</v>
      </c>
      <c r="E27" s="39" t="str">
        <f t="shared" si="3"/>
        <v>恶人·独孤修·败退</v>
      </c>
      <c r="F27" s="39" t="s">
        <v>1444</v>
      </c>
      <c r="G27" s="39" t="s">
        <v>1446</v>
      </c>
      <c r="I27" s="39" t="s">
        <v>1609</v>
      </c>
      <c r="J27" s="39" t="s">
        <v>1498</v>
      </c>
      <c r="K27" s="39" t="s">
        <v>1607</v>
      </c>
      <c r="L27" s="39" t="s">
        <v>1500</v>
      </c>
      <c r="M27" s="39" t="s">
        <v>1486</v>
      </c>
      <c r="N27" s="39">
        <v>1</v>
      </c>
      <c r="S27" s="39">
        <v>1</v>
      </c>
      <c r="T27" s="36"/>
      <c r="V27"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39" t="str">
        <f t="shared" si="1"/>
        <v>{nClass=14,nIcon=13,szName="王遗风·独孤修·减伤",nTime=-2,key="王遗风·独孤修·减伤",},</v>
      </c>
      <c r="X27" s="39" t="str">
        <f t="shared" si="2"/>
        <v>{nClass=14,nIcon=13,szName="谢渊·影·减伤",nTime=-2,key="谢渊·影·减伤",},</v>
      </c>
      <c r="Y27" s="39" t="str">
        <f t="shared" si="7"/>
        <v>{nClass=14,nIcon=18830,nFrame=3,szName="恶人·独孤修·退场·易伤30%",nTime=10,nRefresh=5,key="王遗风·独孤修·减伤",},</v>
      </c>
      <c r="Z27" s="39" t="str">
        <f t="shared" si="8"/>
        <v>{nClass=14,nIcon=2939,nFrame=7,szName="谢渊·影·减伤",nTime="300,浩气·影·减伤3层;600,浩气·影·减伤2层;900,浩气·影·减伤1层;910,浩气·影·减伤消失",nRefresh=5,key="谢渊·影·减伤",},</v>
      </c>
    </row>
    <row r="28" spans="3:28" s="39" customFormat="1" x14ac:dyDescent="0.15">
      <c r="C28" s="38" t="str">
        <f t="shared" si="6"/>
        <v>岳琅</v>
      </c>
      <c r="D28" s="38" t="s">
        <v>1435</v>
      </c>
      <c r="E28" s="39" t="str">
        <f t="shared" si="3"/>
        <v>恶人·岳琅·败退</v>
      </c>
      <c r="F28" s="39" t="s">
        <v>1444</v>
      </c>
      <c r="G28" s="39" t="s">
        <v>1446</v>
      </c>
      <c r="I28" s="39" t="s">
        <v>1609</v>
      </c>
      <c r="J28" s="39" t="s">
        <v>1497</v>
      </c>
      <c r="K28" s="39" t="s">
        <v>1607</v>
      </c>
      <c r="L28" s="39" t="s">
        <v>1502</v>
      </c>
      <c r="M28" s="39" t="s">
        <v>1486</v>
      </c>
      <c r="N28" s="39">
        <v>1</v>
      </c>
      <c r="S28" s="39">
        <v>1</v>
      </c>
      <c r="T28" s="36"/>
      <c r="V28"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39" t="str">
        <f t="shared" si="1"/>
        <v>{nClass=14,nIcon=13,szName="王遗风·岳琅·减伤",nTime=-2,key="王遗风·岳琅·减伤",},</v>
      </c>
      <c r="X28" s="39" t="str">
        <f t="shared" si="2"/>
        <v>{nClass=14,nIcon=13,szName="谢渊·叶镜池·减伤",nTime=-2,key="谢渊·叶镜池·减伤",},</v>
      </c>
      <c r="Y28" s="39" t="str">
        <f t="shared" si="7"/>
        <v>{nClass=14,nIcon=18830,nFrame=3,szName="恶人·岳琅·退场·易伤30%",nTime=10,nRefresh=5,key="王遗风·岳琅·减伤",},</v>
      </c>
      <c r="Z28" s="39" t="str">
        <f t="shared" si="8"/>
        <v>{nClass=14,nIcon=2939,nFrame=7,szName="谢渊·叶镜池·减伤",nTime="300,浩气·叶镜池·减伤3层;600,浩气·叶镜池·减伤2层;900,浩气·叶镜池·减伤1层;910,浩气·叶镜池·减伤消失",nRefresh=5,key="谢渊·叶镜池·减伤",},</v>
      </c>
    </row>
    <row r="29" spans="3:28" s="39" customFormat="1" x14ac:dyDescent="0.15">
      <c r="C29" s="38" t="str">
        <f t="shared" si="6"/>
        <v>烟</v>
      </c>
      <c r="D29" s="38" t="s">
        <v>1435</v>
      </c>
      <c r="E29" s="39" t="str">
        <f t="shared" si="3"/>
        <v>恶人·烟·败退</v>
      </c>
      <c r="F29" s="39" t="s">
        <v>1444</v>
      </c>
      <c r="G29" s="39" t="s">
        <v>1446</v>
      </c>
      <c r="I29" s="39" t="s">
        <v>1609</v>
      </c>
      <c r="J29" s="39" t="s">
        <v>2601</v>
      </c>
      <c r="K29" s="39" t="s">
        <v>1607</v>
      </c>
      <c r="L29" s="39" t="s">
        <v>1501</v>
      </c>
      <c r="M29" s="39" t="s">
        <v>1486</v>
      </c>
      <c r="N29" s="39">
        <v>1</v>
      </c>
      <c r="S29" s="39">
        <v>1</v>
      </c>
      <c r="T29" s="36"/>
      <c r="V29"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39" t="str">
        <f t="shared" si="1"/>
        <v>{nClass=14,nIcon=13,szName="王遗风·烟·减伤",nTime=-2,key="王遗风·烟·减伤",},</v>
      </c>
      <c r="X29" s="39" t="str">
        <f t="shared" si="2"/>
        <v>{nClass=14,nIcon=13,szName="谢渊·谢铃儿·减伤",nTime=-2,key="谢渊·谢铃儿·减伤",},</v>
      </c>
      <c r="Y29" s="39" t="str">
        <f t="shared" si="7"/>
        <v>{nClass=14,nIcon=18830,nFrame=3,szName="恶人·烟·退场·易伤30%",nTime=10,nRefresh=5,key="王遗风·烟·减伤",},</v>
      </c>
      <c r="Z29" s="39" t="str">
        <f t="shared" si="8"/>
        <v>{nClass=14,nIcon=2939,nFrame=7,szName="谢渊·谢铃儿·减伤",nTime="300,浩气·谢铃儿·减伤3层;600,浩气·谢铃儿·减伤2层;900,浩气·谢铃儿·减伤1层;910,浩气·谢铃儿·减伤消失",nRefresh=5,key="谢渊·谢铃儿·减伤",},</v>
      </c>
    </row>
    <row r="30" spans="3:28" s="39" customFormat="1" x14ac:dyDescent="0.15">
      <c r="C30" s="38" t="str">
        <f t="shared" si="6"/>
        <v>白某</v>
      </c>
      <c r="D30" s="38" t="s">
        <v>1435</v>
      </c>
      <c r="E30" s="39" t="str">
        <f t="shared" ref="E30" si="9">K30&amp;"·"&amp;L30&amp;"·败退"</f>
        <v>恶人·白某·败退</v>
      </c>
      <c r="F30" s="39" t="s">
        <v>1444</v>
      </c>
      <c r="G30" s="39" t="s">
        <v>1446</v>
      </c>
      <c r="I30" s="39" t="s">
        <v>1609</v>
      </c>
      <c r="J30" s="39" t="s">
        <v>1499</v>
      </c>
      <c r="K30" s="39" t="s">
        <v>1607</v>
      </c>
      <c r="L30" s="39" t="s">
        <v>1729</v>
      </c>
      <c r="M30" s="39" t="s">
        <v>1486</v>
      </c>
      <c r="N30" s="39">
        <v>1</v>
      </c>
      <c r="S30" s="39">
        <v>1</v>
      </c>
      <c r="T30" s="36"/>
      <c r="V30"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39" t="str">
        <f t="shared" ref="W30" si="10">"{nClass=14,nIcon=13,szName="""&amp;F30&amp;"·"&amp;L30&amp;"·减伤"""&amp;",nTime=-2,key="""&amp;F30&amp;"·"&amp;L30&amp;"·减伤"""&amp;",},"</f>
        <v>{nClass=14,nIcon=13,szName="王遗风·白某·减伤",nTime=-2,key="王遗风·白某·减伤",},</v>
      </c>
      <c r="X30" s="39" t="str">
        <f t="shared" ref="X30" si="11">"{nClass=14,nIcon=13,szName="""&amp;""&amp;G30&amp;"·"&amp;""&amp;J30&amp;"·减伤"""&amp;",nTime=-2,key="""&amp;""&amp;G30&amp;"·"&amp;""&amp;J30&amp;"·减伤"""&amp;",},"</f>
        <v>{nClass=14,nIcon=13,szName="谢渊·郭珠·减伤",nTime=-2,key="谢渊·郭珠·减伤",},</v>
      </c>
      <c r="Y30" s="39" t="str">
        <f t="shared" si="7"/>
        <v>{nClass=14,nIcon=18830,nFrame=3,szName="恶人·白某·退场·易伤30%",nTime=10,nRefresh=5,key="王遗风·白某·减伤",},</v>
      </c>
      <c r="Z30" s="39" t="str">
        <f t="shared" si="8"/>
        <v>{nClass=14,nIcon=2939,nFrame=7,szName="谢渊·郭珠·减伤",nTime="300,浩气·郭珠·减伤3层;600,浩气·郭珠·减伤2层;900,浩气·郭珠·减伤1层;910,浩气·郭珠·减伤消失",nRefresh=5,key="谢渊·郭珠·减伤",},</v>
      </c>
    </row>
    <row r="31" spans="3:28" s="36" customFormat="1" x14ac:dyDescent="0.15">
      <c r="C31" s="36" t="s">
        <v>1444</v>
      </c>
      <c r="D31" s="36" t="s">
        <v>1727</v>
      </c>
      <c r="E31" s="36" t="s">
        <v>1733</v>
      </c>
      <c r="F31" s="36" t="s">
        <v>1444</v>
      </c>
      <c r="G31" s="36" t="s">
        <v>1446</v>
      </c>
      <c r="I31" s="36" t="s">
        <v>1609</v>
      </c>
      <c r="J31" s="36" t="s">
        <v>1496</v>
      </c>
      <c r="K31" s="36" t="s">
        <v>1607</v>
      </c>
      <c r="L31" s="36" t="s">
        <v>1728</v>
      </c>
      <c r="M31" s="36" t="s">
        <v>1486</v>
      </c>
      <c r="Q31" s="36">
        <v>1</v>
      </c>
      <c r="S31" s="36">
        <v>1</v>
      </c>
      <c r="V31"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s="36" t="s">
        <v>2367</v>
      </c>
      <c r="X31" s="36" t="str">
        <f t="shared" ref="X31:X40" si="12">"{nClass=14,nIcon=13,szName="""&amp;F31&amp;"·"&amp;L31&amp;"·减伤"&amp;""",nTime=-2,key="""&amp;F31&amp;"·"&amp;L31&amp;"·减伤"&amp;""",},"</f>
        <v>{nClass=14,nIcon=13,szName="王遗风·米丽古丽·减伤",nTime=-2,key="王遗风·米丽古丽·减伤",},</v>
      </c>
      <c r="Y31" s="36" t="str">
        <f t="shared" ref="Y31:Y40" si="13">"{nClass=14,nIcon=13,szName="""&amp;G31&amp;"·"&amp;J31&amp;"·减伤"&amp;""",nTime=-2,key="""&amp;G31&amp;"·"&amp;J31&amp;"·减伤"&amp;""",},"</f>
        <v>{nClass=14,nIcon=13,szName="谢渊·穆玄英·减伤",nTime=-2,key="谢渊·穆玄英·减伤",},</v>
      </c>
      <c r="Z31" s="36" t="str">
        <f>"{nClass=14,nIcon=18830,nFrame=3,szName="""&amp;K31&amp;"·"&amp;L31&amp;"·退场·易伤30%"&amp;""",nTime=10,nRefresh=5,key="""&amp;F31&amp;"·"&amp;L31&amp;"·减伤"&amp;""",},"</f>
        <v>{nClass=14,nIcon=18830,nFrame=3,szName="恶人·米丽古丽·退场·易伤30%",nTime=10,nRefresh=5,key="王遗风·米丽古丽·减伤",},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39"/>
    </row>
    <row r="32" spans="3:28" s="36" customFormat="1" x14ac:dyDescent="0.15">
      <c r="C32" s="36" t="s">
        <v>1444</v>
      </c>
      <c r="D32" s="39" t="s">
        <v>2604</v>
      </c>
      <c r="E32" s="36" t="s">
        <v>2605</v>
      </c>
      <c r="F32" s="36" t="s">
        <v>1444</v>
      </c>
      <c r="G32" s="36" t="s">
        <v>1446</v>
      </c>
      <c r="I32" s="36" t="s">
        <v>1609</v>
      </c>
      <c r="J32" s="36" t="s">
        <v>1506</v>
      </c>
      <c r="K32" s="36" t="s">
        <v>1607</v>
      </c>
      <c r="L32" s="36" t="s">
        <v>2606</v>
      </c>
      <c r="M32" s="36" t="s">
        <v>1486</v>
      </c>
      <c r="Q32" s="36">
        <v>1</v>
      </c>
      <c r="S32" s="36">
        <v>1</v>
      </c>
      <c r="V32"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s="36" t="s">
        <v>2367</v>
      </c>
      <c r="X32" s="36" t="str">
        <f t="shared" ref="X32" si="14">"{nClass=14,nIcon=13,szName="""&amp;F32&amp;"·"&amp;L32&amp;"·减伤"&amp;""",nTime=-2,key="""&amp;F32&amp;"·"&amp;L32&amp;"·减伤"&amp;""",},"</f>
        <v>{nClass=14,nIcon=13,szName="王遗风·莫雨·减伤",nTime=-2,key="王遗风·莫雨·减伤",},</v>
      </c>
      <c r="Y32" s="36" t="str">
        <f t="shared" ref="Y32" si="15">"{nClass=14,nIcon=13,szName="""&amp;G32&amp;"·"&amp;J32&amp;"·减伤"&amp;""",nTime=-2,key="""&amp;G32&amp;"·"&amp;J32&amp;"·减伤"&amp;""",},"</f>
        <v>{nClass=14,nIcon=13,szName="谢渊·游驹·减伤",nTime=-2,key="谢渊·游驹·减伤",},</v>
      </c>
      <c r="Z32" s="36" t="str">
        <f>"{nClass=14,nIcon=18830,nFrame=3,szName="""&amp;K32&amp;"·"&amp;L32&amp;"·退场·易伤30%"&amp;""",nTime=10,nRefresh=5,key="""&amp;F32&amp;"·"&amp;L32&amp;"·减伤"&amp;""",},"</f>
        <v>{nClass=14,nIcon=18830,nFrame=3,szName="恶人·莫雨·退场·易伤30%",nTime=10,nRefresh=5,key="王遗风·莫雨·减伤",},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39"/>
    </row>
    <row r="33" spans="3:28" s="36" customFormat="1" x14ac:dyDescent="0.15">
      <c r="C33" s="36" t="s">
        <v>1444</v>
      </c>
      <c r="D33" s="36" t="s">
        <v>1726</v>
      </c>
      <c r="E33" s="36" t="s">
        <v>1734</v>
      </c>
      <c r="F33" s="36" t="s">
        <v>1444</v>
      </c>
      <c r="G33" s="36" t="s">
        <v>1446</v>
      </c>
      <c r="I33" s="36" t="s">
        <v>1609</v>
      </c>
      <c r="J33" s="36" t="s">
        <v>1732</v>
      </c>
      <c r="K33" s="36" t="s">
        <v>1607</v>
      </c>
      <c r="L33" s="36" t="s">
        <v>1730</v>
      </c>
      <c r="M33" s="36" t="s">
        <v>1486</v>
      </c>
      <c r="Q33" s="36">
        <v>1</v>
      </c>
      <c r="S33" s="36">
        <v>1</v>
      </c>
      <c r="V33"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s="36" t="s">
        <v>2367</v>
      </c>
      <c r="X33" s="36" t="str">
        <f t="shared" si="12"/>
        <v>{nClass=14,nIcon=13,szName="王遗风·陶寒亭·减伤",nTime=-2,key="王遗风·陶寒亭·减伤",},</v>
      </c>
      <c r="Y33" s="36" t="str">
        <f t="shared" si="13"/>
        <v>{nClass=14,nIcon=13,szName="谢渊·张桎辕·减伤",nTime=-2,key="谢渊·张桎辕·减伤",},</v>
      </c>
      <c r="Z33" s="36" t="str">
        <f>"{nClass=14,nIcon=18830,nFrame=3,szName="""&amp;K33&amp;"·"&amp;L33&amp;"·退场·易伤30%"&amp;""",nTime=10,nRefresh=5,key="""&amp;F33&amp;"·"&amp;L33&amp;"·减伤"&amp;""",},"</f>
        <v>{nClass=14,nIcon=18830,nFrame=3,szName="恶人·陶寒亭·退场·易伤30%",nTime=10,nRefresh=5,key="王遗风·陶寒亭·减伤",},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39"/>
    </row>
    <row r="34" spans="3:28" s="36" customFormat="1" x14ac:dyDescent="0.15">
      <c r="C34" s="36" t="s">
        <v>1444</v>
      </c>
      <c r="D34" s="39" t="s">
        <v>2609</v>
      </c>
      <c r="E34" s="36" t="s">
        <v>2608</v>
      </c>
      <c r="F34" s="36" t="s">
        <v>1444</v>
      </c>
      <c r="G34" s="36" t="s">
        <v>1446</v>
      </c>
      <c r="I34" s="36" t="s">
        <v>1609</v>
      </c>
      <c r="J34" s="36" t="s">
        <v>1505</v>
      </c>
      <c r="K34" s="36" t="s">
        <v>1607</v>
      </c>
      <c r="L34" s="36" t="s">
        <v>2607</v>
      </c>
      <c r="M34" s="36" t="s">
        <v>1486</v>
      </c>
      <c r="Q34" s="36">
        <v>1</v>
      </c>
      <c r="S34" s="36">
        <v>1</v>
      </c>
      <c r="V34"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s="36" t="s">
        <v>2367</v>
      </c>
      <c r="X34" s="36" t="str">
        <f t="shared" ref="X34" si="16">"{nClass=14,nIcon=13,szName="""&amp;F34&amp;"·"&amp;L34&amp;"·减伤"&amp;""",nTime=-2,key="""&amp;F34&amp;"·"&amp;L34&amp;"·减伤"&amp;""",},"</f>
        <v>{nClass=14,nIcon=13,szName="王遗风·万兽王·减伤",nTime=-2,key="王遗风·万兽王·减伤",},</v>
      </c>
      <c r="Y34" s="36" t="str">
        <f t="shared" ref="Y34" si="17">"{nClass=14,nIcon=13,szName="""&amp;G34&amp;"·"&amp;J34&amp;"·减伤"&amp;""",nTime=-2,key="""&amp;G34&amp;"·"&amp;J34&amp;"·减伤"&amp;""",},"</f>
        <v>{nClass=14,nIcon=13,szName="谢渊·月弄痕·减伤",nTime=-2,key="谢渊·月弄痕·减伤",},</v>
      </c>
      <c r="Z34" s="36" t="str">
        <f>"{nClass=14,nIcon=18830,nFrame=3,szName="""&amp;K34&amp;"·"&amp;L34&amp;"·退场·易伤30%"&amp;""",nTime=10,nRefresh=5,key="""&amp;F34&amp;"·"&amp;L34&amp;"·减伤"&amp;""",},"</f>
        <v>{nClass=14,nIcon=18830,nFrame=3,szName="恶人·万兽王·退场·易伤30%",nTime=10,nRefresh=5,key="王遗风·万兽王·减伤",},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39"/>
    </row>
    <row r="35" spans="3:28" s="36" customFormat="1" x14ac:dyDescent="0.15">
      <c r="C35" s="36" t="s">
        <v>1444</v>
      </c>
      <c r="D35" s="36" t="s">
        <v>1725</v>
      </c>
      <c r="E35" s="36" t="s">
        <v>1735</v>
      </c>
      <c r="F35" s="36" t="s">
        <v>1444</v>
      </c>
      <c r="G35" s="36" t="s">
        <v>1446</v>
      </c>
      <c r="I35" s="36" t="s">
        <v>1609</v>
      </c>
      <c r="J35" s="36" t="s">
        <v>1731</v>
      </c>
      <c r="K35" s="36" t="s">
        <v>1607</v>
      </c>
      <c r="L35" s="36" t="s">
        <v>1504</v>
      </c>
      <c r="M35" s="36" t="s">
        <v>1486</v>
      </c>
      <c r="Q35" s="36">
        <v>1</v>
      </c>
      <c r="S35" s="36">
        <v>1</v>
      </c>
      <c r="V35"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s="36" t="s">
        <v>2367</v>
      </c>
      <c r="X35" s="36" t="str">
        <f t="shared" si="12"/>
        <v>{nClass=14,nIcon=13,szName="王遗风·肖药儿·减伤",nTime=-2,key="王遗风·肖药儿·减伤",},</v>
      </c>
      <c r="Y35" s="36" t="str">
        <f t="shared" si="13"/>
        <v>{nClass=14,nIcon=13,szName="谢渊·司空仲平·减伤",nTime=-2,key="谢渊·司空仲平·减伤",},</v>
      </c>
      <c r="Z35" s="36" t="str">
        <f>"{nClass=14,nIcon=18830,nFrame=3,szName="""&amp;K35&amp;"·"&amp;L35&amp;"·退场·易伤30%"&amp;""",nTime=10,nRefresh=5,key="""&amp;F35&amp;"·"&amp;L35&amp;"·减伤"&amp;""",},"</f>
        <v>{nClass=14,nIcon=18830,nFrame=3,szName="恶人·肖药儿·退场·易伤30%",nTime=10,nRefresh=5,key="王遗风·肖药儿·减伤",},</v>
      </c>
      <c r="AA35" s="36"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39"/>
    </row>
    <row r="36" spans="3:28" s="36" customFormat="1" x14ac:dyDescent="0.15">
      <c r="C36" s="36" t="s">
        <v>1446</v>
      </c>
      <c r="D36" s="39" t="s">
        <v>2602</v>
      </c>
      <c r="E36" s="36" t="s">
        <v>2603</v>
      </c>
      <c r="F36" s="36" t="s">
        <v>1446</v>
      </c>
      <c r="G36" s="36" t="s">
        <v>1444</v>
      </c>
      <c r="I36" s="36" t="s">
        <v>1607</v>
      </c>
      <c r="J36" s="36" t="s">
        <v>1728</v>
      </c>
      <c r="K36" s="36" t="s">
        <v>1609</v>
      </c>
      <c r="L36" s="36" t="s">
        <v>1496</v>
      </c>
      <c r="M36" s="36" t="s">
        <v>1454</v>
      </c>
      <c r="Q36" s="36">
        <v>1</v>
      </c>
      <c r="S36" s="36">
        <v>1</v>
      </c>
      <c r="V36"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s="36" t="s">
        <v>2368</v>
      </c>
      <c r="X36" s="36" t="str">
        <f t="shared" ref="X36" si="18">"{nClass=14,nIcon=13,szName="""&amp;F36&amp;"·"&amp;L36&amp;"·减伤"&amp;""",nTime=-2,key="""&amp;F36&amp;"·"&amp;L36&amp;"·减伤"&amp;""",},"</f>
        <v>{nClass=14,nIcon=13,szName="谢渊·穆玄英·减伤",nTime=-2,key="谢渊·穆玄英·减伤",},</v>
      </c>
      <c r="Y36" s="36" t="str">
        <f t="shared" ref="Y36" si="19">"{nClass=14,nIcon=13,szName="""&amp;G36&amp;"·"&amp;J36&amp;"·减伤"&amp;""",nTime=-2,key="""&amp;G36&amp;"·"&amp;J36&amp;"·减伤"&amp;""",},"</f>
        <v>{nClass=14,nIcon=13,szName="王遗风·米丽古丽·减伤",nTime=-2,key="王遗风·米丽古丽·减伤",},</v>
      </c>
      <c r="Z36" s="36" t="str">
        <f>"{nClass=14,nIcon=18829,nFrame=7,szName="""&amp;K36&amp;"·"&amp;L36&amp;"·退场·易伤30%"&amp;""",nTime=10,nRefresh=5,key="""&amp;F36&amp;"·"&amp;L36&amp;"·减伤"&amp;""",},"</f>
        <v>{nClass=14,nIcon=18829,nFrame=7,szName="浩气·穆玄英·退场·易伤30%",nTime=10,nRefresh=5,key="谢渊·穆玄英·减伤",},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39"/>
    </row>
    <row r="37" spans="3:28" s="36" customFormat="1" x14ac:dyDescent="0.15">
      <c r="C37" s="36" t="s">
        <v>1446</v>
      </c>
      <c r="D37" s="36" t="s">
        <v>1724</v>
      </c>
      <c r="E37" s="36" t="s">
        <v>1736</v>
      </c>
      <c r="F37" s="36" t="s">
        <v>1446</v>
      </c>
      <c r="G37" s="36" t="s">
        <v>1444</v>
      </c>
      <c r="I37" s="36" t="s">
        <v>1607</v>
      </c>
      <c r="J37" s="36" t="s">
        <v>2606</v>
      </c>
      <c r="K37" s="36" t="s">
        <v>1609</v>
      </c>
      <c r="L37" s="36" t="s">
        <v>1506</v>
      </c>
      <c r="M37" s="36" t="s">
        <v>1454</v>
      </c>
      <c r="Q37" s="36">
        <v>1</v>
      </c>
      <c r="S37" s="36">
        <v>1</v>
      </c>
      <c r="V37"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s="36" t="s">
        <v>2368</v>
      </c>
      <c r="X37" s="36" t="str">
        <f t="shared" si="12"/>
        <v>{nClass=14,nIcon=13,szName="谢渊·游驹·减伤",nTime=-2,key="谢渊·游驹·减伤",},</v>
      </c>
      <c r="Y37" s="36" t="str">
        <f t="shared" si="13"/>
        <v>{nClass=14,nIcon=13,szName="王遗风·莫雨·减伤",nTime=-2,key="王遗风·莫雨·减伤",},</v>
      </c>
      <c r="Z37" s="36" t="str">
        <f>"{nClass=14,nIcon=18829,nFrame=7,szName="""&amp;K37&amp;"·"&amp;L37&amp;"·退场·易伤30%"&amp;""",nTime=10,nRefresh=5,key="""&amp;F37&amp;"·"&amp;L37&amp;"·减伤"&amp;""",},"</f>
        <v>{nClass=14,nIcon=18829,nFrame=7,szName="浩气·游驹·退场·易伤30%",nTime=10,nRefresh=5,key="谢渊·游驹·减伤",},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39"/>
    </row>
    <row r="38" spans="3:28" s="36" customFormat="1" x14ac:dyDescent="0.15">
      <c r="C38" s="36" t="s">
        <v>1446</v>
      </c>
      <c r="D38" s="36" t="s">
        <v>1723</v>
      </c>
      <c r="E38" s="36" t="s">
        <v>1737</v>
      </c>
      <c r="F38" s="36" t="s">
        <v>1446</v>
      </c>
      <c r="G38" s="36" t="s">
        <v>1444</v>
      </c>
      <c r="I38" s="36" t="s">
        <v>1607</v>
      </c>
      <c r="J38" s="36" t="s">
        <v>1730</v>
      </c>
      <c r="K38" s="36" t="s">
        <v>1609</v>
      </c>
      <c r="L38" s="36" t="s">
        <v>1732</v>
      </c>
      <c r="M38" s="36" t="s">
        <v>1454</v>
      </c>
      <c r="Q38" s="36">
        <v>1</v>
      </c>
      <c r="S38" s="36">
        <v>1</v>
      </c>
      <c r="V38"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s="36" t="s">
        <v>2368</v>
      </c>
      <c r="X38" s="36" t="str">
        <f t="shared" si="12"/>
        <v>{nClass=14,nIcon=13,szName="谢渊·张桎辕·减伤",nTime=-2,key="谢渊·张桎辕·减伤",},</v>
      </c>
      <c r="Y38" s="36" t="str">
        <f t="shared" si="13"/>
        <v>{nClass=14,nIcon=13,szName="王遗风·陶寒亭·减伤",nTime=-2,key="王遗风·陶寒亭·减伤",},</v>
      </c>
      <c r="Z38" s="36" t="str">
        <f>"{nClass=14,nIcon=18829,nFrame=7,szName="""&amp;K38&amp;"·"&amp;L38&amp;"·退场·易伤30%"&amp;""",nTime=10,nRefresh=5,key="""&amp;F38&amp;"·"&amp;L38&amp;"·减伤"&amp;""",},"</f>
        <v>{nClass=14,nIcon=18829,nFrame=7,szName="浩气·张桎辕·退场·易伤30%",nTime=10,nRefresh=5,key="谢渊·张桎辕·减伤",},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39"/>
    </row>
    <row r="39" spans="3:28" s="36" customFormat="1" x14ac:dyDescent="0.15">
      <c r="C39" s="36" t="s">
        <v>1446</v>
      </c>
      <c r="D39" s="36" t="s">
        <v>1722</v>
      </c>
      <c r="E39" s="36" t="s">
        <v>1738</v>
      </c>
      <c r="F39" s="36" t="s">
        <v>1446</v>
      </c>
      <c r="G39" s="36" t="s">
        <v>1444</v>
      </c>
      <c r="I39" s="36" t="s">
        <v>1607</v>
      </c>
      <c r="J39" s="36" t="s">
        <v>2607</v>
      </c>
      <c r="K39" s="36" t="s">
        <v>1609</v>
      </c>
      <c r="L39" s="36" t="s">
        <v>1505</v>
      </c>
      <c r="M39" s="36" t="s">
        <v>1454</v>
      </c>
      <c r="Q39" s="36">
        <v>1</v>
      </c>
      <c r="S39" s="36">
        <v>1</v>
      </c>
      <c r="V39"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s="36" t="s">
        <v>2368</v>
      </c>
      <c r="X39" s="36" t="str">
        <f t="shared" si="12"/>
        <v>{nClass=14,nIcon=13,szName="谢渊·月弄痕·减伤",nTime=-2,key="谢渊·月弄痕·减伤",},</v>
      </c>
      <c r="Y39" s="36" t="str">
        <f t="shared" si="13"/>
        <v>{nClass=14,nIcon=13,szName="王遗风·万兽王·减伤",nTime=-2,key="王遗风·万兽王·减伤",},</v>
      </c>
      <c r="Z39" s="36" t="str">
        <f>"{nClass=14,nIcon=18829,nFrame=7,szName="""&amp;K39&amp;"·"&amp;L39&amp;"·退场·易伤30%"&amp;""",nTime=10,nRefresh=5,key="""&amp;F39&amp;"·"&amp;L39&amp;"·减伤"&amp;""",},"</f>
        <v>{nClass=14,nIcon=18829,nFrame=7,szName="浩气·月弄痕·退场·易伤30%",nTime=10,nRefresh=5,key="谢渊·月弄痕·减伤",},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39"/>
    </row>
    <row r="40" spans="3:28" s="36" customFormat="1" x14ac:dyDescent="0.15">
      <c r="C40" s="36" t="s">
        <v>1446</v>
      </c>
      <c r="D40" s="36" t="s">
        <v>1721</v>
      </c>
      <c r="E40" s="36" t="s">
        <v>1739</v>
      </c>
      <c r="F40" s="36" t="s">
        <v>1446</v>
      </c>
      <c r="G40" s="36" t="s">
        <v>1444</v>
      </c>
      <c r="I40" s="36" t="s">
        <v>1607</v>
      </c>
      <c r="J40" s="36" t="s">
        <v>1504</v>
      </c>
      <c r="K40" s="36" t="s">
        <v>1609</v>
      </c>
      <c r="L40" s="36" t="s">
        <v>1731</v>
      </c>
      <c r="M40" s="36" t="s">
        <v>1454</v>
      </c>
      <c r="Q40" s="36">
        <v>1</v>
      </c>
      <c r="S40" s="36">
        <v>1</v>
      </c>
      <c r="V40"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s="36" t="s">
        <v>2368</v>
      </c>
      <c r="X40" s="36" t="str">
        <f t="shared" si="12"/>
        <v>{nClass=14,nIcon=13,szName="谢渊·司空仲平·减伤",nTime=-2,key="谢渊·司空仲平·减伤",},</v>
      </c>
      <c r="Y40" s="36" t="str">
        <f t="shared" si="13"/>
        <v>{nClass=14,nIcon=13,szName="王遗风·肖药儿·减伤",nTime=-2,key="王遗风·肖药儿·减伤",},</v>
      </c>
      <c r="Z40" s="36" t="str">
        <f>"{nClass=14,nIcon=18829,nFrame=7,szName="""&amp;K40&amp;"·"&amp;L40&amp;"·退场·易伤30%"&amp;""",nTime=10,nRefresh=5,key="""&amp;F40&amp;"·"&amp;L40&amp;"·减伤"&amp;""",},"</f>
        <v>{nClass=14,nIcon=18829,nFrame=7,szName="浩气·司空仲平·退场·易伤30%",nTime=10,nRefresh=5,key="谢渊·司空仲平·减伤",},</v>
      </c>
      <c r="AA40" s="36"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39"/>
    </row>
    <row r="41" spans="3:28" s="36" customFormat="1" x14ac:dyDescent="0.15">
      <c r="C41" s="36" t="s">
        <v>2185</v>
      </c>
      <c r="D41" s="43" t="s">
        <v>1668</v>
      </c>
      <c r="E41" s="36" t="s">
        <v>1669</v>
      </c>
      <c r="M41" s="36" t="s">
        <v>1454</v>
      </c>
      <c r="N41" s="36">
        <v>1</v>
      </c>
      <c r="V41"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1" s="36" t="s">
        <v>2549</v>
      </c>
    </row>
    <row r="42" spans="3:28" s="36" customFormat="1" x14ac:dyDescent="0.15">
      <c r="C42" s="36" t="s">
        <v>2185</v>
      </c>
      <c r="D42" s="43" t="s">
        <v>1670</v>
      </c>
      <c r="E42" s="36" t="s">
        <v>1671</v>
      </c>
      <c r="M42" s="36" t="s">
        <v>1438</v>
      </c>
      <c r="N42" s="36">
        <v>1</v>
      </c>
      <c r="V42"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2" s="36" t="s">
        <v>2550</v>
      </c>
    </row>
    <row r="43" spans="3:28" s="36" customFormat="1" x14ac:dyDescent="0.15">
      <c r="C43" s="36" t="s">
        <v>2185</v>
      </c>
      <c r="D43" s="43" t="s">
        <v>2573</v>
      </c>
      <c r="E43" s="36" t="s">
        <v>2131</v>
      </c>
      <c r="M43" s="36" t="s">
        <v>1432</v>
      </c>
      <c r="V43" s="36" t="str">
        <f t="shared" si="0"/>
        <v>{szContent="奇袭场战阶达到2000后，战阶换算贡献比例降低为2:1",szTarget="%",szNote="奇袭·贡献值·限速50%",col={255,255,100,},[14]={},tCountdown={{nClass=14,nIcon=13,szName="首领拾取间隔",nTime=-1,nRefresh=7200,key="首领拾取间隔",},},},</v>
      </c>
      <c r="W43" s="36" t="s">
        <v>2511</v>
      </c>
      <c r="AB43" s="39"/>
    </row>
    <row r="44" spans="3:28" s="36" customFormat="1" x14ac:dyDescent="0.15">
      <c r="C44" s="36" t="s">
        <v>2185</v>
      </c>
      <c r="D44" s="43" t="s">
        <v>2576</v>
      </c>
      <c r="E44" s="36" t="s">
        <v>2130</v>
      </c>
      <c r="M44" s="36" t="s">
        <v>1432</v>
      </c>
      <c r="V44" s="36" t="str">
        <f t="shared" si="0"/>
        <v>{szContent="奇袭场战阶达到4000后，战阶换算贡献比例降低为10:1",szTarget="%",szNote="奇袭·贡献值·限速90%",col={255,255,100,},[14]={},tCountdown={{nClass=14,nIcon=13,szName="首领拾取间隔",nTime=-1,nRefresh=7200,key="首领拾取间隔",},},},</v>
      </c>
      <c r="W44" s="36" t="s">
        <v>2511</v>
      </c>
      <c r="AB44" s="39"/>
    </row>
    <row r="45" spans="3:28" s="36" customFormat="1" x14ac:dyDescent="0.15">
      <c r="C45" s="36" t="s">
        <v>2185</v>
      </c>
      <c r="D45" s="43" t="s">
        <v>2524</v>
      </c>
      <c r="E45" s="36" t="s">
        <v>2032</v>
      </c>
      <c r="M45" s="36" t="s">
        <v>1454</v>
      </c>
      <c r="V45"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s="36" t="s">
        <v>2526</v>
      </c>
      <c r="AB45" s="39"/>
    </row>
    <row r="46" spans="3:28" s="36" customFormat="1" x14ac:dyDescent="0.15">
      <c r="C46" s="36" t="s">
        <v>2185</v>
      </c>
      <c r="D46" s="43" t="s">
        <v>2525</v>
      </c>
      <c r="E46" s="36" t="s">
        <v>2031</v>
      </c>
      <c r="M46" s="36" t="s">
        <v>1438</v>
      </c>
      <c r="V46"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s="36" t="s">
        <v>2527</v>
      </c>
      <c r="AB46" s="39"/>
    </row>
    <row r="47" spans="3:28" s="36" customFormat="1" x14ac:dyDescent="0.15">
      <c r="D47" s="36" t="s">
        <v>2091</v>
      </c>
      <c r="E47" s="36" t="s">
        <v>2172</v>
      </c>
      <c r="V47" s="36" t="str">
        <f t="shared" si="0"/>
        <v>{szContent="你获得了200点威名、200点战阶。受到了鼓舞，气力值消耗减少一段时间。",szNote="堆堆·驻场首领",[14]={},},</v>
      </c>
      <c r="AB47" s="39"/>
    </row>
    <row r="48" spans="3:28" s="36" customFormat="1" x14ac:dyDescent="0.15">
      <c r="D48" s="36" t="s">
        <v>2170</v>
      </c>
      <c r="E48" s="36" t="s">
        <v>2171</v>
      </c>
      <c r="V48" s="36" t="str">
        <f t="shared" si="0"/>
        <v>{szContent="你获得了100点威名、100点战阶。",szNote="堆堆·助战首领",[14]={},tCountdown={{nClass=14,nIcon=13564,nFrame=1,szName="拾取间隔",nTime="300,助战堆·拾取物资·间隔剩余;310,助战堆·可以拾取物资了",nRefresh=1,key="首领拾取间隔",},},},</v>
      </c>
      <c r="W48" s="36" t="s">
        <v>2639</v>
      </c>
    </row>
    <row r="49" spans="1:38" x14ac:dyDescent="0.15">
      <c r="D49" t="s">
        <v>1509</v>
      </c>
      <c r="E49" t="s">
        <v>2173</v>
      </c>
      <c r="T49" s="36"/>
      <c r="V49"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9" t="s">
        <v>2092</v>
      </c>
    </row>
    <row r="50" spans="1:38" x14ac:dyDescent="0.15">
      <c r="D50" t="s">
        <v>1510</v>
      </c>
      <c r="E50" s="36" t="s">
        <v>2173</v>
      </c>
      <c r="T50" s="36"/>
      <c r="V50"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50" t="s">
        <v>2092</v>
      </c>
    </row>
    <row r="51" spans="1:38" x14ac:dyDescent="0.15">
      <c r="A51" t="s">
        <v>8</v>
      </c>
      <c r="B51">
        <v>25</v>
      </c>
      <c r="T51" s="36"/>
      <c r="V51" s="36" t="str">
        <f t="shared" si="0"/>
        <v>},[25]={</v>
      </c>
    </row>
    <row r="52" spans="1:38" s="36" customFormat="1" x14ac:dyDescent="0.15">
      <c r="C52" s="36" t="s">
        <v>1446</v>
      </c>
      <c r="D52" s="36" t="s">
        <v>1899</v>
      </c>
      <c r="M52" s="36" t="s">
        <v>1454</v>
      </c>
      <c r="O52" s="36">
        <v>1</v>
      </c>
      <c r="V52" s="36" t="str">
        <f t="shared" si="0"/>
        <v>{szContent="(.-)的“(.-)”在(.-)插下了宣战令旗，简直是对(.-)的侮辱！谁去摧毁它，必有重赏！",szTarget="谢渊",col={100,100,255,},bReg=true,[14]={},tCountdown={{nClass=14,nIcon=591,nFrame=3,szName="{$1}战书·{$3}·{$2}",nTime=10,key="宣战战书",},},},</v>
      </c>
      <c r="W52" s="36" t="s">
        <v>1897</v>
      </c>
    </row>
    <row r="53" spans="1:38" s="36" customFormat="1" x14ac:dyDescent="0.15">
      <c r="C53" s="36" t="s">
        <v>1717</v>
      </c>
      <c r="D53" s="36" t="s">
        <v>1435</v>
      </c>
      <c r="E53" s="36" t="str">
        <f>K53&amp;"·"&amp;L53&amp;"·"&amp;H53&amp;"·"&amp;"败退"</f>
        <v>恶人·顾延恶·烟雨居舍·败退</v>
      </c>
      <c r="F53" s="36" t="s">
        <v>1444</v>
      </c>
      <c r="G53" s="36" t="s">
        <v>1446</v>
      </c>
      <c r="H53" s="36" t="s">
        <v>1480</v>
      </c>
      <c r="I53" s="36" t="s">
        <v>1609</v>
      </c>
      <c r="J53" s="36" t="s">
        <v>1470</v>
      </c>
      <c r="K53" s="36" t="s">
        <v>1607</v>
      </c>
      <c r="L53" s="36" t="s">
        <v>1474</v>
      </c>
      <c r="M53" s="36" t="s">
        <v>1486</v>
      </c>
      <c r="N53" s="36">
        <v>1</v>
      </c>
      <c r="S53" s="36">
        <v>1</v>
      </c>
      <c r="V53"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s="36" t="str">
        <f t="shared" ref="W53:W68" si="20">"{nClass=14,nIcon=13,szName="""&amp;F53&amp;"·"&amp;L53&amp;"·减伤"""&amp;",nTime=-2,key="""&amp;F53&amp;"·"&amp;L53&amp;"·减伤"""&amp;",},"</f>
        <v>{nClass=14,nIcon=13,szName="王遗风·顾延恶·减伤",nTime=-2,key="王遗风·顾延恶·减伤",},</v>
      </c>
      <c r="X53" s="36" t="str">
        <f t="shared" ref="X53:X68" si="21">"{nClass=14,nIcon=13,szName="""&amp;""&amp;G53&amp;"·"&amp;""&amp;J53&amp;"·减伤"""&amp;",nTime=-2,key="""&amp;""&amp;G53&amp;"·"&amp;""&amp;J53&amp;"·减伤"""&amp;",},"</f>
        <v>{nClass=14,nIcon=13,szName="谢渊·谢烟客·减伤",nTime=-2,key="谢渊·谢烟客·减伤",},</v>
      </c>
      <c r="Y53" s="36" t="str">
        <f>"{nClass=14,nIcon=18830,nFrame=3,szName="""&amp;K53&amp;"·"&amp;""&amp;""&amp;L53&amp;"·退场·易伤30%"",nTime=10,nRefresh=5,key="""&amp;F53&amp;"·"&amp;L53&amp;""&amp;"·减伤"""&amp;",},"</f>
        <v>{nClass=14,nIcon=18830,nFrame=3,szName="恶人·顾延恶·退场·易伤30%",nTime=10,nRefresh=5,key="王遗风·顾延恶·减伤",},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spans="1:38" s="36" customFormat="1" x14ac:dyDescent="0.15">
      <c r="C54" s="36" t="s">
        <v>1979</v>
      </c>
      <c r="D54" s="36" t="s">
        <v>1435</v>
      </c>
      <c r="E54" s="36" t="str">
        <f t="shared" ref="E54:E68" si="22">K54&amp;"·"&amp;L54&amp;"·"&amp;H54&amp;"·"&amp;"败退"</f>
        <v>恶人·吕沛杰·七星岩·败退</v>
      </c>
      <c r="F54" s="36" t="s">
        <v>1444</v>
      </c>
      <c r="G54" s="36" t="s">
        <v>1446</v>
      </c>
      <c r="H54" s="36" t="s">
        <v>1481</v>
      </c>
      <c r="I54" s="36" t="s">
        <v>1609</v>
      </c>
      <c r="J54" s="36" t="s">
        <v>1471</v>
      </c>
      <c r="K54" s="36" t="s">
        <v>1607</v>
      </c>
      <c r="L54" s="36" t="s">
        <v>1475</v>
      </c>
      <c r="M54" s="36" t="s">
        <v>1486</v>
      </c>
      <c r="N54" s="36">
        <v>1</v>
      </c>
      <c r="S54" s="36">
        <v>1</v>
      </c>
      <c r="V54"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s="36" t="str">
        <f t="shared" si="20"/>
        <v>{nClass=14,nIcon=13,szName="王遗风·吕沛杰·减伤",nTime=-2,key="王遗风·吕沛杰·减伤",},</v>
      </c>
      <c r="X54" s="36" t="str">
        <f t="shared" si="21"/>
        <v>{nClass=14,nIcon=13,szName="谢渊·陶杰·减伤",nTime=-2,key="谢渊·陶杰·减伤",},</v>
      </c>
      <c r="Y54" s="36" t="str">
        <f>"{nClass=14,nIcon=18830,nFrame=3,szName="""&amp;K54&amp;"·"&amp;""&amp;""&amp;L54&amp;"·退场·易伤30%"",nTime=10,nRefresh=5,key="""&amp;F54&amp;"·"&amp;L54&amp;""&amp;"·减伤"""&amp;",},"</f>
        <v>{nClass=14,nIcon=18830,nFrame=3,szName="恶人·吕沛杰·退场·易伤30%",nTime=10,nRefresh=5,key="王遗风·吕沛杰·减伤",},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spans="1:38" s="36" customFormat="1" x14ac:dyDescent="0.15">
      <c r="C55" s="36" t="s">
        <v>1980</v>
      </c>
      <c r="D55" s="36" t="s">
        <v>1435</v>
      </c>
      <c r="E55" s="36" t="str">
        <f t="shared" si="22"/>
        <v>恶人·陶国栋·栖霞幻境·败退</v>
      </c>
      <c r="F55" s="36" t="s">
        <v>1444</v>
      </c>
      <c r="G55" s="36" t="s">
        <v>1446</v>
      </c>
      <c r="H55" s="36" t="s">
        <v>1955</v>
      </c>
      <c r="I55" s="36" t="s">
        <v>1609</v>
      </c>
      <c r="J55" s="36" t="s">
        <v>1472</v>
      </c>
      <c r="K55" s="36" t="s">
        <v>1607</v>
      </c>
      <c r="L55" s="36" t="s">
        <v>1476</v>
      </c>
      <c r="M55" s="36" t="s">
        <v>1486</v>
      </c>
      <c r="N55" s="36">
        <v>1</v>
      </c>
      <c r="S55" s="36">
        <v>1</v>
      </c>
      <c r="V55"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s="36" t="str">
        <f t="shared" si="20"/>
        <v>{nClass=14,nIcon=13,szName="王遗风·陶国栋·减伤",nTime=-2,key="王遗风·陶国栋·减伤",},</v>
      </c>
      <c r="X55" s="36" t="str">
        <f t="shared" si="21"/>
        <v>{nClass=14,nIcon=13,szName="谢渊·郑鸥·减伤",nTime=-2,key="谢渊·郑鸥·减伤",},</v>
      </c>
      <c r="Y55" s="36" t="str">
        <f>"{nClass=14,nIcon=18830,nFrame=3,szName="""&amp;K55&amp;"·"&amp;""&amp;""&amp;L55&amp;"·退场·易伤30%"",nTime=10,nRefresh=5,key="""&amp;F55&amp;"·"&amp;L55&amp;""&amp;"·减伤"""&amp;",},"</f>
        <v>{nClass=14,nIcon=18830,nFrame=3,szName="恶人·陶国栋·退场·易伤30%",nTime=10,nRefresh=5,key="王遗风·陶国栋·减伤",},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spans="1:38" s="36" customFormat="1" x14ac:dyDescent="0.15">
      <c r="C56" s="36" t="s">
        <v>1981</v>
      </c>
      <c r="D56" s="36" t="s">
        <v>1435</v>
      </c>
      <c r="E56" s="36" t="str">
        <f t="shared" si="22"/>
        <v>恶人·张一洋·漓水河岸·败退</v>
      </c>
      <c r="F56" s="36" t="s">
        <v>1444</v>
      </c>
      <c r="G56" s="36" t="s">
        <v>1446</v>
      </c>
      <c r="H56" s="36" t="s">
        <v>1956</v>
      </c>
      <c r="I56" s="36" t="s">
        <v>1609</v>
      </c>
      <c r="J56" s="36" t="s">
        <v>1473</v>
      </c>
      <c r="K56" s="36" t="s">
        <v>1607</v>
      </c>
      <c r="L56" s="36" t="s">
        <v>1477</v>
      </c>
      <c r="M56" s="36" t="s">
        <v>1486</v>
      </c>
      <c r="N56" s="36">
        <v>1</v>
      </c>
      <c r="S56" s="36">
        <v>1</v>
      </c>
      <c r="V56"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s="36" t="str">
        <f t="shared" si="20"/>
        <v>{nClass=14,nIcon=13,szName="王遗风·张一洋·减伤",nTime=-2,key="王遗风·张一洋·减伤",},</v>
      </c>
      <c r="X56" s="36" t="str">
        <f t="shared" si="21"/>
        <v>{nClass=14,nIcon=13,szName="谢渊·周峰·减伤",nTime=-2,key="谢渊·周峰·减伤",},</v>
      </c>
      <c r="Y56" s="36" t="str">
        <f>"{nClass=14,nIcon=18830,nFrame=3,szName="""&amp;K56&amp;"·"&amp;""&amp;""&amp;L56&amp;"·退场·易伤30%"",nTime=10,nRefresh=5,key="""&amp;F56&amp;"·"&amp;L56&amp;""&amp;"·减伤"""&amp;",},"</f>
        <v>{nClass=14,nIcon=18830,nFrame=3,szName="恶人·张一洋·退场·易伤30%",nTime=10,nRefresh=5,key="王遗风·张一洋·减伤",},</v>
      </c>
      <c r="Z56" s="3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spans="1:38" s="36" customFormat="1" x14ac:dyDescent="0.15">
      <c r="C57" s="36" t="s">
        <v>1470</v>
      </c>
      <c r="D57" s="36" t="s">
        <v>1435</v>
      </c>
      <c r="E57" s="36" t="str">
        <f t="shared" si="22"/>
        <v>浩气·谢烟客·烟雨居舍·败退</v>
      </c>
      <c r="F57" s="36" t="s">
        <v>1446</v>
      </c>
      <c r="G57" s="36" t="s">
        <v>1444</v>
      </c>
      <c r="H57" s="36" t="s">
        <v>1479</v>
      </c>
      <c r="I57" s="36" t="s">
        <v>1609</v>
      </c>
      <c r="J57" s="36" t="s">
        <v>1474</v>
      </c>
      <c r="K57" s="36" t="s">
        <v>1609</v>
      </c>
      <c r="L57" s="36" t="s">
        <v>1469</v>
      </c>
      <c r="M57" s="36" t="s">
        <v>1454</v>
      </c>
      <c r="N57" s="36">
        <v>1</v>
      </c>
      <c r="S57" s="36">
        <v>1</v>
      </c>
      <c r="V57"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s="36" t="str">
        <f t="shared" si="20"/>
        <v>{nClass=14,nIcon=13,szName="谢渊·谢烟客·减伤",nTime=-2,key="谢渊·谢烟客·减伤",},</v>
      </c>
      <c r="X57" s="36" t="str">
        <f t="shared" si="21"/>
        <v>{nClass=14,nIcon=13,szName="王遗风·顾延恶·减伤",nTime=-2,key="王遗风·顾延恶·减伤",},</v>
      </c>
      <c r="Y57" s="36" t="str">
        <f>"{nClass=14,nIcon=18829,nFrame=7,szName="""&amp;K57&amp;"·"&amp;""&amp;""&amp;L57&amp;"·退场·易伤30%"",nTime=10,nRefresh=5,key="""&amp;F57&amp;"·"&amp;L57&amp;""&amp;"·减伤"""&amp;",},"</f>
        <v>{nClass=14,nIcon=18829,nFrame=7,szName="浩气·谢烟客·退场·易伤30%",nTime=10,nRefresh=5,key="谢渊·谢烟客·减伤",},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spans="1:38" s="36" customFormat="1" x14ac:dyDescent="0.15">
      <c r="C58" s="36" t="s">
        <v>1663</v>
      </c>
      <c r="D58" s="36" t="s">
        <v>1435</v>
      </c>
      <c r="E58" s="36" t="str">
        <f t="shared" si="22"/>
        <v>浩气·陶杰·七星岩·败退</v>
      </c>
      <c r="F58" s="36" t="s">
        <v>1446</v>
      </c>
      <c r="G58" s="36" t="s">
        <v>1444</v>
      </c>
      <c r="H58" s="36" t="s">
        <v>1481</v>
      </c>
      <c r="I58" s="36" t="s">
        <v>1607</v>
      </c>
      <c r="J58" s="36" t="s">
        <v>1475</v>
      </c>
      <c r="K58" s="36" t="s">
        <v>1609</v>
      </c>
      <c r="L58" s="36" t="s">
        <v>1663</v>
      </c>
      <c r="M58" s="36" t="s">
        <v>1454</v>
      </c>
      <c r="N58" s="36">
        <v>1</v>
      </c>
      <c r="S58" s="36">
        <v>1</v>
      </c>
      <c r="V58"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s="36" t="str">
        <f t="shared" si="20"/>
        <v>{nClass=14,nIcon=13,szName="谢渊·陶杰·减伤",nTime=-2,key="谢渊·陶杰·减伤",},</v>
      </c>
      <c r="X58" s="36" t="str">
        <f t="shared" si="21"/>
        <v>{nClass=14,nIcon=13,szName="王遗风·吕沛杰·减伤",nTime=-2,key="王遗风·吕沛杰·减伤",},</v>
      </c>
      <c r="Y58" s="36" t="str">
        <f>"{nClass=14,nIcon=18829,nFrame=7,szName="""&amp;K58&amp;"·"&amp;""&amp;""&amp;L58&amp;"·退场·易伤30%"",nTime=10,nRefresh=5,key="""&amp;F58&amp;"·"&amp;L58&amp;""&amp;"·减伤"""&amp;",},"</f>
        <v>{nClass=14,nIcon=18829,nFrame=7,szName="浩气·陶杰·退场·易伤30%",nTime=10,nRefresh=5,key="谢渊·陶杰·减伤",},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spans="1:38" s="36" customFormat="1" x14ac:dyDescent="0.15">
      <c r="C59" s="36" t="s">
        <v>1664</v>
      </c>
      <c r="D59" s="36" t="s">
        <v>1435</v>
      </c>
      <c r="E59" s="36" t="str">
        <f t="shared" si="22"/>
        <v>浩气·郑鸥·栖霞幻境·败退</v>
      </c>
      <c r="F59" s="36" t="s">
        <v>1446</v>
      </c>
      <c r="G59" s="36" t="s">
        <v>1444</v>
      </c>
      <c r="H59" s="36" t="s">
        <v>1955</v>
      </c>
      <c r="I59" s="36" t="s">
        <v>1607</v>
      </c>
      <c r="J59" s="36" t="s">
        <v>1476</v>
      </c>
      <c r="K59" s="36" t="s">
        <v>1609</v>
      </c>
      <c r="L59" s="36" t="s">
        <v>1664</v>
      </c>
      <c r="M59" s="36" t="s">
        <v>1454</v>
      </c>
      <c r="N59" s="36">
        <v>1</v>
      </c>
      <c r="S59" s="36">
        <v>1</v>
      </c>
      <c r="V59"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s="36" t="str">
        <f t="shared" si="20"/>
        <v>{nClass=14,nIcon=13,szName="谢渊·郑鸥·减伤",nTime=-2,key="谢渊·郑鸥·减伤",},</v>
      </c>
      <c r="X59" s="36" t="str">
        <f t="shared" si="21"/>
        <v>{nClass=14,nIcon=13,szName="王遗风·陶国栋·减伤",nTime=-2,key="王遗风·陶国栋·减伤",},</v>
      </c>
      <c r="Y59" s="36" t="str">
        <f>"{nClass=14,nIcon=18829,nFrame=7,szName="""&amp;K59&amp;"·"&amp;""&amp;""&amp;L59&amp;"·退场·易伤30%"",nTime=10,nRefresh=5,key="""&amp;F59&amp;"·"&amp;L59&amp;""&amp;"·减伤"""&amp;",},"</f>
        <v>{nClass=14,nIcon=18829,nFrame=7,szName="浩气·郑鸥·退场·易伤30%",nTime=10,nRefresh=5,key="谢渊·郑鸥·减伤",},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spans="1:38" s="36" customFormat="1" x14ac:dyDescent="0.15">
      <c r="C60" s="36" t="s">
        <v>1665</v>
      </c>
      <c r="D60" s="36" t="s">
        <v>1435</v>
      </c>
      <c r="E60" s="36" t="str">
        <f t="shared" si="22"/>
        <v>浩气·周峰·漓水河岸·败退</v>
      </c>
      <c r="F60" s="36" t="s">
        <v>1446</v>
      </c>
      <c r="G60" s="36" t="s">
        <v>1444</v>
      </c>
      <c r="H60" s="36" t="s">
        <v>1956</v>
      </c>
      <c r="I60" s="36" t="s">
        <v>1607</v>
      </c>
      <c r="J60" s="36" t="s">
        <v>1477</v>
      </c>
      <c r="K60" s="36" t="s">
        <v>1609</v>
      </c>
      <c r="L60" s="36" t="s">
        <v>1665</v>
      </c>
      <c r="M60" s="36" t="s">
        <v>1454</v>
      </c>
      <c r="N60" s="36">
        <v>1</v>
      </c>
      <c r="S60" s="36">
        <v>1</v>
      </c>
      <c r="V60"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s="36" t="str">
        <f t="shared" si="20"/>
        <v>{nClass=14,nIcon=13,szName="谢渊·周峰·减伤",nTime=-2,key="谢渊·周峰·减伤",},</v>
      </c>
      <c r="X60" s="36" t="str">
        <f t="shared" si="21"/>
        <v>{nClass=14,nIcon=13,szName="王遗风·张一洋·减伤",nTime=-2,key="王遗风·张一洋·减伤",},</v>
      </c>
      <c r="Y60" s="36" t="str">
        <f>"{nClass=14,nIcon=18829,nFrame=7,szName="""&amp;K60&amp;"·"&amp;""&amp;""&amp;L60&amp;"·退场·易伤30%"",nTime=10,nRefresh=5,key="""&amp;F60&amp;"·"&amp;L60&amp;""&amp;"·减伤"""&amp;",},"</f>
        <v>{nClass=14,nIcon=18829,nFrame=7,szName="浩气·周峰·退场·易伤30%",nTime=10,nRefresh=5,key="谢渊·周峰·减伤",},</v>
      </c>
      <c r="Z60" s="36"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38" x14ac:dyDescent="0.15">
      <c r="C61" t="s">
        <v>1444</v>
      </c>
      <c r="D61" t="s">
        <v>1442</v>
      </c>
      <c r="E61" s="36" t="str">
        <f t="shared" si="22"/>
        <v>恶人·顾延恶·烟雨居舍·败退</v>
      </c>
      <c r="F61" t="s">
        <v>1444</v>
      </c>
      <c r="G61" s="36" t="s">
        <v>1446</v>
      </c>
      <c r="H61" t="s">
        <v>1480</v>
      </c>
      <c r="I61" s="36" t="s">
        <v>1609</v>
      </c>
      <c r="J61" t="s">
        <v>1470</v>
      </c>
      <c r="K61" s="36" t="s">
        <v>1607</v>
      </c>
      <c r="L61" t="s">
        <v>1474</v>
      </c>
      <c r="M61" t="s">
        <v>1486</v>
      </c>
      <c r="Q61">
        <v>1</v>
      </c>
      <c r="S61" s="36">
        <v>1</v>
      </c>
      <c r="T61" s="36"/>
      <c r="V61"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s="36" t="str">
        <f t="shared" si="20"/>
        <v>{nClass=14,nIcon=13,szName="王遗风·顾延恶·减伤",nTime=-2,key="王遗风·顾延恶·减伤",},</v>
      </c>
      <c r="X61" s="36" t="str">
        <f t="shared" si="21"/>
        <v>{nClass=14,nIcon=13,szName="谢渊·谢烟客·减伤",nTime=-2,key="谢渊·谢烟客·减伤",},</v>
      </c>
      <c r="Y61" s="36" t="str">
        <f>"{nClass=14,nIcon=18830,nFrame=3,szName="""&amp;K61&amp;"·"&amp;""&amp;""&amp;L61&amp;"·退场·易伤30%"",nTime=10,nRefresh=5,key="""&amp;F61&amp;"·"&amp;L61&amp;""&amp;"·减伤"""&amp;",},"</f>
        <v>{nClass=14,nIcon=18830,nFrame=3,szName="恶人·顾延恶·退场·易伤30%",nTime=10,nRefresh=5,key="王遗风·顾延恶·减伤",},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39"/>
      <c r="AB61" s="36"/>
      <c r="AC61" s="36"/>
      <c r="AD61" s="36"/>
      <c r="AE61" s="36"/>
      <c r="AF61" s="36"/>
      <c r="AG61" s="36"/>
      <c r="AH61" s="36"/>
      <c r="AI61" s="36"/>
      <c r="AJ61" s="36"/>
      <c r="AK61" s="36"/>
      <c r="AL61" s="36"/>
    </row>
    <row r="62" spans="1:38" x14ac:dyDescent="0.15">
      <c r="C62" t="s">
        <v>1444</v>
      </c>
      <c r="D62" t="s">
        <v>1447</v>
      </c>
      <c r="E62" s="36" t="str">
        <f t="shared" si="22"/>
        <v>恶人·吕沛杰·七星岩·败退</v>
      </c>
      <c r="F62" t="s">
        <v>1444</v>
      </c>
      <c r="G62" s="36" t="s">
        <v>1446</v>
      </c>
      <c r="H62" t="s">
        <v>1481</v>
      </c>
      <c r="I62" s="36" t="s">
        <v>1609</v>
      </c>
      <c r="J62" t="s">
        <v>1471</v>
      </c>
      <c r="K62" s="36" t="s">
        <v>1607</v>
      </c>
      <c r="L62" t="s">
        <v>1475</v>
      </c>
      <c r="M62" t="s">
        <v>1486</v>
      </c>
      <c r="Q62" s="36">
        <v>1</v>
      </c>
      <c r="S62" s="36">
        <v>1</v>
      </c>
      <c r="T62" s="36"/>
      <c r="V62"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s="36" t="str">
        <f t="shared" si="20"/>
        <v>{nClass=14,nIcon=13,szName="王遗风·吕沛杰·减伤",nTime=-2,key="王遗风·吕沛杰·减伤",},</v>
      </c>
      <c r="X62" s="36" t="str">
        <f t="shared" si="21"/>
        <v>{nClass=14,nIcon=13,szName="谢渊·陶杰·减伤",nTime=-2,key="谢渊·陶杰·减伤",},</v>
      </c>
      <c r="Y62" s="36" t="str">
        <f>"{nClass=14,nIcon=18830,nFrame=3,szName="""&amp;K62&amp;"·"&amp;""&amp;""&amp;L62&amp;"·退场·易伤30%"",nTime=10,nRefresh=5,key="""&amp;F62&amp;"·"&amp;L62&amp;""&amp;"·减伤"""&amp;",},"</f>
        <v>{nClass=14,nIcon=18830,nFrame=3,szName="恶人·吕沛杰·退场·易伤30%",nTime=10,nRefresh=5,key="王遗风·吕沛杰·减伤",},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39"/>
      <c r="AB62" s="36"/>
      <c r="AC62" s="36"/>
      <c r="AD62" s="36"/>
      <c r="AE62" s="36"/>
      <c r="AF62" s="36"/>
      <c r="AG62" s="36"/>
      <c r="AH62" s="36"/>
      <c r="AI62" s="36"/>
      <c r="AJ62" s="36"/>
      <c r="AK62" s="36"/>
      <c r="AL62" s="36"/>
    </row>
    <row r="63" spans="1:38" x14ac:dyDescent="0.15">
      <c r="C63" t="s">
        <v>1444</v>
      </c>
      <c r="D63" t="s">
        <v>1448</v>
      </c>
      <c r="E63" s="36" t="str">
        <f t="shared" si="22"/>
        <v>恶人·陶国栋·栖霞幻境·败退</v>
      </c>
      <c r="F63" t="s">
        <v>1444</v>
      </c>
      <c r="G63" s="36" t="s">
        <v>1446</v>
      </c>
      <c r="H63" t="s">
        <v>1955</v>
      </c>
      <c r="I63" s="36" t="s">
        <v>1609</v>
      </c>
      <c r="J63" t="s">
        <v>1472</v>
      </c>
      <c r="K63" s="36" t="s">
        <v>1607</v>
      </c>
      <c r="L63" t="s">
        <v>1476</v>
      </c>
      <c r="M63" t="s">
        <v>1486</v>
      </c>
      <c r="Q63" s="36">
        <v>1</v>
      </c>
      <c r="S63" s="36">
        <v>1</v>
      </c>
      <c r="T63" s="36"/>
      <c r="V63"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s="36" t="str">
        <f t="shared" si="20"/>
        <v>{nClass=14,nIcon=13,szName="王遗风·陶国栋·减伤",nTime=-2,key="王遗风·陶国栋·减伤",},</v>
      </c>
      <c r="X63" s="36" t="str">
        <f t="shared" si="21"/>
        <v>{nClass=14,nIcon=13,szName="谢渊·郑鸥·减伤",nTime=-2,key="谢渊·郑鸥·减伤",},</v>
      </c>
      <c r="Y63" s="36" t="str">
        <f>"{nClass=14,nIcon=18830,nFrame=3,szName="""&amp;K63&amp;"·"&amp;""&amp;""&amp;L63&amp;"·退场·易伤30%"",nTime=10,nRefresh=5,key="""&amp;F63&amp;"·"&amp;L63&amp;""&amp;"·减伤"""&amp;",},"</f>
        <v>{nClass=14,nIcon=18830,nFrame=3,szName="恶人·陶国栋·退场·易伤30%",nTime=10,nRefresh=5,key="王遗风·陶国栋·减伤",},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39"/>
      <c r="AB63" s="36"/>
      <c r="AC63" s="36"/>
      <c r="AD63" s="36"/>
      <c r="AE63" s="36"/>
      <c r="AF63" s="36"/>
      <c r="AG63" s="36"/>
      <c r="AH63" s="36"/>
      <c r="AI63" s="36"/>
      <c r="AJ63" s="36"/>
      <c r="AK63" s="36"/>
      <c r="AL63" s="36"/>
    </row>
    <row r="64" spans="1:38" x14ac:dyDescent="0.15">
      <c r="C64" t="s">
        <v>1444</v>
      </c>
      <c r="D64" t="s">
        <v>1449</v>
      </c>
      <c r="E64" s="36" t="str">
        <f t="shared" si="22"/>
        <v>恶人·张一洋·漓水河岸·败退</v>
      </c>
      <c r="F64" t="s">
        <v>1444</v>
      </c>
      <c r="G64" s="36" t="s">
        <v>1446</v>
      </c>
      <c r="H64" t="s">
        <v>1956</v>
      </c>
      <c r="I64" s="36" t="s">
        <v>1609</v>
      </c>
      <c r="J64" t="s">
        <v>1473</v>
      </c>
      <c r="K64" s="36" t="s">
        <v>1607</v>
      </c>
      <c r="L64" t="s">
        <v>1477</v>
      </c>
      <c r="M64" t="s">
        <v>1486</v>
      </c>
      <c r="Q64" s="36">
        <v>1</v>
      </c>
      <c r="S64" s="36">
        <v>1</v>
      </c>
      <c r="T64" s="36"/>
      <c r="V64"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s="36" t="str">
        <f t="shared" si="20"/>
        <v>{nClass=14,nIcon=13,szName="王遗风·张一洋·减伤",nTime=-2,key="王遗风·张一洋·减伤",},</v>
      </c>
      <c r="X64" s="36" t="str">
        <f t="shared" si="21"/>
        <v>{nClass=14,nIcon=13,szName="谢渊·周峰·减伤",nTime=-2,key="谢渊·周峰·减伤",},</v>
      </c>
      <c r="Y64" s="36" t="str">
        <f>"{nClass=14,nIcon=18830,nFrame=3,szName="""&amp;K64&amp;"·"&amp;""&amp;""&amp;L64&amp;"·退场·易伤30%"",nTime=10,nRefresh=5,key="""&amp;F64&amp;"·"&amp;L64&amp;""&amp;"·减伤"""&amp;",},"</f>
        <v>{nClass=14,nIcon=18830,nFrame=3,szName="恶人·张一洋·退场·易伤30%",nTime=10,nRefresh=5,key="王遗风·张一洋·减伤",},</v>
      </c>
      <c r="Z64" s="36"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39"/>
      <c r="AB64" s="36"/>
      <c r="AC64" s="36"/>
      <c r="AD64" s="36"/>
      <c r="AE64" s="36"/>
      <c r="AF64" s="36"/>
      <c r="AG64" s="36"/>
      <c r="AH64" s="36"/>
      <c r="AI64" s="36"/>
      <c r="AJ64" s="36"/>
      <c r="AK64" s="36"/>
      <c r="AL64" s="36"/>
    </row>
    <row r="65" spans="1:38" x14ac:dyDescent="0.15">
      <c r="C65" t="s">
        <v>1446</v>
      </c>
      <c r="D65" t="s">
        <v>1450</v>
      </c>
      <c r="E65" s="36" t="str">
        <f t="shared" si="22"/>
        <v>浩气·谢烟客·烟雨居舍·败退</v>
      </c>
      <c r="F65" t="s">
        <v>1446</v>
      </c>
      <c r="G65" s="36" t="s">
        <v>1444</v>
      </c>
      <c r="H65" t="s">
        <v>1479</v>
      </c>
      <c r="I65" s="36" t="s">
        <v>1609</v>
      </c>
      <c r="J65" t="s">
        <v>1474</v>
      </c>
      <c r="K65" s="36" t="s">
        <v>1609</v>
      </c>
      <c r="L65" t="s">
        <v>1469</v>
      </c>
      <c r="M65" t="s">
        <v>1454</v>
      </c>
      <c r="Q65" s="36">
        <v>1</v>
      </c>
      <c r="S65" s="36">
        <v>1</v>
      </c>
      <c r="T65" s="36"/>
      <c r="V65"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s="36" t="str">
        <f t="shared" si="20"/>
        <v>{nClass=14,nIcon=13,szName="谢渊·谢烟客·减伤",nTime=-2,key="谢渊·谢烟客·减伤",},</v>
      </c>
      <c r="X65" s="36" t="str">
        <f t="shared" si="21"/>
        <v>{nClass=14,nIcon=13,szName="王遗风·顾延恶·减伤",nTime=-2,key="王遗风·顾延恶·减伤",},</v>
      </c>
      <c r="Y65" s="36" t="str">
        <f>"{nClass=14,nIcon=18829,nFrame=7,szName="""&amp;K65&amp;"·"&amp;""&amp;""&amp;L65&amp;"·退场·易伤30%"",nTime=10,nRefresh=5,key="""&amp;F65&amp;"·"&amp;L65&amp;""&amp;"·减伤"""&amp;",},"</f>
        <v>{nClass=14,nIcon=18829,nFrame=7,szName="浩气·谢烟客·退场·易伤30%",nTime=10,nRefresh=5,key="谢渊·谢烟客·减伤",},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39"/>
      <c r="AB65" s="36"/>
      <c r="AC65" s="36"/>
      <c r="AD65" s="36"/>
      <c r="AE65" s="36"/>
      <c r="AF65" s="36"/>
      <c r="AG65" s="36"/>
      <c r="AH65" s="36"/>
      <c r="AI65" s="36"/>
      <c r="AJ65" s="36"/>
      <c r="AK65" s="36"/>
      <c r="AL65" s="36"/>
    </row>
    <row r="66" spans="1:38" x14ac:dyDescent="0.15">
      <c r="C66" t="s">
        <v>1446</v>
      </c>
      <c r="D66" t="s">
        <v>1451</v>
      </c>
      <c r="E66" s="36" t="str">
        <f t="shared" si="22"/>
        <v>浩气·陶杰·七星岩·败退</v>
      </c>
      <c r="F66" t="s">
        <v>1446</v>
      </c>
      <c r="G66" s="36" t="s">
        <v>1444</v>
      </c>
      <c r="H66" t="s">
        <v>1481</v>
      </c>
      <c r="I66" s="36" t="s">
        <v>1607</v>
      </c>
      <c r="J66" t="s">
        <v>1475</v>
      </c>
      <c r="K66" s="36" t="s">
        <v>1609</v>
      </c>
      <c r="L66" t="s">
        <v>1663</v>
      </c>
      <c r="M66" t="s">
        <v>1454</v>
      </c>
      <c r="Q66" s="36">
        <v>1</v>
      </c>
      <c r="S66" s="36">
        <v>1</v>
      </c>
      <c r="T66" s="36"/>
      <c r="V66"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s="36" t="str">
        <f t="shared" si="20"/>
        <v>{nClass=14,nIcon=13,szName="谢渊·陶杰·减伤",nTime=-2,key="谢渊·陶杰·减伤",},</v>
      </c>
      <c r="X66" s="36" t="str">
        <f t="shared" si="21"/>
        <v>{nClass=14,nIcon=13,szName="王遗风·吕沛杰·减伤",nTime=-2,key="王遗风·吕沛杰·减伤",},</v>
      </c>
      <c r="Y66" s="36" t="str">
        <f>"{nClass=14,nIcon=18829,nFrame=7,szName="""&amp;K66&amp;"·"&amp;""&amp;""&amp;L66&amp;"·退场·易伤30%"",nTime=10,nRefresh=5,key="""&amp;F66&amp;"·"&amp;L66&amp;""&amp;"·减伤"""&amp;",},"</f>
        <v>{nClass=14,nIcon=18829,nFrame=7,szName="浩气·陶杰·退场·易伤30%",nTime=10,nRefresh=5,key="谢渊·陶杰·减伤",},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39"/>
      <c r="AB66" s="36"/>
      <c r="AC66" s="36"/>
      <c r="AD66" s="36"/>
      <c r="AE66" s="36"/>
      <c r="AF66" s="36"/>
      <c r="AG66" s="36"/>
      <c r="AH66" s="36"/>
      <c r="AI66" s="36"/>
      <c r="AJ66" s="36"/>
      <c r="AK66" s="36"/>
      <c r="AL66" s="36"/>
    </row>
    <row r="67" spans="1:38" x14ac:dyDescent="0.15">
      <c r="C67" t="s">
        <v>1446</v>
      </c>
      <c r="D67" t="s">
        <v>1452</v>
      </c>
      <c r="E67" s="36" t="str">
        <f t="shared" si="22"/>
        <v>浩气·郑鸥·栖霞幻境·败退</v>
      </c>
      <c r="F67" t="s">
        <v>1446</v>
      </c>
      <c r="G67" s="36" t="s">
        <v>1444</v>
      </c>
      <c r="H67" t="s">
        <v>1955</v>
      </c>
      <c r="I67" s="36" t="s">
        <v>1607</v>
      </c>
      <c r="J67" t="s">
        <v>1476</v>
      </c>
      <c r="K67" s="36" t="s">
        <v>1609</v>
      </c>
      <c r="L67" t="s">
        <v>1664</v>
      </c>
      <c r="M67" t="s">
        <v>1454</v>
      </c>
      <c r="Q67" s="36">
        <v>1</v>
      </c>
      <c r="S67" s="36">
        <v>1</v>
      </c>
      <c r="T67" s="36"/>
      <c r="V67"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s="36" t="str">
        <f t="shared" si="20"/>
        <v>{nClass=14,nIcon=13,szName="谢渊·郑鸥·减伤",nTime=-2,key="谢渊·郑鸥·减伤",},</v>
      </c>
      <c r="X67" s="36" t="str">
        <f t="shared" si="21"/>
        <v>{nClass=14,nIcon=13,szName="王遗风·陶国栋·减伤",nTime=-2,key="王遗风·陶国栋·减伤",},</v>
      </c>
      <c r="Y67" s="36" t="str">
        <f>"{nClass=14,nIcon=18829,nFrame=7,szName="""&amp;K67&amp;"·"&amp;""&amp;""&amp;L67&amp;"·退场·易伤30%"",nTime=10,nRefresh=5,key="""&amp;F67&amp;"·"&amp;L67&amp;""&amp;"·减伤"""&amp;",},"</f>
        <v>{nClass=14,nIcon=18829,nFrame=7,szName="浩气·郑鸥·退场·易伤30%",nTime=10,nRefresh=5,key="谢渊·郑鸥·减伤",},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39"/>
      <c r="AB67" s="36"/>
      <c r="AC67" s="36"/>
      <c r="AD67" s="36"/>
      <c r="AE67" s="36"/>
      <c r="AF67" s="36"/>
      <c r="AG67" s="36"/>
      <c r="AH67" s="36"/>
      <c r="AI67" s="36"/>
      <c r="AJ67" s="36"/>
      <c r="AK67" s="36"/>
      <c r="AL67" s="36"/>
    </row>
    <row r="68" spans="1:38" x14ac:dyDescent="0.15">
      <c r="C68" t="s">
        <v>1446</v>
      </c>
      <c r="D68" t="s">
        <v>1453</v>
      </c>
      <c r="E68" s="36" t="str">
        <f t="shared" si="22"/>
        <v>浩气·周峰·漓水河岸·败退</v>
      </c>
      <c r="F68" t="s">
        <v>1446</v>
      </c>
      <c r="G68" s="36" t="s">
        <v>1444</v>
      </c>
      <c r="H68" t="s">
        <v>1956</v>
      </c>
      <c r="I68" s="36" t="s">
        <v>1607</v>
      </c>
      <c r="J68" t="s">
        <v>1477</v>
      </c>
      <c r="K68" s="36" t="s">
        <v>1609</v>
      </c>
      <c r="L68" t="s">
        <v>1665</v>
      </c>
      <c r="M68" t="s">
        <v>1454</v>
      </c>
      <c r="Q68" s="36">
        <v>1</v>
      </c>
      <c r="S68" s="36">
        <v>1</v>
      </c>
      <c r="T68" s="36"/>
      <c r="V68" s="36" t="str">
        <f t="shared" ref="V68:V131" si="23">IF(ISBLANK(B68)=FALSE,IF(ISBLANK(B67),"},["&amp;B68&amp;"]={","["&amp;B68&amp;"]={"),IF(AND(ISBLANK(B68),ISBLANK(D68),ISBLANK(N68),ISBLANK(O68),OR(ISBLANK(B67)=FALSE,ISBLANK(D67)=FALSE,ISBLANK(N67)=FALSE,ISBLANK(O67)=FALSE)),"},},}",IF(ISBLANK(D68),"","{szContent="""&amp;D68&amp;""","&amp;IF(C68&lt;&gt;"","szTarget="""&amp;C68&amp;""",","")&amp;IF(E68&lt;&gt;"","szNote="""&amp;E68&amp;""",","")&amp;IF(M68&lt;&gt;"","col={"&amp;M68&amp;"},","")&amp;IF(N68&gt;0,"bSearch=true,","")&amp;IF(O68&gt;0,"bReg=true,","")&amp;"[14]={"&amp;IF(P68&gt;0,"szVoice="""&amp;P68&amp;""",","")&amp;IF(Q68&gt;0,"bTeamChannel=true,","")&amp;IF(R68&gt;0,"bWhisperChannel=true,","")&amp;IF(S68&gt;0,"bCenterAlarm=true,","")&amp;IF(T68&gt;0,"bScreenHead=true,","")&amp;IF(U68&gt;0,"bFullScreen=true,","")&amp;"},"&amp;IF(W68&lt;&gt;"","tCountdown={"&amp;_xlfn.TEXTJOIN("",TRUE,W68:AAH68)&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s="36" t="str">
        <f t="shared" si="20"/>
        <v>{nClass=14,nIcon=13,szName="谢渊·周峰·减伤",nTime=-2,key="谢渊·周峰·减伤",},</v>
      </c>
      <c r="X68" s="36" t="str">
        <f t="shared" si="21"/>
        <v>{nClass=14,nIcon=13,szName="王遗风·张一洋·减伤",nTime=-2,key="王遗风·张一洋·减伤",},</v>
      </c>
      <c r="Y68" s="36" t="str">
        <f>"{nClass=14,nIcon=18829,nFrame=7,szName="""&amp;K68&amp;"·"&amp;""&amp;""&amp;L68&amp;"·退场·易伤30%"",nTime=10,nRefresh=5,key="""&amp;F68&amp;"·"&amp;L68&amp;""&amp;"·减伤"""&amp;",},"</f>
        <v>{nClass=14,nIcon=18829,nFrame=7,szName="浩气·周峰·退场·易伤30%",nTime=10,nRefresh=5,key="谢渊·周峰·减伤",},</v>
      </c>
      <c r="Z68" s="36"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39"/>
      <c r="AB68" s="36"/>
      <c r="AC68" s="36"/>
      <c r="AD68" s="36"/>
      <c r="AE68" s="36"/>
      <c r="AF68" s="36"/>
      <c r="AG68" s="36"/>
      <c r="AH68" s="36"/>
      <c r="AI68" s="36"/>
      <c r="AJ68" s="36"/>
      <c r="AK68" s="36"/>
      <c r="AL68" s="36"/>
    </row>
    <row r="69" spans="1:38" s="36" customFormat="1" x14ac:dyDescent="0.15">
      <c r="C69" s="36" t="s">
        <v>2185</v>
      </c>
      <c r="D69" s="43" t="s">
        <v>2516</v>
      </c>
      <c r="E69" s="36" t="s">
        <v>2517</v>
      </c>
      <c r="M69" s="36" t="s">
        <v>1565</v>
      </c>
      <c r="V69"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s="36" t="s">
        <v>2518</v>
      </c>
      <c r="X69" s="36" t="s">
        <v>2638</v>
      </c>
      <c r="AA69" s="39"/>
    </row>
    <row r="70" spans="1:38" s="36" customFormat="1" x14ac:dyDescent="0.15">
      <c r="C70" s="36" t="s">
        <v>2185</v>
      </c>
      <c r="D70" s="43" t="s">
        <v>2514</v>
      </c>
      <c r="E70" s="36" t="s">
        <v>2512</v>
      </c>
      <c r="M70" s="36" t="s">
        <v>1438</v>
      </c>
      <c r="V70"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s="36" t="s">
        <v>2519</v>
      </c>
      <c r="AA70" s="39"/>
    </row>
    <row r="71" spans="1:38" s="36" customFormat="1" x14ac:dyDescent="0.15">
      <c r="C71" s="36" t="s">
        <v>2185</v>
      </c>
      <c r="D71" s="43" t="s">
        <v>2515</v>
      </c>
      <c r="E71" s="36" t="s">
        <v>2513</v>
      </c>
      <c r="M71" s="36" t="s">
        <v>1565</v>
      </c>
      <c r="V71"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s="36" t="s">
        <v>2520</v>
      </c>
      <c r="AA71" s="39"/>
    </row>
    <row r="72" spans="1:38" x14ac:dyDescent="0.15">
      <c r="A72" t="s">
        <v>9</v>
      </c>
      <c r="B72">
        <v>27</v>
      </c>
      <c r="T72" s="36"/>
      <c r="V72" s="36" t="str">
        <f t="shared" si="23"/>
        <v>},[27]={</v>
      </c>
    </row>
    <row r="73" spans="1:38" s="36" customFormat="1" x14ac:dyDescent="0.15">
      <c r="C73" s="36" t="s">
        <v>1444</v>
      </c>
      <c r="D73" s="36" t="s">
        <v>1899</v>
      </c>
      <c r="M73" s="36" t="s">
        <v>1486</v>
      </c>
      <c r="O73" s="36">
        <v>1</v>
      </c>
      <c r="V73" s="36" t="str">
        <f t="shared" si="23"/>
        <v>{szContent="(.-)的“(.-)”在(.-)插下了宣战令旗，简直是对(.-)的侮辱！谁去摧毁它，必有重赏！",szTarget="王遗风",col={255,100,100,},bReg=true,[14]={},tCountdown={{nClass=14,nIcon=591,nFrame=7,szName="{$1}战书·{$3}·{$2}",nTime=10,key="宣战战书",},},},</v>
      </c>
      <c r="W73" s="36" t="s">
        <v>1898</v>
      </c>
    </row>
    <row r="74" spans="1:38" s="36" customFormat="1" x14ac:dyDescent="0.15">
      <c r="C74" s="36" t="s">
        <v>1717</v>
      </c>
      <c r="D74" s="36" t="s">
        <v>1435</v>
      </c>
      <c r="E74" s="36" t="str">
        <f>K74&amp;"·"&amp;L74&amp;"·"&amp;H74&amp;"·"&amp;"败退"</f>
        <v>恶人·顾延恶·平安客栈·败退</v>
      </c>
      <c r="F74" s="36" t="s">
        <v>1444</v>
      </c>
      <c r="G74" s="36" t="s">
        <v>1446</v>
      </c>
      <c r="H74" s="36" t="s">
        <v>1482</v>
      </c>
      <c r="I74" s="36" t="s">
        <v>1609</v>
      </c>
      <c r="J74" s="36" t="s">
        <v>1469</v>
      </c>
      <c r="K74" s="36" t="s">
        <v>1607</v>
      </c>
      <c r="L74" s="36" t="s">
        <v>1474</v>
      </c>
      <c r="M74" s="36" t="s">
        <v>1486</v>
      </c>
      <c r="N74" s="36">
        <v>1</v>
      </c>
      <c r="S74" s="36">
        <v>1</v>
      </c>
      <c r="V74"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s="36" t="str">
        <f t="shared" ref="W74:W89" si="24">"{nClass=14,nIcon=13,szName="""&amp;F74&amp;"·"&amp;L74&amp;"·减伤"""&amp;",nTime=-2,key="""&amp;F74&amp;"·"&amp;L74&amp;"·减伤"""&amp;",},"</f>
        <v>{nClass=14,nIcon=13,szName="王遗风·顾延恶·减伤",nTime=-2,key="王遗风·顾延恶·减伤",},</v>
      </c>
      <c r="X74" s="36" t="str">
        <f t="shared" ref="X74:X89" si="25">"{nClass=14,nIcon=13,szName="""&amp;""&amp;G74&amp;"·"&amp;""&amp;J74&amp;"·减伤"""&amp;",nTime=-2,key="""&amp;""&amp;G74&amp;"·"&amp;""&amp;J74&amp;"·减伤"""&amp;",},"</f>
        <v>{nClass=14,nIcon=13,szName="谢渊·谢烟客·减伤",nTime=-2,key="谢渊·谢烟客·减伤",},</v>
      </c>
      <c r="Y74" s="36" t="str">
        <f>"{nClass=14,nIcon=18830,nFrame=3,szName="""&amp;K74&amp;"·"&amp;""&amp;""&amp;L74&amp;"·退场·易伤30%"",nTime=10,nRefresh=5,key="""&amp;F74&amp;"·"&amp;L74&amp;""&amp;"·减伤"""&amp;",},"</f>
        <v>{nClass=14,nIcon=18830,nFrame=3,szName="恶人·顾延恶·退场·易伤30%",nTime=10,nRefresh=5,key="王遗风·顾延恶·减伤",},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spans="1:38" s="36" customFormat="1" x14ac:dyDescent="0.15">
      <c r="C75" s="36" t="s">
        <v>1979</v>
      </c>
      <c r="D75" s="36" t="s">
        <v>1435</v>
      </c>
      <c r="E75" s="36" t="str">
        <f t="shared" ref="E75:E89" si="26">K75&amp;"·"&amp;L75&amp;"·"&amp;H75&amp;"·"&amp;"败退"</f>
        <v>恶人·吕沛杰·炎狱山·败退</v>
      </c>
      <c r="F75" s="36" t="s">
        <v>1444</v>
      </c>
      <c r="G75" s="36" t="s">
        <v>1446</v>
      </c>
      <c r="H75" s="36" t="s">
        <v>1483</v>
      </c>
      <c r="I75" s="36" t="s">
        <v>1609</v>
      </c>
      <c r="J75" s="36" t="s">
        <v>1471</v>
      </c>
      <c r="K75" s="36" t="s">
        <v>1607</v>
      </c>
      <c r="L75" s="36" t="s">
        <v>1475</v>
      </c>
      <c r="M75" s="36" t="s">
        <v>1486</v>
      </c>
      <c r="N75" s="36">
        <v>1</v>
      </c>
      <c r="S75" s="36">
        <v>1</v>
      </c>
      <c r="V75"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s="36" t="str">
        <f t="shared" si="24"/>
        <v>{nClass=14,nIcon=13,szName="王遗风·吕沛杰·减伤",nTime=-2,key="王遗风·吕沛杰·减伤",},</v>
      </c>
      <c r="X75" s="36" t="str">
        <f t="shared" si="25"/>
        <v>{nClass=14,nIcon=13,szName="谢渊·陶杰·减伤",nTime=-2,key="谢渊·陶杰·减伤",},</v>
      </c>
      <c r="Y75" s="36" t="str">
        <f>"{nClass=14,nIcon=18830,nFrame=3,szName="""&amp;K75&amp;"·"&amp;""&amp;""&amp;L75&amp;"·退场·易伤30%"",nTime=10,nRefresh=5,key="""&amp;F75&amp;"·"&amp;L75&amp;""&amp;"·减伤"""&amp;",},"</f>
        <v>{nClass=14,nIcon=18830,nFrame=3,szName="恶人·吕沛杰·退场·易伤30%",nTime=10,nRefresh=5,key="王遗风·吕沛杰·减伤",},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spans="1:38" s="36" customFormat="1" x14ac:dyDescent="0.15">
      <c r="C76" s="36" t="s">
        <v>1980</v>
      </c>
      <c r="D76" s="36" t="s">
        <v>1435</v>
      </c>
      <c r="E76" s="36" t="str">
        <f t="shared" si="26"/>
        <v>恶人·陶国栋·白骨陵园·败退</v>
      </c>
      <c r="F76" s="36" t="s">
        <v>1444</v>
      </c>
      <c r="G76" s="36" t="s">
        <v>1446</v>
      </c>
      <c r="H76" s="36" t="s">
        <v>1484</v>
      </c>
      <c r="I76" s="36" t="s">
        <v>1609</v>
      </c>
      <c r="J76" s="36" t="s">
        <v>1472</v>
      </c>
      <c r="K76" s="36" t="s">
        <v>1607</v>
      </c>
      <c r="L76" s="36" t="s">
        <v>1476</v>
      </c>
      <c r="M76" s="36" t="s">
        <v>1486</v>
      </c>
      <c r="N76" s="36">
        <v>1</v>
      </c>
      <c r="S76" s="36">
        <v>1</v>
      </c>
      <c r="V76"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s="36" t="str">
        <f t="shared" si="24"/>
        <v>{nClass=14,nIcon=13,szName="王遗风·陶国栋·减伤",nTime=-2,key="王遗风·陶国栋·减伤",},</v>
      </c>
      <c r="X76" s="36" t="str">
        <f t="shared" si="25"/>
        <v>{nClass=14,nIcon=13,szName="谢渊·郑鸥·减伤",nTime=-2,key="谢渊·郑鸥·减伤",},</v>
      </c>
      <c r="Y76" s="36" t="str">
        <f>"{nClass=14,nIcon=18830,nFrame=3,szName="""&amp;K76&amp;"·"&amp;""&amp;""&amp;L76&amp;"·退场·易伤30%"",nTime=10,nRefresh=5,key="""&amp;F76&amp;"·"&amp;L76&amp;""&amp;"·减伤"""&amp;",},"</f>
        <v>{nClass=14,nIcon=18830,nFrame=3,szName="恶人·陶国栋·退场·易伤30%",nTime=10,nRefresh=5,key="王遗风·陶国栋·减伤",},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spans="1:38" s="36" customFormat="1" x14ac:dyDescent="0.15">
      <c r="C77" s="36" t="s">
        <v>1981</v>
      </c>
      <c r="D77" s="36" t="s">
        <v>1435</v>
      </c>
      <c r="E77" s="36" t="str">
        <f t="shared" si="26"/>
        <v>恶人·张一洋·丐王坡·败退</v>
      </c>
      <c r="F77" s="36" t="s">
        <v>1444</v>
      </c>
      <c r="G77" s="36" t="s">
        <v>1446</v>
      </c>
      <c r="H77" s="36" t="s">
        <v>1485</v>
      </c>
      <c r="I77" s="36" t="s">
        <v>1609</v>
      </c>
      <c r="J77" s="36" t="s">
        <v>1473</v>
      </c>
      <c r="K77" s="36" t="s">
        <v>1607</v>
      </c>
      <c r="L77" s="36" t="s">
        <v>1477</v>
      </c>
      <c r="M77" s="36" t="s">
        <v>1486</v>
      </c>
      <c r="N77" s="36">
        <v>1</v>
      </c>
      <c r="S77" s="36">
        <v>1</v>
      </c>
      <c r="V77"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s="36" t="str">
        <f t="shared" si="24"/>
        <v>{nClass=14,nIcon=13,szName="王遗风·张一洋·减伤",nTime=-2,key="王遗风·张一洋·减伤",},</v>
      </c>
      <c r="X77" s="36" t="str">
        <f t="shared" si="25"/>
        <v>{nClass=14,nIcon=13,szName="谢渊·周峰·减伤",nTime=-2,key="谢渊·周峰·减伤",},</v>
      </c>
      <c r="Y77" s="36" t="str">
        <f>"{nClass=14,nIcon=18830,nFrame=3,szName="""&amp;K77&amp;"·"&amp;""&amp;""&amp;L77&amp;"·退场·易伤30%"",nTime=10,nRefresh=5,key="""&amp;F77&amp;"·"&amp;L77&amp;""&amp;"·减伤"""&amp;",},"</f>
        <v>{nClass=14,nIcon=18830,nFrame=3,szName="恶人·张一洋·退场·易伤30%",nTime=10,nRefresh=5,key="王遗风·张一洋·减伤",},</v>
      </c>
      <c r="Z77" s="36"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spans="1:38" s="36" customFormat="1" x14ac:dyDescent="0.15">
      <c r="C78" s="36" t="s">
        <v>1470</v>
      </c>
      <c r="D78" s="36" t="s">
        <v>1435</v>
      </c>
      <c r="E78" s="36" t="str">
        <f t="shared" si="26"/>
        <v>浩气·谢烟客·平安客栈·败退</v>
      </c>
      <c r="F78" s="36" t="s">
        <v>1446</v>
      </c>
      <c r="G78" s="36" t="s">
        <v>1444</v>
      </c>
      <c r="H78" s="36" t="s">
        <v>1482</v>
      </c>
      <c r="I78" s="36" t="s">
        <v>1607</v>
      </c>
      <c r="J78" s="36" t="s">
        <v>1474</v>
      </c>
      <c r="K78" s="36" t="s">
        <v>1609</v>
      </c>
      <c r="L78" s="36" t="s">
        <v>1469</v>
      </c>
      <c r="M78" s="36" t="s">
        <v>1454</v>
      </c>
      <c r="N78" s="36">
        <v>1</v>
      </c>
      <c r="S78" s="36">
        <v>1</v>
      </c>
      <c r="V78"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s="36" t="str">
        <f t="shared" si="24"/>
        <v>{nClass=14,nIcon=13,szName="谢渊·谢烟客·减伤",nTime=-2,key="谢渊·谢烟客·减伤",},</v>
      </c>
      <c r="X78" s="36" t="str">
        <f t="shared" si="25"/>
        <v>{nClass=14,nIcon=13,szName="王遗风·顾延恶·减伤",nTime=-2,key="王遗风·顾延恶·减伤",},</v>
      </c>
      <c r="Y78" s="36" t="str">
        <f>"{nClass=14,nIcon=18829,nFrame=7,szName="""&amp;K78&amp;"·"&amp;""&amp;""&amp;L78&amp;"·退场·易伤30%"",nTime=10,nRefresh=5,key="""&amp;F78&amp;"·"&amp;L78&amp;""&amp;"·减伤"""&amp;",},"</f>
        <v>{nClass=14,nIcon=18829,nFrame=7,szName="浩气·谢烟客·退场·易伤30%",nTime=10,nRefresh=5,key="谢渊·谢烟客·减伤",},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spans="1:38" s="36" customFormat="1" x14ac:dyDescent="0.15">
      <c r="C79" s="36" t="s">
        <v>1663</v>
      </c>
      <c r="D79" s="36" t="s">
        <v>1435</v>
      </c>
      <c r="E79" s="36" t="str">
        <f t="shared" si="26"/>
        <v>浩气·陶杰·炎狱山·败退</v>
      </c>
      <c r="F79" s="36" t="s">
        <v>1446</v>
      </c>
      <c r="G79" s="36" t="s">
        <v>1444</v>
      </c>
      <c r="H79" s="36" t="s">
        <v>1483</v>
      </c>
      <c r="I79" s="36" t="s">
        <v>1607</v>
      </c>
      <c r="J79" s="36" t="s">
        <v>1475</v>
      </c>
      <c r="K79" s="36" t="s">
        <v>1609</v>
      </c>
      <c r="L79" s="36" t="s">
        <v>1663</v>
      </c>
      <c r="M79" s="36" t="s">
        <v>1454</v>
      </c>
      <c r="N79" s="36">
        <v>1</v>
      </c>
      <c r="S79" s="36">
        <v>1</v>
      </c>
      <c r="V79"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s="36" t="str">
        <f t="shared" si="24"/>
        <v>{nClass=14,nIcon=13,szName="谢渊·陶杰·减伤",nTime=-2,key="谢渊·陶杰·减伤",},</v>
      </c>
      <c r="X79" s="36" t="str">
        <f t="shared" si="25"/>
        <v>{nClass=14,nIcon=13,szName="王遗风·吕沛杰·减伤",nTime=-2,key="王遗风·吕沛杰·减伤",},</v>
      </c>
      <c r="Y79" s="36" t="str">
        <f>"{nClass=14,nIcon=18829,nFrame=7,szName="""&amp;K79&amp;"·"&amp;""&amp;""&amp;L79&amp;"·退场·易伤30%"",nTime=10,nRefresh=5,key="""&amp;F79&amp;"·"&amp;L79&amp;""&amp;"·减伤"""&amp;",},"</f>
        <v>{nClass=14,nIcon=18829,nFrame=7,szName="浩气·陶杰·退场·易伤30%",nTime=10,nRefresh=5,key="谢渊·陶杰·减伤",},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spans="1:38" s="36" customFormat="1" x14ac:dyDescent="0.15">
      <c r="C80" s="36" t="s">
        <v>1664</v>
      </c>
      <c r="D80" s="36" t="s">
        <v>1435</v>
      </c>
      <c r="E80" s="36" t="str">
        <f t="shared" si="26"/>
        <v>浩气·郑鸥·白骨陵园·败退</v>
      </c>
      <c r="F80" s="36" t="s">
        <v>1446</v>
      </c>
      <c r="G80" s="36" t="s">
        <v>1444</v>
      </c>
      <c r="H80" s="36" t="s">
        <v>1484</v>
      </c>
      <c r="I80" s="36" t="s">
        <v>1607</v>
      </c>
      <c r="J80" s="36" t="s">
        <v>1476</v>
      </c>
      <c r="K80" s="36" t="s">
        <v>1609</v>
      </c>
      <c r="L80" s="36" t="s">
        <v>1664</v>
      </c>
      <c r="M80" s="36" t="s">
        <v>1454</v>
      </c>
      <c r="N80" s="36">
        <v>1</v>
      </c>
      <c r="S80" s="36">
        <v>1</v>
      </c>
      <c r="V80"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s="36" t="str">
        <f t="shared" si="24"/>
        <v>{nClass=14,nIcon=13,szName="谢渊·郑鸥·减伤",nTime=-2,key="谢渊·郑鸥·减伤",},</v>
      </c>
      <c r="X80" s="36" t="str">
        <f t="shared" si="25"/>
        <v>{nClass=14,nIcon=13,szName="王遗风·陶国栋·减伤",nTime=-2,key="王遗风·陶国栋·减伤",},</v>
      </c>
      <c r="Y80" s="36" t="str">
        <f>"{nClass=14,nIcon=18829,nFrame=7,szName="""&amp;K80&amp;"·"&amp;""&amp;""&amp;L80&amp;"·退场·易伤30%"",nTime=10,nRefresh=5,key="""&amp;F80&amp;"·"&amp;L80&amp;""&amp;"·减伤"""&amp;",},"</f>
        <v>{nClass=14,nIcon=18829,nFrame=7,szName="浩气·郑鸥·退场·易伤30%",nTime=10,nRefresh=5,key="谢渊·郑鸥·减伤",},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spans="1:38" s="36" customFormat="1" x14ac:dyDescent="0.15">
      <c r="C81" s="36" t="s">
        <v>1665</v>
      </c>
      <c r="D81" s="36" t="s">
        <v>1435</v>
      </c>
      <c r="E81" s="36" t="str">
        <f t="shared" si="26"/>
        <v>浩气·周峰·丐王坡·败退</v>
      </c>
      <c r="F81" s="36" t="s">
        <v>1446</v>
      </c>
      <c r="G81" s="36" t="s">
        <v>1444</v>
      </c>
      <c r="H81" s="36" t="s">
        <v>1485</v>
      </c>
      <c r="I81" s="36" t="s">
        <v>1607</v>
      </c>
      <c r="J81" s="36" t="s">
        <v>1477</v>
      </c>
      <c r="K81" s="36" t="s">
        <v>1609</v>
      </c>
      <c r="L81" s="36" t="s">
        <v>1665</v>
      </c>
      <c r="M81" s="36" t="s">
        <v>1454</v>
      </c>
      <c r="N81" s="36">
        <v>1</v>
      </c>
      <c r="S81" s="36">
        <v>1</v>
      </c>
      <c r="V81"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s="36" t="str">
        <f t="shared" si="24"/>
        <v>{nClass=14,nIcon=13,szName="谢渊·周峰·减伤",nTime=-2,key="谢渊·周峰·减伤",},</v>
      </c>
      <c r="X81" s="36" t="str">
        <f t="shared" si="25"/>
        <v>{nClass=14,nIcon=13,szName="王遗风·张一洋·减伤",nTime=-2,key="王遗风·张一洋·减伤",},</v>
      </c>
      <c r="Y81" s="36" t="str">
        <f>"{nClass=14,nIcon=18829,nFrame=7,szName="""&amp;K81&amp;"·"&amp;""&amp;""&amp;L81&amp;"·退场·易伤30%"",nTime=10,nRefresh=5,key="""&amp;F81&amp;"·"&amp;L81&amp;""&amp;"·减伤"""&amp;",},"</f>
        <v>{nClass=14,nIcon=18829,nFrame=7,szName="浩气·周峰·退场·易伤30%",nTime=10,nRefresh=5,key="谢渊·周峰·减伤",},</v>
      </c>
      <c r="Z81" s="36"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38" x14ac:dyDescent="0.15">
      <c r="C82" t="s">
        <v>1444</v>
      </c>
      <c r="D82" t="s">
        <v>1442</v>
      </c>
      <c r="E82" s="36" t="str">
        <f t="shared" si="26"/>
        <v>恶人·顾延恶·平安客栈·败退</v>
      </c>
      <c r="F82" t="s">
        <v>1444</v>
      </c>
      <c r="G82" s="36" t="s">
        <v>1446</v>
      </c>
      <c r="H82" t="s">
        <v>1482</v>
      </c>
      <c r="I82" s="36" t="s">
        <v>1609</v>
      </c>
      <c r="J82" t="s">
        <v>1469</v>
      </c>
      <c r="K82" s="36" t="s">
        <v>1607</v>
      </c>
      <c r="L82" t="s">
        <v>1474</v>
      </c>
      <c r="M82" t="s">
        <v>1486</v>
      </c>
      <c r="Q82">
        <v>1</v>
      </c>
      <c r="S82" s="36">
        <v>1</v>
      </c>
      <c r="T82" s="36"/>
      <c r="V82"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s="36" t="str">
        <f t="shared" si="24"/>
        <v>{nClass=14,nIcon=13,szName="王遗风·顾延恶·减伤",nTime=-2,key="王遗风·顾延恶·减伤",},</v>
      </c>
      <c r="X82" s="36" t="str">
        <f t="shared" si="25"/>
        <v>{nClass=14,nIcon=13,szName="谢渊·谢烟客·减伤",nTime=-2,key="谢渊·谢烟客·减伤",},</v>
      </c>
      <c r="Y82" s="36" t="str">
        <f>"{nClass=14,nIcon=18830,nFrame=3,szName="""&amp;K82&amp;"·"&amp;""&amp;""&amp;L82&amp;"·退场·易伤30%"",nTime=10,nRefresh=5,key="""&amp;F82&amp;"·"&amp;L82&amp;""&amp;"·减伤"""&amp;",},"</f>
        <v>{nClass=14,nIcon=18830,nFrame=3,szName="恶人·顾延恶·退场·易伤30%",nTime=10,nRefresh=5,key="王遗风·顾延恶·减伤",},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39"/>
      <c r="AB82" s="36"/>
      <c r="AC82" s="36"/>
      <c r="AD82" s="36"/>
      <c r="AE82" s="36"/>
      <c r="AF82" s="36"/>
      <c r="AG82" s="36"/>
      <c r="AH82" s="36"/>
      <c r="AI82" s="36"/>
      <c r="AJ82" s="36"/>
      <c r="AK82" s="36"/>
      <c r="AL82" s="36"/>
    </row>
    <row r="83" spans="1:38" x14ac:dyDescent="0.15">
      <c r="C83" t="s">
        <v>1444</v>
      </c>
      <c r="D83" t="s">
        <v>1447</v>
      </c>
      <c r="E83" s="36" t="str">
        <f t="shared" si="26"/>
        <v>恶人·吕沛杰·炎狱山·败退</v>
      </c>
      <c r="F83" t="s">
        <v>1444</v>
      </c>
      <c r="G83" s="36" t="s">
        <v>1446</v>
      </c>
      <c r="H83" t="s">
        <v>1483</v>
      </c>
      <c r="I83" s="36" t="s">
        <v>1609</v>
      </c>
      <c r="J83" t="s">
        <v>1471</v>
      </c>
      <c r="K83" s="36" t="s">
        <v>1607</v>
      </c>
      <c r="L83" t="s">
        <v>1475</v>
      </c>
      <c r="M83" t="s">
        <v>1486</v>
      </c>
      <c r="Q83" s="36">
        <v>1</v>
      </c>
      <c r="S83" s="36">
        <v>1</v>
      </c>
      <c r="T83" s="36"/>
      <c r="V83"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s="36" t="str">
        <f t="shared" si="24"/>
        <v>{nClass=14,nIcon=13,szName="王遗风·吕沛杰·减伤",nTime=-2,key="王遗风·吕沛杰·减伤",},</v>
      </c>
      <c r="X83" s="36" t="str">
        <f t="shared" si="25"/>
        <v>{nClass=14,nIcon=13,szName="谢渊·陶杰·减伤",nTime=-2,key="谢渊·陶杰·减伤",},</v>
      </c>
      <c r="Y83" s="36" t="str">
        <f>"{nClass=14,nIcon=18830,nFrame=3,szName="""&amp;K83&amp;"·"&amp;""&amp;""&amp;L83&amp;"·退场·易伤30%"",nTime=10,nRefresh=5,key="""&amp;F83&amp;"·"&amp;L83&amp;""&amp;"·减伤"""&amp;",},"</f>
        <v>{nClass=14,nIcon=18830,nFrame=3,szName="恶人·吕沛杰·退场·易伤30%",nTime=10,nRefresh=5,key="王遗风·吕沛杰·减伤",},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39"/>
      <c r="AB83" s="36"/>
      <c r="AC83" s="36"/>
      <c r="AD83" s="36"/>
      <c r="AE83" s="36"/>
      <c r="AF83" s="36"/>
      <c r="AG83" s="36"/>
      <c r="AH83" s="36"/>
      <c r="AI83" s="36"/>
      <c r="AJ83" s="36"/>
      <c r="AK83" s="36"/>
      <c r="AL83" s="36"/>
    </row>
    <row r="84" spans="1:38" x14ac:dyDescent="0.15">
      <c r="C84" t="s">
        <v>1444</v>
      </c>
      <c r="D84" t="s">
        <v>1448</v>
      </c>
      <c r="E84" s="36" t="str">
        <f t="shared" si="26"/>
        <v>恶人·陶国栋·白骨陵园·败退</v>
      </c>
      <c r="F84" t="s">
        <v>1444</v>
      </c>
      <c r="G84" s="36" t="s">
        <v>1446</v>
      </c>
      <c r="H84" t="s">
        <v>1484</v>
      </c>
      <c r="I84" s="36" t="s">
        <v>1609</v>
      </c>
      <c r="J84" t="s">
        <v>1472</v>
      </c>
      <c r="K84" s="36" t="s">
        <v>1607</v>
      </c>
      <c r="L84" t="s">
        <v>1476</v>
      </c>
      <c r="M84" t="s">
        <v>1486</v>
      </c>
      <c r="Q84" s="36">
        <v>1</v>
      </c>
      <c r="S84" s="36">
        <v>1</v>
      </c>
      <c r="T84" s="36"/>
      <c r="V84"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s="36" t="str">
        <f t="shared" si="24"/>
        <v>{nClass=14,nIcon=13,szName="王遗风·陶国栋·减伤",nTime=-2,key="王遗风·陶国栋·减伤",},</v>
      </c>
      <c r="X84" s="36" t="str">
        <f t="shared" si="25"/>
        <v>{nClass=14,nIcon=13,szName="谢渊·郑鸥·减伤",nTime=-2,key="谢渊·郑鸥·减伤",},</v>
      </c>
      <c r="Y84" s="36" t="str">
        <f>"{nClass=14,nIcon=18830,nFrame=3,szName="""&amp;K84&amp;"·"&amp;""&amp;""&amp;L84&amp;"·退场·易伤30%"",nTime=10,nRefresh=5,key="""&amp;F84&amp;"·"&amp;L84&amp;""&amp;"·减伤"""&amp;",},"</f>
        <v>{nClass=14,nIcon=18830,nFrame=3,szName="恶人·陶国栋·退场·易伤30%",nTime=10,nRefresh=5,key="王遗风·陶国栋·减伤",},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39"/>
      <c r="AB84" s="36"/>
      <c r="AC84" s="36"/>
      <c r="AD84" s="36"/>
      <c r="AE84" s="36"/>
      <c r="AF84" s="36"/>
      <c r="AG84" s="36"/>
      <c r="AH84" s="36"/>
      <c r="AI84" s="36"/>
      <c r="AJ84" s="36"/>
      <c r="AK84" s="36"/>
      <c r="AL84" s="36"/>
    </row>
    <row r="85" spans="1:38" x14ac:dyDescent="0.15">
      <c r="C85" t="s">
        <v>1444</v>
      </c>
      <c r="D85" t="s">
        <v>1449</v>
      </c>
      <c r="E85" s="36" t="str">
        <f t="shared" si="26"/>
        <v>恶人·张一洋·丐王坡·败退</v>
      </c>
      <c r="F85" t="s">
        <v>1444</v>
      </c>
      <c r="G85" s="36" t="s">
        <v>1446</v>
      </c>
      <c r="H85" t="s">
        <v>1485</v>
      </c>
      <c r="I85" s="36" t="s">
        <v>1609</v>
      </c>
      <c r="J85" t="s">
        <v>1473</v>
      </c>
      <c r="K85" s="36" t="s">
        <v>1607</v>
      </c>
      <c r="L85" t="s">
        <v>1477</v>
      </c>
      <c r="M85" t="s">
        <v>1486</v>
      </c>
      <c r="Q85" s="36">
        <v>1</v>
      </c>
      <c r="S85" s="36">
        <v>1</v>
      </c>
      <c r="T85" s="36"/>
      <c r="V85"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s="36" t="str">
        <f t="shared" si="24"/>
        <v>{nClass=14,nIcon=13,szName="王遗风·张一洋·减伤",nTime=-2,key="王遗风·张一洋·减伤",},</v>
      </c>
      <c r="X85" s="36" t="str">
        <f t="shared" si="25"/>
        <v>{nClass=14,nIcon=13,szName="谢渊·周峰·减伤",nTime=-2,key="谢渊·周峰·减伤",},</v>
      </c>
      <c r="Y85" s="36" t="str">
        <f>"{nClass=14,nIcon=18830,nFrame=3,szName="""&amp;K85&amp;"·"&amp;""&amp;""&amp;L85&amp;"·退场·易伤30%"",nTime=10,nRefresh=5,key="""&amp;F85&amp;"·"&amp;L85&amp;""&amp;"·减伤"""&amp;",},"</f>
        <v>{nClass=14,nIcon=18830,nFrame=3,szName="恶人·张一洋·退场·易伤30%",nTime=10,nRefresh=5,key="王遗风·张一洋·减伤",},</v>
      </c>
      <c r="Z85" s="36"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39"/>
      <c r="AB85" s="36"/>
      <c r="AC85" s="36"/>
      <c r="AD85" s="36"/>
      <c r="AE85" s="36"/>
      <c r="AF85" s="36"/>
      <c r="AG85" s="36"/>
      <c r="AH85" s="36"/>
      <c r="AI85" s="36"/>
      <c r="AJ85" s="36"/>
      <c r="AK85" s="36"/>
      <c r="AL85" s="36"/>
    </row>
    <row r="86" spans="1:38" x14ac:dyDescent="0.15">
      <c r="C86" t="s">
        <v>1446</v>
      </c>
      <c r="D86" t="s">
        <v>1450</v>
      </c>
      <c r="E86" s="36" t="str">
        <f t="shared" si="26"/>
        <v>浩气·谢烟客·平安客栈·败退</v>
      </c>
      <c r="F86" t="s">
        <v>1446</v>
      </c>
      <c r="G86" s="36" t="s">
        <v>1444</v>
      </c>
      <c r="H86" t="s">
        <v>1482</v>
      </c>
      <c r="I86" s="36" t="s">
        <v>1607</v>
      </c>
      <c r="J86" t="s">
        <v>1474</v>
      </c>
      <c r="K86" s="36" t="s">
        <v>1609</v>
      </c>
      <c r="L86" t="s">
        <v>1469</v>
      </c>
      <c r="M86" t="s">
        <v>1454</v>
      </c>
      <c r="Q86" s="36">
        <v>1</v>
      </c>
      <c r="S86" s="36">
        <v>1</v>
      </c>
      <c r="T86" s="36"/>
      <c r="V86"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s="36" t="str">
        <f t="shared" si="24"/>
        <v>{nClass=14,nIcon=13,szName="谢渊·谢烟客·减伤",nTime=-2,key="谢渊·谢烟客·减伤",},</v>
      </c>
      <c r="X86" s="36" t="str">
        <f t="shared" si="25"/>
        <v>{nClass=14,nIcon=13,szName="王遗风·顾延恶·减伤",nTime=-2,key="王遗风·顾延恶·减伤",},</v>
      </c>
      <c r="Y86" s="36" t="str">
        <f>"{nClass=14,nIcon=18829,nFrame=7,szName="""&amp;K86&amp;"·"&amp;""&amp;""&amp;L86&amp;"·退场·易伤30%"",nTime=10,nRefresh=5,key="""&amp;F86&amp;"·"&amp;L86&amp;""&amp;"·减伤"""&amp;",},"</f>
        <v>{nClass=14,nIcon=18829,nFrame=7,szName="浩气·谢烟客·退场·易伤30%",nTime=10,nRefresh=5,key="谢渊·谢烟客·减伤",},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39"/>
      <c r="AB86" s="36"/>
      <c r="AC86" s="36"/>
      <c r="AD86" s="36"/>
      <c r="AE86" s="36"/>
      <c r="AF86" s="36"/>
      <c r="AG86" s="36"/>
      <c r="AH86" s="36"/>
      <c r="AI86" s="36"/>
      <c r="AJ86" s="36"/>
      <c r="AK86" s="36"/>
      <c r="AL86" s="36"/>
    </row>
    <row r="87" spans="1:38" x14ac:dyDescent="0.15">
      <c r="C87" t="s">
        <v>1446</v>
      </c>
      <c r="D87" t="s">
        <v>1451</v>
      </c>
      <c r="E87" s="36" t="str">
        <f t="shared" si="26"/>
        <v>浩气·陶杰·炎狱山·败退</v>
      </c>
      <c r="F87" t="s">
        <v>1446</v>
      </c>
      <c r="G87" s="36" t="s">
        <v>1444</v>
      </c>
      <c r="H87" t="s">
        <v>1483</v>
      </c>
      <c r="I87" s="36" t="s">
        <v>1607</v>
      </c>
      <c r="J87" t="s">
        <v>1475</v>
      </c>
      <c r="K87" s="36" t="s">
        <v>1609</v>
      </c>
      <c r="L87" t="s">
        <v>1663</v>
      </c>
      <c r="M87" t="s">
        <v>1454</v>
      </c>
      <c r="Q87" s="36">
        <v>1</v>
      </c>
      <c r="S87" s="36">
        <v>1</v>
      </c>
      <c r="T87" s="36"/>
      <c r="V87"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s="36" t="str">
        <f t="shared" si="24"/>
        <v>{nClass=14,nIcon=13,szName="谢渊·陶杰·减伤",nTime=-2,key="谢渊·陶杰·减伤",},</v>
      </c>
      <c r="X87" s="36" t="str">
        <f t="shared" si="25"/>
        <v>{nClass=14,nIcon=13,szName="王遗风·吕沛杰·减伤",nTime=-2,key="王遗风·吕沛杰·减伤",},</v>
      </c>
      <c r="Y87" s="36" t="str">
        <f>"{nClass=14,nIcon=18829,nFrame=7,szName="""&amp;K87&amp;"·"&amp;""&amp;""&amp;L87&amp;"·退场·易伤30%"",nTime=10,nRefresh=5,key="""&amp;F87&amp;"·"&amp;L87&amp;""&amp;"·减伤"""&amp;",},"</f>
        <v>{nClass=14,nIcon=18829,nFrame=7,szName="浩气·陶杰·退场·易伤30%",nTime=10,nRefresh=5,key="谢渊·陶杰·减伤",},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39"/>
      <c r="AB87" s="36"/>
      <c r="AC87" s="36"/>
      <c r="AD87" s="36"/>
      <c r="AE87" s="36"/>
      <c r="AF87" s="36"/>
      <c r="AG87" s="36"/>
      <c r="AH87" s="36"/>
      <c r="AI87" s="36"/>
      <c r="AJ87" s="36"/>
      <c r="AK87" s="36"/>
      <c r="AL87" s="36"/>
    </row>
    <row r="88" spans="1:38" x14ac:dyDescent="0.15">
      <c r="C88" t="s">
        <v>1446</v>
      </c>
      <c r="D88" t="s">
        <v>1452</v>
      </c>
      <c r="E88" s="36" t="str">
        <f t="shared" si="26"/>
        <v>浩气·郑鸥·白骨陵园·败退</v>
      </c>
      <c r="F88" t="s">
        <v>1446</v>
      </c>
      <c r="G88" s="36" t="s">
        <v>1444</v>
      </c>
      <c r="H88" t="s">
        <v>1484</v>
      </c>
      <c r="I88" s="36" t="s">
        <v>1607</v>
      </c>
      <c r="J88" t="s">
        <v>1476</v>
      </c>
      <c r="K88" s="36" t="s">
        <v>1609</v>
      </c>
      <c r="L88" t="s">
        <v>1664</v>
      </c>
      <c r="M88" t="s">
        <v>1454</v>
      </c>
      <c r="Q88" s="36">
        <v>1</v>
      </c>
      <c r="S88" s="36">
        <v>1</v>
      </c>
      <c r="T88" s="36"/>
      <c r="V88"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s="36" t="str">
        <f t="shared" si="24"/>
        <v>{nClass=14,nIcon=13,szName="谢渊·郑鸥·减伤",nTime=-2,key="谢渊·郑鸥·减伤",},</v>
      </c>
      <c r="X88" s="36" t="str">
        <f t="shared" si="25"/>
        <v>{nClass=14,nIcon=13,szName="王遗风·陶国栋·减伤",nTime=-2,key="王遗风·陶国栋·减伤",},</v>
      </c>
      <c r="Y88" s="36" t="str">
        <f>"{nClass=14,nIcon=18829,nFrame=7,szName="""&amp;K88&amp;"·"&amp;""&amp;""&amp;L88&amp;"·退场·易伤30%"",nTime=10,nRefresh=5,key="""&amp;F88&amp;"·"&amp;L88&amp;""&amp;"·减伤"""&amp;",},"</f>
        <v>{nClass=14,nIcon=18829,nFrame=7,szName="浩气·郑鸥·退场·易伤30%",nTime=10,nRefresh=5,key="谢渊·郑鸥·减伤",},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39"/>
      <c r="AB88" s="36"/>
      <c r="AC88" s="36"/>
      <c r="AD88" s="36"/>
      <c r="AE88" s="36"/>
      <c r="AF88" s="36"/>
      <c r="AG88" s="36"/>
      <c r="AH88" s="36"/>
      <c r="AI88" s="36"/>
      <c r="AJ88" s="36"/>
      <c r="AK88" s="36"/>
      <c r="AL88" s="36"/>
    </row>
    <row r="89" spans="1:38" x14ac:dyDescent="0.15">
      <c r="C89" t="s">
        <v>1446</v>
      </c>
      <c r="D89" t="s">
        <v>1453</v>
      </c>
      <c r="E89" s="36" t="str">
        <f t="shared" si="26"/>
        <v>浩气·周峰·丐王坡·败退</v>
      </c>
      <c r="F89" t="s">
        <v>1446</v>
      </c>
      <c r="G89" s="36" t="s">
        <v>1444</v>
      </c>
      <c r="H89" t="s">
        <v>1485</v>
      </c>
      <c r="I89" s="36" t="s">
        <v>1607</v>
      </c>
      <c r="J89" t="s">
        <v>1477</v>
      </c>
      <c r="K89" s="36" t="s">
        <v>1609</v>
      </c>
      <c r="L89" t="s">
        <v>1665</v>
      </c>
      <c r="M89" t="s">
        <v>1454</v>
      </c>
      <c r="Q89" s="36">
        <v>1</v>
      </c>
      <c r="S89" s="36">
        <v>1</v>
      </c>
      <c r="T89" s="36"/>
      <c r="V89"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s="36" t="str">
        <f t="shared" si="24"/>
        <v>{nClass=14,nIcon=13,szName="谢渊·周峰·减伤",nTime=-2,key="谢渊·周峰·减伤",},</v>
      </c>
      <c r="X89" s="36" t="str">
        <f t="shared" si="25"/>
        <v>{nClass=14,nIcon=13,szName="王遗风·张一洋·减伤",nTime=-2,key="王遗风·张一洋·减伤",},</v>
      </c>
      <c r="Y89" s="36" t="str">
        <f>"{nClass=14,nIcon=18829,nFrame=7,szName="""&amp;K89&amp;"·"&amp;""&amp;""&amp;L89&amp;"·退场·易伤30%"",nTime=10,nRefresh=5,key="""&amp;F89&amp;"·"&amp;L89&amp;""&amp;"·减伤"""&amp;",},"</f>
        <v>{nClass=14,nIcon=18829,nFrame=7,szName="浩气·周峰·退场·易伤30%",nTime=10,nRefresh=5,key="谢渊·周峰·减伤",},</v>
      </c>
      <c r="Z89" s="36"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39"/>
      <c r="AB89" s="36"/>
      <c r="AC89" s="36"/>
      <c r="AD89" s="36"/>
      <c r="AE89" s="36"/>
      <c r="AF89" s="36"/>
      <c r="AG89" s="36"/>
      <c r="AH89" s="36"/>
      <c r="AI89" s="36"/>
      <c r="AJ89" s="36"/>
      <c r="AK89" s="36"/>
      <c r="AL89" s="36"/>
    </row>
    <row r="90" spans="1:38" s="36" customFormat="1" x14ac:dyDescent="0.15">
      <c r="C90" s="36" t="s">
        <v>2185</v>
      </c>
      <c r="D90" s="43" t="s">
        <v>2521</v>
      </c>
      <c r="E90" s="36" t="s">
        <v>2517</v>
      </c>
      <c r="M90" s="36" t="s">
        <v>1565</v>
      </c>
      <c r="V90"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s="36" t="s">
        <v>2518</v>
      </c>
      <c r="X90" s="36" t="s">
        <v>2638</v>
      </c>
      <c r="AA90" s="39"/>
    </row>
    <row r="91" spans="1:38" s="36" customFormat="1" x14ac:dyDescent="0.15">
      <c r="C91" s="36" t="s">
        <v>2185</v>
      </c>
      <c r="D91" s="43" t="s">
        <v>2514</v>
      </c>
      <c r="E91" s="36" t="s">
        <v>2512</v>
      </c>
      <c r="M91" s="36" t="s">
        <v>1438</v>
      </c>
      <c r="V91"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s="36" t="s">
        <v>2522</v>
      </c>
      <c r="AA91" s="39"/>
    </row>
    <row r="92" spans="1:38" s="36" customFormat="1" x14ac:dyDescent="0.15">
      <c r="C92" s="36" t="s">
        <v>2185</v>
      </c>
      <c r="D92" s="43" t="s">
        <v>2515</v>
      </c>
      <c r="E92" s="36" t="s">
        <v>2513</v>
      </c>
      <c r="M92" s="36" t="s">
        <v>1565</v>
      </c>
      <c r="V92"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s="36" t="s">
        <v>2523</v>
      </c>
      <c r="AA92" s="39"/>
    </row>
    <row r="93" spans="1:38" s="36" customFormat="1" x14ac:dyDescent="0.15">
      <c r="A93" s="36" t="s">
        <v>2685</v>
      </c>
      <c r="B93" s="36">
        <v>-21</v>
      </c>
      <c r="V93" s="36" t="str">
        <f t="shared" si="23"/>
        <v>},[-21]={</v>
      </c>
    </row>
    <row r="94" spans="1:38" s="36" customFormat="1" x14ac:dyDescent="0.15">
      <c r="D94" s="36" t="s">
        <v>1673</v>
      </c>
      <c r="M94" s="36" t="s">
        <v>1438</v>
      </c>
      <c r="V94" s="36" t="str">
        <f t="shared" si="23"/>
        <v>{szContent="分流活动已开启，大侠可以前往龙门荒漠接取阵营攻防前置任务",col={255,100,100,},[14]={},tCountdown={{nClass=14,nIcon=3536,nFrame=3,szName="龙门·攻防前置分流",nTime=30,nRefresh=1800,key="分流活动",},},},</v>
      </c>
      <c r="W94" s="36" t="s">
        <v>2189</v>
      </c>
    </row>
    <row r="95" spans="1:38" s="36" customFormat="1" x14ac:dyDescent="0.15">
      <c r="D95" s="36" t="s">
        <v>1672</v>
      </c>
      <c r="M95" s="36" t="s">
        <v>1565</v>
      </c>
      <c r="V95" s="36" t="str">
        <f t="shared" si="23"/>
        <v>{szContent="分流活动已开启，大侠可以前往巴陵县接取阵营攻防前置任务",col={100,100,255,},[14]={},tCountdown={{nClass=14,nIcon=3536,nFrame=7,szName="巴陵·攻防前置分流",nTime=30,nRefresh=1800,key="分流活动",},},},</v>
      </c>
      <c r="W95" s="36" t="s">
        <v>2190</v>
      </c>
    </row>
    <row r="96" spans="1:38" s="36" customFormat="1" x14ac:dyDescent="0.15">
      <c r="A96" s="36" t="s">
        <v>1920</v>
      </c>
      <c r="B96" s="36">
        <v>-2</v>
      </c>
      <c r="V96" s="36" t="str">
        <f t="shared" si="23"/>
        <v>},[-2]={</v>
      </c>
    </row>
    <row r="97" spans="1:27" s="36" customFormat="1" x14ac:dyDescent="0.15">
      <c r="D97" s="36" t="s">
        <v>1673</v>
      </c>
      <c r="M97" s="36" t="s">
        <v>1438</v>
      </c>
      <c r="V97" s="36" t="str">
        <f t="shared" si="23"/>
        <v>{szContent="分流活动已开启，大侠可以前往龙门荒漠接取阵营攻防前置任务",col={255,100,100,},[14]={},tCountdown={{nClass=14,nIcon=3536,nFrame=3,szName="龙门·攻防前置分流",nTime=30,nRefresh=1800,key="分流活动",},},},</v>
      </c>
      <c r="W97" s="36" t="s">
        <v>2189</v>
      </c>
    </row>
    <row r="98" spans="1:27" s="36" customFormat="1" x14ac:dyDescent="0.15">
      <c r="D98" s="36" t="s">
        <v>1672</v>
      </c>
      <c r="M98" s="36" t="s">
        <v>1565</v>
      </c>
      <c r="V98" s="36" t="str">
        <f t="shared" si="23"/>
        <v>{szContent="分流活动已开启，大侠可以前往巴陵县接取阵营攻防前置任务",col={100,100,255,},[14]={},tCountdown={{nClass=14,nIcon=3536,nFrame=7,szName="巴陵·攻防前置分流",nTime=30,nRefresh=1800,key="分流活动",},},},</v>
      </c>
      <c r="W98" s="36" t="s">
        <v>2190</v>
      </c>
    </row>
    <row r="99" spans="1:27" x14ac:dyDescent="0.15">
      <c r="A99" t="s">
        <v>1529</v>
      </c>
      <c r="B99">
        <v>-7</v>
      </c>
      <c r="T99" s="36"/>
      <c r="V99" s="36" t="str">
        <f t="shared" si="23"/>
        <v>},[-7]={</v>
      </c>
    </row>
    <row r="100" spans="1:27" s="36" customFormat="1" x14ac:dyDescent="0.15">
      <c r="D100" s="36" t="s">
        <v>1673</v>
      </c>
      <c r="M100" s="36" t="s">
        <v>1438</v>
      </c>
      <c r="V100" s="36" t="str">
        <f t="shared" si="23"/>
        <v>{szContent="分流活动已开启，大侠可以前往龙门荒漠接取阵营攻防前置任务",col={255,100,100,},[14]={},tCountdown={{nClass=14,nIcon=3536,nFrame=3,szName="龙门·攻防前置分流",nTime=30,nRefresh=1800,key="分流活动",},},},</v>
      </c>
      <c r="W100" s="36" t="s">
        <v>2189</v>
      </c>
    </row>
    <row r="101" spans="1:27" s="36" customFormat="1" x14ac:dyDescent="0.15">
      <c r="D101" s="36" t="s">
        <v>1672</v>
      </c>
      <c r="M101" s="36" t="s">
        <v>1565</v>
      </c>
      <c r="V101" s="36" t="str">
        <f t="shared" si="23"/>
        <v>{szContent="分流活动已开启，大侠可以前往巴陵县接取阵营攻防前置任务",col={100,100,255,},[14]={},tCountdown={{nClass=14,nIcon=3536,nFrame=7,szName="巴陵·攻防前置分流",nTime=30,nRefresh=1800,key="分流活动",},},},</v>
      </c>
      <c r="W101" s="36" t="s">
        <v>2190</v>
      </c>
    </row>
    <row r="102" spans="1:27" s="36" customFormat="1" x14ac:dyDescent="0.15">
      <c r="A102" s="36" t="s">
        <v>2680</v>
      </c>
      <c r="B102" s="36">
        <v>-20</v>
      </c>
      <c r="V102" s="36" t="str">
        <f t="shared" si="23"/>
        <v>},[-20]={</v>
      </c>
    </row>
    <row r="103" spans="1:27" s="36" customFormat="1" x14ac:dyDescent="0.15">
      <c r="D103" s="36" t="s">
        <v>2585</v>
      </c>
      <c r="E103" s="36" t="s">
        <v>2586</v>
      </c>
      <c r="M103" s="36" t="s">
        <v>2497</v>
      </c>
      <c r="S103" s="36">
        <v>1</v>
      </c>
      <c r="V103"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3" s="36" t="s">
        <v>2587</v>
      </c>
    </row>
    <row r="104" spans="1:27" s="36" customFormat="1" x14ac:dyDescent="0.15">
      <c r="D104" s="36" t="s">
        <v>2495</v>
      </c>
      <c r="E104" s="36" t="s">
        <v>2496</v>
      </c>
      <c r="M104" s="36" t="s">
        <v>2497</v>
      </c>
      <c r="P104" s="36" t="s">
        <v>1089</v>
      </c>
      <c r="Q104" s="36">
        <v>1</v>
      </c>
      <c r="R104" s="36">
        <v>1</v>
      </c>
      <c r="S104" s="36">
        <v>1</v>
      </c>
      <c r="U104" s="36">
        <v>1</v>
      </c>
      <c r="V104"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s="36" t="s">
        <v>2498</v>
      </c>
    </row>
    <row r="105" spans="1:27" s="36" customFormat="1" x14ac:dyDescent="0.15">
      <c r="D105" s="36" t="s">
        <v>1896</v>
      </c>
      <c r="M105" s="36" t="s">
        <v>1748</v>
      </c>
      <c r="V105" s="36" t="str">
        <f t="shared" si="23"/>
        <v>{szContent="你已经离开据点，10秒内未进入据点，则据点旗帜重置。",col={255,255,100,},[14]={},tCountdown={{nClass=14,nIcon=592,nFrame=2,szName="据点大旗·重置剩余",nTime=10,key="据点大旗·旗手提示",},},},</v>
      </c>
      <c r="W105" s="36" t="s">
        <v>2718</v>
      </c>
    </row>
    <row r="106" spans="1:27" s="36" customFormat="1" x14ac:dyDescent="0.15">
      <c r="D106" s="36" t="s">
        <v>2701</v>
      </c>
      <c r="E106" s="36" t="s">
        <v>2703</v>
      </c>
      <c r="M106" s="36" t="s">
        <v>1432</v>
      </c>
      <c r="Q106" s="36">
        <v>1</v>
      </c>
      <c r="S106" s="36">
        <v>1</v>
      </c>
      <c r="V106" s="36" t="str">
        <f t="shared" si="23"/>
        <v>{szContent="身负据点大旗，当心被夺！",szNote="[{$me}]·扛起大旗",col={255,255,100,},[14]={bTeamChannel=true,bCenterAlarm=true,},tCountdown={{nClass=14,nIcon=592,nFrame=8,szName="【{$me}】·拾取大旗",nTime=30,key="拾取大旗·{$me}",},},},</v>
      </c>
      <c r="W106" s="36" t="s">
        <v>2724</v>
      </c>
    </row>
    <row r="107" spans="1:27" s="36" customFormat="1" x14ac:dyDescent="0.15">
      <c r="C107" s="36" t="s">
        <v>1431</v>
      </c>
      <c r="D107" s="36" t="s">
        <v>2591</v>
      </c>
      <c r="E107" s="36" t="s">
        <v>2592</v>
      </c>
      <c r="M107" s="36" t="s">
        <v>1432</v>
      </c>
      <c r="O107" s="36">
        <v>1</v>
      </c>
      <c r="S107" s="36">
        <v>1</v>
      </c>
      <c r="V107"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s="36" t="s">
        <v>2593</v>
      </c>
      <c r="X107" s="36" t="s">
        <v>2594</v>
      </c>
      <c r="Y107" s="36" t="s">
        <v>2595</v>
      </c>
      <c r="Z107" s="36" t="s">
        <v>2596</v>
      </c>
      <c r="AA107" s="36" t="s">
        <v>2597</v>
      </c>
    </row>
    <row r="108" spans="1:27" s="36" customFormat="1" x14ac:dyDescent="0.15">
      <c r="C108" s="36" t="s">
        <v>1431</v>
      </c>
      <c r="D108" s="36" t="s">
        <v>2499</v>
      </c>
      <c r="E108" s="36" t="s">
        <v>2500</v>
      </c>
      <c r="M108" s="36" t="s">
        <v>1432</v>
      </c>
      <c r="O108" s="36">
        <v>1</v>
      </c>
      <c r="S108" s="36">
        <v>1</v>
      </c>
      <c r="V108"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8" s="36" t="s">
        <v>2501</v>
      </c>
    </row>
    <row r="109" spans="1:27" s="36" customFormat="1" x14ac:dyDescent="0.15">
      <c r="C109" s="36" t="s">
        <v>1904</v>
      </c>
      <c r="D109" s="36" t="s">
        <v>1913</v>
      </c>
      <c r="E109" s="36" t="s">
        <v>1905</v>
      </c>
      <c r="M109" s="36" t="s">
        <v>1751</v>
      </c>
      <c r="O109" s="36">
        <v>1</v>
      </c>
      <c r="S109" s="36">
        <v>1</v>
      </c>
      <c r="T109" s="36">
        <v>1</v>
      </c>
      <c r="V109"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9" s="36" t="s">
        <v>1908</v>
      </c>
      <c r="X109" s="36" t="s">
        <v>1907</v>
      </c>
    </row>
    <row r="110" spans="1:27" s="36" customFormat="1" x14ac:dyDescent="0.15">
      <c r="C110" s="36" t="s">
        <v>1904</v>
      </c>
      <c r="D110" s="36" t="s">
        <v>1914</v>
      </c>
      <c r="M110" s="36" t="s">
        <v>1748</v>
      </c>
      <c r="O110" s="36">
        <v>1</v>
      </c>
      <c r="V110"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10" s="36" t="s">
        <v>1908</v>
      </c>
      <c r="X110" s="36" t="s">
        <v>1915</v>
      </c>
    </row>
    <row r="111" spans="1:27" s="36" customFormat="1" x14ac:dyDescent="0.15">
      <c r="C111" s="36" t="s">
        <v>1431</v>
      </c>
      <c r="D111" s="36" t="s">
        <v>2582</v>
      </c>
      <c r="E111" s="36" t="s">
        <v>2583</v>
      </c>
      <c r="M111" s="36" t="s">
        <v>2497</v>
      </c>
      <c r="S111" s="36">
        <v>1</v>
      </c>
      <c r="U111" s="36">
        <v>1</v>
      </c>
      <c r="V111"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1" s="36" t="s">
        <v>2584</v>
      </c>
    </row>
    <row r="112" spans="1:27" s="36" customFormat="1" x14ac:dyDescent="0.15">
      <c r="C112" s="36" t="s">
        <v>2185</v>
      </c>
      <c r="D112" s="36" t="s">
        <v>1578</v>
      </c>
      <c r="M112" s="36" t="s">
        <v>1565</v>
      </c>
      <c r="N112" s="36">
        <v>1</v>
      </c>
      <c r="V112"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2" s="36" t="s">
        <v>2429</v>
      </c>
      <c r="X112" s="36" t="s">
        <v>2641</v>
      </c>
    </row>
    <row r="113" spans="1:27" s="36" customFormat="1" x14ac:dyDescent="0.15">
      <c r="C113" s="36" t="s">
        <v>2185</v>
      </c>
      <c r="D113" s="36" t="s">
        <v>1579</v>
      </c>
      <c r="M113" s="36" t="s">
        <v>1438</v>
      </c>
      <c r="N113" s="36">
        <v>1</v>
      </c>
      <c r="V113"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3" s="36" t="s">
        <v>2429</v>
      </c>
      <c r="X113" s="36" t="s">
        <v>2642</v>
      </c>
    </row>
    <row r="114" spans="1:27" s="36" customFormat="1" x14ac:dyDescent="0.15">
      <c r="C114" s="36" t="s">
        <v>2185</v>
      </c>
      <c r="D114" s="36" t="s">
        <v>2485</v>
      </c>
      <c r="E114" s="36" t="s">
        <v>2486</v>
      </c>
      <c r="M114" s="36" t="s">
        <v>1748</v>
      </c>
      <c r="S114" s="36">
        <v>1</v>
      </c>
      <c r="V114"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4" s="36" t="s">
        <v>2488</v>
      </c>
      <c r="X114" s="36" t="s">
        <v>2489</v>
      </c>
      <c r="Y114" s="36" t="s">
        <v>2490</v>
      </c>
      <c r="Z114" s="36" t="s">
        <v>2492</v>
      </c>
      <c r="AA114" s="36" t="s">
        <v>2491</v>
      </c>
    </row>
    <row r="115" spans="1:27" s="36" customFormat="1" x14ac:dyDescent="0.15">
      <c r="C115" s="36" t="s">
        <v>2185</v>
      </c>
      <c r="D115" s="36" t="s">
        <v>2186</v>
      </c>
      <c r="E115" s="36" t="s">
        <v>2366</v>
      </c>
      <c r="S115" s="36">
        <v>1</v>
      </c>
      <c r="V115"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5" s="36" t="s">
        <v>2617</v>
      </c>
      <c r="X115" s="40" t="s">
        <v>2405</v>
      </c>
      <c r="Y115" s="40" t="s">
        <v>2406</v>
      </c>
    </row>
    <row r="116" spans="1:27" s="36" customFormat="1" x14ac:dyDescent="0.15">
      <c r="C116" s="36" t="s">
        <v>2188</v>
      </c>
      <c r="D116" s="36" t="s">
        <v>2363</v>
      </c>
      <c r="E116" s="36" t="s">
        <v>2364</v>
      </c>
      <c r="V116"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6" s="36" t="s">
        <v>2365</v>
      </c>
      <c r="X116" s="38" t="s">
        <v>2554</v>
      </c>
      <c r="Y116" s="38" t="s">
        <v>2555</v>
      </c>
    </row>
    <row r="117" spans="1:27" x14ac:dyDescent="0.15">
      <c r="C117" t="s">
        <v>2188</v>
      </c>
      <c r="D117" t="s">
        <v>1580</v>
      </c>
      <c r="E117" t="s">
        <v>2191</v>
      </c>
      <c r="T117" s="36"/>
      <c r="V117" s="36" t="str">
        <f t="shared" si="23"/>
        <v>{szContent="哼，打扰本大爷休息！",szTarget="狼牙先锋首领",szNote="狼牙先锋首领·刷新喊话1",[14]={},tCountdown={{nClass=14,nIcon=3556,nFrame=1,szName="狼牙先锋首领·已经刷新",nTime=10,nRefresh=120,key="狼牙先锋首领",},},},</v>
      </c>
      <c r="W117" t="s">
        <v>2187</v>
      </c>
    </row>
    <row r="118" spans="1:27" x14ac:dyDescent="0.15">
      <c r="C118" t="s">
        <v>2188</v>
      </c>
      <c r="D118" t="s">
        <v>1581</v>
      </c>
      <c r="E118" t="s">
        <v>2192</v>
      </c>
      <c r="T118" s="36"/>
      <c r="V118"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2187</v>
      </c>
      <c r="X118" s="40" t="s">
        <v>2405</v>
      </c>
      <c r="Y118" s="40" t="s">
        <v>2406</v>
      </c>
    </row>
    <row r="119" spans="1:27" x14ac:dyDescent="0.15">
      <c r="C119" t="s">
        <v>2188</v>
      </c>
      <c r="D119" t="s">
        <v>1582</v>
      </c>
      <c r="E119" t="s">
        <v>2682</v>
      </c>
      <c r="T119" s="36"/>
      <c r="V119"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2640</v>
      </c>
      <c r="X119" s="40" t="s">
        <v>2405</v>
      </c>
      <c r="Y119" s="40" t="s">
        <v>2406</v>
      </c>
    </row>
    <row r="120" spans="1:27" x14ac:dyDescent="0.15">
      <c r="A120" t="s">
        <v>132</v>
      </c>
      <c r="B120">
        <v>22</v>
      </c>
      <c r="T120" s="36"/>
      <c r="V120" s="36" t="str">
        <f t="shared" si="23"/>
        <v>},[22]={</v>
      </c>
    </row>
    <row r="121" spans="1:27" s="36" customFormat="1" x14ac:dyDescent="0.15">
      <c r="C121" s="36" t="s">
        <v>2323</v>
      </c>
      <c r="D121" s="36" t="s">
        <v>2325</v>
      </c>
      <c r="E121" s="36" t="s">
        <v>2340</v>
      </c>
      <c r="M121" s="36" t="s">
        <v>1565</v>
      </c>
      <c r="S121" s="36">
        <v>1</v>
      </c>
      <c r="V121"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1" s="36" t="s">
        <v>2487</v>
      </c>
    </row>
    <row r="122" spans="1:27" s="36" customFormat="1" x14ac:dyDescent="0.15">
      <c r="C122" s="36" t="s">
        <v>2185</v>
      </c>
      <c r="D122" s="43" t="s">
        <v>2540</v>
      </c>
      <c r="M122" s="36" t="s">
        <v>1438</v>
      </c>
      <c r="V122"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2" s="36" t="s">
        <v>2528</v>
      </c>
      <c r="X122" s="36" t="s">
        <v>2529</v>
      </c>
    </row>
    <row r="123" spans="1:27" s="36" customFormat="1" x14ac:dyDescent="0.15">
      <c r="C123" s="36" t="s">
        <v>2185</v>
      </c>
      <c r="D123" s="43" t="s">
        <v>2541</v>
      </c>
      <c r="M123" s="36" t="s">
        <v>1565</v>
      </c>
      <c r="V123"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3" s="36" t="s">
        <v>2530</v>
      </c>
      <c r="X123" s="36" t="s">
        <v>2531</v>
      </c>
    </row>
    <row r="124" spans="1:27" x14ac:dyDescent="0.15">
      <c r="C124" t="s">
        <v>1596</v>
      </c>
      <c r="D124" t="s">
        <v>1590</v>
      </c>
      <c r="M124" t="s">
        <v>1438</v>
      </c>
      <c r="T124" s="36"/>
      <c r="V124" s="36" t="str">
        <f t="shared" si="23"/>
        <v>{szContent="恶人谷老友们可在我这里传送到恶人谷！",szTarget="赵新宇",col={255,100,100,},[14]={},tCountdown={{nClass=-1,nIcon=589,nFrame=7,szName="赵新宇·已刷新",nTime=2,nRefresh=600,key="赵新宇",},},},</v>
      </c>
      <c r="W124" t="s">
        <v>2722</v>
      </c>
    </row>
    <row r="125" spans="1:27" x14ac:dyDescent="0.15">
      <c r="C125" t="s">
        <v>1595</v>
      </c>
      <c r="D125" t="s">
        <v>1584</v>
      </c>
      <c r="M125" t="s">
        <v>1565</v>
      </c>
      <c r="T125" s="36"/>
      <c r="V125" s="36" t="str">
        <f t="shared" si="23"/>
        <v>{szContent="浩气盟侠士们可在我这里传送到浩气盟！",szTarget="方超",col={100,100,255,},[14]={},tCountdown={{nClass=-1,nIcon=308,nFrame=3,szName="方超·已刷新",nTime=2,nRefresh=600,key="方超",},},},</v>
      </c>
      <c r="W125" t="s">
        <v>2723</v>
      </c>
    </row>
    <row r="126" spans="1:27" x14ac:dyDescent="0.15">
      <c r="C126" s="36" t="s">
        <v>1591</v>
      </c>
      <c r="D126" t="s">
        <v>1593</v>
      </c>
      <c r="M126" t="s">
        <v>1438</v>
      </c>
      <c r="T126" s="36"/>
      <c r="V126" s="36" t="str">
        <f t="shared" si="23"/>
        <v>{szContent="护送不利，恶人谷的运输小队被浩气盟截下了！",szTarget="管良沧",col={255,100,100,},[14]={},tCountdown={{nClass=14,nIcon=13,nFrame=7,szName="浩气·劫车奖励",nTime=60,key="恶人·矿车",},},},</v>
      </c>
      <c r="W126" t="s">
        <v>1946</v>
      </c>
    </row>
    <row r="127" spans="1:27" x14ac:dyDescent="0.15">
      <c r="C127" t="s">
        <v>1591</v>
      </c>
      <c r="D127" t="s">
        <v>1594</v>
      </c>
      <c r="M127" t="s">
        <v>1438</v>
      </c>
      <c r="T127" s="36"/>
      <c r="V127"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7" t="s">
        <v>1977</v>
      </c>
    </row>
    <row r="128" spans="1:27" x14ac:dyDescent="0.15">
      <c r="C128" t="s">
        <v>1591</v>
      </c>
      <c r="D128" t="s">
        <v>1592</v>
      </c>
      <c r="E128" s="36" t="s">
        <v>1656</v>
      </c>
      <c r="M128" t="s">
        <v>1438</v>
      </c>
      <c r="S128">
        <v>1</v>
      </c>
      <c r="T128" s="36"/>
      <c r="V128"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8" t="s">
        <v>1958</v>
      </c>
    </row>
    <row r="129" spans="1:24" x14ac:dyDescent="0.15">
      <c r="C129" t="s">
        <v>1585</v>
      </c>
      <c r="D129" t="s">
        <v>1587</v>
      </c>
      <c r="M129" t="s">
        <v>1565</v>
      </c>
      <c r="T129" s="36"/>
      <c r="V129" s="36" t="str">
        <f t="shared" si="23"/>
        <v>{szContent="护送不利，浩气盟的运输小队被恶人谷截下了！",szTarget="苏才寥",col={100,100,255,},[14]={},tCountdown={{nClass=14,nIcon=13,nFrame=3,szName="恶人·劫车奖励",nTime=60,key="浩气·矿车",},},},</v>
      </c>
      <c r="W129" t="s">
        <v>1947</v>
      </c>
    </row>
    <row r="130" spans="1:24" x14ac:dyDescent="0.15">
      <c r="C130" t="s">
        <v>1585</v>
      </c>
      <c r="D130" t="s">
        <v>1588</v>
      </c>
      <c r="M130" t="s">
        <v>1565</v>
      </c>
      <c r="T130" s="36"/>
      <c r="V130" s="36" t="str">
        <f t="shared" si="23"/>
        <v>{szContent="浩气盟的运输小队成功到达营地！接下来由他们将物资运往更前线，大伙继续加油，收集更多物资！",szTarget="苏才寥",col={100,100,255,},[14]={},tCountdown={{nClass=14,nIcon=13,nFrame=7,szName="浩气·领取护送奖赏",nTime=60,key="浩气·矿车",},},},</v>
      </c>
      <c r="W130" t="s">
        <v>1978</v>
      </c>
    </row>
    <row r="131" spans="1:24" x14ac:dyDescent="0.15">
      <c r="C131" t="s">
        <v>1585</v>
      </c>
      <c r="D131" t="s">
        <v>1586</v>
      </c>
      <c r="E131" t="s">
        <v>1655</v>
      </c>
      <c r="M131" t="s">
        <v>1565</v>
      </c>
      <c r="S131">
        <v>1</v>
      </c>
      <c r="T131" s="36"/>
      <c r="V131"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1" t="s">
        <v>1957</v>
      </c>
    </row>
    <row r="132" spans="1:24" x14ac:dyDescent="0.15">
      <c r="A132" t="s">
        <v>136</v>
      </c>
      <c r="B132">
        <v>30</v>
      </c>
      <c r="T132" s="36"/>
      <c r="V132" s="36" t="str">
        <f t="shared" ref="V132:V195" si="27">IF(ISBLANK(B132)=FALSE,IF(ISBLANK(B131),"},["&amp;B132&amp;"]={","["&amp;B132&amp;"]={"),IF(AND(ISBLANK(B132),ISBLANK(D132),ISBLANK(N132),ISBLANK(O132),OR(ISBLANK(B131)=FALSE,ISBLANK(D131)=FALSE,ISBLANK(N131)=FALSE,ISBLANK(O131)=FALSE)),"},},}",IF(ISBLANK(D132),"","{szContent="""&amp;D132&amp;""","&amp;IF(C132&lt;&gt;"","szTarget="""&amp;C132&amp;""",","")&amp;IF(E132&lt;&gt;"","szNote="""&amp;E132&amp;""",","")&amp;IF(M132&lt;&gt;"","col={"&amp;M132&amp;"},","")&amp;IF(N132&gt;0,"bSearch=true,","")&amp;IF(O132&gt;0,"bReg=true,","")&amp;"[14]={"&amp;IF(P132&gt;0,"szVoice="""&amp;P132&amp;""",","")&amp;IF(Q132&gt;0,"bTeamChannel=true,","")&amp;IF(R132&gt;0,"bWhisperChannel=true,","")&amp;IF(S132&gt;0,"bCenterAlarm=true,","")&amp;IF(T132&gt;0,"bScreenHead=true,","")&amp;IF(U132&gt;0,"bFullScreen=true,","")&amp;"},"&amp;IF(W132&lt;&gt;"","tCountdown={"&amp;_xlfn.TEXTJOIN("",TRUE,W132:AAH132)&amp;"},","")&amp;"},")))</f>
        <v>},[30]={</v>
      </c>
    </row>
    <row r="133" spans="1:24" s="36" customFormat="1" x14ac:dyDescent="0.15">
      <c r="C133" s="36" t="s">
        <v>2324</v>
      </c>
      <c r="D133" s="36" t="s">
        <v>2326</v>
      </c>
      <c r="E133" s="36" t="s">
        <v>2341</v>
      </c>
      <c r="M133" s="36" t="s">
        <v>1438</v>
      </c>
      <c r="S133" s="36">
        <v>1</v>
      </c>
      <c r="V133"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3" s="36" t="s">
        <v>2437</v>
      </c>
    </row>
    <row r="134" spans="1:24" s="36" customFormat="1" x14ac:dyDescent="0.15">
      <c r="C134" s="36" t="s">
        <v>1904</v>
      </c>
      <c r="D134" s="36" t="s">
        <v>1913</v>
      </c>
      <c r="E134" s="36" t="s">
        <v>1905</v>
      </c>
      <c r="M134" s="36" t="s">
        <v>1751</v>
      </c>
      <c r="O134" s="36">
        <v>1</v>
      </c>
      <c r="S134" s="36">
        <v>1</v>
      </c>
      <c r="T134" s="36">
        <v>1</v>
      </c>
      <c r="V134"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4" s="36" t="s">
        <v>1908</v>
      </c>
      <c r="X134" s="36" t="s">
        <v>1907</v>
      </c>
    </row>
    <row r="135" spans="1:24" s="36" customFormat="1" x14ac:dyDescent="0.15">
      <c r="C135" s="36" t="s">
        <v>1904</v>
      </c>
      <c r="D135" s="36" t="s">
        <v>1914</v>
      </c>
      <c r="M135" s="36" t="s">
        <v>1748</v>
      </c>
      <c r="O135" s="36">
        <v>1</v>
      </c>
      <c r="V135"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5" s="36" t="s">
        <v>1908</v>
      </c>
      <c r="X135" s="36" t="s">
        <v>1915</v>
      </c>
    </row>
    <row r="136" spans="1:24" s="36" customFormat="1" x14ac:dyDescent="0.15">
      <c r="C136" s="36" t="s">
        <v>2185</v>
      </c>
      <c r="D136" s="43" t="s">
        <v>2542</v>
      </c>
      <c r="M136" s="36" t="s">
        <v>1438</v>
      </c>
      <c r="V136"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6" s="36" t="s">
        <v>2532</v>
      </c>
      <c r="X136" s="36" t="s">
        <v>2533</v>
      </c>
    </row>
    <row r="137" spans="1:24" s="36" customFormat="1" x14ac:dyDescent="0.15">
      <c r="C137" s="36" t="s">
        <v>2185</v>
      </c>
      <c r="D137" s="43" t="s">
        <v>2543</v>
      </c>
      <c r="M137" s="36" t="s">
        <v>1565</v>
      </c>
      <c r="V137"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7" s="36" t="s">
        <v>2534</v>
      </c>
      <c r="X137" s="36" t="s">
        <v>2535</v>
      </c>
    </row>
    <row r="138" spans="1:24" x14ac:dyDescent="0.15">
      <c r="C138" t="s">
        <v>1589</v>
      </c>
      <c r="D138" t="s">
        <v>1590</v>
      </c>
      <c r="M138" t="s">
        <v>1438</v>
      </c>
      <c r="V138" s="36" t="str">
        <f t="shared" si="27"/>
        <v>{szContent="恶人谷老友们可在我这里传送到恶人谷！",szTarget="霸图",col={255,100,100,},[14]={},tCountdown={{nClass=-1,nIcon=2864,nFrame=7,szName="霸图·已刷新",nTime=2,nRefresh=600,key="霸图",},},},</v>
      </c>
      <c r="W138" t="s">
        <v>2720</v>
      </c>
    </row>
    <row r="139" spans="1:24" x14ac:dyDescent="0.15">
      <c r="C139" t="s">
        <v>1583</v>
      </c>
      <c r="D139" t="s">
        <v>1584</v>
      </c>
      <c r="M139" t="s">
        <v>1565</v>
      </c>
      <c r="V139" s="36" t="str">
        <f t="shared" si="27"/>
        <v>{szContent="浩气盟侠士们可在我这里传送到浩气盟！",szTarget="孙永恒",col={100,100,255,},[14]={},tCountdown={{nClass=-1,nIcon=845,nFrame=3,szName="孙永恒·已刷新",nTime=2,nRefresh=600,key="孙永恒",},},},</v>
      </c>
      <c r="W139" t="s">
        <v>2721</v>
      </c>
    </row>
    <row r="140" spans="1:24" x14ac:dyDescent="0.15">
      <c r="C140" s="36" t="s">
        <v>1591</v>
      </c>
      <c r="D140" t="s">
        <v>1593</v>
      </c>
      <c r="M140" t="s">
        <v>1438</v>
      </c>
      <c r="V140" s="36" t="str">
        <f t="shared" si="27"/>
        <v>{szContent="护送不利，恶人谷的运输小队被浩气盟截下了！",szTarget="管良沧",col={255,100,100,},[14]={},tCountdown={{nClass=14,nIcon=13,nFrame=7,szName="浩气·劫车奖励",nTime=60,key="恶人·矿车",},},},</v>
      </c>
      <c r="W140" t="s">
        <v>1946</v>
      </c>
    </row>
    <row r="141" spans="1:24" x14ac:dyDescent="0.15">
      <c r="C141" t="s">
        <v>1591</v>
      </c>
      <c r="D141" t="s">
        <v>1594</v>
      </c>
      <c r="M141" t="s">
        <v>1438</v>
      </c>
      <c r="V141"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1" t="s">
        <v>1977</v>
      </c>
    </row>
    <row r="142" spans="1:24" x14ac:dyDescent="0.15">
      <c r="C142" t="s">
        <v>1591</v>
      </c>
      <c r="D142" t="s">
        <v>1592</v>
      </c>
      <c r="E142" s="36" t="s">
        <v>1656</v>
      </c>
      <c r="M142" t="s">
        <v>1438</v>
      </c>
      <c r="S142">
        <v>1</v>
      </c>
      <c r="V142"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2" t="s">
        <v>1948</v>
      </c>
    </row>
    <row r="143" spans="1:24" x14ac:dyDescent="0.15">
      <c r="C143" t="s">
        <v>1585</v>
      </c>
      <c r="D143" t="s">
        <v>1587</v>
      </c>
      <c r="M143" t="s">
        <v>1565</v>
      </c>
      <c r="V143" s="36" t="str">
        <f t="shared" si="27"/>
        <v>{szContent="护送不利，浩气盟的运输小队被恶人谷截下了！",szTarget="苏才寥",col={100,100,255,},[14]={},tCountdown={{nClass=14,nIcon=13,nFrame=3,szName="恶人·劫车奖励",nTime=60,key="浩气·矿车",},},},</v>
      </c>
      <c r="W143" t="s">
        <v>1947</v>
      </c>
    </row>
    <row r="144" spans="1:24" x14ac:dyDescent="0.15">
      <c r="C144" t="s">
        <v>1585</v>
      </c>
      <c r="D144" t="s">
        <v>1588</v>
      </c>
      <c r="M144" t="s">
        <v>1565</v>
      </c>
      <c r="V144"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4" t="s">
        <v>1978</v>
      </c>
    </row>
    <row r="145" spans="1:27" x14ac:dyDescent="0.15">
      <c r="C145" t="s">
        <v>1585</v>
      </c>
      <c r="D145" t="s">
        <v>1586</v>
      </c>
      <c r="E145" s="36" t="s">
        <v>1655</v>
      </c>
      <c r="M145" t="s">
        <v>1565</v>
      </c>
      <c r="S145">
        <v>1</v>
      </c>
      <c r="V145"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5" t="s">
        <v>1949</v>
      </c>
    </row>
    <row r="146" spans="1:27" s="36" customFormat="1" x14ac:dyDescent="0.15">
      <c r="A146" s="36" t="s">
        <v>131</v>
      </c>
      <c r="B146" s="36">
        <v>21</v>
      </c>
      <c r="V146" s="36" t="str">
        <f t="shared" si="27"/>
        <v>},[21]={</v>
      </c>
    </row>
    <row r="147" spans="1:27" s="36" customFormat="1" x14ac:dyDescent="0.15">
      <c r="C147" s="36" t="s">
        <v>2323</v>
      </c>
      <c r="D147" s="36" t="s">
        <v>2327</v>
      </c>
      <c r="E147" s="36" t="s">
        <v>2342</v>
      </c>
      <c r="M147" s="36" t="s">
        <v>1565</v>
      </c>
      <c r="S147" s="36">
        <v>1</v>
      </c>
      <c r="V147"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7" s="36" t="s">
        <v>2430</v>
      </c>
    </row>
    <row r="148" spans="1:27" s="36" customFormat="1" x14ac:dyDescent="0.15">
      <c r="C148" s="36" t="s">
        <v>2323</v>
      </c>
      <c r="D148" s="36" t="s">
        <v>2328</v>
      </c>
      <c r="E148" s="36" t="s">
        <v>2343</v>
      </c>
      <c r="M148" s="36" t="s">
        <v>1565</v>
      </c>
      <c r="S148" s="36">
        <v>1</v>
      </c>
      <c r="V148"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8" s="36" t="s">
        <v>2431</v>
      </c>
    </row>
    <row r="149" spans="1:27" x14ac:dyDescent="0.15">
      <c r="C149" t="s">
        <v>2185</v>
      </c>
      <c r="D149" s="43" t="s">
        <v>2540</v>
      </c>
      <c r="G149"/>
      <c r="I149"/>
      <c r="M149" t="s">
        <v>1438</v>
      </c>
      <c r="S149" s="36"/>
      <c r="T149" s="36"/>
      <c r="V149"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9" t="s">
        <v>2528</v>
      </c>
      <c r="X149" s="36" t="s">
        <v>2536</v>
      </c>
      <c r="Z149" s="36"/>
      <c r="AA149" s="36"/>
    </row>
    <row r="150" spans="1:27" x14ac:dyDescent="0.15">
      <c r="C150" t="s">
        <v>2185</v>
      </c>
      <c r="D150" s="43" t="s">
        <v>2541</v>
      </c>
      <c r="G150"/>
      <c r="I150"/>
      <c r="M150" t="s">
        <v>1565</v>
      </c>
      <c r="S150" s="36"/>
      <c r="T150" s="36"/>
      <c r="V150"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0" t="s">
        <v>2530</v>
      </c>
      <c r="X150" s="36" t="s">
        <v>2537</v>
      </c>
      <c r="Z150" s="36"/>
      <c r="AA150" s="36"/>
    </row>
    <row r="151" spans="1:27" s="36" customFormat="1" x14ac:dyDescent="0.15">
      <c r="C151" s="36" t="s">
        <v>1596</v>
      </c>
      <c r="D151" s="36" t="s">
        <v>1590</v>
      </c>
      <c r="M151" s="36" t="s">
        <v>1438</v>
      </c>
      <c r="V151" s="36" t="str">
        <f t="shared" si="27"/>
        <v>{szContent="恶人谷老友们可在我这里传送到恶人谷！",szTarget="赵新宇",col={255,100,100,},[14]={},tCountdown={{nClass=-1,nIcon=589,nFrame=7,szName="赵新宇·已刷新",nTime=2,nRefresh=600,key="赵新宇",},},},</v>
      </c>
      <c r="W151" s="36" t="s">
        <v>2722</v>
      </c>
    </row>
    <row r="152" spans="1:27" s="36" customFormat="1" x14ac:dyDescent="0.15">
      <c r="C152" s="36" t="s">
        <v>1595</v>
      </c>
      <c r="D152" s="36" t="s">
        <v>1584</v>
      </c>
      <c r="M152" s="36" t="s">
        <v>1565</v>
      </c>
      <c r="V152" s="36" t="str">
        <f t="shared" si="27"/>
        <v>{szContent="浩气盟侠士们可在我这里传送到浩气盟！",szTarget="方超",col={100,100,255,},[14]={},tCountdown={{nClass=-1,nIcon=308,nFrame=3,szName="方超·已刷新",nTime=2,nRefresh=600,key="方超",},},},</v>
      </c>
      <c r="W152" s="36" t="s">
        <v>2723</v>
      </c>
    </row>
    <row r="153" spans="1:27" x14ac:dyDescent="0.15">
      <c r="A153" s="36" t="s">
        <v>7</v>
      </c>
      <c r="B153" s="36">
        <v>23</v>
      </c>
      <c r="V153" s="36" t="str">
        <f t="shared" si="27"/>
        <v>},[23]={</v>
      </c>
    </row>
    <row r="154" spans="1:27" s="36" customFormat="1" x14ac:dyDescent="0.15">
      <c r="C154" s="36" t="s">
        <v>2324</v>
      </c>
      <c r="D154" s="36" t="s">
        <v>2329</v>
      </c>
      <c r="E154" s="36" t="s">
        <v>2344</v>
      </c>
      <c r="M154" s="36" t="s">
        <v>1438</v>
      </c>
      <c r="S154" s="36">
        <v>1</v>
      </c>
      <c r="V154"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4" s="36" t="s">
        <v>2438</v>
      </c>
    </row>
    <row r="155" spans="1:27" s="36" customFormat="1" x14ac:dyDescent="0.15">
      <c r="C155" s="36" t="s">
        <v>2324</v>
      </c>
      <c r="D155" s="36" t="s">
        <v>2330</v>
      </c>
      <c r="E155" s="36" t="s">
        <v>2345</v>
      </c>
      <c r="M155" s="36" t="s">
        <v>1438</v>
      </c>
      <c r="S155" s="36">
        <v>1</v>
      </c>
      <c r="V155"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5" s="36" t="s">
        <v>2439</v>
      </c>
    </row>
    <row r="156" spans="1:27" x14ac:dyDescent="0.15">
      <c r="C156" t="s">
        <v>2185</v>
      </c>
      <c r="D156" s="43" t="s">
        <v>2542</v>
      </c>
      <c r="G156"/>
      <c r="I156"/>
      <c r="M156" t="s">
        <v>1438</v>
      </c>
      <c r="S156" s="36"/>
      <c r="T156" s="36"/>
      <c r="V156"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6" s="36" t="s">
        <v>2532</v>
      </c>
      <c r="X156" s="36" t="s">
        <v>2538</v>
      </c>
      <c r="Z156" s="36"/>
      <c r="AA156" s="36"/>
    </row>
    <row r="157" spans="1:27" x14ac:dyDescent="0.15">
      <c r="C157" t="s">
        <v>2185</v>
      </c>
      <c r="D157" s="43" t="s">
        <v>2543</v>
      </c>
      <c r="G157"/>
      <c r="I157"/>
      <c r="M157" t="s">
        <v>1565</v>
      </c>
      <c r="S157" s="36"/>
      <c r="T157" s="36"/>
      <c r="V157"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7" s="36" t="s">
        <v>2534</v>
      </c>
      <c r="X157" s="36" t="s">
        <v>2539</v>
      </c>
      <c r="Z157" s="36"/>
      <c r="AA157" s="36"/>
    </row>
    <row r="158" spans="1:27" s="36" customFormat="1" x14ac:dyDescent="0.15">
      <c r="C158" s="36" t="s">
        <v>1589</v>
      </c>
      <c r="D158" s="36" t="s">
        <v>1590</v>
      </c>
      <c r="M158" s="36" t="s">
        <v>1438</v>
      </c>
      <c r="V158" s="36" t="str">
        <f t="shared" si="27"/>
        <v>{szContent="恶人谷老友们可在我这里传送到恶人谷！",szTarget="霸图",col={255,100,100,},[14]={},tCountdown={{nClass=-1,nIcon=2864,nFrame=7,szName="霸图·已刷新",nTime=2,nRefresh=600,key="霸图",},},},</v>
      </c>
      <c r="W158" s="36" t="s">
        <v>2720</v>
      </c>
    </row>
    <row r="159" spans="1:27" s="36" customFormat="1" x14ac:dyDescent="0.15">
      <c r="C159" s="36" t="s">
        <v>1583</v>
      </c>
      <c r="D159" s="36" t="s">
        <v>1584</v>
      </c>
      <c r="M159" s="36" t="s">
        <v>1565</v>
      </c>
      <c r="V159" s="36" t="str">
        <f t="shared" si="27"/>
        <v>{szContent="浩气盟侠士们可在我这里传送到浩气盟！",szTarget="孙永恒",col={100,100,255,},[14]={},tCountdown={{nClass=-1,nIcon=845,nFrame=3,szName="孙永恒·已刷新",nTime=2,nRefresh=600,key="孙永恒",},},},</v>
      </c>
      <c r="W159" s="36" t="s">
        <v>2721</v>
      </c>
    </row>
    <row r="160" spans="1:27" x14ac:dyDescent="0.15">
      <c r="A160" s="36" t="s">
        <v>1809</v>
      </c>
      <c r="B160" s="36">
        <v>9</v>
      </c>
      <c r="V160" s="36" t="str">
        <f t="shared" si="27"/>
        <v>},[9]={</v>
      </c>
    </row>
    <row r="161" spans="1:27" s="36" customFormat="1" x14ac:dyDescent="0.15">
      <c r="C161" s="36" t="s">
        <v>2323</v>
      </c>
      <c r="D161" s="36" t="s">
        <v>2331</v>
      </c>
      <c r="E161" s="36" t="s">
        <v>2346</v>
      </c>
      <c r="M161" s="36" t="s">
        <v>1565</v>
      </c>
      <c r="S161" s="36">
        <v>1</v>
      </c>
      <c r="V161"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1" s="36" t="s">
        <v>2432</v>
      </c>
    </row>
    <row r="162" spans="1:27" s="36" customFormat="1" x14ac:dyDescent="0.15">
      <c r="C162" s="36" t="s">
        <v>2323</v>
      </c>
      <c r="D162" s="36" t="s">
        <v>2332</v>
      </c>
      <c r="E162" s="36" t="s">
        <v>2347</v>
      </c>
      <c r="M162" s="36" t="s">
        <v>1565</v>
      </c>
      <c r="S162" s="36">
        <v>1</v>
      </c>
      <c r="V162"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2" s="36" t="s">
        <v>2433</v>
      </c>
    </row>
    <row r="163" spans="1:27" x14ac:dyDescent="0.15">
      <c r="A163" s="36" t="s">
        <v>1814</v>
      </c>
      <c r="B163" s="36">
        <v>103</v>
      </c>
      <c r="V163" s="36" t="str">
        <f t="shared" si="27"/>
        <v>},[103]={</v>
      </c>
    </row>
    <row r="164" spans="1:27" s="36" customFormat="1" x14ac:dyDescent="0.15">
      <c r="C164" s="36" t="s">
        <v>2339</v>
      </c>
      <c r="D164" s="36" t="s">
        <v>2333</v>
      </c>
      <c r="E164" s="36" t="s">
        <v>2348</v>
      </c>
      <c r="M164" s="36" t="s">
        <v>1438</v>
      </c>
      <c r="S164" s="36">
        <v>1</v>
      </c>
      <c r="V164"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4" s="36" t="s">
        <v>2440</v>
      </c>
    </row>
    <row r="165" spans="1:27" s="36" customFormat="1" x14ac:dyDescent="0.15">
      <c r="C165" s="36" t="s">
        <v>2324</v>
      </c>
      <c r="D165" s="36" t="s">
        <v>2334</v>
      </c>
      <c r="E165" s="36" t="s">
        <v>2349</v>
      </c>
      <c r="M165" s="36" t="s">
        <v>1438</v>
      </c>
      <c r="S165" s="36">
        <v>1</v>
      </c>
      <c r="V165"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5" s="36" t="s">
        <v>2441</v>
      </c>
    </row>
    <row r="166" spans="1:27" x14ac:dyDescent="0.15">
      <c r="A166" s="36" t="s">
        <v>1816</v>
      </c>
      <c r="B166" s="36">
        <v>105</v>
      </c>
      <c r="V166" s="36" t="str">
        <f t="shared" si="27"/>
        <v>},[105]={</v>
      </c>
    </row>
    <row r="167" spans="1:27" s="36" customFormat="1" x14ac:dyDescent="0.15">
      <c r="C167" s="36" t="s">
        <v>2323</v>
      </c>
      <c r="D167" s="36" t="s">
        <v>2335</v>
      </c>
      <c r="E167" s="36" t="s">
        <v>2350</v>
      </c>
      <c r="M167" s="36" t="s">
        <v>1565</v>
      </c>
      <c r="S167" s="36">
        <v>1</v>
      </c>
      <c r="V167"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7" s="36" t="s">
        <v>2434</v>
      </c>
    </row>
    <row r="168" spans="1:27" s="36" customFormat="1" x14ac:dyDescent="0.15">
      <c r="C168" s="36" t="s">
        <v>2323</v>
      </c>
      <c r="D168" s="36" t="s">
        <v>2336</v>
      </c>
      <c r="E168" s="36" t="s">
        <v>2351</v>
      </c>
      <c r="M168" s="36" t="s">
        <v>1565</v>
      </c>
      <c r="S168" s="36">
        <v>1</v>
      </c>
      <c r="V168"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8" s="36" t="s">
        <v>2435</v>
      </c>
    </row>
    <row r="169" spans="1:27" x14ac:dyDescent="0.15">
      <c r="A169" s="36" t="s">
        <v>1818</v>
      </c>
      <c r="B169" s="36">
        <v>153</v>
      </c>
      <c r="V169" s="36" t="str">
        <f t="shared" si="27"/>
        <v>},[153]={</v>
      </c>
    </row>
    <row r="170" spans="1:27" s="36" customFormat="1" x14ac:dyDescent="0.15">
      <c r="C170" s="36" t="s">
        <v>2324</v>
      </c>
      <c r="D170" s="36" t="s">
        <v>2337</v>
      </c>
      <c r="E170" s="36" t="s">
        <v>2352</v>
      </c>
      <c r="M170" s="36" t="s">
        <v>1438</v>
      </c>
      <c r="S170" s="36">
        <v>1</v>
      </c>
      <c r="V170"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0" s="36" t="s">
        <v>2442</v>
      </c>
    </row>
    <row r="171" spans="1:27" s="36" customFormat="1" x14ac:dyDescent="0.15">
      <c r="C171" s="36" t="s">
        <v>2324</v>
      </c>
      <c r="D171" s="36" t="s">
        <v>2338</v>
      </c>
      <c r="E171" s="36" t="s">
        <v>2353</v>
      </c>
      <c r="M171" s="36" t="s">
        <v>1438</v>
      </c>
      <c r="S171" s="36">
        <v>1</v>
      </c>
      <c r="V171"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1" s="36" t="s">
        <v>2436</v>
      </c>
    </row>
    <row r="172" spans="1:27" x14ac:dyDescent="0.15">
      <c r="A172" s="36" t="s">
        <v>1819</v>
      </c>
      <c r="B172" s="36">
        <v>216</v>
      </c>
      <c r="V172" s="36" t="str">
        <f t="shared" si="27"/>
        <v>},[216]={</v>
      </c>
    </row>
    <row r="173" spans="1:27" s="36" customFormat="1" x14ac:dyDescent="0.15">
      <c r="C173" s="36" t="s">
        <v>2185</v>
      </c>
      <c r="D173" s="43" t="s">
        <v>1943</v>
      </c>
      <c r="E173" s="36" t="s">
        <v>1942</v>
      </c>
      <c r="M173" s="36" t="s">
        <v>1432</v>
      </c>
      <c r="O173" s="36">
        <v>1</v>
      </c>
      <c r="S173" s="36">
        <v>1</v>
      </c>
      <c r="V173"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3" s="36" t="s">
        <v>2551</v>
      </c>
      <c r="X173" s="36" t="s">
        <v>2552</v>
      </c>
      <c r="Y173" s="36" t="s">
        <v>2553</v>
      </c>
    </row>
    <row r="174" spans="1:27" s="36" customFormat="1" x14ac:dyDescent="0.15">
      <c r="C174" s="40" t="s">
        <v>2185</v>
      </c>
      <c r="D174" s="36" t="s">
        <v>1578</v>
      </c>
      <c r="M174" s="36" t="s">
        <v>1565</v>
      </c>
      <c r="N174" s="36">
        <v>1</v>
      </c>
      <c r="V174"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4" s="36" t="s">
        <v>2429</v>
      </c>
      <c r="X174" s="36" t="s">
        <v>2641</v>
      </c>
    </row>
    <row r="175" spans="1:27" s="36" customFormat="1" x14ac:dyDescent="0.15">
      <c r="C175" s="40" t="s">
        <v>2185</v>
      </c>
      <c r="D175" s="36" t="s">
        <v>1579</v>
      </c>
      <c r="M175" s="36" t="s">
        <v>1438</v>
      </c>
      <c r="N175" s="36">
        <v>1</v>
      </c>
      <c r="V175"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5" s="36" t="s">
        <v>2429</v>
      </c>
      <c r="X175" s="36" t="s">
        <v>2642</v>
      </c>
    </row>
    <row r="176" spans="1:27" s="36" customFormat="1" x14ac:dyDescent="0.15">
      <c r="C176" s="40" t="s">
        <v>2185</v>
      </c>
      <c r="D176" s="36" t="s">
        <v>2485</v>
      </c>
      <c r="E176" s="36" t="s">
        <v>2486</v>
      </c>
      <c r="M176" s="36" t="s">
        <v>1748</v>
      </c>
      <c r="S176" s="36">
        <v>1</v>
      </c>
      <c r="V176"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6" s="36" t="s">
        <v>2488</v>
      </c>
      <c r="X176" s="36" t="s">
        <v>2489</v>
      </c>
      <c r="Y176" s="36" t="s">
        <v>2490</v>
      </c>
      <c r="Z176" s="36" t="s">
        <v>2492</v>
      </c>
      <c r="AA176" s="36" t="s">
        <v>2491</v>
      </c>
    </row>
    <row r="177" spans="1:27" s="36" customFormat="1" x14ac:dyDescent="0.15">
      <c r="C177" s="40" t="s">
        <v>1431</v>
      </c>
      <c r="D177" s="36" t="s">
        <v>2499</v>
      </c>
      <c r="E177" s="36" t="s">
        <v>2500</v>
      </c>
      <c r="M177" s="36" t="s">
        <v>1432</v>
      </c>
      <c r="O177" s="36">
        <v>1</v>
      </c>
      <c r="S177" s="36">
        <v>1</v>
      </c>
      <c r="V177"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7" s="36" t="s">
        <v>2501</v>
      </c>
    </row>
    <row r="178" spans="1:27" s="36" customFormat="1" x14ac:dyDescent="0.15">
      <c r="C178" s="40"/>
      <c r="D178" s="36" t="s">
        <v>2495</v>
      </c>
      <c r="E178" s="36" t="s">
        <v>2496</v>
      </c>
      <c r="M178" s="36" t="s">
        <v>2497</v>
      </c>
      <c r="P178" s="36" t="s">
        <v>1089</v>
      </c>
      <c r="Q178" s="36">
        <v>1</v>
      </c>
      <c r="R178" s="36">
        <v>1</v>
      </c>
      <c r="S178" s="36">
        <v>1</v>
      </c>
      <c r="U178" s="36">
        <v>1</v>
      </c>
      <c r="V178"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8" s="36" t="s">
        <v>2498</v>
      </c>
    </row>
    <row r="179" spans="1:27" s="36" customFormat="1" x14ac:dyDescent="0.15">
      <c r="C179" s="40"/>
      <c r="D179" s="36" t="s">
        <v>1896</v>
      </c>
      <c r="M179" s="36" t="s">
        <v>1748</v>
      </c>
      <c r="V179" s="36" t="str">
        <f t="shared" si="27"/>
        <v>{szContent="你已经离开据点，10秒内未进入据点，则据点旗帜重置。",col={255,255,100,},[14]={},tCountdown={{nClass=14,nIcon=592,nFrame=2,szName="据点大旗·重置剩余",nTime=10,key="离开据点·大旗重置",},},},</v>
      </c>
      <c r="W179" s="36" t="s">
        <v>1906</v>
      </c>
    </row>
    <row r="180" spans="1:27" s="36" customFormat="1" x14ac:dyDescent="0.15">
      <c r="C180" s="40" t="s">
        <v>2188</v>
      </c>
      <c r="D180" s="36" t="s">
        <v>2363</v>
      </c>
      <c r="E180" s="36" t="s">
        <v>2364</v>
      </c>
      <c r="V180"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0" s="36" t="s">
        <v>2365</v>
      </c>
      <c r="X180" s="38" t="s">
        <v>2554</v>
      </c>
      <c r="Y180" s="38" t="s">
        <v>2555</v>
      </c>
    </row>
    <row r="181" spans="1:27" s="36" customFormat="1" x14ac:dyDescent="0.15">
      <c r="C181" s="40" t="s">
        <v>2188</v>
      </c>
      <c r="D181" s="36" t="s">
        <v>1580</v>
      </c>
      <c r="E181" s="36" t="s">
        <v>2191</v>
      </c>
      <c r="V181" s="36" t="str">
        <f t="shared" si="27"/>
        <v>{szContent="哼，打扰本大爷休息！",szTarget="狼牙先锋首领",szNote="狼牙先锋首领·刷新喊话1",[14]={},tCountdown={{nClass=14,nIcon=3556,nFrame=1,szName="狼牙先锋首领·已经刷新",nTime=10,nRefresh=120,key="狼牙先锋首领",},},},</v>
      </c>
      <c r="W181" s="36" t="s">
        <v>2187</v>
      </c>
    </row>
    <row r="182" spans="1:27" s="36" customFormat="1" x14ac:dyDescent="0.15">
      <c r="C182" s="40" t="s">
        <v>2188</v>
      </c>
      <c r="D182" s="36" t="s">
        <v>1581</v>
      </c>
      <c r="E182" s="36" t="s">
        <v>2192</v>
      </c>
      <c r="V182"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2" s="36" t="s">
        <v>2187</v>
      </c>
      <c r="X182" s="40" t="s">
        <v>2405</v>
      </c>
      <c r="Y182" s="40" t="s">
        <v>2406</v>
      </c>
    </row>
    <row r="183" spans="1:27" s="36" customFormat="1" x14ac:dyDescent="0.15">
      <c r="C183" s="40" t="s">
        <v>2188</v>
      </c>
      <c r="D183" s="36" t="s">
        <v>1582</v>
      </c>
      <c r="E183" s="36" t="s">
        <v>2682</v>
      </c>
      <c r="V183"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s="36" t="s">
        <v>2640</v>
      </c>
      <c r="X183" s="40" t="s">
        <v>2405</v>
      </c>
      <c r="Y183" s="40" t="s">
        <v>2406</v>
      </c>
    </row>
    <row r="184" spans="1:27" x14ac:dyDescent="0.15">
      <c r="A184" s="36" t="s">
        <v>613</v>
      </c>
      <c r="B184" s="36">
        <v>656</v>
      </c>
      <c r="V184" s="36" t="str">
        <f t="shared" si="27"/>
        <v>},[656]={</v>
      </c>
    </row>
    <row r="185" spans="1:27" s="36" customFormat="1" x14ac:dyDescent="0.15">
      <c r="C185" s="36" t="s">
        <v>2185</v>
      </c>
      <c r="D185" s="43" t="s">
        <v>1943</v>
      </c>
      <c r="E185" s="36" t="s">
        <v>1942</v>
      </c>
      <c r="M185" s="36" t="s">
        <v>1432</v>
      </c>
      <c r="O185" s="36">
        <v>1</v>
      </c>
      <c r="S185" s="36">
        <v>1</v>
      </c>
      <c r="V185"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5" s="36" t="s">
        <v>2551</v>
      </c>
      <c r="X185" s="36" t="s">
        <v>2552</v>
      </c>
      <c r="Y185" s="36" t="s">
        <v>2553</v>
      </c>
    </row>
    <row r="186" spans="1:27" s="36" customFormat="1" x14ac:dyDescent="0.15">
      <c r="C186" s="40" t="s">
        <v>2185</v>
      </c>
      <c r="D186" s="36" t="s">
        <v>1578</v>
      </c>
      <c r="M186" s="36" t="s">
        <v>1565</v>
      </c>
      <c r="N186" s="36">
        <v>1</v>
      </c>
      <c r="V186"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6" s="36" t="s">
        <v>2429</v>
      </c>
      <c r="X186" s="36" t="s">
        <v>2641</v>
      </c>
    </row>
    <row r="187" spans="1:27" s="36" customFormat="1" x14ac:dyDescent="0.15">
      <c r="C187" s="40" t="s">
        <v>2185</v>
      </c>
      <c r="D187" s="36" t="s">
        <v>1579</v>
      </c>
      <c r="M187" s="36" t="s">
        <v>1438</v>
      </c>
      <c r="N187" s="36">
        <v>1</v>
      </c>
      <c r="V187"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7" s="36" t="s">
        <v>2429</v>
      </c>
      <c r="X187" s="36" t="s">
        <v>2642</v>
      </c>
    </row>
    <row r="188" spans="1:27" s="36" customFormat="1" x14ac:dyDescent="0.15">
      <c r="C188" s="40" t="s">
        <v>2185</v>
      </c>
      <c r="D188" s="36" t="s">
        <v>2485</v>
      </c>
      <c r="E188" s="36" t="s">
        <v>2486</v>
      </c>
      <c r="M188" s="36" t="s">
        <v>1748</v>
      </c>
      <c r="S188" s="36">
        <v>1</v>
      </c>
      <c r="V188"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8" s="36" t="s">
        <v>2488</v>
      </c>
      <c r="X188" s="36" t="s">
        <v>2489</v>
      </c>
      <c r="Y188" s="36" t="s">
        <v>2490</v>
      </c>
      <c r="Z188" s="36" t="s">
        <v>2492</v>
      </c>
      <c r="AA188" s="36" t="s">
        <v>2491</v>
      </c>
    </row>
    <row r="189" spans="1:27" s="36" customFormat="1" x14ac:dyDescent="0.15">
      <c r="C189" s="40" t="s">
        <v>1431</v>
      </c>
      <c r="D189" s="36" t="s">
        <v>2499</v>
      </c>
      <c r="E189" s="36" t="s">
        <v>2500</v>
      </c>
      <c r="M189" s="36" t="s">
        <v>1432</v>
      </c>
      <c r="O189" s="36">
        <v>1</v>
      </c>
      <c r="S189" s="36">
        <v>1</v>
      </c>
      <c r="V189"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89" s="36" t="s">
        <v>2501</v>
      </c>
    </row>
    <row r="190" spans="1:27" s="36" customFormat="1" x14ac:dyDescent="0.15">
      <c r="C190" s="40"/>
      <c r="D190" s="36" t="s">
        <v>2495</v>
      </c>
      <c r="E190" s="36" t="s">
        <v>2496</v>
      </c>
      <c r="M190" s="36" t="s">
        <v>2497</v>
      </c>
      <c r="P190" s="36" t="s">
        <v>1089</v>
      </c>
      <c r="Q190" s="36">
        <v>1</v>
      </c>
      <c r="R190" s="36">
        <v>1</v>
      </c>
      <c r="S190" s="36">
        <v>1</v>
      </c>
      <c r="U190" s="36">
        <v>1</v>
      </c>
      <c r="V190"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0" s="36" t="s">
        <v>2498</v>
      </c>
    </row>
    <row r="191" spans="1:27" s="36" customFormat="1" x14ac:dyDescent="0.15">
      <c r="C191" s="40"/>
      <c r="D191" s="36" t="s">
        <v>1896</v>
      </c>
      <c r="M191" s="36" t="s">
        <v>1748</v>
      </c>
      <c r="V191" s="36" t="str">
        <f t="shared" si="27"/>
        <v>{szContent="你已经离开据点，10秒内未进入据点，则据点旗帜重置。",col={255,255,100,},[14]={},tCountdown={{nClass=14,nIcon=592,nFrame=2,szName="据点大旗·重置剩余",nTime=10,key="离开据点·大旗重置",},},},</v>
      </c>
      <c r="W191" s="36" t="s">
        <v>1906</v>
      </c>
    </row>
    <row r="192" spans="1:27" s="36" customFormat="1" x14ac:dyDescent="0.15">
      <c r="C192" s="40" t="s">
        <v>2188</v>
      </c>
      <c r="D192" s="36" t="s">
        <v>2363</v>
      </c>
      <c r="E192" s="36" t="s">
        <v>2364</v>
      </c>
      <c r="V192"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2" s="36" t="s">
        <v>2365</v>
      </c>
      <c r="X192" s="38" t="s">
        <v>2554</v>
      </c>
      <c r="Y192" s="38" t="s">
        <v>2555</v>
      </c>
    </row>
    <row r="193" spans="3:25" s="36" customFormat="1" x14ac:dyDescent="0.15">
      <c r="C193" s="40" t="s">
        <v>2188</v>
      </c>
      <c r="D193" s="36" t="s">
        <v>1580</v>
      </c>
      <c r="E193" s="36" t="s">
        <v>2191</v>
      </c>
      <c r="V193" s="36" t="str">
        <f t="shared" si="27"/>
        <v>{szContent="哼，打扰本大爷休息！",szTarget="狼牙先锋首领",szNote="狼牙先锋首领·刷新喊话1",[14]={},tCountdown={{nClass=14,nIcon=3556,nFrame=1,szName="狼牙先锋首领·已经刷新",nTime=10,nRefresh=120,key="狼牙先锋首领",},},},</v>
      </c>
      <c r="W193" s="36" t="s">
        <v>2187</v>
      </c>
    </row>
    <row r="194" spans="3:25" s="36" customFormat="1" x14ac:dyDescent="0.15">
      <c r="C194" s="40" t="s">
        <v>2188</v>
      </c>
      <c r="D194" s="36" t="s">
        <v>1581</v>
      </c>
      <c r="E194" s="36" t="s">
        <v>2192</v>
      </c>
      <c r="V194"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4" s="36" t="s">
        <v>2187</v>
      </c>
      <c r="X194" s="40" t="s">
        <v>2405</v>
      </c>
      <c r="Y194" s="40" t="s">
        <v>2406</v>
      </c>
    </row>
    <row r="195" spans="3:25" s="36" customFormat="1" x14ac:dyDescent="0.15">
      <c r="C195" s="40" t="s">
        <v>2188</v>
      </c>
      <c r="D195" s="36" t="s">
        <v>1582</v>
      </c>
      <c r="E195" s="36" t="s">
        <v>2682</v>
      </c>
      <c r="V195"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s="36" t="s">
        <v>2640</v>
      </c>
      <c r="X195" s="40" t="s">
        <v>2405</v>
      </c>
      <c r="Y195" s="40" t="s">
        <v>2406</v>
      </c>
    </row>
    <row r="196" spans="3:25" x14ac:dyDescent="0.15">
      <c r="V196" s="36" t="str">
        <f t="shared" ref="V196" si="28">IF(ISBLANK(B196)=FALSE,IF(ISBLANK(B195),"},["&amp;B196&amp;"]={","["&amp;B196&amp;"]={"),IF(AND(ISBLANK(B196),ISBLANK(D196),ISBLANK(N196),ISBLANK(O196),OR(ISBLANK(B195)=FALSE,ISBLANK(D195)=FALSE,ISBLANK(N195)=FALSE,ISBLANK(O195)=FALSE)),"},},}",IF(ISBLANK(D196),"","{szContent="""&amp;D196&amp;""","&amp;IF(C196&lt;&gt;"","szTarget="""&amp;C196&amp;""",","")&amp;IF(E196&lt;&gt;"","szNote="""&amp;E196&amp;""",","")&amp;IF(M196&lt;&gt;"","col={"&amp;M196&amp;"},","")&amp;IF(N196&gt;0,"bSearch=true,","")&amp;IF(O196&gt;0,"bReg=true,","")&amp;"[14]={"&amp;IF(P196&gt;0,"szVoice="""&amp;P196&amp;""",","")&amp;IF(Q196&gt;0,"bTeamChannel=true,","")&amp;IF(R196&gt;0,"bWhisperChannel=true,","")&amp;IF(S196&gt;0,"bCenterAlarm=true,","")&amp;IF(T196&gt;0,"bScreenHead=true,","")&amp;IF(U196&gt;0,"bFullScreen=true,","")&amp;"},"&amp;IF(W196&lt;&gt;"","tCountdown={"&amp;_xlfn.TEXTJOIN("",TRUE,W196:AAH196)&amp;"},","")&amp;"},")))</f>
        <v>},},}</v>
      </c>
    </row>
  </sheetData>
  <autoFilter ref="A1:AV192"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topLeftCell="R1" zoomScale="90" zoomScaleNormal="90" workbookViewId="0">
      <pane ySplit="1" topLeftCell="A2" activePane="bottomLeft" state="frozen"/>
      <selection pane="bottomLeft" activeCell="R9" sqref="R9"/>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1966</v>
      </c>
      <c r="T1" t="s">
        <v>1923</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2078</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2407</v>
      </c>
      <c r="V3" s="40" t="s">
        <v>2563</v>
      </c>
    </row>
    <row r="4" spans="1:72" s="36" customFormat="1" x14ac:dyDescent="0.15">
      <c r="C4" s="36" t="s">
        <v>2622</v>
      </c>
      <c r="D4" s="36" t="s">
        <v>2623</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2624</v>
      </c>
    </row>
    <row r="5" spans="1:72" s="36" customFormat="1" x14ac:dyDescent="0.15">
      <c r="C5" s="36" t="s">
        <v>1933</v>
      </c>
      <c r="D5" s="36" t="s">
        <v>1935</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2021</v>
      </c>
    </row>
    <row r="6" spans="1:72" s="36" customFormat="1" x14ac:dyDescent="0.15">
      <c r="C6" s="36" t="s">
        <v>1932</v>
      </c>
      <c r="D6" s="36" t="s">
        <v>1934</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2022</v>
      </c>
    </row>
    <row r="7" spans="1:72" x14ac:dyDescent="0.15">
      <c r="C7" t="s">
        <v>2355</v>
      </c>
      <c r="D7" t="s">
        <v>2356</v>
      </c>
      <c r="K7" t="s">
        <v>1432</v>
      </c>
      <c r="T7" s="36"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2738</v>
      </c>
      <c r="V7" s="36" t="s">
        <v>2712</v>
      </c>
      <c r="W7" s="36" t="s">
        <v>2710</v>
      </c>
      <c r="X7" s="36" t="s">
        <v>2711</v>
      </c>
      <c r="Y7" s="36" t="s">
        <v>2110</v>
      </c>
      <c r="Z7" s="36" t="s">
        <v>2095</v>
      </c>
      <c r="AA7" s="36" t="s">
        <v>1937</v>
      </c>
      <c r="AB7" s="36" t="s">
        <v>1938</v>
      </c>
      <c r="AC7" s="52" t="s">
        <v>2644</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2354</v>
      </c>
      <c r="D8" t="s">
        <v>2357</v>
      </c>
      <c r="K8" t="s">
        <v>1432</v>
      </c>
      <c r="T8" s="36"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2737</v>
      </c>
      <c r="V8" s="36" t="s">
        <v>2712</v>
      </c>
      <c r="W8" s="36" t="s">
        <v>2710</v>
      </c>
      <c r="X8" s="36" t="s">
        <v>2711</v>
      </c>
      <c r="Y8" s="36" t="s">
        <v>2110</v>
      </c>
      <c r="Z8" s="36" t="s">
        <v>2095</v>
      </c>
      <c r="AA8" s="36" t="s">
        <v>1937</v>
      </c>
      <c r="AB8" s="36" t="s">
        <v>1938</v>
      </c>
      <c r="AC8" s="52" t="s">
        <v>2644</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1928</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2505</v>
      </c>
      <c r="V9" s="36" t="s">
        <v>2506</v>
      </c>
      <c r="W9" t="s">
        <v>2184</v>
      </c>
      <c r="X9" s="36" t="s">
        <v>2739</v>
      </c>
      <c r="Y9" s="36" t="s">
        <v>2740</v>
      </c>
      <c r="Z9" s="36" t="s">
        <v>2712</v>
      </c>
      <c r="AA9" s="36" t="s">
        <v>2710</v>
      </c>
      <c r="AB9" s="36" t="s">
        <v>2711</v>
      </c>
      <c r="AC9" s="36" t="s">
        <v>2110</v>
      </c>
      <c r="AD9" s="36" t="s">
        <v>2095</v>
      </c>
      <c r="AE9" s="36" t="s">
        <v>1937</v>
      </c>
      <c r="AF9" s="36" t="s">
        <v>1938</v>
      </c>
      <c r="AG9" s="40" t="s">
        <v>2644</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2193</v>
      </c>
      <c r="D10" s="36" t="s">
        <v>2194</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2295</v>
      </c>
      <c r="V10" s="38" t="s">
        <v>2566</v>
      </c>
      <c r="W10" s="38" t="s">
        <v>2565</v>
      </c>
    </row>
    <row r="11" spans="1:72" x14ac:dyDescent="0.15">
      <c r="C11" t="s">
        <v>1612</v>
      </c>
      <c r="D11" t="s">
        <v>2094</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1941</v>
      </c>
      <c r="V11" s="41" t="s">
        <v>2196</v>
      </c>
      <c r="W11" s="36"/>
    </row>
    <row r="12" spans="1:72" x14ac:dyDescent="0.15">
      <c r="C12" t="s">
        <v>1611</v>
      </c>
      <c r="D12" t="s">
        <v>2094</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1941</v>
      </c>
      <c r="V12" s="41" t="s">
        <v>2196</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2195</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2078</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2120</v>
      </c>
      <c r="V17" s="36" t="s">
        <v>2119</v>
      </c>
      <c r="W17" s="36" t="s">
        <v>1831</v>
      </c>
      <c r="X17" s="36" t="s">
        <v>2409</v>
      </c>
      <c r="Y17" s="36" t="s">
        <v>2410</v>
      </c>
      <c r="Z17" s="40" t="s">
        <v>2563</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1936</v>
      </c>
      <c r="V18" s="36" t="s">
        <v>2408</v>
      </c>
      <c r="W18" s="40" t="s">
        <v>2407</v>
      </c>
      <c r="X18" s="36" t="s">
        <v>2620</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2713</v>
      </c>
      <c r="V19" s="36" t="s">
        <v>2411</v>
      </c>
      <c r="W19" s="36" t="s">
        <v>2299</v>
      </c>
      <c r="X19" s="40" t="s">
        <v>2407</v>
      </c>
      <c r="Y19" s="36" t="s">
        <v>2620</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2078</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2120</v>
      </c>
      <c r="V21" s="36" t="s">
        <v>2119</v>
      </c>
      <c r="W21" s="36" t="s">
        <v>1831</v>
      </c>
      <c r="X21" s="36" t="s">
        <v>2409</v>
      </c>
      <c r="Y21" s="36" t="s">
        <v>2410</v>
      </c>
      <c r="Z21" s="40" t="s">
        <v>2563</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1936</v>
      </c>
      <c r="V22" s="36" t="s">
        <v>2408</v>
      </c>
      <c r="W22" s="40" t="s">
        <v>2407</v>
      </c>
      <c r="X22" s="36" t="s">
        <v>2620</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2713</v>
      </c>
      <c r="V23" s="36" t="s">
        <v>2411</v>
      </c>
      <c r="W23" s="36" t="s">
        <v>2299</v>
      </c>
      <c r="X23" s="40" t="s">
        <v>2407</v>
      </c>
      <c r="Y23" s="36" t="s">
        <v>2620</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2159</v>
      </c>
      <c r="B24" s="36">
        <v>-1</v>
      </c>
      <c r="T24" s="36" t="str">
        <f t="shared" si="0"/>
        <v>},[-1]={</v>
      </c>
    </row>
    <row r="25" spans="1:72" s="36" customFormat="1" x14ac:dyDescent="0.15">
      <c r="C25" s="36" t="s">
        <v>2588</v>
      </c>
      <c r="D25" s="36" t="s">
        <v>2589</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2590</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2558</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1919</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2559</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2560</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2561</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2562</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2685</v>
      </c>
      <c r="B34" s="36">
        <v>-21</v>
      </c>
      <c r="T34" s="36" t="str">
        <f t="shared" si="0"/>
        <v>},[-21]={</v>
      </c>
    </row>
    <row r="35" spans="1:26" s="36" customFormat="1" x14ac:dyDescent="0.15">
      <c r="C35" s="36" t="s">
        <v>1945</v>
      </c>
      <c r="D35" s="36" t="s">
        <v>2129</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1974</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2412</v>
      </c>
      <c r="V36" s="36" t="s">
        <v>2413</v>
      </c>
      <c r="W36" s="36" t="s">
        <v>2414</v>
      </c>
      <c r="X36" s="36" t="s">
        <v>2290</v>
      </c>
      <c r="Y36" s="36" t="s">
        <v>2291</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1858</v>
      </c>
      <c r="V37" s="36" t="s">
        <v>2416</v>
      </c>
      <c r="W37" s="36" t="s">
        <v>2418</v>
      </c>
      <c r="X37" s="36" t="s">
        <v>2419</v>
      </c>
      <c r="Y37" s="36" t="s">
        <v>2197</v>
      </c>
      <c r="Z37" s="36" t="s">
        <v>2198</v>
      </c>
    </row>
    <row r="38" spans="1:26" s="36" customFormat="1" x14ac:dyDescent="0.15">
      <c r="C38" s="36" t="s">
        <v>1933</v>
      </c>
      <c r="D38" s="36" t="s">
        <v>1935</v>
      </c>
      <c r="K38" s="36" t="s">
        <v>1438</v>
      </c>
      <c r="T3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2021</v>
      </c>
    </row>
    <row r="39" spans="1:26" s="36" customFormat="1" x14ac:dyDescent="0.15">
      <c r="C39" s="36" t="s">
        <v>1932</v>
      </c>
      <c r="D39" s="36" t="s">
        <v>1934</v>
      </c>
      <c r="K39" s="36" t="s">
        <v>1565</v>
      </c>
      <c r="T3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2022</v>
      </c>
    </row>
    <row r="40" spans="1:26" s="36" customFormat="1" x14ac:dyDescent="0.15">
      <c r="C40" s="36" t="s">
        <v>1929</v>
      </c>
      <c r="D40" s="36" t="s">
        <v>2128</v>
      </c>
      <c r="K40" s="36" t="s">
        <v>1432</v>
      </c>
      <c r="Q40" s="36">
        <v>1</v>
      </c>
      <c r="T40" s="36" t="str">
        <f t="shared" si="0"/>
        <v>{szContent="本场战役已结束，双方战事惨烈，未分胜负！双方士气各涨500分！\n",szNote="据点攻防·平局",col={255,255,100,},[20]={bCenterAlarm=true,},tCountdown={{nClass=20,nIcon=2400,nFrame=0,szName="据点攻防·平局",nTime=30,nRefresh=2,key="阵营活动",},},},</v>
      </c>
      <c r="U40" s="36" t="s">
        <v>1931</v>
      </c>
    </row>
    <row r="41" spans="1:26" s="36" customFormat="1" x14ac:dyDescent="0.15">
      <c r="C41" s="36" t="s">
        <v>2199</v>
      </c>
      <c r="D41" s="36" t="s">
        <v>2200</v>
      </c>
      <c r="K41" s="36" t="s">
        <v>1432</v>
      </c>
      <c r="T4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2296</v>
      </c>
      <c r="V41" s="39"/>
    </row>
    <row r="42" spans="1:26" s="36" customFormat="1" x14ac:dyDescent="0.15">
      <c r="C42" s="36" t="s">
        <v>2193</v>
      </c>
      <c r="D42" s="36" t="s">
        <v>2194</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2295</v>
      </c>
      <c r="V42" s="39"/>
    </row>
    <row r="43" spans="1:26" s="36" customFormat="1" x14ac:dyDescent="0.15">
      <c r="C43" s="36" t="s">
        <v>1930</v>
      </c>
      <c r="D43" s="36" t="s">
        <v>2114</v>
      </c>
      <c r="K43" s="36" t="s">
        <v>1432</v>
      </c>
      <c r="T4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2287</v>
      </c>
    </row>
    <row r="44" spans="1:26" s="36" customFormat="1" x14ac:dyDescent="0.15">
      <c r="C44" s="36" t="s">
        <v>1574</v>
      </c>
      <c r="K44" s="36" t="s">
        <v>1432</v>
      </c>
      <c r="T4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2378</v>
      </c>
      <c r="V44" s="36" t="s">
        <v>2379</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2375</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2378</v>
      </c>
      <c r="V46" s="36" t="s">
        <v>2380</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2376</v>
      </c>
    </row>
    <row r="48" spans="1:26" x14ac:dyDescent="0.15">
      <c r="A48" t="s">
        <v>1920</v>
      </c>
      <c r="B48">
        <v>-2</v>
      </c>
      <c r="T48" s="36" t="str">
        <f t="shared" si="0"/>
        <v>},[-2]={</v>
      </c>
    </row>
    <row r="49" spans="1:38" s="36" customFormat="1" x14ac:dyDescent="0.15">
      <c r="C49" s="36" t="s">
        <v>1945</v>
      </c>
      <c r="D49" s="36" t="s">
        <v>2129</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1974</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2412</v>
      </c>
      <c r="V50" s="36" t="s">
        <v>2413</v>
      </c>
      <c r="W50" s="36" t="s">
        <v>2414</v>
      </c>
      <c r="X50" s="36" t="s">
        <v>2290</v>
      </c>
      <c r="Y50" s="36" t="s">
        <v>2291</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1858</v>
      </c>
      <c r="V51" s="36" t="s">
        <v>2416</v>
      </c>
      <c r="W51" s="36" t="s">
        <v>2418</v>
      </c>
      <c r="X51" s="36" t="s">
        <v>2419</v>
      </c>
      <c r="Y51" s="36" t="s">
        <v>2197</v>
      </c>
      <c r="Z51" s="36" t="s">
        <v>2198</v>
      </c>
    </row>
    <row r="52" spans="1:38" s="36" customFormat="1" x14ac:dyDescent="0.15">
      <c r="C52" s="36" t="s">
        <v>1933</v>
      </c>
      <c r="D52" s="36" t="s">
        <v>1935</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2021</v>
      </c>
    </row>
    <row r="53" spans="1:38" s="36" customFormat="1" x14ac:dyDescent="0.15">
      <c r="C53" s="36" t="s">
        <v>1932</v>
      </c>
      <c r="D53" s="36" t="s">
        <v>1934</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2022</v>
      </c>
    </row>
    <row r="54" spans="1:38" s="36" customFormat="1" x14ac:dyDescent="0.15">
      <c r="C54" s="36" t="s">
        <v>1929</v>
      </c>
      <c r="D54" s="36" t="s">
        <v>2128</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1931</v>
      </c>
    </row>
    <row r="55" spans="1:38" s="36" customFormat="1" x14ac:dyDescent="0.15">
      <c r="C55" s="36" t="s">
        <v>2199</v>
      </c>
      <c r="D55" s="36" t="s">
        <v>2200</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2296</v>
      </c>
      <c r="V55" s="39"/>
    </row>
    <row r="56" spans="1:38" s="36" customFormat="1" x14ac:dyDescent="0.15">
      <c r="C56" s="36" t="s">
        <v>2193</v>
      </c>
      <c r="D56" s="36" t="s">
        <v>2194</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2295</v>
      </c>
      <c r="V56" s="39"/>
    </row>
    <row r="57" spans="1:38" s="36" customFormat="1" x14ac:dyDescent="0.15">
      <c r="C57" s="36" t="s">
        <v>1930</v>
      </c>
      <c r="D57" s="36" t="s">
        <v>2114</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2287</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2378</v>
      </c>
      <c r="V58" t="s">
        <v>2379</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2375</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2378</v>
      </c>
      <c r="V60" t="s">
        <v>2380</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2376</v>
      </c>
    </row>
    <row r="62" spans="1:38" s="42" customFormat="1" x14ac:dyDescent="0.15">
      <c r="A62" s="42" t="s">
        <v>963</v>
      </c>
      <c r="B62" s="42">
        <v>-7</v>
      </c>
      <c r="T62" s="36" t="str">
        <f t="shared" si="0"/>
        <v>},[-7]={</v>
      </c>
    </row>
    <row r="63" spans="1:38" s="36" customFormat="1" x14ac:dyDescent="0.15">
      <c r="C63" s="36" t="s">
        <v>1945</v>
      </c>
      <c r="D63" s="36" t="s">
        <v>2129</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1974</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2288</v>
      </c>
      <c r="V64" s="36" t="s">
        <v>2289</v>
      </c>
      <c r="W64" s="36" t="s">
        <v>2292</v>
      </c>
      <c r="X64" s="36" t="s">
        <v>2293</v>
      </c>
      <c r="Y64" s="36" t="s">
        <v>2294</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1858</v>
      </c>
      <c r="V65" s="36" t="s">
        <v>2416</v>
      </c>
      <c r="W65" s="36" t="s">
        <v>2418</v>
      </c>
      <c r="X65" s="36" t="s">
        <v>2419</v>
      </c>
      <c r="Y65" s="36" t="s">
        <v>2197</v>
      </c>
      <c r="Z65" s="36" t="s">
        <v>2198</v>
      </c>
    </row>
    <row r="66" spans="1:26" s="36" customFormat="1" x14ac:dyDescent="0.15">
      <c r="C66" s="36" t="s">
        <v>1933</v>
      </c>
      <c r="D66" s="36" t="s">
        <v>1935</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2021</v>
      </c>
    </row>
    <row r="67" spans="1:26" s="36" customFormat="1" x14ac:dyDescent="0.15">
      <c r="C67" s="36" t="s">
        <v>1932</v>
      </c>
      <c r="D67" s="36" t="s">
        <v>1934</v>
      </c>
      <c r="K67" s="36" t="s">
        <v>1565</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2022</v>
      </c>
    </row>
    <row r="68" spans="1:26" x14ac:dyDescent="0.15">
      <c r="C68" t="s">
        <v>1577</v>
      </c>
      <c r="K68" t="s">
        <v>1432</v>
      </c>
      <c r="T68" s="36" t="str">
        <f t="shared" si="1"/>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2199</v>
      </c>
      <c r="D69" s="36" t="s">
        <v>2200</v>
      </c>
      <c r="K69" s="36" t="s">
        <v>1432</v>
      </c>
      <c r="T69"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2296</v>
      </c>
      <c r="V69" s="38" t="s">
        <v>2567</v>
      </c>
      <c r="W69" s="38" t="s">
        <v>2564</v>
      </c>
    </row>
    <row r="70" spans="1:26" s="36" customFormat="1" x14ac:dyDescent="0.15">
      <c r="C70" s="36" t="s">
        <v>1929</v>
      </c>
      <c r="D70" s="36" t="s">
        <v>2128</v>
      </c>
      <c r="K70" s="36" t="s">
        <v>1432</v>
      </c>
      <c r="Q70" s="36">
        <v>1</v>
      </c>
      <c r="T70" s="36" t="str">
        <f t="shared" si="1"/>
        <v>{szContent="本场战役已结束，双方战事惨烈，未分胜负！双方士气各涨500分！\n",szNote="据点攻防·平局",col={255,255,100,},[20]={bCenterAlarm=true,},tCountdown={{nClass=20,nIcon=2400,nFrame=0,szName="据点攻防·平局",nTime=30,nRefresh=2,key="阵营活动",},},},</v>
      </c>
      <c r="U70" s="36" t="s">
        <v>1931</v>
      </c>
    </row>
    <row r="71" spans="1:26" x14ac:dyDescent="0.15">
      <c r="C71" t="s">
        <v>1930</v>
      </c>
      <c r="D71" t="s">
        <v>2114</v>
      </c>
      <c r="K71" t="s">
        <v>1432</v>
      </c>
      <c r="T71" s="36"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2377</v>
      </c>
      <c r="V71" t="s">
        <v>2125</v>
      </c>
      <c r="W71" s="36" t="s">
        <v>2126</v>
      </c>
      <c r="X71" s="41" t="s">
        <v>2287</v>
      </c>
    </row>
    <row r="72" spans="1:26" x14ac:dyDescent="0.15">
      <c r="C72" t="s">
        <v>1574</v>
      </c>
      <c r="K72" t="s">
        <v>1432</v>
      </c>
      <c r="T72" s="36"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2378</v>
      </c>
      <c r="V72" s="36" t="s">
        <v>2379</v>
      </c>
    </row>
    <row r="73" spans="1:26" x14ac:dyDescent="0.15">
      <c r="C73" t="s">
        <v>1573</v>
      </c>
      <c r="D73" t="s">
        <v>2681</v>
      </c>
      <c r="K73" t="s">
        <v>1432</v>
      </c>
      <c r="T73" s="3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2378</v>
      </c>
      <c r="V73" s="36" t="s">
        <v>2380</v>
      </c>
    </row>
    <row r="74" spans="1:26" x14ac:dyDescent="0.15">
      <c r="C74" t="s">
        <v>1576</v>
      </c>
      <c r="D74" t="s">
        <v>2366</v>
      </c>
      <c r="K74" t="s">
        <v>1432</v>
      </c>
      <c r="T74"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2616</v>
      </c>
    </row>
    <row r="75" spans="1:26" x14ac:dyDescent="0.15">
      <c r="C75" t="s">
        <v>1575</v>
      </c>
      <c r="K75" t="s">
        <v>1432</v>
      </c>
      <c r="T75"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2376</v>
      </c>
    </row>
    <row r="76" spans="1:26" s="36" customFormat="1" x14ac:dyDescent="0.15">
      <c r="A76" s="36" t="s">
        <v>2680</v>
      </c>
      <c r="B76" s="36">
        <v>-20</v>
      </c>
      <c r="T76" s="36" t="str">
        <f t="shared" si="1"/>
        <v>},[-20]={</v>
      </c>
    </row>
    <row r="77" spans="1:26" s="36" customFormat="1" x14ac:dyDescent="0.15">
      <c r="C77" s="36" t="s">
        <v>1803</v>
      </c>
      <c r="D77" s="36" t="s">
        <v>1494</v>
      </c>
      <c r="K77" s="36" t="s">
        <v>1432</v>
      </c>
      <c r="M77" s="36">
        <v>1</v>
      </c>
      <c r="T77"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2420</v>
      </c>
      <c r="V77" s="36" t="s">
        <v>2421</v>
      </c>
      <c r="W77" s="36" t="s">
        <v>2422</v>
      </c>
      <c r="X77" s="36" t="s">
        <v>1771</v>
      </c>
      <c r="Y77" s="36" t="s">
        <v>1772</v>
      </c>
    </row>
    <row r="78" spans="1:26" s="36" customFormat="1" x14ac:dyDescent="0.15">
      <c r="A78" s="36" t="s">
        <v>2158</v>
      </c>
      <c r="B78" s="36">
        <v>-3</v>
      </c>
      <c r="T78" s="36" t="str">
        <f t="shared" si="1"/>
        <v>},[-3]={</v>
      </c>
    </row>
    <row r="79" spans="1:26" s="36" customFormat="1" x14ac:dyDescent="0.15">
      <c r="C79" s="36" t="s">
        <v>1794</v>
      </c>
      <c r="K79" s="36" t="s">
        <v>1438</v>
      </c>
      <c r="T79"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2161</v>
      </c>
    </row>
    <row r="80" spans="1:26" s="36" customFormat="1" x14ac:dyDescent="0.15">
      <c r="C80" s="36" t="s">
        <v>1793</v>
      </c>
      <c r="K80" s="36" t="s">
        <v>1565</v>
      </c>
      <c r="T80"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2160</v>
      </c>
    </row>
    <row r="81" spans="1:30" s="36" customFormat="1" x14ac:dyDescent="0.15">
      <c r="A81" s="36" t="s">
        <v>2090</v>
      </c>
      <c r="B81" s="36">
        <v>74</v>
      </c>
      <c r="T81" s="36" t="str">
        <f t="shared" si="1"/>
        <v>},[74]={</v>
      </c>
    </row>
    <row r="82" spans="1:30" s="36" customFormat="1" x14ac:dyDescent="0.15">
      <c r="C82" s="36" t="s">
        <v>1488</v>
      </c>
      <c r="D82" s="36" t="s">
        <v>1489</v>
      </c>
      <c r="K82" s="36" t="s">
        <v>1432</v>
      </c>
      <c r="T82"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2396</v>
      </c>
    </row>
    <row r="83" spans="1:30" s="36" customFormat="1" x14ac:dyDescent="0.15">
      <c r="C83" s="36" t="s">
        <v>2093</v>
      </c>
      <c r="D83" s="36" t="s">
        <v>1490</v>
      </c>
      <c r="K83" s="36" t="s">
        <v>1432</v>
      </c>
      <c r="T83"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2395</v>
      </c>
    </row>
    <row r="84" spans="1:30" s="36" customFormat="1" x14ac:dyDescent="0.15">
      <c r="C84" s="36" t="s">
        <v>1487</v>
      </c>
      <c r="D84" s="36" t="s">
        <v>1928</v>
      </c>
      <c r="K84" s="36" t="s">
        <v>1432</v>
      </c>
      <c r="M84" s="36">
        <v>1</v>
      </c>
      <c r="Q84" s="36">
        <v>1</v>
      </c>
      <c r="T84"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2505</v>
      </c>
      <c r="V84" s="36" t="s">
        <v>2506</v>
      </c>
      <c r="W84" s="36" t="s">
        <v>2184</v>
      </c>
      <c r="X84" s="36" t="s">
        <v>2394</v>
      </c>
      <c r="Y84" s="36" t="s">
        <v>2393</v>
      </c>
    </row>
    <row r="85" spans="1:30" s="36" customFormat="1" x14ac:dyDescent="0.15">
      <c r="C85" s="36" t="s">
        <v>1945</v>
      </c>
      <c r="D85" s="36" t="s">
        <v>2129</v>
      </c>
      <c r="K85" s="36" t="s">
        <v>1432</v>
      </c>
      <c r="M85" s="36">
        <v>1</v>
      </c>
      <c r="Q85" s="36">
        <v>1</v>
      </c>
      <c r="T85" s="36" t="str">
        <f t="shared" si="1"/>
        <v>{szContent="^本场战役已结束，双方战事惨烈，但终是(.-)略胜一筹，(.-)！(.-)士气大涨(%d-)分！",szNote="据点攻防·{$1}·{$2}",col={255,255,100,},bReg=true,[20]={bCenterAlarm=true,},tCountdown={{nClass=20,nIcon=2400,nFrame=0,szName="{$1}·{$2}",nTime=30,nRefresh=2,key="阵营活动",},},},</v>
      </c>
      <c r="U85" s="36" t="s">
        <v>1974</v>
      </c>
    </row>
    <row r="86" spans="1:30" s="36" customFormat="1" x14ac:dyDescent="0.15">
      <c r="C86" s="36" t="s">
        <v>1491</v>
      </c>
      <c r="D86" s="36" t="s">
        <v>1492</v>
      </c>
      <c r="K86" s="36" t="s">
        <v>1432</v>
      </c>
      <c r="M86" s="36">
        <v>1</v>
      </c>
      <c r="T86"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2412</v>
      </c>
      <c r="V86" s="36" t="s">
        <v>2413</v>
      </c>
      <c r="W86" s="36" t="s">
        <v>2414</v>
      </c>
      <c r="X86" s="36" t="s">
        <v>2290</v>
      </c>
      <c r="Y86" s="36" t="s">
        <v>2291</v>
      </c>
    </row>
    <row r="87" spans="1:30" s="36" customFormat="1" x14ac:dyDescent="0.15">
      <c r="C87" s="36" t="s">
        <v>1798</v>
      </c>
      <c r="D87" s="36" t="s">
        <v>1493</v>
      </c>
      <c r="K87" s="36" t="s">
        <v>1432</v>
      </c>
      <c r="M87" s="36">
        <v>1</v>
      </c>
      <c r="T87"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1858</v>
      </c>
      <c r="V87" s="36" t="s">
        <v>2416</v>
      </c>
      <c r="W87" s="36" t="s">
        <v>2418</v>
      </c>
      <c r="X87" s="36" t="s">
        <v>2419</v>
      </c>
      <c r="Y87" s="36" t="s">
        <v>2197</v>
      </c>
      <c r="Z87" s="36" t="s">
        <v>2198</v>
      </c>
    </row>
    <row r="88" spans="1:30" s="36" customFormat="1" x14ac:dyDescent="0.15">
      <c r="C88" s="36" t="s">
        <v>1933</v>
      </c>
      <c r="D88" s="36" t="s">
        <v>1935</v>
      </c>
      <c r="K88" s="36" t="s">
        <v>1438</v>
      </c>
      <c r="T88"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2021</v>
      </c>
    </row>
    <row r="89" spans="1:30" s="36" customFormat="1" x14ac:dyDescent="0.15">
      <c r="C89" s="36" t="s">
        <v>1932</v>
      </c>
      <c r="D89" s="36" t="s">
        <v>1934</v>
      </c>
      <c r="K89" s="36" t="s">
        <v>1565</v>
      </c>
      <c r="T8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2022</v>
      </c>
    </row>
    <row r="90" spans="1:30" s="36" customFormat="1" x14ac:dyDescent="0.15">
      <c r="C90" s="36" t="s">
        <v>1929</v>
      </c>
      <c r="D90" s="36" t="s">
        <v>2128</v>
      </c>
      <c r="K90" s="36" t="s">
        <v>1432</v>
      </c>
      <c r="Q90" s="36">
        <v>1</v>
      </c>
      <c r="T90" s="36" t="str">
        <f t="shared" si="1"/>
        <v>{szContent="本场战役已结束，双方战事惨烈，未分胜负！双方士气各涨500分！\n",szNote="据点攻防·平局",col={255,255,100,},[20]={bCenterAlarm=true,},tCountdown={{nClass=20,nIcon=2400,nFrame=0,szName="据点攻防·平局",nTime=30,nRefresh=2,key="阵营活动",},},},</v>
      </c>
      <c r="U90" s="36" t="s">
        <v>1931</v>
      </c>
    </row>
    <row r="91" spans="1:30" s="36" customFormat="1" x14ac:dyDescent="0.15">
      <c r="C91" s="36" t="s">
        <v>1930</v>
      </c>
      <c r="D91" s="36" t="s">
        <v>2114</v>
      </c>
      <c r="K91" s="36" t="s">
        <v>1432</v>
      </c>
      <c r="T91"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2287</v>
      </c>
    </row>
    <row r="92" spans="1:30" s="36" customFormat="1" x14ac:dyDescent="0.15">
      <c r="C92" s="36" t="s">
        <v>2199</v>
      </c>
      <c r="D92" s="36" t="s">
        <v>2200</v>
      </c>
      <c r="K92" s="36" t="s">
        <v>1432</v>
      </c>
      <c r="T92"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2296</v>
      </c>
      <c r="V92" s="39"/>
    </row>
    <row r="93" spans="1:30" s="36" customFormat="1" x14ac:dyDescent="0.15">
      <c r="C93" s="36" t="s">
        <v>2193</v>
      </c>
      <c r="D93" s="36" t="s">
        <v>2194</v>
      </c>
      <c r="K93" s="36" t="s">
        <v>1432</v>
      </c>
      <c r="T93"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2295</v>
      </c>
      <c r="V93" s="39"/>
    </row>
    <row r="94" spans="1:30" s="36" customFormat="1" x14ac:dyDescent="0.15">
      <c r="A94" s="36" t="s">
        <v>1805</v>
      </c>
      <c r="B94" s="36">
        <v>22</v>
      </c>
      <c r="T94" s="36" t="str">
        <f t="shared" si="1"/>
        <v>},[22]={</v>
      </c>
    </row>
    <row r="95" spans="1:30" s="36" customFormat="1" x14ac:dyDescent="0.15">
      <c r="C95" s="36" t="s">
        <v>1798</v>
      </c>
      <c r="D95" s="36" t="s">
        <v>1493</v>
      </c>
      <c r="G95" s="36" t="s">
        <v>2201</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1858</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2416</v>
      </c>
      <c r="Y95" s="36" t="s">
        <v>2418</v>
      </c>
      <c r="Z95" s="36" t="s">
        <v>2426</v>
      </c>
      <c r="AA95" s="36" t="s">
        <v>2229</v>
      </c>
      <c r="AB95" s="36" t="s">
        <v>2230</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2428</v>
      </c>
      <c r="D96" s="36" t="s">
        <v>1820</v>
      </c>
      <c r="K96" s="36" t="s">
        <v>1432</v>
      </c>
      <c r="M96" s="36">
        <v>1</v>
      </c>
      <c r="T96"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2444</v>
      </c>
      <c r="V96" s="36" t="s">
        <v>2424</v>
      </c>
      <c r="W96" s="36" t="s">
        <v>1895</v>
      </c>
      <c r="X96" s="36" t="s">
        <v>2445</v>
      </c>
    </row>
    <row r="97" spans="1:34" s="36" customFormat="1" x14ac:dyDescent="0.15">
      <c r="C97" s="36" t="s">
        <v>1611</v>
      </c>
      <c r="K97" s="36" t="s">
        <v>1432</v>
      </c>
      <c r="T97"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2316</v>
      </c>
      <c r="V97" s="36" t="s">
        <v>2319</v>
      </c>
      <c r="W97" s="36" t="s">
        <v>2320</v>
      </c>
    </row>
    <row r="98" spans="1:34" s="36" customFormat="1" x14ac:dyDescent="0.15">
      <c r="C98" s="36" t="s">
        <v>1571</v>
      </c>
      <c r="K98" s="36" t="s">
        <v>1438</v>
      </c>
      <c r="T98" s="36" t="str">
        <f t="shared" si="1"/>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1"/>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1"/>
        <v>},[30]={</v>
      </c>
    </row>
    <row r="101" spans="1:34" s="36" customFormat="1" x14ac:dyDescent="0.15">
      <c r="C101" s="36" t="s">
        <v>1798</v>
      </c>
      <c r="D101" s="36" t="s">
        <v>1493</v>
      </c>
      <c r="G101" s="36" t="s">
        <v>2202</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1858</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2416</v>
      </c>
      <c r="Y101" s="36" t="s">
        <v>2418</v>
      </c>
      <c r="Z101" s="36" t="s">
        <v>2426</v>
      </c>
      <c r="AA101" s="36" t="s">
        <v>2229</v>
      </c>
      <c r="AB101" s="36" t="s">
        <v>2230</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1922</v>
      </c>
      <c r="D102" s="36" t="s">
        <v>1820</v>
      </c>
      <c r="K102" t="s">
        <v>1432</v>
      </c>
      <c r="M102">
        <v>1</v>
      </c>
      <c r="T102"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2443</v>
      </c>
      <c r="V102" s="36" t="s">
        <v>2424</v>
      </c>
      <c r="W102" s="36" t="s">
        <v>1895</v>
      </c>
      <c r="X102" s="36" t="s">
        <v>1861</v>
      </c>
    </row>
    <row r="103" spans="1:34" x14ac:dyDescent="0.15">
      <c r="C103" t="s">
        <v>1567</v>
      </c>
      <c r="K103" t="s">
        <v>1432</v>
      </c>
      <c r="T103"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2317</v>
      </c>
      <c r="V103" t="s">
        <v>2318</v>
      </c>
      <c r="W103" s="36" t="s">
        <v>2321</v>
      </c>
      <c r="X103" s="36" t="s">
        <v>2322</v>
      </c>
    </row>
    <row r="104" spans="1:34" x14ac:dyDescent="0.15">
      <c r="C104" t="s">
        <v>1569</v>
      </c>
      <c r="K104" t="s">
        <v>1438</v>
      </c>
      <c r="T104" s="36" t="str">
        <f t="shared" si="1"/>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1"/>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1"/>
        <v>},[21]={</v>
      </c>
    </row>
    <row r="107" spans="1:34" s="36" customFormat="1" x14ac:dyDescent="0.15">
      <c r="C107" s="36" t="s">
        <v>1798</v>
      </c>
      <c r="D107" s="36" t="s">
        <v>1493</v>
      </c>
      <c r="G107" s="36" t="s">
        <v>2203</v>
      </c>
      <c r="H107" s="36" t="s">
        <v>2204</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1858</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2415</v>
      </c>
      <c r="AA107" s="36" t="s">
        <v>2417</v>
      </c>
      <c r="AB107" s="36" t="s">
        <v>2425</v>
      </c>
      <c r="AC107" s="36" t="s">
        <v>2229</v>
      </c>
      <c r="AD107" s="36" t="s">
        <v>2230</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1922</v>
      </c>
      <c r="D108" s="36" t="s">
        <v>1820</v>
      </c>
      <c r="K108" t="s">
        <v>1432</v>
      </c>
      <c r="M108">
        <v>1</v>
      </c>
      <c r="T108"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2458</v>
      </c>
      <c r="V108" s="36" t="s">
        <v>2471</v>
      </c>
      <c r="W108" s="36" t="s">
        <v>2423</v>
      </c>
      <c r="X108" s="36" t="s">
        <v>1894</v>
      </c>
      <c r="Y108" s="36" t="s">
        <v>1867</v>
      </c>
      <c r="Z108" s="36" t="s">
        <v>2446</v>
      </c>
      <c r="AA108" s="36"/>
    </row>
    <row r="109" spans="1:34" x14ac:dyDescent="0.15">
      <c r="A109" t="s">
        <v>1808</v>
      </c>
      <c r="B109">
        <v>23</v>
      </c>
      <c r="T109" s="36" t="str">
        <f t="shared" si="1"/>
        <v>},[23]={</v>
      </c>
      <c r="Z109" s="36"/>
      <c r="AA109" s="36"/>
    </row>
    <row r="110" spans="1:34" s="36" customFormat="1" x14ac:dyDescent="0.15">
      <c r="C110" s="36" t="s">
        <v>1798</v>
      </c>
      <c r="D110" s="36" t="s">
        <v>1493</v>
      </c>
      <c r="G110" s="36" t="s">
        <v>2205</v>
      </c>
      <c r="H110" s="36" t="s">
        <v>2206</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1858</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2415</v>
      </c>
      <c r="AA110" s="36" t="s">
        <v>2417</v>
      </c>
      <c r="AB110" s="36" t="s">
        <v>2425</v>
      </c>
      <c r="AC110" s="36" t="s">
        <v>2229</v>
      </c>
      <c r="AD110" s="36" t="s">
        <v>2230</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1922</v>
      </c>
      <c r="D111" s="36" t="s">
        <v>1820</v>
      </c>
      <c r="K111" t="s">
        <v>1432</v>
      </c>
      <c r="M111">
        <v>1</v>
      </c>
      <c r="T111"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2459</v>
      </c>
      <c r="V111" s="36" t="s">
        <v>2472</v>
      </c>
      <c r="W111" s="36" t="s">
        <v>2423</v>
      </c>
      <c r="X111" s="36" t="s">
        <v>1894</v>
      </c>
      <c r="Y111" s="36" t="s">
        <v>1876</v>
      </c>
      <c r="Z111" s="36" t="s">
        <v>2447</v>
      </c>
      <c r="AA111" s="36"/>
    </row>
    <row r="112" spans="1:34" x14ac:dyDescent="0.15">
      <c r="A112" t="s">
        <v>1809</v>
      </c>
      <c r="B112">
        <v>9</v>
      </c>
      <c r="T112" s="36" t="str">
        <f t="shared" si="1"/>
        <v>},[9]={</v>
      </c>
      <c r="Z112" s="36"/>
      <c r="AA112" s="36"/>
    </row>
    <row r="113" spans="1:34" s="36" customFormat="1" x14ac:dyDescent="0.15">
      <c r="C113" s="36" t="s">
        <v>1798</v>
      </c>
      <c r="D113" s="36" t="s">
        <v>1493</v>
      </c>
      <c r="G113" s="36" t="s">
        <v>2207</v>
      </c>
      <c r="H113" s="36" t="s">
        <v>2208</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1858</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2415</v>
      </c>
      <c r="AA113" s="36" t="s">
        <v>2417</v>
      </c>
      <c r="AB113" s="36" t="s">
        <v>2425</v>
      </c>
      <c r="AC113" s="36" t="s">
        <v>2229</v>
      </c>
      <c r="AD113" s="36" t="s">
        <v>2230</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1922</v>
      </c>
      <c r="D114" s="36" t="s">
        <v>1820</v>
      </c>
      <c r="K114" t="s">
        <v>1432</v>
      </c>
      <c r="M114">
        <v>1</v>
      </c>
      <c r="T114"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2460</v>
      </c>
      <c r="V114" s="36" t="s">
        <v>2473</v>
      </c>
      <c r="W114" s="36" t="s">
        <v>2423</v>
      </c>
      <c r="X114" s="36" t="s">
        <v>1894</v>
      </c>
      <c r="Y114" s="36" t="s">
        <v>1878</v>
      </c>
      <c r="Z114" s="36" t="s">
        <v>2448</v>
      </c>
      <c r="AA114" s="36"/>
    </row>
    <row r="115" spans="1:34" x14ac:dyDescent="0.15">
      <c r="A115" t="s">
        <v>1810</v>
      </c>
      <c r="B115">
        <v>13</v>
      </c>
      <c r="T115" s="36" t="str">
        <f t="shared" si="1"/>
        <v>},[13]={</v>
      </c>
      <c r="Z115" s="36"/>
      <c r="AA115" s="36"/>
    </row>
    <row r="116" spans="1:34" s="36" customFormat="1" x14ac:dyDescent="0.15">
      <c r="C116" s="36" t="s">
        <v>1798</v>
      </c>
      <c r="D116" s="36" t="s">
        <v>1493</v>
      </c>
      <c r="G116" s="36" t="s">
        <v>2209</v>
      </c>
      <c r="H116" s="36" t="s">
        <v>2210</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1858</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2415</v>
      </c>
      <c r="AA116" s="36" t="s">
        <v>2417</v>
      </c>
      <c r="AB116" s="36" t="s">
        <v>2425</v>
      </c>
      <c r="AC116" s="36" t="s">
        <v>2229</v>
      </c>
      <c r="AD116" s="36" t="s">
        <v>2230</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1922</v>
      </c>
      <c r="D117" s="36" t="s">
        <v>1820</v>
      </c>
      <c r="K117" t="s">
        <v>1432</v>
      </c>
      <c r="M117">
        <v>1</v>
      </c>
      <c r="T117"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2461</v>
      </c>
      <c r="V117" s="36" t="s">
        <v>2474</v>
      </c>
      <c r="W117" s="36" t="s">
        <v>2423</v>
      </c>
      <c r="X117" s="36" t="s">
        <v>1894</v>
      </c>
      <c r="Y117" s="36" t="s">
        <v>1879</v>
      </c>
      <c r="Z117" s="36" t="s">
        <v>2449</v>
      </c>
      <c r="AA117" s="36"/>
    </row>
    <row r="118" spans="1:34" x14ac:dyDescent="0.15">
      <c r="A118" t="s">
        <v>1811</v>
      </c>
      <c r="B118">
        <v>35</v>
      </c>
      <c r="T118" s="36" t="str">
        <f t="shared" si="1"/>
        <v>},[35]={</v>
      </c>
      <c r="Z118" s="36"/>
      <c r="AA118" s="36"/>
    </row>
    <row r="119" spans="1:34" s="36" customFormat="1" x14ac:dyDescent="0.15">
      <c r="C119" s="36" t="s">
        <v>1798</v>
      </c>
      <c r="D119" s="36" t="s">
        <v>1493</v>
      </c>
      <c r="G119" s="36" t="s">
        <v>2211</v>
      </c>
      <c r="H119" s="36" t="s">
        <v>2212</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1858</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2415</v>
      </c>
      <c r="AA119" s="36" t="s">
        <v>2417</v>
      </c>
      <c r="AB119" s="36" t="s">
        <v>2425</v>
      </c>
      <c r="AC119" s="36" t="s">
        <v>2229</v>
      </c>
      <c r="AD119" s="36" t="s">
        <v>2230</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1922</v>
      </c>
      <c r="D120" s="36" t="s">
        <v>1820</v>
      </c>
      <c r="K120" t="s">
        <v>1432</v>
      </c>
      <c r="M120">
        <v>1</v>
      </c>
      <c r="T120"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2462</v>
      </c>
      <c r="V120" s="36" t="s">
        <v>2475</v>
      </c>
      <c r="W120" s="36" t="s">
        <v>2423</v>
      </c>
      <c r="X120" s="36" t="s">
        <v>1894</v>
      </c>
      <c r="Y120" s="36" t="s">
        <v>1881</v>
      </c>
      <c r="Z120" s="36" t="s">
        <v>2450</v>
      </c>
      <c r="AA120" s="36"/>
    </row>
    <row r="121" spans="1:34" x14ac:dyDescent="0.15">
      <c r="A121" t="s">
        <v>1812</v>
      </c>
      <c r="B121">
        <v>100</v>
      </c>
      <c r="T121" s="36" t="str">
        <f t="shared" si="1"/>
        <v>},[100]={</v>
      </c>
      <c r="Z121" s="36"/>
      <c r="AA121" s="36"/>
    </row>
    <row r="122" spans="1:34" s="36" customFormat="1" x14ac:dyDescent="0.15">
      <c r="C122" s="36" t="s">
        <v>1798</v>
      </c>
      <c r="D122" s="36" t="s">
        <v>1493</v>
      </c>
      <c r="G122" s="36" t="s">
        <v>2213</v>
      </c>
      <c r="H122" s="36" t="s">
        <v>2214</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1858</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2415</v>
      </c>
      <c r="AA122" s="36" t="s">
        <v>2417</v>
      </c>
      <c r="AB122" s="36" t="s">
        <v>2425</v>
      </c>
      <c r="AC122" s="36" t="s">
        <v>2229</v>
      </c>
      <c r="AD122" s="36" t="s">
        <v>2230</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1922</v>
      </c>
      <c r="D123" s="36" t="s">
        <v>1820</v>
      </c>
      <c r="K123" t="s">
        <v>1432</v>
      </c>
      <c r="M123">
        <v>1</v>
      </c>
      <c r="T123"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2463</v>
      </c>
      <c r="V123" s="36" t="s">
        <v>2476</v>
      </c>
      <c r="W123" s="36" t="s">
        <v>2423</v>
      </c>
      <c r="X123" s="36" t="s">
        <v>1894</v>
      </c>
      <c r="Y123" s="36" t="s">
        <v>1883</v>
      </c>
      <c r="Z123" s="36" t="s">
        <v>2451</v>
      </c>
      <c r="AA123" s="36"/>
    </row>
    <row r="124" spans="1:34" x14ac:dyDescent="0.15">
      <c r="A124" t="s">
        <v>1813</v>
      </c>
      <c r="B124">
        <v>101</v>
      </c>
      <c r="T124" s="36" t="str">
        <f t="shared" si="1"/>
        <v>},[101]={</v>
      </c>
      <c r="Z124" s="36"/>
      <c r="AA124" s="36"/>
    </row>
    <row r="125" spans="1:34" s="36" customFormat="1" x14ac:dyDescent="0.15">
      <c r="C125" s="36" t="s">
        <v>1798</v>
      </c>
      <c r="D125" s="36" t="s">
        <v>1493</v>
      </c>
      <c r="G125" s="36" t="s">
        <v>2215</v>
      </c>
      <c r="H125" s="36" t="s">
        <v>2216</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1858</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2415</v>
      </c>
      <c r="AA125" s="36" t="s">
        <v>2417</v>
      </c>
      <c r="AB125" s="36" t="s">
        <v>2425</v>
      </c>
      <c r="AC125" s="36" t="s">
        <v>2229</v>
      </c>
      <c r="AD125" s="36" t="s">
        <v>2230</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1922</v>
      </c>
      <c r="D126" s="36" t="s">
        <v>1820</v>
      </c>
      <c r="K126" t="s">
        <v>1432</v>
      </c>
      <c r="M126">
        <v>1</v>
      </c>
      <c r="T126"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2464</v>
      </c>
      <c r="V126" s="36" t="s">
        <v>2477</v>
      </c>
      <c r="W126" s="36" t="s">
        <v>2423</v>
      </c>
      <c r="X126" s="36" t="s">
        <v>1894</v>
      </c>
      <c r="Y126" s="36" t="s">
        <v>1885</v>
      </c>
      <c r="Z126" s="36" t="s">
        <v>2452</v>
      </c>
      <c r="AA126" s="36"/>
    </row>
    <row r="127" spans="1:34" x14ac:dyDescent="0.15">
      <c r="A127" t="s">
        <v>1814</v>
      </c>
      <c r="B127">
        <v>103</v>
      </c>
      <c r="T127" s="36" t="str">
        <f t="shared" si="1"/>
        <v>},[103]={</v>
      </c>
      <c r="Z127" s="36"/>
      <c r="AA127" s="36"/>
    </row>
    <row r="128" spans="1:34" s="36" customFormat="1" x14ac:dyDescent="0.15">
      <c r="C128" s="36" t="s">
        <v>1798</v>
      </c>
      <c r="D128" s="36" t="s">
        <v>1493</v>
      </c>
      <c r="G128" s="36" t="s">
        <v>2217</v>
      </c>
      <c r="H128" s="36" t="s">
        <v>2218</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1858</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2415</v>
      </c>
      <c r="AA128" s="36" t="s">
        <v>2417</v>
      </c>
      <c r="AB128" s="36" t="s">
        <v>2425</v>
      </c>
      <c r="AC128" s="36" t="s">
        <v>2229</v>
      </c>
      <c r="AD128" s="36" t="s">
        <v>2230</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1922</v>
      </c>
      <c r="D129" s="36" t="s">
        <v>1820</v>
      </c>
      <c r="K129" t="s">
        <v>1432</v>
      </c>
      <c r="M129">
        <v>1</v>
      </c>
      <c r="T129"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2465</v>
      </c>
      <c r="V129" s="36" t="s">
        <v>2478</v>
      </c>
      <c r="W129" s="36" t="s">
        <v>2423</v>
      </c>
      <c r="X129" s="36" t="s">
        <v>1894</v>
      </c>
      <c r="Y129" s="36" t="s">
        <v>1887</v>
      </c>
      <c r="Z129" s="36" t="s">
        <v>2453</v>
      </c>
      <c r="AA129" s="36"/>
    </row>
    <row r="130" spans="1:36" x14ac:dyDescent="0.15">
      <c r="A130" t="s">
        <v>1815</v>
      </c>
      <c r="B130">
        <v>104</v>
      </c>
      <c r="T130" s="36" t="str">
        <f t="shared" si="1"/>
        <v>},[104]={</v>
      </c>
      <c r="Z130" s="36"/>
      <c r="AA130" s="36"/>
    </row>
    <row r="131" spans="1:36" s="36" customFormat="1" x14ac:dyDescent="0.15">
      <c r="C131" s="36" t="s">
        <v>1798</v>
      </c>
      <c r="D131" s="36" t="s">
        <v>1493</v>
      </c>
      <c r="G131" s="36" t="s">
        <v>2219</v>
      </c>
      <c r="H131" s="36" t="s">
        <v>2220</v>
      </c>
      <c r="K131" s="36" t="s">
        <v>1432</v>
      </c>
      <c r="M131" s="36">
        <v>1</v>
      </c>
      <c r="T131" s="36" t="str">
        <f t="shared" ref="T131:T150"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1858</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2415</v>
      </c>
      <c r="AA131" s="36" t="s">
        <v>2417</v>
      </c>
      <c r="AB131" s="36" t="s">
        <v>2425</v>
      </c>
      <c r="AC131" s="36" t="s">
        <v>2229</v>
      </c>
      <c r="AD131" s="36" t="s">
        <v>2230</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1922</v>
      </c>
      <c r="D132" s="36" t="s">
        <v>1820</v>
      </c>
      <c r="K132" t="s">
        <v>1432</v>
      </c>
      <c r="M132">
        <v>1</v>
      </c>
      <c r="T132" s="36"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2466</v>
      </c>
      <c r="V132" s="36" t="s">
        <v>2479</v>
      </c>
      <c r="W132" s="36" t="s">
        <v>2423</v>
      </c>
      <c r="X132" s="36" t="s">
        <v>1894</v>
      </c>
      <c r="Y132" s="36" t="s">
        <v>1889</v>
      </c>
      <c r="Z132" s="36" t="s">
        <v>2454</v>
      </c>
      <c r="AA132" s="36"/>
    </row>
    <row r="133" spans="1:36" x14ac:dyDescent="0.15">
      <c r="A133" t="s">
        <v>1816</v>
      </c>
      <c r="B133">
        <v>105</v>
      </c>
      <c r="T133" s="36" t="str">
        <f t="shared" si="2"/>
        <v>},[105]={</v>
      </c>
      <c r="Z133" s="36"/>
      <c r="AA133" s="36"/>
    </row>
    <row r="134" spans="1:36" s="36" customFormat="1" x14ac:dyDescent="0.15">
      <c r="C134" s="36" t="s">
        <v>1798</v>
      </c>
      <c r="D134" s="36" t="s">
        <v>1493</v>
      </c>
      <c r="G134" s="36" t="s">
        <v>2221</v>
      </c>
      <c r="H134" s="36" t="s">
        <v>2222</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1858</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2415</v>
      </c>
      <c r="AA134" s="36" t="s">
        <v>2417</v>
      </c>
      <c r="AB134" s="36" t="s">
        <v>2425</v>
      </c>
      <c r="AC134" s="36" t="s">
        <v>2229</v>
      </c>
      <c r="AD134" s="36" t="s">
        <v>2230</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1922</v>
      </c>
      <c r="D135" s="36" t="s">
        <v>1820</v>
      </c>
      <c r="K135" t="s">
        <v>1432</v>
      </c>
      <c r="M135">
        <v>1</v>
      </c>
      <c r="T135" s="36"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2467</v>
      </c>
      <c r="V135" s="36" t="s">
        <v>2480</v>
      </c>
      <c r="W135" s="36" t="s">
        <v>2423</v>
      </c>
      <c r="X135" s="36" t="s">
        <v>1894</v>
      </c>
      <c r="Y135" s="36" t="s">
        <v>1891</v>
      </c>
      <c r="Z135" s="36" t="s">
        <v>2455</v>
      </c>
      <c r="AA135" s="36"/>
    </row>
    <row r="136" spans="1:36" x14ac:dyDescent="0.15">
      <c r="A136" t="s">
        <v>1817</v>
      </c>
      <c r="B136">
        <v>139</v>
      </c>
      <c r="T136" s="36" t="str">
        <f t="shared" si="2"/>
        <v>},[139]={</v>
      </c>
      <c r="Z136" s="36"/>
      <c r="AA136" s="36"/>
    </row>
    <row r="137" spans="1:36" s="36" customFormat="1" x14ac:dyDescent="0.15">
      <c r="C137" s="36" t="s">
        <v>1798</v>
      </c>
      <c r="D137" s="36" t="s">
        <v>1493</v>
      </c>
      <c r="G137" s="36" t="s">
        <v>2223</v>
      </c>
      <c r="H137" s="36" t="s">
        <v>2224</v>
      </c>
      <c r="K137" s="36" t="s">
        <v>1432</v>
      </c>
      <c r="M137" s="36">
        <v>1</v>
      </c>
      <c r="T137" s="36"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1858</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2415</v>
      </c>
      <c r="AA137" s="36" t="s">
        <v>2417</v>
      </c>
      <c r="AB137" s="36" t="s">
        <v>2425</v>
      </c>
      <c r="AC137" s="36" t="s">
        <v>2229</v>
      </c>
      <c r="AD137" s="36" t="s">
        <v>2230</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1922</v>
      </c>
      <c r="D138" s="36" t="s">
        <v>1820</v>
      </c>
      <c r="K138" t="s">
        <v>1432</v>
      </c>
      <c r="M138">
        <v>1</v>
      </c>
      <c r="T138"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2468</v>
      </c>
      <c r="V138" s="36" t="s">
        <v>2481</v>
      </c>
      <c r="W138" s="36" t="s">
        <v>2423</v>
      </c>
      <c r="X138" s="36" t="s">
        <v>1894</v>
      </c>
      <c r="Y138" s="36" t="s">
        <v>1893</v>
      </c>
      <c r="Z138" s="36" t="s">
        <v>2456</v>
      </c>
      <c r="AA138" s="36"/>
    </row>
    <row r="139" spans="1:36" x14ac:dyDescent="0.15">
      <c r="A139" t="s">
        <v>1818</v>
      </c>
      <c r="B139">
        <v>153</v>
      </c>
      <c r="T139" s="36" t="str">
        <f t="shared" si="2"/>
        <v>},[153]={</v>
      </c>
      <c r="Z139" s="36"/>
      <c r="AA139" s="36"/>
    </row>
    <row r="140" spans="1:36" s="36" customFormat="1" x14ac:dyDescent="0.15">
      <c r="C140" s="36" t="s">
        <v>1798</v>
      </c>
      <c r="D140" s="36" t="s">
        <v>1493</v>
      </c>
      <c r="G140" s="36" t="s">
        <v>2225</v>
      </c>
      <c r="H140" s="36" t="s">
        <v>2226</v>
      </c>
      <c r="K140" s="36" t="s">
        <v>1432</v>
      </c>
      <c r="M140" s="36">
        <v>1</v>
      </c>
      <c r="T140"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1858</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2415</v>
      </c>
      <c r="AA140" s="36" t="s">
        <v>2417</v>
      </c>
      <c r="AB140" s="36" t="s">
        <v>2425</v>
      </c>
      <c r="AC140" s="36" t="s">
        <v>2229</v>
      </c>
      <c r="AD140" s="36" t="s">
        <v>2230</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1922</v>
      </c>
      <c r="D141" s="36" t="s">
        <v>1820</v>
      </c>
      <c r="K141" t="s">
        <v>1432</v>
      </c>
      <c r="M141">
        <v>1</v>
      </c>
      <c r="T141"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2469</v>
      </c>
      <c r="V141" s="36" t="s">
        <v>2482</v>
      </c>
      <c r="W141" s="36" t="s">
        <v>2423</v>
      </c>
      <c r="X141" s="36" t="s">
        <v>1895</v>
      </c>
      <c r="Y141" s="36" t="s">
        <v>1865</v>
      </c>
      <c r="Z141" s="36" t="s">
        <v>2457</v>
      </c>
      <c r="AA141" s="36"/>
    </row>
    <row r="142" spans="1:36" x14ac:dyDescent="0.15">
      <c r="A142" t="s">
        <v>1819</v>
      </c>
      <c r="B142">
        <v>216</v>
      </c>
      <c r="T142" s="36" t="str">
        <f t="shared" si="2"/>
        <v>},[216]={</v>
      </c>
      <c r="Z142" s="36"/>
      <c r="AA142" s="36"/>
    </row>
    <row r="143" spans="1:36" x14ac:dyDescent="0.15">
      <c r="C143" s="36" t="s">
        <v>1799</v>
      </c>
      <c r="D143" t="s">
        <v>1493</v>
      </c>
      <c r="G143" t="s">
        <v>2227</v>
      </c>
      <c r="H143" t="s">
        <v>2228</v>
      </c>
      <c r="K143" t="s">
        <v>1432</v>
      </c>
      <c r="M143">
        <v>1</v>
      </c>
      <c r="T143"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1858</v>
      </c>
      <c r="V143" s="36" t="s">
        <v>2415</v>
      </c>
      <c r="W143" s="36" t="s">
        <v>2417</v>
      </c>
      <c r="X143" s="36" t="s">
        <v>2427</v>
      </c>
      <c r="Y143" s="36" t="s">
        <v>2197</v>
      </c>
      <c r="Z143" s="36" t="s">
        <v>2198</v>
      </c>
      <c r="AC143" s="36"/>
      <c r="AD143" s="36"/>
      <c r="AE143" s="36"/>
      <c r="AF143" s="36"/>
      <c r="AG143" s="36"/>
      <c r="AH143" s="36"/>
      <c r="AI143" s="36"/>
      <c r="AJ143" s="36"/>
    </row>
    <row r="144" spans="1:36" x14ac:dyDescent="0.15">
      <c r="C144" t="s">
        <v>1922</v>
      </c>
      <c r="D144" s="36" t="s">
        <v>1820</v>
      </c>
      <c r="K144" t="s">
        <v>1432</v>
      </c>
      <c r="M144">
        <v>1</v>
      </c>
      <c r="T144"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2470</v>
      </c>
      <c r="V144" s="36" t="s">
        <v>2483</v>
      </c>
      <c r="W144" s="36" t="s">
        <v>2423</v>
      </c>
      <c r="X144" s="36" t="s">
        <v>1894</v>
      </c>
      <c r="Y144" s="36" t="s">
        <v>1916</v>
      </c>
      <c r="Z144" s="36" t="s">
        <v>1917</v>
      </c>
      <c r="AA144" s="36"/>
    </row>
    <row r="145" spans="1:45" s="36" customFormat="1" x14ac:dyDescent="0.15">
      <c r="C145" s="40" t="s">
        <v>1803</v>
      </c>
      <c r="D145" s="36" t="s">
        <v>1494</v>
      </c>
      <c r="K145" s="36" t="s">
        <v>1432</v>
      </c>
      <c r="M145" s="36">
        <v>1</v>
      </c>
      <c r="T145"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2420</v>
      </c>
      <c r="V145" s="36" t="s">
        <v>2421</v>
      </c>
      <c r="W145" s="36" t="s">
        <v>2422</v>
      </c>
      <c r="X145" s="36" t="s">
        <v>1771</v>
      </c>
      <c r="Y145" s="36" t="s">
        <v>1772</v>
      </c>
    </row>
    <row r="146" spans="1:45" x14ac:dyDescent="0.15">
      <c r="A146" t="s">
        <v>613</v>
      </c>
      <c r="B146">
        <v>656</v>
      </c>
      <c r="T146" s="36" t="str">
        <f t="shared" si="2"/>
        <v>},[656]={</v>
      </c>
    </row>
    <row r="147" spans="1:45" x14ac:dyDescent="0.15">
      <c r="C147" s="36" t="s">
        <v>1799</v>
      </c>
      <c r="D147" t="s">
        <v>1493</v>
      </c>
      <c r="G147" s="36" t="s">
        <v>2227</v>
      </c>
      <c r="H147" s="36" t="s">
        <v>2228</v>
      </c>
      <c r="K147" t="s">
        <v>1432</v>
      </c>
      <c r="M147">
        <v>1</v>
      </c>
      <c r="T14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1858</v>
      </c>
      <c r="V147" t="s">
        <v>2415</v>
      </c>
      <c r="W147" t="s">
        <v>2417</v>
      </c>
      <c r="X147" s="36" t="s">
        <v>2427</v>
      </c>
      <c r="Y147" s="36" t="s">
        <v>2197</v>
      </c>
      <c r="Z147" s="36" t="s">
        <v>2198</v>
      </c>
      <c r="AC147" s="36"/>
      <c r="AD147" s="36"/>
      <c r="AE147" s="36"/>
    </row>
    <row r="148" spans="1:45" x14ac:dyDescent="0.15">
      <c r="C148" t="s">
        <v>1922</v>
      </c>
      <c r="D148" s="36" t="s">
        <v>1820</v>
      </c>
      <c r="K148" t="s">
        <v>1432</v>
      </c>
      <c r="M148">
        <v>1</v>
      </c>
      <c r="T14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2470</v>
      </c>
      <c r="V148" s="36" t="s">
        <v>2483</v>
      </c>
      <c r="W148" s="36" t="s">
        <v>2423</v>
      </c>
      <c r="X148" s="36" t="s">
        <v>1894</v>
      </c>
      <c r="Y148" s="36" t="s">
        <v>1916</v>
      </c>
      <c r="Z148" s="36" t="s">
        <v>1917</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40" t="s">
        <v>1803</v>
      </c>
      <c r="D149" s="36" t="s">
        <v>1494</v>
      </c>
      <c r="K149" s="36" t="s">
        <v>1432</v>
      </c>
      <c r="M149" s="36">
        <v>1</v>
      </c>
      <c r="T14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2420</v>
      </c>
      <c r="V149" s="36" t="s">
        <v>2421</v>
      </c>
      <c r="W149" s="36" t="s">
        <v>2422</v>
      </c>
      <c r="X149" s="36" t="s">
        <v>1771</v>
      </c>
      <c r="Y149" s="36" t="s">
        <v>1772</v>
      </c>
    </row>
    <row r="150" spans="1:45" x14ac:dyDescent="0.15">
      <c r="T150" s="36" t="str">
        <f t="shared" si="2"/>
        <v>},},}</v>
      </c>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2026-05-07T14:09:11Z</dcterms:modified>
</cp:coreProperties>
</file>