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BA942829-7B57-44CB-B3BF-D6DB7E83190F}" xr6:coauthVersionLast="45" xr6:coauthVersionMax="45" xr10:uidLastSave="{00000000-0000-0000-0000-000000000000}"/>
  <bookViews>
    <workbookView xWindow="-120" yWindow="-120" windowWidth="29040" windowHeight="15720" activeTab="4"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3" hidden="1">不利气劲!$A$1:$BY$95</definedName>
    <definedName name="_xlnm._FilterDatabase" localSheetId="7" hidden="1">角色喊话!$A$1:$AV$191</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3" i="15"/>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3" i="10"/>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U2" i="17" l="1"/>
  <c r="V15" i="11" l="1"/>
  <c r="V14" i="1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<sst xmlns="http://purl.oclc.org/ooxml/spreadsheetml/main" count="5787" uniqueCount="2734">
  <si>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</si>
  <si>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</si>
  <si>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</si>
  <si>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</si>
  <si>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</si>
  <si>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</si>
  <si>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</si>
  <si>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</si>
  <si>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</si>
  <si>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</si>
  <si>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</si>
  <si>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</si>
  <si>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</si>
  <si>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</si>
  <si>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</si>
  <si>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</si>
  <si>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</si>
  <si>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</si>
  <si>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</si>
  <si>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</si>
  <si>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</si>
  <si>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</si>
  <si>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</si>
  <si>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</si>
  <si>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</si>
  <si>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</si>
  <si>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</si>
  <si>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</si>
  <si>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</si>
  <si>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</si>
  <si>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</si>
  <si>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</si>
  <si>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</si>
  <si>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</si>
  <si>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</si>
  <si>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</si>
  <si>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</si>
  <si>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</si>
  <si>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</si>
  <si>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</si>
  <si>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</si>
  <si>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</si>
  <si>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</si>
  <si>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</si>
  <si>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</si>
  <si>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</si>
  <si>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</si>
  <si>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</si>
  <si>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</si>
  <si>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</si>
  <si>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</si>
  <si>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</si>
  <si>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</si>
  <si>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</si>
  <si>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</si>
  <si>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</si>
  <si>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</si>
  <si>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</si>
  <si>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</si>
  <si>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</si>
  <si>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</si>
  <si>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</si>
  <si>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</si>
  <si>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</si>
  <si>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</si>
  <si>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</si>
  <si>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</si>
  <si>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</si>
  <si>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</si>
  <si>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</si>
  <si>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</si>
  <si>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</si>
  <si>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</si>
  <si>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</si>
  <si>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</si>
  <si>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</si>
  <si>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</si>
  <si>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</si>
  <si>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</si>
  <si>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</si>
  <si>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</si>
  <si>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</si>
  <si>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</si>
  <si>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</si>
  <si>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</si>
  <si>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</si>
  <si>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</si>
  <si>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</si>
  <si>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</si>
  <si>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</si>
  <si>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</si>
  <si>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</si>
  <si>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</si>
  <si>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</si>
  <si>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</si>
  <si>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</si>
  <si>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</si>
  <si>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</si>
  <si>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</si>
  <si>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</si>
  <si>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</si>
  <si>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</si>
  <si>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</si>
  <si>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</si>
  <si>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</si>
  <si>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</si>
  <si>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</si>
  <si>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</si>
  <si>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</si>
  <si>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</si>
  <si>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</si>
  <si>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</si>
  <si>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</si>
  <si>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</si>
  <si>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</si>
  <si>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</si>
  <si>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</si>
  <si>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</si>
  <si>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</si>
  <si>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</si>
  <si>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</si>
  <si>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</si>
  <si>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</si>
  <si>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</si>
  <si>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</si>
  <si>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</si>
  <si>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</si>
  <si>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</si>
  <si>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</si>
  <si>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</si>
  <si>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</si>
  <si>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</si>
  <si>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</si>
  <si>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</si>
  <si>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</si>
  <si>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</si>
  <si>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</si>
  <si>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</si>
  <si>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</si>
  <si>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</si>
  <si>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</si>
  <si>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</si>
  <si>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</si>
  <si>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</si>
  <si>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</si>
  <si>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</si>
  <si>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</si>
  <si>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</si>
  <si>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</si>
  <si>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</si>
  <si>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</si>
  <si>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</si>
  <si>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</si>
  <si>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</si>
  <si>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</si>
  <si>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</si>
  <si>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</si>
  <si>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</si>
  <si>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</si>
  <si>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</si>
  <si>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</si>
  <si>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</si>
  <si>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</si>
  <si>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</si>
  <si>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</si>
  <si>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</si>
  <si>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</si>
  <si>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</si>
  <si>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</si>
  <si>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</si>
  <si>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</si>
  <si>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</si>
  <si>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</si>
  <si>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</si>
  <si>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</si>
  <si>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</si>
  <si>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</si>
  <si>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</si>
  <si>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</si>
  <si>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</si>
  <si>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</si>
  <si>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</si>
  <si>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</si>
  <si>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</si>
  <si>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</si>
  <si>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</si>
  <si>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</si>
  <si>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</si>
  <si>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</si>
  <si>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</si>
  <si>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</si>
  <si>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</si>
  <si>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</si>
  <si>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</si>
  <si>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</si>
  <si>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</si>
  <si>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</si>
  <si>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</si>
  <si>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</si>
  <si>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</si>
  <si>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</si>
  <si>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</si>
  <si>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</si>
  <si>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</si>
  <si>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</si>
  <si>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</si>
  <si>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</si>
  <si>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</si>
  <si>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</si>
  <si>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</si>
  <si>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</si>
  <si>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</si>
  <si>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</si>
  <si>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</si>
  <si>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</si>
  <si>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</si>
  <si>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</si>
  <si>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</si>
  <si>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</si>
  <si>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</si>
  <si>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</si>
  <si>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</si>
  <si>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</si>
  <si>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</si>
  <si>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</si>
  <si>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</si>
  <si>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</si>
  <si>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</si>
  <si>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</si>
  <si>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</si>
  <si>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</si>
  <si>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</si>
  <si>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</si>
  <si>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</si>
  <si>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</si>
  <si>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</si>
  <si>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</si>
  <si>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</si>
  <si>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</si>
  <si>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</si>
  <si>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</si>
  <si>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</si>
  <si>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</si>
  <si>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</si>
  <si>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</si>
  <si>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</si>
  <si>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</si>
  <si>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</si>
  <si>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</si>
  <si>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</si>
  <si>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</si>
  <si>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</si>
  <si>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</si>
  <si>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</si>
  <si>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</si>
  <si>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</si>
  <si>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</si>
  <si>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</si>
  <si>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</si>
  <si>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</si>
  <si>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</si>
  <si>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</si>
  <si>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</si>
  <si>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</si>
  <si>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</si>
  <si>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</si>
  <si>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</si>
  <si>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</si>
  <si>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</si>
  <si>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</si>
  <si>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</si>
  <si>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</si>
  <si>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</si>
  <si>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</si>
  <si>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</si>
  <si>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</si>
  <si>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</si>
  <si>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</si>
  <si>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</si>
  <si>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</si>
  <si>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</si>
  <si>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</si>
  <si>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</si>
  <si>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</si>
  <si>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</si>
  <si>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</si>
  <si>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</si>
  <si>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</si>
  <si>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</si>
  <si>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</si>
  <si>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</si>
  <si>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</si>
  <si>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</si>
  <si>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</si>
  <si>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</si>
  <si>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</si>
  <si>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</si>
  <si>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</si>
  <si>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</si>
  <si>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</si>
  <si>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</si>
  <si>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</si>
  <si>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</si>
  <si>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</si>
  <si>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</si>
  <si>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</si>
  <si>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</si>
  <si>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</si>
  <si>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</si>
  <si>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</si>
  <si>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</si>
  <si>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</si>
  <si>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</si>
  <si>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</si>
  <si>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</si>
  <si>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</si>
  <si>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</si>
  <si>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</si>
  <si>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</si>
  <si>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</si>
  <si>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</si>
  <si>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</si>
  <si>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</si>
  <si>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</si>
  <si>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</si>
  <si>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</si>
  <si>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</si>
  <si>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</si>
  <si>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</si>
  <si>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</si>
  <si>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</si>
  <si>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</si>
  <si>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</si>
  <si>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</si>
  <si>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</si>
  <si>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</si>
  <si>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</si>
  <si>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</si>
  <si>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</si>
  <si>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</si>
  <si>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</si>
  <si>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</si>
  <si>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</si>
  <si>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</si>
  <si>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</si>
  <si>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</si>
  <si>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</si>
  <si>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</si>
  <si>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</si>
  <si>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</si>
  <si>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</si>
  <si>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</si>
  <si>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</si>
  <si>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</si>
  <si>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</si>
  <si>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</si>
  <si>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</si>
  <si>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</si>
  <si>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</si>
  <si>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</si>
  <si>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</si>
  <si>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</si>
  <si>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</si>
  <si>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</si>
  <si>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</si>
  <si>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</si>
  <si>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</si>
  <si>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</si>
  <si>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</si>
  <si>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</si>
  <si>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</si>
  <si>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</si>
  <si>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</si>
  <si>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</si>
  <si>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</si>
  <si>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</si>
  <si>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</si>
  <si>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</si>
  <si>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</si>
  <si>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</si>
  <si>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</si>
  <si>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</si>
  <si>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</si>
  <si>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</si>
  <si>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</si>
  <si>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</si>
  <si>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</si>
  <si>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</si>
  <si>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</si>
  <si>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</si>
  <si>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</si>
  <si>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</si>
  <si>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</si>
  <si>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</si>
  <si>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</si>
  <si>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</si>
  <si>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</si>
  <si>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</si>
  <si>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</si>
  <si>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</si>
  <si>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</si>
  <si>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</si>
  <si>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</si>
  <si>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</si>
  <si>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</si>
  <si>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</si>
  <si>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</si>
  <si>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</si>
  <si>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</si>
  <si>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</si>
  <si>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</si>
  <si>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</si>
  <si>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</si>
  <si>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</si>
  <si>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</si>
  <si>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</si>
  <si>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</si>
  <si>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</si>
  <si>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</si>
  <si>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</si>
  <si>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</si>
  <si>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</si>
  <si>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</si>
  <si>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</si>
  <si>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</si>
  <si>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</si>
  <si>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</si>
  <si>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</si>
  <si>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</si>
  <si>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</si>
  <si>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</si>
  <si>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</si>
  <si>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</si>
  <si>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</si>
  <si>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</si>
  <si>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</si>
  <si>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</si>
  <si>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</si>
  <si>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</si>
  <si>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</si>
  <si>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</si>
  <si>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</si>
  <si>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</si>
  <si>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</si>
  <si>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</si>
  <si>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</si>
  <si>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</si>
  <si>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</si>
  <si>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</si>
  <si>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</si>
  <si>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</si>
  <si>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</si>
  <si>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</si>
  <si>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</si>
  <si>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</si>
  <si>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</si>
  <si>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</si>
  <si>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</si>
  <si>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</si>
  <si>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</si>
  <si>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</si>
  <si>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</si>
  <si>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</si>
  <si>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</si>
  <si>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</si>
  <si>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</si>
  <si>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</si>
  <si>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</si>
  <si>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</si>
  <si>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</si>
  <si>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</si>
  <si>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</si>
  <si>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</si>
  <si>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</si>
  <si>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</si>
  <si>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</si>
  <si>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</si>
  <si>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</si>
  <si>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</si>
  <si>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</si>
  <si>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</si>
  <si>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</si>
  <si>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</si>
  <si>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</si>
  <si>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</si>
  <si>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</si>
  <si>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</si>
  <si>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</si>
  <si>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</si>
  <si>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</si>
  <si>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</si>
  <si>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</si>
  <si>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</si>
  <si>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</si>
  <si>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</si>
  <si>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</si>
  <si>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</si>
  <si>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</si>
  <si>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</si>
  <si>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</si>
  <si>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</si>
  <si>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</si>
  <si>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</si>
  <si>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</si>
  <si>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</si>
  <si>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</si>
  <si>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</si>
  <si>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</si>
  <si>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</si>
  <si>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</si>
  <si>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</si>
  <si>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</si>
  <si>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</si>
  <si>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</si>
  <si>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</si>
  <si>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</si>
  <si>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</si>
  <si>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</si>
  <si>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</si>
  <si>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</si>
  <si>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</si>
  <si>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</si>
  <si>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</si>
  <si>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</si>
  <si>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</si>
  <si>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</si>
  <si>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</si>
  <si>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</si>
  <si>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</si>
  <si>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</si>
  <si>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</si>
  <si>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</si>
  <si>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</si>
  <si>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</si>
  <si>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</si>
  <si>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</si>
  <si>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</si>
  <si>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</si>
  <si>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</si>
  <si>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</si>
  <si>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</si>
  <si>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</si>
  <si>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</si>
  <si>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</si>
  <si>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</si>
  <si>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</si>
  <si>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</si>
  <si>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</si>
  <si>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</si>
  <si>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</si>
  <si>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</si>
  <si>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</si>
  <si>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</si>
  <si>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</si>
  <si>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</si>
  <si>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</si>
  <si>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</si>
  <si>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</si>
  <si>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</si>
  <si>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</si>
  <si>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</si>
  <si>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</si>
  <si>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</si>
  <si>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</si>
  <si>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</si>
  <si>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</si>
  <si>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</si>
  <si>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</si>
  <si>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</si>
  <si>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</si>
  <si>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</si>
  <si>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</si>
  <si>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</si>
  <si>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</si>
  <si>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</si>
  <si>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</si>
  <si>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</si>
  <si>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</si>
  <si>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</si>
  <si>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</si>
  <si>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</si>
  <si>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</si>
  <si>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</si>
  <si>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</si>
  <si>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</si>
  <si>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</si>
  <si>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</si>
  <si>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</si>
  <si>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</si>
  <si>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</si>
  <si>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</si>
  <si>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</si>
  <si>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</si>
  <si>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</si>
  <si>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</si>
  <si>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</si>
  <si>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</si>
  <si>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</si>
  <si>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</si>
  <si>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</si>
  <si>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</si>
  <si>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</si>
  <si>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</si>
  <si>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</si>
  <si>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</si>
  <si>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</si>
  <si>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</si>
  <si>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</si>
  <si>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</si>
  <si>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</si>
  <si>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</si>
  <si>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</si>
  <si>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</si>
  <si>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</si>
  <si>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</si>
  <si>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</si>
  <si>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</si>
  <si>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</si>
  <si>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</si>
  <si>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</si>
  <si>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</si>
  <si>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</si>
  <si>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</si>
  <si>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</si>
  <si>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</si>
  <si>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</si>
  <si>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</si>
  <si>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</si>
  <si>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</si>
  <si>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</si>
  <si>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</si>
  <si>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</si>
  <si>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</si>
  <si>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</si>
  <si>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</si>
  <si>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</si>
  <si>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</si>
  <si>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</si>
  <si>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</si>
  <si>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</si>
  <si>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</si>
  <si>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</si>
  <si>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</si>
  <si>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</si>
  <si>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</si>
  <si>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</si>
  <si>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</si>
  <si>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</si>
  <si>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</si>
  <si>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</si>
  <si>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</si>
  <si>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</si>
  <si>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</si>
  <si>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</si>
  <si>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</si>
  <si>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</si>
  <si>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</si>
  <si>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</si>
  <si>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</si>
  <si>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</si>
  <si>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</si>
  <si>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</si>
  <si>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</si>
  <si>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</si>
  <si>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</si>
  <si>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</si>
  <si>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</si>
  <si>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</si>
  <si>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</si>
  <si>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</si>
  <si>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</si>
  <si>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</si>
  <si>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</si>
  <si>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</si>
  <si>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</si>
  <si>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</si>
  <si>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</si>
  <si>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</si>
  <si>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</si>
  <si>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</si>
  <si>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</si>
  <si>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</si>
  <si>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</si>
  <si>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</si>
  <si>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</si>
  <si>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</si>
  <si>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</si>
  <si>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</si>
  <si>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</si>
  <si>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</si>
  <si>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</si>
  <si>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</si>
  <si>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</si>
  <si>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</si>
  <si>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</si>
  <si>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</si>
  <si>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</si>
  <si>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</si>
  <si>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</si>
  <si>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</si>
  <si>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</si>
  <si>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</si>
  <si>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</si>
  <si>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</si>
  <si>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</si>
  <si>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</si>
  <si>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</si>
  <si>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</si>
  <si>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</si>
  <si>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</si>
  <si>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</si>
  <si>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</si>
  <si>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</si>
  <si>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</si>
  <si>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</si>
  <si>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</si>
  <si>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</si>
  <si>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</si>
  <si>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</si>
  <si>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</si>
  <si>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</si>
  <si>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</si>
  <si>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</si>
  <si>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</si>
  <si>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</si>
  <si>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</si>
  <si>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</si>
  <si>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</si>
  <si>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</si>
  <si>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</si>
  <si>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</si>
  <si>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</si>
  <si>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</si>
  <si>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</si>
  <si>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</si>
  <si>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</si>
  <si>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</si>
  <si>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</si>
  <si>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</si>
  <si>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</si>
  <si>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</si>
  <si>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</si>
  <si>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</si>
  <si>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</si>
  <si>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</si>
  <si>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</si>
  <si>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</si>
  <si>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</si>
  <si>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</si>
  <si>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</si>
  <si>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</si>
  <si>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</si>
  <si>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</si>
  <si>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</si>
  <si>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</si>
  <si>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</si>
  <si>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</si>
  <si>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</si>
  <si>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</si>
  <si>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</si>
  <si>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</si>
  <si>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</si>
  <si>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</si>
  <si>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</si>
  <si>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</si>
  <si>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</si>
  <si>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</si>
  <si>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</si>
  <si>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</si>
  <si>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</si>
  <si>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</si>
  <si>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</si>
  <si>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</si>
  <si>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</si>
  <si>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</si>
  <si>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</si>
  <si>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</si>
  <si>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</si>
  <si>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</si>
  <si>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</si>
  <si>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</si>
  <si>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</si>
  <si>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</si>
  <si>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</si>
  <si>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</si>
  <si>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</si>
  <si>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</si>
  <si>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</si>
  <si>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</si>
  <si>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</si>
  <si>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</si>
  <si>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</si>
  <si>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</si>
  <si>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</si>
  <si>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</si>
  <si>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</si>
  <si>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</si>
  <si>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</si>
  <si>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</si>
  <si>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</si>
  <si>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</si>
  <si>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</si>
  <si>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</si>
  <si>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</si>
  <si>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</si>
  <si>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</si>
  <si>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</si>
  <si>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</si>
  <si>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</si>
  <si>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</si>
  <si>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</si>
  <si>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</si>
  <si>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</si>
  <si>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</si>
  <si>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</si>
  <si>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</si>
  <si>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</si>
  <si>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</si>
  <si>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</si>
  <si>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</si>
  <si>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</si>
  <si>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</si>
  <si>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</si>
  <si>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</si>
  <si>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</si>
  <si>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</si>
  <si>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</si>
  <si>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</si>
  <si>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</si>
  <si>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</si>
  <si>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</si>
  <si>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</si>
  <si>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</si>
  <si>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</si>
  <si>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</si>
  <si>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</si>
  <si>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</si>
  <si>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</si>
  <si>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</si>
  <si>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</si>
  <si>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</si>
  <si>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</si>
  <si>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</si>
  <si>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</si>
  <si>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</si>
  <si>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</si>
  <si>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</si>
  <si>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</si>
  <si>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</si>
  <si>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</si>
  <si>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</si>
  <si>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</si>
  <si>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</si>
  <si>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</si>
  <si>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</si>
  <si>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</si>
  <si>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</si>
  <si>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</si>
  <si>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</si>
  <si>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</si>
  <si>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</si>
  <si>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</si>
  <si>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</si>
  <si>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</si>
  <si>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</si>
  <si>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</si>
  <si>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</si>
  <si>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</si>
  <si>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</si>
  <si>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</si>
  <si>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</si>
  <si>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</si>
  <si>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</si>
  <si>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</si>
  <si>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</si>
  <si>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</si>
  <si>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</si>
  <si>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</si>
  <si>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</si>
  <si>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</si>
  <si>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</si>
  <si>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</si>
  <si>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</si>
  <si>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</si>
  <si>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</si>
  <si>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</si>
  <si>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</si>
  <si>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</si>
  <si>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</si>
  <si>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</si>
  <si>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</si>
  <si>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</si>
  <si>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</si>
  <si>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</si>
  <si>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</si>
  <si>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</si>
  <si>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</si>
  <si>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</si>
  <si>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</si>
  <si>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</si>
  <si>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</si>
  <si>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</si>
  <si>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</si>
  <si>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</si>
  <si>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</si>
  <si>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</si>
  <si>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</si>
  <si>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</si>
  <si>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</si>
  <si>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</si>
  <si>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</si>
  <si>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</si>
  <si>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</si>
  <si>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</si>
  <si>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</si>
  <si>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</si>
  <si>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</si>
  <si>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</si>
  <si>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</si>
  <si>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</si>
  <si>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</si>
  <si>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</si>
  <si>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</si>
  <si>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</si>
  <si>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</si>
  <si>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</si>
  <si>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</si>
  <si>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</si>
  <si>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</si>
  <si>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</si>
  <si>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</si>
  <si>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</si>
  <si>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</si>
  <si>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</si>
  <si>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</si>
  <si>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</si>
  <si>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</si>
  <si>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</si>
  <si>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</si>
  <si>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</si>
  <si>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</si>
  <si>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</si>
  <si>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</si>
  <si>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</si>
  <si>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</si>
  <si>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</si>
  <si>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</si>
  <si>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</si>
  <si>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</si>
  <si>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</si>
  <si>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</si>
  <si>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</si>
  <si>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</si>
  <si>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</si>
  <si>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</si>
  <si>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</si>
  <si>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</si>
  <si>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</si>
  <si>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</si>
  <si>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</si>
  <si>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</si>
  <si>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</si>
  <si>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</si>
  <si>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</si>
  <si>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</si>
  <si>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</si>
  <si>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</si>
  <si>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</si>
  <si>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</si>
  <si>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</si>
  <si>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</si>
  <si>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</si>
  <si>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</si>
  <si>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</si>
  <si>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</si>
  <si>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</si>
  <si>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</si>
  <si>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</si>
  <si>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</si>
  <si>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</si>
  <si>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</si>
  <si>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</si>
  <si>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</si>
  <si>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</si>
  <si>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</si>
  <si>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</si>
  <si>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</si>
  <si>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</si>
  <si>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</si>
  <si>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</si>
  <si>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</si>
  <si>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</si>
  <si>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</si>
  <si>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</si>
  <si>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</si>
  <si>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</si>
  <si>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</si>
  <si>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</si>
  <si>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</si>
  <si>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</si>
  <si>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</si>
  <si>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</si>
  <si>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</si>
  <si>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</si>
  <si>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</si>
  <si>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</si>
  <si>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</si>
  <si>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</si>
  <si>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</si>
  <si>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</si>
  <si>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</si>
  <si>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</si>
  <si>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</si>
  <si>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</si>
  <si>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</si>
  <si>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</si>
  <si>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</si>
  <si>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</si>
  <si>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</si>
  <si>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</si>
  <si>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</si>
  <si>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</si>
  <si>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</si>
  <si>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</si>
  <si>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</si>
  <si>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</si>
  <si>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</si>
  <si>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</si>
  <si>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</si>
  <si>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</si>
  <si>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</si>
  <si>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</si>
  <si>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</si>
  <si>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</si>
  <si>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</si>
  <si>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</si>
  <si>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</si>
  <si>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</si>
  <si>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</si>
  <si>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</si>
  <si>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</si>
  <si>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</si>
  <si>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</si>
  <si>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</si>
  <si>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</si>
  <si>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</si>
  <si>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</si>
  <si>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</si>
  <si>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</si>
  <si>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</si>
  <si>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</si>
  <si>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</si>
  <si>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</si>
  <si>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</si>
  <si>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</si>
  <si>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</si>
  <si>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</si>
  <si>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</si>
  <si>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</si>
  <si>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</si>
  <si>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</si>
  <si>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</si>
  <si>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</si>
  <si>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</si>
  <si>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</si>
  <si>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</si>
  <si>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</si>
  <si>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</si>
  <si>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</si>
  <si>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</si>
  <si>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</si>
  <si>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</si>
  <si>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</si>
  <si>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</si>
  <si>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</si>
  <si>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</si>
  <si>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</si>
  <si>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</si>
  <si>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</si>
  <si>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</si>
  <si>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</si>
  <si>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</si>
  <si>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</si>
  <si>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</si>
  <si>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</si>
  <si>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</si>
  <si>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</si>
  <si>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</si>
  <si>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</si>
  <si>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</si>
  <si>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</si>
  <si>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</si>
  <si>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</si>
  <si>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</si>
  <si>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</si>
  <si>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</si>
  <si>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</si>
  <si>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</si>
  <si>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</si>
  <si>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</si>
  <si>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</si>
  <si>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</si>
  <si>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</si>
  <si>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</si>
  <si>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</si>
  <si>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</si>
  <si>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</si>
  <si>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</si>
  <si>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</si>
  <si>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</si>
  <si>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</si>
  <si>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</si>
  <si>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</si>
  <si>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</si>
  <si>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</si>
  <si>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</si>
  <si>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</si>
  <si>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</si>
  <si>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</si>
  <si>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</si>
  <si>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</si>
  <si>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</si>
  <si>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</si>
  <si>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</si>
  <si>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</si>
  <si>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</si>
  <si>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</si>
  <si>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</si>
  <si>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</si>
  <si>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</si>
  <si>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</si>
  <si>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</si>
  <si>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</si>
  <si>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</si>
  <si>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</si>
  <si>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</si>
  <si>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</si>
  <si>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</si>
  <si>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</si>
  <si>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</si>
  <si>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</si>
  <si>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</si>
  <si>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</si>
  <si>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</si>
  <si>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</si>
  <si>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</si>
  <si>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</si>
  <si>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</si>
  <si>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</si>
  <si>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</si>
  <si>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</si>
  <si>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</si>
  <si>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</si>
  <si>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</si>
  <si>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</si>
  <si>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</si>
  <si>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</si>
  <si>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</si>
  <si>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</si>
  <si>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</si>
  <si>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</si>
  <si>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</si>
  <si>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</si>
  <si>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</si>
  <si>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</si>
  <si>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</si>
  <si>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</si>
  <si>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</si>
  <si>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</si>
  <si>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</si>
  <si>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</si>
  <si>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</si>
  <si>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</si>
  <si>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</si>
  <si>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</si>
  <si>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</si>
  <si>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</si>
  <si>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</si>
  <si>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</si>
  <si>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</si>
  <si>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</si>
  <si>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</si>
  <si>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</si>
  <si>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</si>
  <si>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</si>
  <si>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</si>
  <si>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</si>
  <si>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</si>
  <si>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</si>
  <si>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</si>
  <si>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</si>
  <si>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</si>
  <si>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</si>
  <si>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</si>
  <si>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</si>
  <si>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</si>
  <si>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</si>
  <si>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</si>
  <si>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</si>
  <si>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</si>
  <si>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</si>
  <si>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</si>
  <si>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</si>
  <si>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</si>
  <si>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</si>
  <si>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</si>
  <si>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</si>
  <si>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</si>
  <si>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</si>
  <si>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</si>
  <si>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</si>
  <si>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</si>
  <si>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</si>
  <si>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</si>
  <si>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</si>
  <si>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</si>
  <si>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</si>
  <si>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</si>
  <si>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</si>
  <si>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</si>
  <si>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</si>
  <si>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</si>
  <si>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</si>
  <si>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</si>
  <si>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</si>
  <si>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</si>
  <si>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</si>
  <si>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</si>
  <si>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</si>
  <si>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</si>
  <si>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</si>
  <si>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</si>
  <si>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</si>
  <si>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</si>
  <si>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</si>
  <si>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</si>
  <si>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</si>
  <si>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</si>
  <si>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</si>
  <si>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</si>
  <si>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</si>
  <si>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</si>
  <si>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</si>
  <si>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</si>
  <si>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</si>
  <si>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</si>
  <si>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</si>
  <si>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</si>
  <si>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</si>
  <si>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</si>
  <si>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</si>
  <si>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</si>
  <si>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</si>
  <si>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</si>
  <si>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</si>
  <si>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</si>
  <si>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</si>
  <si>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</si>
  <si>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</si>
  <si>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</si>
  <si>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</si>
  <si>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</si>
  <si>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</si>
  <si>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</si>
  <si>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</si>
  <si>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</si>
  <si>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</si>
  <si>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</si>
  <si>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</si>
  <si>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</si>
  <si>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</si>
  <si>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</si>
  <si>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</si>
  <si>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</si>
  <si>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</si>
  <si>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</si>
  <si>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</si>
  <si>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</si>
  <si>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</si>
  <si>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</si>
  <si>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</si>
  <si>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</si>
  <si>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</si>
  <si>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</si>
  <si>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</si>
  <si>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</si>
  <si>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</si>
  <si>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</si>
  <si>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</si>
  <si>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</si>
  <si>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</si>
  <si>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</si>
  <si>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</si>
  <si>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</si>
  <si>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</si>
  <si>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</si>
  <si>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</si>
  <si>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</si>
  <si>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</si>
  <si>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</si>
  <si>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</si>
  <si>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</si>
  <si>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</si>
  <si>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</si>
  <si>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</si>
  <si>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</si>
  <si>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</si>
  <si>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</si>
  <si>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</si>
  <si>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</si>
  <si>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</si>
  <si>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</si>
  <si>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</si>
  <si>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</si>
  <si>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</si>
  <si>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</si>
  <si>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</si>
  <si>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</si>
  <si>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</si>
  <si>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</si>
  <si>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</si>
  <si>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</si>
  <si>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</si>
  <si>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</si>
  <si>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</si>
  <si>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</si>
  <si>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</si>
  <si>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</si>
  <si>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</si>
  <si>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</si>
  <si>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</si>
  <si>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</si>
  <si>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</si>
  <si>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</si>
  <si>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</si>
  <si>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</si>
  <si>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</si>
  <si>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</si>
  <si>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</si>
  <si>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</si>
  <si>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</si>
  <si>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</si>
  <si>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</si>
  <si>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</si>
  <si>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</si>
  <si>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</si>
  <si>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</si>
  <si>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</si>
  <si>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</si>
  <si>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</si>
  <si>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</si>
  <si>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</si>
  <si>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</si>
  <si>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</si>
  <si>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</si>
  <si>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</si>
  <si>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</si>
  <si>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</si>
  <si>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</si>
  <si>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</si>
  <si>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</si>
  <si>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</si>
  <si>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</si>
  <si>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</si>
  <si>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</si>
  <si>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</si>
  <si>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</si>
  <si>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</si>
  <si>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</si>
  <si>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</si>
  <si>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</si>
  <si>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</si>
  <si>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</si>
  <si>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</si>
  <si>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</si>
  <si>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</si>
  <si>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</si>
  <si>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</si>
  <si>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</si>
  <si>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</si>
  <si>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</si>
  <si>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</si>
  <si>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</si>
  <si>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</si>
  <si>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</si>
  <si>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</si>
  <si>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</si>
  <si>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</si>
  <si>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</si>
  <si>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</si>
  <si>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</si>
  <si>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</si>
  <si>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</si>
  <si>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</si>
  <si>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</si>
  <si>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</si>
  <si>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</si>
  <si>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</si>
  <si>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</si>
  <si>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</si>
  <si>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</si>
  <si>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</si>
  <si>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</si>
  <si>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</si>
  <si>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</si>
  <si>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</si>
  <si>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</si>
  <si>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</si>
  <si>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</si>
  <si>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</si>
  <si>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</si>
  <si>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</si>
  <si>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</si>
  <si>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</si>
  <si>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</si>
  <si>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</si>
  <si>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</si>
  <si>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</si>
  <si>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</si>
  <si>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</si>
  <si>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</si>
  <si>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</si>
  <si>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</si>
  <si>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</si>
  <si>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</si>
  <si>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</si>
  <si>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</si>
  <si>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</si>
  <si>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</si>
  <si>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</si>
  <si>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</si>
  <si>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</si>
  <si>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</si>
  <si>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</si>
  <si>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</si>
  <si>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</si>
  <si>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</si>
  <si>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</si>
  <si>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</si>
  <si>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</si>
  <si>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</si>
  <si>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</si>
  <si>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</si>
  <si>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</si>
  <si>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</si>
  <si>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</si>
  <si>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</si>
  <si>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</si>
  <si>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</si>
  <si>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</si>
  <si>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</si>
  <si>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</si>
  <si>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</si>
  <si>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</si>
  <si>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</si>
  <si>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</si>
  <si>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</si>
  <si>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</si>
  <si>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</si>
  <si>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</si>
  <si>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</si>
  <si>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</si>
  <si>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</si>
  <si>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</si>
  <si>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</si>
  <si>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</si>
  <si>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</si>
  <si>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</si>
  <si>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</si>
  <si>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</si>
  <si>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</si>
  <si>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</si>
  <si>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</si>
  <si>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</si>
  <si>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</si>
  <si>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</si>
  <si>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</si>
  <si>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</si>
  <si>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</si>
  <si>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</si>
  <si>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</si>
  <si>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</si>
  <si>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</si>
  <si>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</si>
  <si>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</si>
  <si>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</si>
  <si>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</si>
  <si>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</si>
  <si>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</si>
  <si>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</si>
  <si>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</si>
  <si>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</si>
  <si>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</si>
  <si>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</si>
  <si>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</si>
  <si>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</si>
  <si>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</si>
  <si>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</si>
  <si>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</si>
  <si>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</si>
  <si>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</si>
  <si>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</si>
  <si>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</si>
  <si>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</si>
  <si>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</si>
  <si>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</si>
  <si>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</si>
  <si>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</si>
  <si>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</si>
  <si>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</si>
  <si>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</si>
  <si>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</si>
  <si>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</si>
  <si>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</si>
  <si>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</si>
  <si>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</si>
  <si>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</si>
  <si>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</si>
  <si>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</si>
  <si>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</si>
  <si>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</si>
  <si>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</si>
  <si>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</si>
  <si>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</si>
  <si>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</si>
  <si>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</si>
  <si>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</si>
  <si>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</si>
  <si>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</si>
  <si>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</si>
  <si>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</si>
  <si>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</si>
  <si>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</si>
  <si>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</si>
  <si>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</si>
  <si>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</si>
  <si>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</si>
  <si>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</si>
  <si>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</si>
  <si>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</si>
  <si>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</si>
  <si>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</si>
  <si>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</si>
  <si>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</si>
  <si>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</si>
  <si>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</si>
  <si>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</si>
  <si>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</si>
  <si>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</si>
  <si>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</si>
  <si>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</si>
  <si>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</si>
  <si>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</si>
  <si>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</si>
  <si>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</si>
  <si>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</si>
  <si>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</si>
  <si>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</si>
  <si>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</si>
  <si>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</si>
  <si>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</si>
  <si>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</si>
  <si>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</si>
  <si>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</si>
  <si>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</si>
  <si>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</si>
  <si>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</si>
  <si>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</si>
  <si>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</si>
  <si>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</si>
  <si>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</si>
  <si>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</si>
  <si>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</si>
  <si>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</si>
  <si>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</si>
  <si>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</si>
  <si>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</si>
  <si>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</si>
  <si>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</si>
  <si>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</si>
  <si>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</si>
  <si>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</si>
  <si>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</si>
  <si>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</si>
  <si>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</si>
  <si>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</si>
  <si>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</si>
  <si>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</si>
  <si>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</si>
  <si>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</si>
  <si>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</si>
  <si>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</si>
  <si>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</si>
  <si>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</si>
  <si>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</si>
  <si>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</si>
  <si>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</si>
  <si>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</si>
  <si>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</si>
  <si>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</si>
  <si>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</si>
  <si>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</si>
  <si>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</si>
  <si>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</si>
  <si>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</si>
  <si>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</si>
  <si>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</si>
  <si>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</si>
  <si>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</si>
  <si>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</si>
  <si>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</si>
  <si>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</si>
  <si>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</si>
  <si>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</si>
  <si>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</si>
  <si>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</si>
  <si>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</si>
  <si>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</si>
  <si>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</si>
  <si>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</si>
  <si>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</si>
  <si>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</si>
  <si>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</si>
  <si>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</si>
  <si>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</si>
  <si>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</si>
  <si>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</si>
  <si>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</si>
  <si>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</si>
  <si>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</si>
  <si>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</si>
  <si>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</si>
  <si>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</si>
  <si>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</si>
  <si>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</si>
  <si>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</si>
  <si>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</si>
  <si>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</si>
  <si>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</si>
  <si>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</si>
  <si>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</si>
  <si>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</si>
  <si>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</si>
  <si>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</si>
  <si>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</si>
  <si>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</si>
  <si>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</si>
  <si>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</si>
  <si>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</si>
  <si>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</si>
  <si>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</si>
  <si>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</si>
  <si>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</si>
  <si>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</si>
  <si>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</si>
  <si>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</si>
  <si>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</si>
  <si>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</si>
  <si>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</si>
  <si>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</si>
  <si>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</si>
  <si>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</si>
  <si>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</si>
  <si>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</si>
  <si>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</si>
  <si>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</si>
  <si>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</si>
  <si>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</si>
  <si>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</si>
  <si>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</si>
  <si>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</si>
  <si>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</si>
  <si>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</si>
  <si>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</si>
  <si>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</si>
  <si>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</si>
  <si>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</si>
  <si>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</si>
  <si>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</si>
  <si>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</si>
  <si>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</si>
  <si>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</si>
  <si>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</si>
  <si>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</si>
  <si>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</si>
  <si>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</si>
  <si>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</si>
  <si>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</si>
  <si>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</si>
  <si>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</si>
  <si>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</si>
  <si>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</si>
  <si>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</si>
  <si>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</si>
  <si>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</si>
  <si>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</si>
  <si>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</si>
  <si>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</si>
  <si>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</si>
  <si>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</si>
  <si>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</si>
  <si>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</si>
  <si>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</si>
  <si>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</si>
  <si>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</si>
  <si>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</si>
  <si>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</si>
  <si>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</si>
  <si>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</si>
  <si>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</si>
  <si>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</si>
  <si>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</si>
  <si>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</si>
  <si>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</si>
  <si>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</si>
  <si>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</si>
  <si>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</si>
  <si>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</si>
  <si>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</si>
  <si>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</si>
  <si>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</si>
  <si>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</si>
  <si>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</si>
  <si>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</si>
  <si>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</si>
  <si>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</si>
  <si>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</si>
  <si>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</si>
  <si>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</si>
  <si>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</si>
  <si>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</si>
  <si>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</si>
  <si>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</si>
  <si>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</si>
  <si>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</si>
  <si>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</si>
  <si>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</si>
  <si>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</si>
  <si>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</si>
  <si>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</si>
  <si>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</si>
  <si>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</si>
  <si>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</si>
  <si>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</si>
  <si>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</si>
  <si>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</si>
  <si>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</si>
  <si>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</si>
  <si>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</si>
  <si>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</si>
  <si>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</si>
  <si>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</si>
  <si>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</si>
  <si>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</si>
  <si>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</si>
  <si>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</si>
  <si>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</si>
  <si>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</si>
  <si>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</si>
  <si>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</si>
  <si>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</si>
  <si>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</si>
  <si>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</si>
  <si>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</si>
  <si>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</si>
  <si>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</si>
  <si>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</si>
  <si>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</si>
  <si>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</si>
  <si>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</si>
  <si>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</si>
  <si>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</si>
  <si>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</si>
  <si>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</si>
  <si>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</si>
  <si>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</si>
  <si>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</si>
  <si>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</si>
  <si>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</si>
  <si>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</si>
  <si>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</si>
  <si>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</si>
  <si>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</si>
  <si>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</si>
  <si>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</si>
  <si>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</si>
  <si>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</si>
  <si>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</si>
  <si>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</si>
  <si>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</si>
  <si>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</si>
  <si>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</si>
  <si>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</si>
  <si>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</si>
  <si>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</si>
  <si>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</si>
  <si>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</si>
  <si>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</si>
  <si>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</si>
  <si>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</si>
  <si>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</si>
  <si>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</si>
  <si>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</si>
  <si>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</si>
  <si>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</si>
  <si>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</si>
  <si>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</si>
  <si>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</si>
  <si>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</si>
  <si>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</si>
  <si>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</si>
  <si>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</si>
  <si>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</si>
  <si>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</si>
  <si>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</si>
  <si>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</si>
  <si>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</si>
  <si>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</si>
  <si>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</si>
  <si>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</si>
  <si>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</si>
  <si>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</si>
  <si>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</si>
  <si>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</si>
  <si>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</si>
  <si>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</si>
  <si>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</si>
  <si>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</si>
  <si>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</si>
  <si>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</si>
  <si>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</si>
  <si>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</si>
  <si>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</si>
  <si>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</si>
  <si>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</si>
  <si>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</si>
  <si>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</si>
  <si>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</si>
  <si>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</si>
  <si>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</si>
  <si>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</si>
  <si>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</si>
  <si>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</si>
  <si>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</si>
  <si>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</si>
  <si>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</si>
  <si>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</si>
  <si>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</si>
  <si>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</si>
  <si>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</si>
  <si>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</si>
  <si>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</si>
  <si>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</si>
  <si>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</si>
  <si>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</si>
  <si>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</si>
  <si>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</si>
  <si>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</si>
  <si>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</si>
  <si>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</si>
  <si>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</si>
  <si>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</si>
  <si>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</si>
  <si>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</si>
  <si>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</si>
  <si>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</si>
  <si>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</si>
  <si>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</si>
  <si>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</si>
  <si>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</si>
  <si>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</si>
  <si>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</si>
  <si>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</si>
  <si>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</si>
  <si>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</si>
  <si>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</si>
  <si>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</si>
  <si>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</si>
  <si>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</si>
  <si>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</si>
  <si>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</si>
  <si>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</si>
  <si>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</si>
  <si>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</si>
  <si>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</si>
  <si>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</si>
  <si>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</si>
  <si>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</si>
  <si>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</si>
  <si>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</si>
  <si>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</si>
  <si>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</si>
  <si>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</si>
  <si>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</si>
  <si>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</si>
  <si>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</si>
  <si>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</si>
  <si>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</si>
  <si>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</si>
  <si>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</si>
  <si>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</si>
  <si>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</si>
  <si>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</si>
  <si>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</si>
  <si>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</si>
  <si>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</si>
  <si>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</si>
  <si>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</si>
  <si>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</si>
  <si>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</si>
  <si>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</si>
  <si>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</si>
  <si>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</si>
  <si>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</si>
  <si>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</si>
  <si>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</si>
  <si>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</si>
  <si>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</si>
  <si>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</si>
  <si>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</si>
  <si>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</si>
  <si>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</si>
  <si>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</si>
  <si>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</si>
  <si>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</si>
  <si>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</si>
  <si>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</si>
  <si>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</si>
  <si>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</si>
  <si>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</si>
  <si>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</si>
  <si>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</si>
  <si>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</si>
  <si>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</si>
  <si>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</si>
  <si>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</si>
  <si>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</si>
  <si>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</si>
  <si>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</si>
  <si>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</si>
  <si>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</si>
  <si>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</si>
  <si>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</si>
  <si>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</si>
  <si>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</si>
  <si>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</si>
  <si>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</si>
  <si>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</si>
  <si>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</si>
  <si>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</si>
  <si>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</si>
  <si>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</si>
  <si>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</si>
  <si>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</si>
  <si>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</si>
  <si>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</si>
  <si>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</si>
  <si>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</si>
  <si>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</si>
  <si>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</si>
  <si>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</si>
  <si>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</si>
  <si>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</si>
  <si>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</si>
  <si>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</si>
  <si>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</si>
  <si>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</si>
  <si>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</si>
  <si>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</si>
  <si>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</si>
  <si>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</si>
  <si>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</si>
  <si>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</si>
  <si>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</si>
  <si>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</si>
  <si>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</si>
  <si>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</si>
  <si>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</si>
  <si>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</si>
  <si>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</si>
  <si>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</si>
  <si>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</si>
  <si>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</si>
  <si>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</si>
  <si>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</si>
  <si>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</si>
  <si>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</si>
  <si>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</si>
  <si>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</si>
  <si>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</si>
  <si>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</si>
  <si>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</si>
  <si>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</si>
  <si>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</si>
  <si>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</si>
  <si>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</si>
  <si>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</si>
  <si>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</si>
  <si>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</si>
  <si>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</si>
  <si>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</si>
  <si>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</si>
  <si>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</si>
  <si>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</si>
  <si>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</si>
  <si>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</si>
  <si>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</si>
  <si>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</si>
  <si>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</si>
  <si>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</si>
  <si>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</si>
  <si>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</si>
  <si>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</si>
  <si>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</si>
  <si>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</si>
  <si>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</si>
  <si>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</si>
  <si>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</si>
  <si>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</si>
  <si>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</si>
  <si>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</si>
  <si>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</si>
  <si>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</si>
  <si>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</si>
  <si>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</si>
  <si>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</si>
  <si>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</si>
  <si>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</si>
  <si>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</si>
  <si>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</si>
  <si>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</si>
  <si>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</si>
  <si>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</si>
  <si>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</si>
  <si>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</si>
  <si>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</si>
  <si>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</si>
  <si>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</si>
  <si>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</si>
  <si>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</si>
  <si>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</si>
  <si>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</si>
  <si>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</si>
  <si>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</si>
  <si>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</si>
  <si>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</si>
  <si>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</si>
  <si>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</si>
  <si>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</si>
  <si>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</si>
  <si>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</si>
  <si>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</si>
  <si>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</si>
  <si>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</si>
  <si>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</si>
  <si>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</si>
  <si>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</si>
  <si>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</si>
  <si>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</si>
  <si>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</si>
  <si>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</si>
  <si>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</si>
  <si>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</si>
  <si>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</si>
  <si>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</si>
  <si>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</si>
  <si>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</si>
  <si>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</si>
  <si>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</si>
  <si>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</si>
  <si>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</si>
  <si>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</si>
  <si>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</si>
  <si>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</si>
  <si>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</si>
  <si>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</si>
  <si>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</si>
  <si>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</si>
  <si>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</si>
  <si>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</si>
  <si>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</si>
  <si>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</si>
  <si>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</si>
  <si>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</si>
  <si>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</si>
  <si>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</si>
  <si>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</si>
  <si>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</si>
  <si>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</si>
  <si>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</si>
  <si>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</si>
  <si>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</si>
  <si>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</si>
  <si>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</si>
  <si>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</si>
  <si>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</si>
  <si>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</si>
  <si>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</si>
  <si>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</si>
  <si>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</si>
  <si>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</si>
  <si>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</si>
  <si>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</si>
  <si>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</si>
  <si>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</si>
  <si>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</si>
  <si>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</si>
  <si>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</si>
  <si>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</si>
  <si>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</si>
  <si>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</si>
  <si>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</si>
  <si>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</si>
  <si>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</si>
  <si>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</si>
  <si>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</si>
  <si>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</si>
  <si>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</si>
  <si>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</si>
  <si>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</si>
  <si>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</si>
  <si>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</si>
  <si>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</si>
  <si>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</si>
  <si>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</si>
  <si>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</si>
  <si>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</si>
  <si>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</si>
  <si>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</si>
  <si>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</si>
  <si>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</si>
  <si>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</si>
  <si>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</si>
  <si>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</si>
  <si>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</si>
  <si>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</si>
  <si>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</si>
  <si>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</si>
  <si>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</si>
  <si>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</si>
  <si>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</si>
  <si>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</si>
  <si>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</si>
  <si>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</si>
  <si>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</si>
  <si>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</si>
  <si>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</si>
  <si>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</si>
  <si>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</si>
  <si>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</si>
  <si>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</si>
  <si>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</si>
  <si>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</si>
  <si>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</si>
  <si>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</si>
  <si>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</si>
  <si>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</si>
  <si>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</si>
  <si>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</si>
  <si>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</si>
  <si>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</si>
  <si>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</si>
  <si>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</si>
  <si>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</si>
  <si>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</si>
  <si>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</si>
  <si>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</si>
  <si>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</si>
  <si>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</si>
  <si>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</si>
  <si>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</si>
  <si>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</si>
  <si>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</si>
  <si>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</si>
  <si>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</si>
  <si>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</si>
  <si>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</si>
  <si>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</si>
  <si>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</si>
  <si>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</si>
  <si>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</si>
  <si>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</si>
  <si>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</si>
  <si>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</si>
  <si>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</si>
  <si>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</si>
  <si>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</si>
  <si>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</si>
  <si>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</si>
  <si>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</si>
  <si>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</si>
  <si>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</si>
  <si>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</si>
  <si>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</si>
  <si>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</si>
  <si>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</si>
  <si>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</si>
  <si>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</si>
  <si>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</si>
  <si>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</si>
  <si>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</si>
  <si>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</si>
  <si>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</si>
  <si>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</si>
  <si>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</si>
  <si>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</si>
  <si>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</si>
  <si>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</si>
  <si>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</si>
  <si>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</si>
  <si>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</si>
  <si>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</si>
  <si>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</si>
  <si>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</si>
  <si>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</si>
  <si>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</si>
  <si>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</si>
  <si>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</si>
  <si>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</si>
  <si>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</si>
  <si>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</si>
  <si>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</si>
  <si>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</si>
  <si>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</si>
  <si>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</si>
  <si>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</si>
  <si>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</si>
  <si>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</si>
  <si>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</si>
  <si>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</si>
  <si>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</si>
  <si>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</si>
  <si>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</si>
  <si>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</si>
  <si>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</si>
  <si>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</si>
  <si>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</si>
  <si>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</si>
  <si>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</si>
  <si>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</si>
  <si>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</si>
  <si>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</si>
  <si>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</si>
  <si>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</si>
  <si>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</si>
  <si>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</si>
  <si>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</si>
  <si>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</si>
  <si>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</si>
  <si>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</si>
  <si>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</si>
  <si>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</si>
  <si>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</si>
  <si>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</si>
  <si>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</si>
  <si>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</si>
  <si>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</si>
  <si>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</si>
  <si>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</si>
  <si>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</si>
  <si>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</si>
  <si>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</si>
  <si>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</si>
  <si>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</si>
  <si>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</si>
  <si>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</si>
  <si>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</si>
  <si>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</si>
  <si>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</si>
  <si>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</si>
  <si>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</si>
  <si>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</si>
  <si>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</si>
  <si>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</si>
  <si>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</si>
  <si>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</si>
  <si>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</si>
  <si>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</si>
  <si>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</si>
  <si>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</si>
  <si>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</si>
  <si>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</si>
  <si>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</si>
  <si>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</si>
  <si>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</si>
  <si>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</si>
  <si>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</si>
  <si>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</si>
  <si>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</si>
  <si>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</si>
  <si>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</si>
  <si>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</si>
  <si>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</si>
  <si>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</si>
  <si>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</si>
  <si>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</si>
  <si>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</si>
  <si>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</si>
  <si>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</si>
  <si>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</si>
  <si>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</si>
  <si>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</si>
  <si>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</si>
  <si>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</si>
  <si>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</si>
  <si>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</si>
  <si>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</si>
  <si>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</si>
  <si>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</si>
  <si>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</si>
  <si>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</si>
  <si>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</si>
  <si>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</si>
  <si>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</si>
  <si>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</si>
  <si>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</si>
  <si>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</si>
  <si>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</si>
  <si>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</si>
  <si>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</si>
  <si>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</si>
  <si>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</si>
  <si>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</si>
  <si>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</si>
  <si>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</si>
  <si>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</si>
  <si>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</si>
  <si>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</si>
  <si>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</si>
  <si>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</si>
  <si>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</si>
  <si>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</si>
  <si>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</si>
  <si>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</si>
  <si>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</si>
  <si>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</si>
  <si>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</si>
  <si>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</si>
  <si>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</si>
  <si>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</si>
  <si>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</si>
  <si>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</si>
  <si>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</si>
  <si>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</si>
  <si>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</si>
  <si>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</si>
  <si>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</si>
  <si>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</si>
  <si>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</si>
  <si>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</si>
  <si>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</si>
  <si>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</si>
  <si>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</si>
  <si>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</si>
  <si>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</si>
  <si>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</si>
  <si>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</si>
  <si>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</si>
  <si>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</si>
  <si>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</si>
  <si>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</si>
  <si>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</si>
  <si>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</si>
  <si>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</si>
  <si>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</si>
  <si>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</si>
  <si>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</si>
  <si>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</si>
  <si>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</si>
  <si>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</si>
  <si>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</si>
  <si>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</si>
  <si>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</si>
  <si>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</si>
  <si>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</si>
  <si>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</si>
  <si>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</si>
  <si>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</si>
  <si>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</si>
  <si>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</si>
  <si>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</si>
  <si>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</si>
  <si>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</si>
  <si>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</si>
  <si>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</si>
  <si>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</si>
  <si>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</si>
  <si>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</si>
  <si>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</si>
  <si>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</si>
  <si>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</si>
  <si>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</si>
  <si>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</si>
  <si>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</si>
  <si>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</si>
  <si>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</si>
  <si>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</si>
  <si>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</si>
  <si>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</si>
  <si>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</si>
  <si>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</si>
  <si>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</si>
  <si>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</si>
  <si>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</si>
  <si>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</si>
  <si>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</si>
  <si>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</si>
  <si>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</si>
  <si>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</si>
  <si>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</si>
  <si>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</si>
  <si>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</si>
  <si>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</si>
  <si>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</si>
  <si>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</si>
  <si>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</si>
  <si>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</si>
  <si>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</si>
  <si>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</si>
  <si>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</si>
  <si>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</si>
  <si>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</si>
  <si>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</si>
  <si>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</si>
  <si>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</si>
  <si>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</si>
  <si>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</si>
  <si>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</si>
  <si>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</si>
  <si>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</si>
  <si>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</si>
  <si>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</si>
  <si>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</si>
  <si>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</si>
  <si>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</si>
  <si>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</si>
  <si>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</si>
  <si>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</si>
  <si>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</si>
  <si>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</si>
  <si>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</si>
  <si>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</si>
  <si>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</si>
  <si>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</si>
  <si>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</si>
  <si>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</si>
  <si>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</si>
  <si>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</si>
  <si>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</si>
  <si>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</si>
  <si>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</si>
  <si>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</si>
  <si>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</si>
  <si>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</si>
  <si>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</si>
  <si>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</si>
  <si>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</si>
  <si>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</si>
  <si>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</si>
  <si>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</si>
  <si>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</si>
  <si>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</si>
  <si>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</si>
  <si>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</si>
  <si>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</si>
  <si>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</si>
  <si>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</si>
  <si>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</si>
  <si>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</si>
  <si>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</si>
  <si>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</si>
  <si>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</si>
  <si>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</si>
  <si>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</si>
  <si>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</si>
  <si>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</si>
  <si>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</si>
  <si>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</si>
  <si>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</si>
  <si>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</si>
  <si>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</si>
  <si>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</si>
  <si>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</si>
  <si>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</si>
  <si>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</si>
  <si>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</si>
  <si>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</si>
  <si>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</si>
  <si>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</si>
  <si>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</si>
  <si>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</si>
  <si>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</si>
  <si>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</si>
  <si>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</si>
  <si>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</si>
  <si>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</si>
  <si>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</si>
  <si>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</si>
  <si>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</si>
  <si>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</si>
  <si>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</si>
  <si>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</si>
  <si>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</si>
  <si>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</si>
  <si>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</si>
  <si>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</si>
  <si>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</si>
  <si>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</si>
  <si>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</si>
  <si>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</si>
  <si>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</si>
  <si>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</si>
  <si>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</si>
  <si>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</si>
  <si>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</si>
  <si>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</si>
  <si>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</si>
  <si>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</si>
  <si>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</si>
  <si>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</si>
  <si>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</si>
  <si>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</si>
  <si>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</si>
  <si>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</si>
  <si>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</si>
  <si>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</si>
  <si>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</si>
  <si>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</si>
  <si>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</si>
  <si>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</si>
  <si>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</si>
  <si>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</si>
  <si>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</si>
  <si>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</si>
  <si>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</si>
  <si>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</si>
  <si>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</si>
  <si>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</si>
  <si>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</si>
  <si>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</si>
  <si>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</si>
  <si>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</si>
  <si>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</si>
  <si>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</si>
  <si>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</si>
  <si>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</si>
  <si>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</si>
  <si>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</si>
  <si>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</si>
  <si>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</si>
  <si>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</si>
  <si>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</si>
  <si>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</si>
  <si>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</si>
  <si>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</si>
  <si>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</si>
  <si>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</si>
  <si>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</si>
  <si>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</si>
  <si>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</si>
  <si>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</si>
  <si>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</si>
  <si>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</si>
  <si>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</si>
  <si>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</si>
  <si>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</si>
  <si>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</si>
  <si>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</si>
  <si>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</si>
  <si>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</si>
  <si>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</si>
  <si>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</si>
  <si>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</si>
  <si>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</si>
  <si>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</si>
  <si>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</si>
  <si>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</si>
  <si>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</si>
  <si>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</si>
  <si>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</si>
  <si>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</si>
  <si>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</si>
  <si>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</si>
  <si>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</si>
  <si>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</si>
  <si>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</si>
  <si>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</si>
  <si>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</si>
  <si>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</si>
  <si>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</si>
  <si>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</si>
  <si>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</si>
  <si>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</si>
  <si>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</si>
  <si>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</si>
  <si>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</si>
  <si>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</si>
  <si>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</si>
  <si>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</si>
  <si>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</si>
  <si>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</si>
  <si>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</si>
  <si>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</si>
  <si>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</si>
  <si>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</si>
  <si>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</si>
  <si>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</si>
  <si>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</si>
  <si>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</si>
  <si>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</si>
  <si>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</si>
  <si>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</si>
  <si>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</si>
  <si>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</si>
  <si>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</si>
  <si>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</si>
  <si>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</si>
  <si>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</si>
  <si>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</si>
  <si>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</si>
  <si>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</si>
  <si>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</si>
  <si>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</si>
  <si>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</si>
  <si>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</si>
  <si>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</si>
  <si>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</si>
  <si>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</si>
  <si>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</si>
  <si>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</si>
  <si>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</si>
  <si>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</si>
  <si>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</si>
  <si>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</si>
  <si>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</si>
  <si>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</si>
  <si>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</si>
  <si>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</si>
  <si>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</si>
  <si>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</si>
  <si>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</si>
  <si>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</si>
  <si>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</si>
  <si>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</si>
  <si>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</si>
  <si>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</si>
  <si>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</si>
  <si>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</si>
  <si>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</si>
  <si>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</si>
  <si>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</si>
  <si>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</si>
  <si>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</si>
  <si>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</si>
  <si>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</si>
  <si>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</si>
  <si>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</si>
  <si>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</si>
  <si>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</si>
  <si>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</si>
  <si>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</si>
  <si>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</si>
  <si>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</si>
  <si>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</si>
  <si>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</si>
  <si>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</si>
  <si>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</si>
  <si>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</si>
  <si>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</si>
  <si>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</si>
  <si>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</si>
  <si>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</si>
  <si>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</si>
  <si>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</si>
  <si>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</si>
  <si>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</si>
  <si>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</si>
  <si>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</si>
  <si>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</si>
  <si>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</si>
  <si>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</si>
  <si>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</si>
  <si>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</si>
  <si>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</si>
  <si>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</si>
  <si>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</si>
  <si>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</si>
  <si>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</si>
  <si>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</si>
  <si>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</si>
  <si>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</si>
  <si>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</si>
  <si>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</si>
  <si>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</si>
  <si>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</si>
  <si>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</si>
  <si>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</si>
  <si>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</si>
  <si>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</si>
  <si>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</si>
  <si>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</si>
  <si>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</si>
  <si>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</si>
  <si>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</si>
  <si>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</si>
  <si>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</si>
  <si>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</si>
  <si>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</si>
  <si>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</si>
  <si>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</si>
  <si>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</si>
  <si>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</si>
  <si>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</si>
  <si>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</si>
  <si>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</si>
  <si>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</si>
  <si>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</si>
  <si>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</si>
  <si>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</si>
  <si>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</si>
  <si>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</si>
  <si>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</si>
  <si>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</si>
  <si>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</si>
  <si>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</si>
  <si>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</si>
  <si>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</si>
  <si>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</si>
  <si>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</si>
  <si>
    <t>{nClass=14,nIcon=592,nFrame=8,szName="【{$me}】·拾取大旗",nTime=30,key="拾取大旗·{$me}",},</t>
    <phoneticPr fontId="18" type="noConversion"/>
  </si>
  <si>
    <t>{nClass=8,nIcon=1537,nFrame=0,nTime="1,屹立不倒·{$sender}·正在释放;9.5,屹立不倒·{$sender}·50减伤;32.5,屹立不倒·{$sender}·释放剩余;40.5,屹立不倒·{$sender}·释放延迟",szName="屹立不倒",nRefresh=0,key="屹立不倒",},</t>
    <phoneticPr fontId="18" type="noConversion"/>
  </si>
  <si>
    <t>{nClass=9,nIcon=1537,nFrame=0,nTime="9,屹立不倒·{$sender}·50减伤;31.5,屹立不倒·{$sender}·释放剩余;40,屹立不倒·{$sender}·释放延迟",szName="屹立不倒",nRefresh=1,key="屹立不倒",},</t>
    <phoneticPr fontId="18" type="noConversion"/>
  </si>
  <si>
    <t>{nClass=4,nIcon=13,nTime=-1,szName="屹立不倒",key="屹立不倒",},</t>
    <phoneticPr fontId="18" type="noConversion"/>
  </si>
  <si>
    <t>{nClass=7,nIcon=1537,nFrame=0,nTime=32.5,szName="屹立不倒·{$receiver}·释放剩余",key="屹立不倒",},</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</si>
</sst>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1775972827640,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2395</v>
      </c>
      <c r="K38" s="2" t="s">
        <v>2394</v>
      </c>
      <c r="M38" s="3" t="s">
        <v>1120</v>
      </c>
      <c r="N38" s="3" t="s">
        <v>1121</v>
      </c>
      <c r="O38" s="3" t="s">
        <v>1122</v>
      </c>
    </row>
    <row r="39" spans="1:15" x14ac:dyDescent="0.15">
      <c r="A39" s="3">
        <v>7</v>
      </c>
      <c r="B39" s="3" t="s">
        <v>95</v>
      </c>
      <c r="K39" s="44" t="s">
        <v>2636</v>
      </c>
      <c r="M39" s="3" t="s">
        <v>1123</v>
      </c>
      <c r="N39" s="3" t="s">
        <v>1124</v>
      </c>
      <c r="O39" s="3" t="s">
        <v>1123</v>
      </c>
    </row>
    <row r="40" spans="1:15" x14ac:dyDescent="0.15">
      <c r="A40" s="3">
        <v>8</v>
      </c>
      <c r="B40" s="3" t="s">
        <v>99</v>
      </c>
      <c r="K40" s="45" t="s">
        <v>2637</v>
      </c>
      <c r="M40" s="3" t="s">
        <v>1125</v>
      </c>
      <c r="N40" s="3" t="s">
        <v>1126</v>
      </c>
      <c r="O40" s="3" t="s">
        <v>1127</v>
      </c>
    </row>
    <row r="41" spans="1:15" x14ac:dyDescent="0.15">
      <c r="A41" s="3">
        <v>9</v>
      </c>
      <c r="B41" s="3" t="s">
        <v>104</v>
      </c>
      <c r="K41" s="46" t="s">
        <v>2638</v>
      </c>
      <c r="M41" s="3" t="s">
        <v>1128</v>
      </c>
      <c r="N41" s="3" t="s">
        <v>1129</v>
      </c>
      <c r="O41" s="3" t="s">
        <v>1130</v>
      </c>
    </row>
    <row r="42" spans="1:15" x14ac:dyDescent="0.15">
      <c r="A42" s="3">
        <v>10</v>
      </c>
      <c r="B42" s="3" t="s">
        <v>107</v>
      </c>
      <c r="K42" s="47" t="s">
        <v>2639</v>
      </c>
      <c r="M42" s="3" t="s">
        <v>1131</v>
      </c>
      <c r="N42" s="3" t="s">
        <v>1132</v>
      </c>
      <c r="O42" s="3" t="s">
        <v>1131</v>
      </c>
    </row>
    <row r="43" spans="1:15" x14ac:dyDescent="0.15">
      <c r="A43" s="3">
        <v>11</v>
      </c>
      <c r="B43" s="3" t="s">
        <v>111</v>
      </c>
      <c r="K43" s="49" t="s">
        <v>2641</v>
      </c>
      <c r="M43" s="3" t="s">
        <v>1133</v>
      </c>
      <c r="N43" s="3" t="s">
        <v>1134</v>
      </c>
      <c r="O43" s="3" t="s">
        <v>1135</v>
      </c>
    </row>
    <row r="44" spans="1:15" x14ac:dyDescent="0.15">
      <c r="A44" s="3">
        <v>12</v>
      </c>
      <c r="B44" s="3" t="s">
        <v>115</v>
      </c>
      <c r="K44" s="48" t="s">
        <v>2640</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2680</v>
      </c>
      <c r="I6" s="36">
        <v>2</v>
      </c>
      <c r="K6" s="36" t="s">
        <v>2679</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2632</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2681</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2685</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2633</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2576</v>
      </c>
      <c r="AP13" s="36" t="s">
        <v>2575</v>
      </c>
      <c r="AQ13" s="31"/>
      <c r="AR13" s="31"/>
      <c r="AS13" s="31"/>
    </row>
    <row r="14" spans="1:45" x14ac:dyDescent="0.15">
      <c r="A14" s="31"/>
      <c r="B14" s="31"/>
      <c r="C14" s="31">
        <v>7525</v>
      </c>
      <c r="D14" s="31">
        <v>1</v>
      </c>
      <c r="E14" s="31"/>
      <c r="F14" s="31"/>
      <c r="G14" s="31" t="s">
        <v>2634</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2576</v>
      </c>
      <c r="AP14" s="31" t="s">
        <v>2575</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2165</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2168</v>
      </c>
    </row>
    <row r="20" spans="1:42" s="36" customFormat="1" x14ac:dyDescent="0.15">
      <c r="C20" s="36">
        <v>8607</v>
      </c>
      <c r="D20" s="36">
        <v>1</v>
      </c>
      <c r="G20" s="36" t="s">
        <v>2681</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2093</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2168</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2310</v>
      </c>
      <c r="I27" s="36">
        <v>1</v>
      </c>
      <c r="K27" s="36" t="s">
        <v>2309</v>
      </c>
      <c r="L27" s="36" t="s">
        <v>2311</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2308</v>
      </c>
      <c r="L28" s="36" t="s">
        <v>2307</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2308</v>
      </c>
      <c r="L30" s="36" t="s">
        <v>2307</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2310</v>
      </c>
      <c r="I32" s="36">
        <v>1</v>
      </c>
      <c r="K32" s="36" t="s">
        <v>2309</v>
      </c>
      <c r="L32" s="36" t="s">
        <v>2311</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2308</v>
      </c>
      <c r="L33" s="36" t="s">
        <v>2307</v>
      </c>
      <c r="R33" s="36">
        <v>1</v>
      </c>
      <c r="T33" s="36">
        <v>1</v>
      </c>
      <c r="AN33" s="36" t="str">
        <f t="shared" si="0"/>
        <v>{dwID=7508,nLevel=1,nScrutinyType=1,szNote="哑运",col={179,238,58,},[1]={bScreenHead=true,bBuffList=true,},[2]={},},</v>
      </c>
    </row>
    <row r="34" spans="1:42" s="36" customFormat="1" x14ac:dyDescent="0.15">
      <c r="C34" s="40">
        <v>7561</v>
      </c>
      <c r="D34" s="36">
        <v>1</v>
      </c>
      <c r="G34" s="36" t="s">
        <v>2633</v>
      </c>
      <c r="K34" s="36" t="s">
        <v>1653</v>
      </c>
      <c r="L34" s="36" t="s">
        <v>2115</v>
      </c>
      <c r="R34" s="36">
        <v>1</v>
      </c>
      <c r="S34" s="36">
        <v>1</v>
      </c>
      <c r="T34" s="36">
        <v>1</v>
      </c>
      <c r="V34" s="36">
        <v>1</v>
      </c>
      <c r="AE34" s="36" t="s">
        <v>2023</v>
      </c>
      <c r="AF34" s="36">
        <v>2</v>
      </c>
      <c r="AG34" s="36" t="s">
        <v>2177</v>
      </c>
      <c r="AH34" s="36" t="s">
        <v>2178</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2576</v>
      </c>
      <c r="AP34" s="36" t="s">
        <v>2575</v>
      </c>
    </row>
    <row r="35" spans="1:42" s="36" customFormat="1" x14ac:dyDescent="0.15">
      <c r="C35" s="40">
        <v>7525</v>
      </c>
      <c r="D35" s="36">
        <v>1</v>
      </c>
      <c r="G35" s="36" t="s">
        <v>2634</v>
      </c>
      <c r="K35" s="36" t="s">
        <v>1652</v>
      </c>
      <c r="L35" s="36" t="s">
        <v>2115</v>
      </c>
      <c r="R35" s="36">
        <v>1</v>
      </c>
      <c r="S35" s="36">
        <v>1</v>
      </c>
      <c r="T35" s="36">
        <v>1</v>
      </c>
      <c r="V35" s="36">
        <v>1</v>
      </c>
      <c r="AE35" s="36" t="s">
        <v>2023</v>
      </c>
      <c r="AF35" s="36">
        <v>2</v>
      </c>
      <c r="AG35" s="36" t="s">
        <v>2177</v>
      </c>
      <c r="AH35" s="36" t="s">
        <v>2178</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2576</v>
      </c>
      <c r="AP35" s="36" t="s">
        <v>2575</v>
      </c>
    </row>
    <row r="36" spans="1:42" s="36" customFormat="1" x14ac:dyDescent="0.15">
      <c r="C36" s="40">
        <v>7373</v>
      </c>
      <c r="D36" s="36">
        <v>1</v>
      </c>
      <c r="F36" s="36">
        <v>134</v>
      </c>
      <c r="G36" s="36" t="s">
        <v>2390</v>
      </c>
      <c r="I36" s="36">
        <v>3</v>
      </c>
      <c r="K36" s="36" t="s">
        <v>2389</v>
      </c>
      <c r="L36" s="36" t="s">
        <v>1964</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1915</v>
      </c>
      <c r="I38" s="36">
        <v>1</v>
      </c>
      <c r="K38" s="36" t="s">
        <v>1914</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2633</v>
      </c>
      <c r="K40" s="36" t="s">
        <v>1653</v>
      </c>
      <c r="L40" s="36" t="s">
        <v>2115</v>
      </c>
      <c r="R40" s="36">
        <v>1</v>
      </c>
      <c r="S40" s="36">
        <v>1</v>
      </c>
      <c r="T40" s="36">
        <v>1</v>
      </c>
      <c r="V40" s="36">
        <v>1</v>
      </c>
      <c r="AE40" s="36" t="s">
        <v>2023</v>
      </c>
      <c r="AF40" s="36">
        <v>2</v>
      </c>
      <c r="AG40" s="36" t="s">
        <v>2177</v>
      </c>
      <c r="AH40" s="36" t="s">
        <v>2178</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2576</v>
      </c>
      <c r="AP40" s="36" t="s">
        <v>2575</v>
      </c>
    </row>
    <row r="41" spans="1:42" s="36" customFormat="1" x14ac:dyDescent="0.15">
      <c r="C41" s="40">
        <v>7525</v>
      </c>
      <c r="D41" s="36">
        <v>1</v>
      </c>
      <c r="G41" s="36" t="s">
        <v>2634</v>
      </c>
      <c r="K41" s="36" t="s">
        <v>1652</v>
      </c>
      <c r="L41" s="36" t="s">
        <v>2115</v>
      </c>
      <c r="R41" s="36">
        <v>1</v>
      </c>
      <c r="S41" s="36">
        <v>1</v>
      </c>
      <c r="T41" s="36">
        <v>1</v>
      </c>
      <c r="V41" s="36">
        <v>1</v>
      </c>
      <c r="AE41" s="36" t="s">
        <v>2023</v>
      </c>
      <c r="AF41" s="36">
        <v>2</v>
      </c>
      <c r="AG41" s="36" t="s">
        <v>2177</v>
      </c>
      <c r="AH41" s="36" t="s">
        <v>2178</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2576</v>
      </c>
      <c r="AP41" s="36" t="s">
        <v>2575</v>
      </c>
    </row>
    <row r="42" spans="1:42" s="36" customFormat="1" x14ac:dyDescent="0.15">
      <c r="C42" s="40">
        <v>7373</v>
      </c>
      <c r="D42" s="36">
        <v>1</v>
      </c>
      <c r="F42" s="36">
        <v>134</v>
      </c>
      <c r="G42" s="36" t="s">
        <v>2390</v>
      </c>
      <c r="I42" s="36">
        <v>3</v>
      </c>
      <c r="K42" s="36" t="s">
        <v>2389</v>
      </c>
      <c r="L42" s="36" t="s">
        <v>1964</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1915</v>
      </c>
      <c r="I44" s="36">
        <v>1</v>
      </c>
      <c r="K44" s="36" t="s">
        <v>1914</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6"/>
  <sheetViews>
    <sheetView zoomScale="90" zoomScaleNormal="90" workbookViewId="0">
      <pane ySplit="1" topLeftCell="A36" activePane="bottomLeft" state="frozen"/>
      <selection pane="bottomLeft" activeCell="J44" sqref="J44"/>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2635</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2404</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2405</v>
      </c>
      <c r="AP15" s="36" t="s">
        <v>2404</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2623</v>
      </c>
      <c r="AT17" s="52" t="s">
        <v>2650</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2407</v>
      </c>
      <c r="AP18" s="40" t="s">
        <v>2406</v>
      </c>
      <c r="AQ18" s="36" t="s">
        <v>2624</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2489</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2685</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7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74" s="36" customFormat="1" x14ac:dyDescent="0.15">
      <c r="C34" s="36">
        <v>32813</v>
      </c>
      <c r="D34" s="36">
        <v>1</v>
      </c>
      <c r="F34" s="36">
        <v>16834</v>
      </c>
      <c r="G34" s="36" t="s">
        <v>2701</v>
      </c>
      <c r="K34" s="36" t="s">
        <v>2696</v>
      </c>
      <c r="L34" s="36" t="s">
        <v>2698</v>
      </c>
      <c r="T34" s="36">
        <v>1</v>
      </c>
      <c r="V34" s="36">
        <v>1</v>
      </c>
      <c r="AE34" s="36" t="s">
        <v>2697</v>
      </c>
      <c r="AF34" s="36">
        <v>37</v>
      </c>
      <c r="AG34" s="36" t="s">
        <v>2699</v>
      </c>
      <c r="AH34" s="36" t="s">
        <v>2700</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s="36" t="s">
        <v>2707</v>
      </c>
    </row>
    <row r="35" spans="1:74" s="36" customFormat="1" x14ac:dyDescent="0.15">
      <c r="C35" s="36">
        <v>32812</v>
      </c>
      <c r="D35" s="36">
        <v>1</v>
      </c>
      <c r="F35" s="36">
        <v>3451</v>
      </c>
      <c r="G35" s="36" t="s">
        <v>2702</v>
      </c>
      <c r="K35" s="36" t="s">
        <v>2703</v>
      </c>
      <c r="L35" s="36" t="s">
        <v>2704</v>
      </c>
      <c r="T35" s="36">
        <v>1</v>
      </c>
      <c r="AN35" s="36" t="str">
        <f t="shared" si="0"/>
        <v>{dwID=32812,nLevel=1,nIcon=3451,szName="损CD",szNote="据点大旗赛点CD",col={255,50,50,},[1]={bBuffList=true,},[2]={},tCountdown={{nClass=1,nIcon=16834,nFrame=1,szName="大旗赛点·CD",nTime="60,大旗赛点·触发冷却;62,大旗赛点·解除冷却",nRefresh=1,key="大旗赛点·CD",},},},</v>
      </c>
      <c r="AO35" s="36" t="s">
        <v>2705</v>
      </c>
    </row>
    <row r="36" spans="1:74" s="36" customFormat="1" x14ac:dyDescent="0.15">
      <c r="C36" s="36">
        <v>31381</v>
      </c>
      <c r="D36" s="36">
        <v>1</v>
      </c>
      <c r="G36" s="36" t="s">
        <v>2561</v>
      </c>
      <c r="K36" s="36" t="s">
        <v>2385</v>
      </c>
      <c r="L36" s="36" t="s">
        <v>1964</v>
      </c>
      <c r="R36" s="36">
        <v>1</v>
      </c>
      <c r="T36" s="36">
        <v>1</v>
      </c>
      <c r="AE36" s="36" t="s">
        <v>2577</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2721</v>
      </c>
      <c r="AP36" s="36" t="s">
        <v>2722</v>
      </c>
    </row>
    <row r="37" spans="1:7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7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7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74" s="36" customFormat="1" x14ac:dyDescent="0.15">
      <c r="C40" s="36">
        <v>7756</v>
      </c>
      <c r="D40" s="36">
        <v>1</v>
      </c>
      <c r="I40" s="36">
        <v>1</v>
      </c>
      <c r="K40" s="36" t="s">
        <v>2038</v>
      </c>
      <c r="L40" s="36" t="s">
        <v>1781</v>
      </c>
      <c r="T40" s="36">
        <v>1</v>
      </c>
      <c r="AE40" s="36" t="s">
        <v>2039</v>
      </c>
      <c r="AF40" s="36">
        <v>3</v>
      </c>
      <c r="AG40" s="36" t="s">
        <v>2635</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7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7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74" s="36" customFormat="1" x14ac:dyDescent="0.15">
      <c r="C43" s="36">
        <v>7503</v>
      </c>
      <c r="D43" s="36">
        <v>1</v>
      </c>
      <c r="G43" s="36" t="s">
        <v>2507</v>
      </c>
      <c r="I43" s="36">
        <v>1</v>
      </c>
      <c r="K43" s="36" t="s">
        <v>2508</v>
      </c>
      <c r="L43" s="36" t="s">
        <v>2361</v>
      </c>
      <c r="T43" s="36">
        <v>1</v>
      </c>
      <c r="V43" s="36">
        <v>1</v>
      </c>
      <c r="AF43" s="36">
        <v>37</v>
      </c>
      <c r="AG43" s="36" t="s">
        <v>2509</v>
      </c>
      <c r="AH43" s="36" t="s">
        <v>2364</v>
      </c>
      <c r="AI43" s="36">
        <v>170</v>
      </c>
      <c r="AN43" s="36" t="str">
        <f t="shared" si="0"/>
        <v>{dwID=7503,nLevel=1,szName="减速·御城",nScrutinyType=1,szNote="御城·断股",col={31,63,255,},[1]={bBuffList=true,bTeamPanel=true,},[2]={},aCataclysmBuff={{nPriority=37,col="#1F3FFFAA",colScreenHead="#1F3FFF",nColAlpha=170,},},},</v>
      </c>
    </row>
    <row r="44" spans="1:7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7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2407</v>
      </c>
      <c r="AP45" s="40" t="s">
        <v>2406</v>
      </c>
      <c r="AQ45" s="38" t="s">
        <v>2573</v>
      </c>
      <c r="AR45" s="38" t="s">
        <v>2574</v>
      </c>
    </row>
    <row r="46" spans="1:74" s="36" customFormat="1" x14ac:dyDescent="0.15">
      <c r="C46" s="36">
        <v>11561</v>
      </c>
      <c r="D46" s="36">
        <v>1</v>
      </c>
      <c r="G46" s="36" t="s">
        <v>2584</v>
      </c>
      <c r="I46" s="36">
        <v>1</v>
      </c>
      <c r="K46" s="36" t="s">
        <v>2586</v>
      </c>
      <c r="L46" s="36" t="s">
        <v>2585</v>
      </c>
      <c r="AN46" s="36" t="str">
        <f t="shared" si="0"/>
        <v>{dwID=11561,nLevel=1,szName="据点内",nScrutinyType=1,szNote="判断是否在大旗附近",col={80,231,236,},[1]={},[2]={},tCountdown={{nClass=1,nIcon=1272,nFrame=2,szName="据点大旗·旗手提示",nTime=-1,key="据点大旗·旗手提示",},},},</v>
      </c>
      <c r="AO46" s="36" t="s">
        <v>2724</v>
      </c>
      <c r="AP46" s="39"/>
      <c r="AQ46" s="39"/>
      <c r="AR46" s="39"/>
    </row>
    <row r="47" spans="1:74" x14ac:dyDescent="0.15">
      <c r="C47">
        <v>7723</v>
      </c>
      <c r="D47">
        <v>1</v>
      </c>
      <c r="I47">
        <v>2</v>
      </c>
      <c r="K47" t="s">
        <v>1797</v>
      </c>
      <c r="L47" s="36" t="s">
        <v>1667</v>
      </c>
      <c r="T47">
        <v>1</v>
      </c>
      <c r="V47">
        <v>1</v>
      </c>
      <c r="AF47" s="36">
        <v>1</v>
      </c>
      <c r="AG47" s="36" t="s">
        <v>2489</v>
      </c>
      <c r="AH47" s="36"/>
      <c r="AI47" s="36">
        <v>170</v>
      </c>
      <c r="AN47" s="36" t="str">
        <f t="shared" si="0"/>
        <v>{dwID=7723,nLevel=1,nScrutinyType=2,szNote="神机雷",col={255,255,255,},[1]={bBuffList=true,bTeamPanel=true,},[2]={},aCataclysmBuff={{nPriority=1,col="#FFFFFFAA",nColAlpha=170,},},},</v>
      </c>
    </row>
    <row r="48" spans="1:74" x14ac:dyDescent="0.15">
      <c r="A48" s="36" t="s">
        <v>1767</v>
      </c>
      <c r="B48" s="36">
        <v>214</v>
      </c>
      <c r="AN48" s="36" t="str">
        <f t="shared" si="0"/>
        <v>},[214]={</v>
      </c>
      <c r="BM48" s="36"/>
      <c r="BN48" s="36"/>
      <c r="BO48" s="36"/>
      <c r="BP48" s="36"/>
      <c r="BQ48" s="36"/>
      <c r="BR48" s="36"/>
      <c r="BS48" s="36"/>
      <c r="BT48" s="36"/>
      <c r="BU48" s="36"/>
      <c r="BV48" s="36"/>
    </row>
    <row r="49" spans="1:41" s="36" customFormat="1" x14ac:dyDescent="0.15">
      <c r="C49" s="36">
        <v>9992</v>
      </c>
      <c r="D49" s="36">
        <v>1</v>
      </c>
      <c r="F49" s="36">
        <v>8004</v>
      </c>
      <c r="G49" s="36" t="s">
        <v>2303</v>
      </c>
      <c r="I49" s="36">
        <v>1</v>
      </c>
      <c r="K49" s="36" t="s">
        <v>2304</v>
      </c>
      <c r="L49" s="36" t="s">
        <v>1781</v>
      </c>
      <c r="T49" s="36">
        <v>1</v>
      </c>
      <c r="AN49" s="36" t="str">
        <f t="shared" si="0"/>
        <v>{dwID=9992,nLevel=1,nIcon=8004,szName="大跑商",nScrutinyType=1,szNote="场景标记",col={255,255,0,},[1]={bBuffList=true,},[2]={},},</v>
      </c>
    </row>
    <row r="50" spans="1:41" s="36" customFormat="1" x14ac:dyDescent="0.15">
      <c r="C50" s="36">
        <v>9982</v>
      </c>
      <c r="D50" s="36">
        <v>1</v>
      </c>
      <c r="I50" s="36">
        <v>2</v>
      </c>
      <c r="K50" s="36" t="s">
        <v>2305</v>
      </c>
      <c r="L50" s="36" t="s">
        <v>1667</v>
      </c>
      <c r="AE50" s="36" t="s">
        <v>2306</v>
      </c>
      <c r="AF50" s="36">
        <v>2</v>
      </c>
      <c r="AG50" s="36" t="s">
        <v>1970</v>
      </c>
      <c r="AH50" s="36" t="s">
        <v>1970</v>
      </c>
      <c r="AI50" s="36">
        <v>255</v>
      </c>
      <c r="AN50" s="36" t="str">
        <f t="shared" si="0"/>
        <v>{dwID=9982,nLevel=1,nScrutinyType=2,szNote="运货首领",col={255,255,255,},[1]={},[2]={},aCataclysmBuff={{szReminder="镖",nPriority=2,col="#FFFFFFFF",colScreenHead="#FFFFFFFF",nColAlpha=255,},},},</v>
      </c>
    </row>
    <row r="51" spans="1:41" s="36" customFormat="1" x14ac:dyDescent="0.15">
      <c r="C51" s="36">
        <v>7851</v>
      </c>
      <c r="D51" s="36">
        <v>1</v>
      </c>
      <c r="I51" s="36">
        <v>1</v>
      </c>
      <c r="K51" s="36" t="s">
        <v>2562</v>
      </c>
      <c r="L51" s="36" t="s">
        <v>2312</v>
      </c>
      <c r="T51" s="36">
        <v>1</v>
      </c>
      <c r="AN51" s="36" t="str">
        <f t="shared" si="0"/>
        <v>{dwID=7851,nLevel=1,nScrutinyType=1,szNote="追踪·减速50%",col={31,63,255,},[1]={bBuffList=true,},[2]={},},</v>
      </c>
    </row>
    <row r="52" spans="1:41" x14ac:dyDescent="0.15">
      <c r="A52" s="36" t="s">
        <v>19</v>
      </c>
      <c r="B52" s="36">
        <v>217</v>
      </c>
      <c r="AN52" s="36" t="str">
        <f t="shared" si="0"/>
        <v>},[217]={</v>
      </c>
    </row>
    <row r="53" spans="1:41" s="36" customFormat="1" x14ac:dyDescent="0.15">
      <c r="C53" s="36">
        <v>9992</v>
      </c>
      <c r="D53" s="36">
        <v>1</v>
      </c>
      <c r="F53" s="36">
        <v>8004</v>
      </c>
      <c r="G53" s="36" t="s">
        <v>2303</v>
      </c>
      <c r="I53" s="36">
        <v>1</v>
      </c>
      <c r="K53" s="36" t="s">
        <v>2304</v>
      </c>
      <c r="L53" s="36" t="s">
        <v>1781</v>
      </c>
      <c r="T53" s="36">
        <v>1</v>
      </c>
      <c r="AN53" s="36" t="str">
        <f t="shared" si="0"/>
        <v>{dwID=9992,nLevel=1,nIcon=8004,szName="大跑商",nScrutinyType=1,szNote="场景标记",col={255,255,0,},[1]={bBuffList=true,},[2]={},},</v>
      </c>
    </row>
    <row r="54" spans="1:41" s="36" customFormat="1" x14ac:dyDescent="0.15">
      <c r="C54" s="36">
        <v>9982</v>
      </c>
      <c r="D54" s="36">
        <v>1</v>
      </c>
      <c r="I54" s="36">
        <v>2</v>
      </c>
      <c r="K54" s="36" t="s">
        <v>2305</v>
      </c>
      <c r="L54" s="36" t="s">
        <v>1667</v>
      </c>
      <c r="AE54" s="36" t="s">
        <v>2306</v>
      </c>
      <c r="AF54" s="36">
        <v>2</v>
      </c>
      <c r="AG54" s="36" t="s">
        <v>1970</v>
      </c>
      <c r="AH54" s="36" t="s">
        <v>1970</v>
      </c>
      <c r="AI54" s="36">
        <v>255</v>
      </c>
      <c r="AN54" s="36" t="str">
        <f t="shared" si="0"/>
        <v>{dwID=9982,nLevel=1,nScrutinyType=2,szNote="运货首领",col={255,255,255,},[1]={},[2]={},aCataclysmBuff={{szReminder="镖",nPriority=2,col="#FFFFFFFF",colScreenHead="#FFFFFFFF",nColAlpha=255,},},},</v>
      </c>
    </row>
    <row r="55" spans="1:41" s="36" customFormat="1" x14ac:dyDescent="0.15">
      <c r="C55" s="36">
        <v>7851</v>
      </c>
      <c r="D55" s="36">
        <v>1</v>
      </c>
      <c r="I55" s="36">
        <v>1</v>
      </c>
      <c r="K55" s="36" t="s">
        <v>2562</v>
      </c>
      <c r="L55" s="36" t="s">
        <v>2312</v>
      </c>
      <c r="T55" s="36">
        <v>1</v>
      </c>
      <c r="AN55" s="36" t="str">
        <f t="shared" si="0"/>
        <v>{dwID=7851,nLevel=1,nScrutinyType=1,szNote="追踪·减速50%",col={31,63,255,},[1]={bBuffList=true,},[2]={},},</v>
      </c>
    </row>
    <row r="56" spans="1:41" x14ac:dyDescent="0.15">
      <c r="A56" s="36" t="s">
        <v>18</v>
      </c>
      <c r="B56" s="36">
        <v>216</v>
      </c>
      <c r="AN56" s="36" t="str">
        <f t="shared" si="0"/>
        <v>},[216]={</v>
      </c>
    </row>
    <row r="57" spans="1:41" s="36" customFormat="1" x14ac:dyDescent="0.15">
      <c r="C57" s="36">
        <v>9992</v>
      </c>
      <c r="D57" s="36">
        <v>1</v>
      </c>
      <c r="F57" s="36">
        <v>8004</v>
      </c>
      <c r="G57" s="36" t="s">
        <v>2303</v>
      </c>
      <c r="I57" s="36">
        <v>1</v>
      </c>
      <c r="K57" s="36" t="s">
        <v>2304</v>
      </c>
      <c r="L57" s="36" t="s">
        <v>1781</v>
      </c>
      <c r="T57" s="36">
        <v>1</v>
      </c>
      <c r="AN57" s="36" t="str">
        <f t="shared" si="0"/>
        <v>{dwID=9992,nLevel=1,nIcon=8004,szName="大跑商",nScrutinyType=1,szNote="场景标记",col={255,255,0,},[1]={bBuffList=true,},[2]={},},</v>
      </c>
    </row>
    <row r="58" spans="1:41" s="36" customFormat="1" x14ac:dyDescent="0.15">
      <c r="C58" s="36">
        <v>9982</v>
      </c>
      <c r="D58" s="36">
        <v>1</v>
      </c>
      <c r="I58" s="36">
        <v>2</v>
      </c>
      <c r="K58" s="36" t="s">
        <v>2305</v>
      </c>
      <c r="L58" s="36" t="s">
        <v>1667</v>
      </c>
      <c r="AE58" s="36" t="s">
        <v>2306</v>
      </c>
      <c r="AF58" s="36">
        <v>2</v>
      </c>
      <c r="AG58" s="36" t="s">
        <v>1970</v>
      </c>
      <c r="AH58" s="36" t="s">
        <v>1970</v>
      </c>
      <c r="AI58" s="36">
        <v>255</v>
      </c>
      <c r="AN58" s="36" t="str">
        <f t="shared" si="0"/>
        <v>{dwID=9982,nLevel=1,nScrutinyType=2,szNote="运货首领",col={255,255,255,},[1]={},[2]={},aCataclysmBuff={{szReminder="镖",nPriority=2,col="#FFFFFFFF",colScreenHead="#FFFFFFFF",nColAlpha=255,},},},</v>
      </c>
    </row>
    <row r="59" spans="1:41" s="36" customFormat="1" x14ac:dyDescent="0.15">
      <c r="C59" s="36">
        <v>7851</v>
      </c>
      <c r="D59" s="36">
        <v>1</v>
      </c>
      <c r="I59" s="36">
        <v>1</v>
      </c>
      <c r="K59" s="36" t="s">
        <v>2562</v>
      </c>
      <c r="L59" s="36" t="s">
        <v>2312</v>
      </c>
      <c r="T59" s="36">
        <v>1</v>
      </c>
      <c r="AN59" s="36" t="str">
        <f t="shared" si="0"/>
        <v>{dwID=7851,nLevel=1,nScrutinyType=1,szNote="追踪·减速50%",col={31,63,255,},[1]={bBuffList=true,},[2]={},},</v>
      </c>
    </row>
    <row r="60" spans="1:41" s="36" customFormat="1" x14ac:dyDescent="0.15">
      <c r="C60" s="40">
        <v>11567</v>
      </c>
      <c r="D60" s="36">
        <v>1</v>
      </c>
      <c r="F60" s="36">
        <v>1245</v>
      </c>
      <c r="G60" s="36" t="s">
        <v>2091</v>
      </c>
      <c r="I60" s="36">
        <v>1</v>
      </c>
      <c r="K60" s="36" t="s">
        <v>1953</v>
      </c>
      <c r="L60" s="36" t="s">
        <v>1781</v>
      </c>
      <c r="AN60" s="36" t="str">
        <f t="shared" si="0"/>
        <v>{dwID=11567,nLevel=1,nIcon=1245,szName="答对",nScrutinyType=1,szNote="回答奖励",col={255,255,0,},[1]={},[2]={},tCountdown={{nClass=1,nIcon=13,nFrame=1,szName="答题验证·回答正确",nTime=5,key="挂机检测",},},},</v>
      </c>
      <c r="AO60" s="36" t="s">
        <v>2083</v>
      </c>
    </row>
    <row r="61" spans="1:41" s="36" customFormat="1" x14ac:dyDescent="0.15">
      <c r="C61" s="40">
        <v>11559</v>
      </c>
      <c r="D61" s="36">
        <v>1</v>
      </c>
      <c r="F61" s="36">
        <v>1244</v>
      </c>
      <c r="G61" s="36" t="s">
        <v>1957</v>
      </c>
      <c r="I61" s="36">
        <v>1</v>
      </c>
      <c r="K61" s="36" t="s">
        <v>1954</v>
      </c>
      <c r="L61" s="36" t="s">
        <v>1964</v>
      </c>
      <c r="N61" s="36" t="s">
        <v>1787</v>
      </c>
      <c r="O61" s="36">
        <v>1</v>
      </c>
      <c r="P61" s="36">
        <v>1</v>
      </c>
      <c r="Q61" s="36">
        <v>1</v>
      </c>
      <c r="R61" s="36">
        <v>1</v>
      </c>
      <c r="T61" s="36">
        <v>1</v>
      </c>
      <c r="U61" s="36">
        <v>1</v>
      </c>
      <c r="V61" s="36">
        <v>1</v>
      </c>
      <c r="AE61" s="36" t="s">
        <v>1973</v>
      </c>
      <c r="AF61" s="36">
        <v>3</v>
      </c>
      <c r="AG61" s="36" t="s">
        <v>1955</v>
      </c>
      <c r="AH61" s="36" t="s">
        <v>1956</v>
      </c>
      <c r="AI61" s="36">
        <v>255</v>
      </c>
      <c r="AJ61" s="36">
        <v>1</v>
      </c>
      <c r="AK61" s="36">
        <v>1</v>
      </c>
      <c r="AL61" s="36">
        <v>1</v>
      </c>
      <c r="AN61"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1" s="36" t="s">
        <v>2084</v>
      </c>
    </row>
    <row r="62" spans="1:41" s="36" customFormat="1" x14ac:dyDescent="0.15">
      <c r="C62" s="40">
        <v>11565</v>
      </c>
      <c r="D62" s="36">
        <v>1</v>
      </c>
      <c r="F62" s="36">
        <v>592</v>
      </c>
      <c r="G62" s="36" t="s">
        <v>2387</v>
      </c>
      <c r="K62" s="36" t="s">
        <v>2388</v>
      </c>
      <c r="L62" s="36" t="s">
        <v>2115</v>
      </c>
      <c r="R62" s="36">
        <v>1</v>
      </c>
      <c r="AN62" s="36" t="str">
        <f t="shared" si="0"/>
        <v>{dwID=11565,nLevel=1,nIcon=592,szName="大旗手",szNote="大旗手检测",col={0,255,255,},[1]={bScreenHead=true,},[2]={},},</v>
      </c>
    </row>
    <row r="63" spans="1:41" s="36" customFormat="1" x14ac:dyDescent="0.15">
      <c r="C63" s="40">
        <v>32813</v>
      </c>
      <c r="D63" s="36">
        <v>1</v>
      </c>
      <c r="F63" s="36">
        <v>16834</v>
      </c>
      <c r="G63" s="36" t="s">
        <v>2701</v>
      </c>
      <c r="K63" s="36" t="s">
        <v>2696</v>
      </c>
      <c r="L63" s="36" t="s">
        <v>2698</v>
      </c>
      <c r="T63" s="36">
        <v>1</v>
      </c>
      <c r="V63" s="36">
        <v>1</v>
      </c>
      <c r="AE63" s="36" t="s">
        <v>2697</v>
      </c>
      <c r="AF63" s="36">
        <v>37</v>
      </c>
      <c r="AG63" s="36" t="s">
        <v>2699</v>
      </c>
      <c r="AH63" s="36" t="s">
        <v>2700</v>
      </c>
      <c r="AI63" s="36">
        <v>255</v>
      </c>
      <c r="AN63"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3" s="36" t="s">
        <v>2707</v>
      </c>
    </row>
    <row r="64" spans="1:41" s="36" customFormat="1" x14ac:dyDescent="0.15">
      <c r="C64" s="40">
        <v>32812</v>
      </c>
      <c r="D64" s="36">
        <v>1</v>
      </c>
      <c r="F64" s="36">
        <v>3451</v>
      </c>
      <c r="G64" s="36" t="s">
        <v>2702</v>
      </c>
      <c r="K64" s="36" t="s">
        <v>2703</v>
      </c>
      <c r="L64" s="36" t="s">
        <v>2704</v>
      </c>
      <c r="T64" s="36">
        <v>1</v>
      </c>
      <c r="AN64" s="36" t="str">
        <f t="shared" si="0"/>
        <v>{dwID=32812,nLevel=1,nIcon=3451,szName="损CD",szNote="据点大旗赛点CD",col={255,50,50,},[1]={bBuffList=true,},[2]={},tCountdown={{nClass=1,nIcon=16834,nFrame=1,szName="大旗赛点·CD",nTime="60,大旗赛点·触发冷却;62,大旗赛点·解除冷却",nRefresh=1,key="大旗赛点·CD",},},},</v>
      </c>
      <c r="AO64" s="36" t="s">
        <v>2705</v>
      </c>
    </row>
    <row r="65" spans="1:44" s="36" customFormat="1" x14ac:dyDescent="0.15">
      <c r="C65" s="40">
        <v>31381</v>
      </c>
      <c r="D65" s="36">
        <v>1</v>
      </c>
      <c r="G65" s="36" t="s">
        <v>2561</v>
      </c>
      <c r="K65" s="36" t="s">
        <v>2385</v>
      </c>
      <c r="L65" s="36" t="s">
        <v>1964</v>
      </c>
      <c r="R65" s="36">
        <v>1</v>
      </c>
      <c r="T65" s="36">
        <v>1</v>
      </c>
      <c r="AE65" s="36" t="s">
        <v>2577</v>
      </c>
      <c r="AF65" s="36">
        <v>11</v>
      </c>
      <c r="AG65" s="36" t="s">
        <v>1955</v>
      </c>
      <c r="AH65" s="36" t="s">
        <v>1956</v>
      </c>
      <c r="AI65" s="36">
        <v>255</v>
      </c>
      <c r="AL65" s="36">
        <v>1</v>
      </c>
      <c r="AN65"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65" s="36" t="s">
        <v>2721</v>
      </c>
      <c r="AP65" s="36" t="s">
        <v>2391</v>
      </c>
    </row>
    <row r="66" spans="1:44" s="36" customFormat="1" x14ac:dyDescent="0.15">
      <c r="C66" s="40">
        <v>8807</v>
      </c>
      <c r="D66" s="36">
        <v>1</v>
      </c>
      <c r="G66" s="36" t="s">
        <v>1966</v>
      </c>
      <c r="I66" s="36">
        <v>1</v>
      </c>
      <c r="K66" s="36" t="s">
        <v>1967</v>
      </c>
      <c r="L66" s="36" t="s">
        <v>1964</v>
      </c>
      <c r="N66" s="36" t="s">
        <v>1787</v>
      </c>
      <c r="O66" s="36">
        <v>1</v>
      </c>
      <c r="P66" s="36">
        <v>1</v>
      </c>
      <c r="Q66" s="36">
        <v>1</v>
      </c>
      <c r="T66" s="36">
        <v>1</v>
      </c>
      <c r="U66" s="36">
        <v>1</v>
      </c>
      <c r="AE66" s="36" t="s">
        <v>1972</v>
      </c>
      <c r="AF66" s="36">
        <v>2</v>
      </c>
      <c r="AG66" s="36" t="s">
        <v>1955</v>
      </c>
      <c r="AI66" s="36">
        <v>255</v>
      </c>
      <c r="AJ66" s="36">
        <v>1</v>
      </c>
      <c r="AN66" s="36" t="str">
        <f t="shared" ref="AN66:AN95" si="1">IF(B66&lt;&gt;"",IF(IFERROR(VALUE(C65),0)&lt;=0,"["&amp;B66&amp;"]={","},["&amp;B66&amp;"]={"),IF(C66&gt;0,"{dwID="&amp;C66&amp;","&amp;"nLevel="&amp;D66&amp;","&amp;IF(E66&gt;0,"nCount="&amp;E66&amp;",","")&amp;IF(F66&gt;0,"nIcon="&amp;F66&amp;",","")&amp;IF(G66&lt;&gt;"","szName="""&amp;G66&amp;""",","")&amp;IF(H66&gt;0,"bCheckLevel=true,","")&amp;IF(I66&gt;0,"nScrutinyType="&amp;I66&amp;",","")&amp;IF(J66&lt;&gt;"","tKungFu={"&amp;J66&amp;"},","")&amp;IF(K66&lt;&gt;"","szNote="""&amp;K66&amp;""",","")&amp;IF(L66&lt;&gt;"","col={"&amp;L66&amp;"},","")&amp;"[1]={"&amp;IF(M66&lt;&gt;"","tMark={"&amp;M66&amp;"},","")&amp;IF(N66&lt;&gt;"","szVoice="""&amp;N66&amp;""",","")&amp;IF(O66&gt;0,"bTeamChannel=true,","")&amp;IF(P66&gt;0,"bWhisperChannel=true,","")&amp;IF(Q66&gt;0,"bCenterAlarm=true,","")&amp;IF(R66&gt;0,"bScreenHead=true,","")&amp;IF(S66&gt;0,"bPartyBuffList=true,","")&amp;IF(T66&gt;0,"bBuffList=true,","")&amp;IF(U66&gt;0,"bFullScreen=true,","")&amp;IF(V66&gt;0,"bTeamPanel=true,","")&amp;IF(W66&gt;0,"bOnlySelfSrc=true,","")&amp;"},"&amp;"[2]={"&amp;IF(X66&gt;0,"bTeamChannel=true,","")&amp;IF(Y66&gt;0,"bWhisperChannel=true,","")&amp;IF(Z66&gt;0,"bCenterAlarm=true,","")&amp;"},"&amp;IF(OR(AA66&gt;0,AE66&lt;&gt;"",AF66&gt;0,AG66&lt;&gt;"",AH66&lt;&gt;"",AI66&gt;0,AJ66&gt;0,AK66&gt;0,AL66&gt;0),"aCataclysmBuff={{"&amp;IF(AA66&gt;0,"nStackNum="&amp;AA66&amp;",","")&amp;IF(AB66&lt;&gt;"","szStackOp="""&amp;AB66&amp;""",","")&amp;IF(AC66&gt;0,"bOnlyMine=true,","")&amp;IF(AD66&gt;0,"bOnlyMe=true,","")&amp;IF(AE66&lt;&gt;"","szReminder="""&amp;AE66&amp;""",","")&amp;IF(AF66&gt;0,"nPriority="&amp;AF66&amp;",","")&amp;IF(AG66&lt;&gt;"","col="""&amp;AG66&amp;""",","")&amp;IF(AH66&lt;&gt;"","colScreenHead="""&amp;AH66&amp;""",","")&amp;IF(AI66&gt;0,"nColAlpha="&amp;AI66&amp;",","")&amp;IF(AJ66&gt;0,"bAttention=true,","")&amp;IF(AK66&gt;0,"bCaution=true,","")&amp;IF(AL66&gt;0,"bScreenHead=true,","")&amp;"},"&amp;AM66&amp;"},","")&amp;IF(AO66&lt;&gt;"","tCountdown={"&amp;_xlfn.TEXTJOIN("",TRUE,AO66:ZZ66)&amp;"},","")&amp;"},",IF(C65&gt;0,"},","")&amp;IF(AND(B66="",C66="",OR(B65&lt;&gt;"",C65&lt;&gt;"")),"},}","")))</f>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s="36" t="s">
        <v>2082</v>
      </c>
    </row>
    <row r="67" spans="1:44" s="36" customFormat="1" x14ac:dyDescent="0.15">
      <c r="C67" s="40">
        <v>7913</v>
      </c>
      <c r="D67" s="36">
        <v>1</v>
      </c>
      <c r="I67" s="36">
        <v>2</v>
      </c>
      <c r="K67" s="36" t="s">
        <v>1833</v>
      </c>
      <c r="L67" s="36" t="s">
        <v>1830</v>
      </c>
      <c r="T67" s="36">
        <v>1</v>
      </c>
      <c r="AE67" s="36" t="s">
        <v>2374</v>
      </c>
      <c r="AF67" s="36">
        <v>5</v>
      </c>
      <c r="AG67" s="36" t="s">
        <v>1832</v>
      </c>
      <c r="AH67" s="36" t="s">
        <v>1831</v>
      </c>
      <c r="AI67" s="36">
        <v>255</v>
      </c>
      <c r="AJ67" s="36">
        <v>1</v>
      </c>
      <c r="AL67" s="36">
        <v>1</v>
      </c>
      <c r="AN67" s="36" t="str">
        <f t="shared" si="1"/>
        <v>{dwID=7913,nLevel=1,nScrutinyType=2,szNote="意涌系统通用抗百分比回血",col={255,204,0,},[1]={bBuffList=true,},[2]={},aCataclysmBuff={{szReminder="涌",nPriority=5,col="#FFCC00FF",colScreenHead="#FFCC00",nColAlpha=255,bAttention=true,bScreenHead=true,},},},</v>
      </c>
    </row>
    <row r="68" spans="1:44" s="36" customFormat="1" x14ac:dyDescent="0.15">
      <c r="C68" s="40">
        <v>7911</v>
      </c>
      <c r="D68" s="36">
        <v>1</v>
      </c>
      <c r="I68" s="36">
        <v>2</v>
      </c>
      <c r="K68" s="36" t="s">
        <v>1947</v>
      </c>
      <c r="L68" s="36" t="s">
        <v>1964</v>
      </c>
      <c r="R68" s="36">
        <v>1</v>
      </c>
      <c r="T68" s="36">
        <v>1</v>
      </c>
      <c r="AE68" s="36" t="s">
        <v>1974</v>
      </c>
      <c r="AF68" s="36">
        <v>4</v>
      </c>
      <c r="AG68" s="36" t="s">
        <v>1955</v>
      </c>
      <c r="AH68" s="36" t="s">
        <v>1956</v>
      </c>
      <c r="AI68" s="36">
        <v>255</v>
      </c>
      <c r="AJ68" s="36">
        <v>1</v>
      </c>
      <c r="AL68" s="36">
        <v>1</v>
      </c>
      <c r="AN68" s="36" t="str">
        <f t="shared" si="1"/>
        <v>{dwID=7911,nLevel=1,nScrutinyType=2,szNote="繁忙",col={255,50,255,},[1]={bScreenHead=true,bBuffList=true,},[2]={},aCataclysmBuff={{szReminder="忙",nPriority=4,col="#FF32FFFF",colScreenHead="#FF32FF",nColAlpha=255,bAttention=true,bScreenHead=true,},},},</v>
      </c>
    </row>
    <row r="69" spans="1:44" s="36" customFormat="1" x14ac:dyDescent="0.15">
      <c r="C69" s="40">
        <v>7756</v>
      </c>
      <c r="D69" s="36">
        <v>1</v>
      </c>
      <c r="I69" s="36">
        <v>1</v>
      </c>
      <c r="K69" s="36" t="s">
        <v>2038</v>
      </c>
      <c r="L69" s="36" t="s">
        <v>1781</v>
      </c>
      <c r="T69" s="36">
        <v>1</v>
      </c>
      <c r="AE69" s="36" t="s">
        <v>2039</v>
      </c>
      <c r="AF69" s="36">
        <v>3</v>
      </c>
      <c r="AG69" s="36" t="s">
        <v>2635</v>
      </c>
      <c r="AI69" s="36">
        <v>0</v>
      </c>
      <c r="AN69" s="36" t="str">
        <f t="shared" si="1"/>
        <v>{dwID=7756,nLevel=1,nScrutinyType=1,szNote="燃火20s",col={255,255,0,},[1]={bBuffList=true,},[2]={},aCataclysmBuff={{szReminder="火",nPriority=3,col="#00FFFF00",},},tCountdown={{nClass=1,nIcon=5399,nFrame=0,szName="增益·燃火·持续剩余",nTime=20,key="燃火",},{nClass=2,nIcon=13,szName="燃火",nTime=-1,key="燃火",},},},</v>
      </c>
      <c r="AO69" s="36" t="s">
        <v>2079</v>
      </c>
      <c r="AP69" s="36" t="s">
        <v>2080</v>
      </c>
    </row>
    <row r="70" spans="1:44" s="36" customFormat="1" x14ac:dyDescent="0.15">
      <c r="C70" s="40">
        <v>7497</v>
      </c>
      <c r="D70" s="36">
        <v>1</v>
      </c>
      <c r="G70" s="36" t="s">
        <v>2041</v>
      </c>
      <c r="I70" s="36">
        <v>2</v>
      </c>
      <c r="K70" s="36" t="s">
        <v>2040</v>
      </c>
      <c r="L70" s="36" t="s">
        <v>1781</v>
      </c>
      <c r="R70" s="36">
        <v>1</v>
      </c>
      <c r="T70" s="36">
        <v>1</v>
      </c>
      <c r="AE70" s="36" t="s">
        <v>2042</v>
      </c>
      <c r="AF70" s="36">
        <v>13</v>
      </c>
      <c r="AG70" s="36" t="s">
        <v>2043</v>
      </c>
      <c r="AH70" s="36" t="s">
        <v>2044</v>
      </c>
      <c r="AI70" s="36">
        <v>255</v>
      </c>
      <c r="AL70" s="36">
        <v>1</v>
      </c>
      <c r="AN70" s="36" t="str">
        <f t="shared" si="1"/>
        <v>{dwID=7497,nLevel=1,szName="眩晕·抛掷",nScrutinyType=2,szNote="御城·抛掷",col={255,255,0,},[1]={bScreenHead=true,bBuffList=true,},[2]={},aCataclysmBuff={{szReminder="晕",nPriority=13,col="#FFFF00FF",colScreenHead="#FFFF00",nColAlpha=255,bScreenHead=true,},},},</v>
      </c>
    </row>
    <row r="71" spans="1:44" s="36" customFormat="1" x14ac:dyDescent="0.15">
      <c r="C71" s="40">
        <v>7504</v>
      </c>
      <c r="D71" s="36">
        <v>1</v>
      </c>
      <c r="G71" s="36" t="s">
        <v>2167</v>
      </c>
      <c r="I71" s="36">
        <v>2</v>
      </c>
      <c r="K71" s="36" t="s">
        <v>2166</v>
      </c>
      <c r="L71" s="36" t="s">
        <v>1781</v>
      </c>
      <c r="R71" s="36">
        <v>1</v>
      </c>
      <c r="T71" s="36">
        <v>1</v>
      </c>
      <c r="AE71" s="36" t="s">
        <v>2042</v>
      </c>
      <c r="AF71" s="36">
        <v>13</v>
      </c>
      <c r="AG71" s="36" t="s">
        <v>2043</v>
      </c>
      <c r="AH71" s="36" t="s">
        <v>2044</v>
      </c>
      <c r="AI71" s="36">
        <v>255</v>
      </c>
      <c r="AL71" s="36">
        <v>1</v>
      </c>
      <c r="AN71" s="36" t="str">
        <f t="shared" si="1"/>
        <v>{dwID=7504,nLevel=1,szName="眩晕·御城",nScrutinyType=2,szNote="御城·精准",col={255,255,0,},[1]={bScreenHead=true,bBuffList=true,},[2]={},aCataclysmBuff={{szReminder="晕",nPriority=13,col="#FFFF00FF",colScreenHead="#FFFF00",nColAlpha=255,bScreenHead=true,},},},</v>
      </c>
    </row>
    <row r="72" spans="1:44" s="36" customFormat="1" x14ac:dyDescent="0.15">
      <c r="C72" s="40">
        <v>7503</v>
      </c>
      <c r="D72" s="36">
        <v>1</v>
      </c>
      <c r="G72" s="36" t="s">
        <v>2507</v>
      </c>
      <c r="I72" s="36">
        <v>1</v>
      </c>
      <c r="K72" s="36" t="s">
        <v>2508</v>
      </c>
      <c r="L72" s="36" t="s">
        <v>2361</v>
      </c>
      <c r="T72" s="36">
        <v>1</v>
      </c>
      <c r="V72" s="36">
        <v>1</v>
      </c>
      <c r="AF72" s="36">
        <v>37</v>
      </c>
      <c r="AG72" s="36" t="s">
        <v>2509</v>
      </c>
      <c r="AH72" s="36" t="s">
        <v>2364</v>
      </c>
      <c r="AI72" s="36">
        <v>170</v>
      </c>
      <c r="AN72" s="36" t="str">
        <f t="shared" si="1"/>
        <v>{dwID=7503,nLevel=1,szName="减速·御城",nScrutinyType=1,szNote="御城·断股",col={31,63,255,},[1]={bBuffList=true,bTeamPanel=true,},[2]={},aCataclysmBuff={{nPriority=37,col="#1F3FFFAA",colScreenHead="#1F3FFF",nColAlpha=170,},},},</v>
      </c>
    </row>
    <row r="73" spans="1:44" s="36" customFormat="1" x14ac:dyDescent="0.15">
      <c r="C73" s="40">
        <v>4038</v>
      </c>
      <c r="D73" s="36">
        <v>1</v>
      </c>
      <c r="I73" s="36">
        <v>1</v>
      </c>
      <c r="K73" s="36" t="s">
        <v>2365</v>
      </c>
      <c r="L73" s="36" t="s">
        <v>2361</v>
      </c>
      <c r="R73" s="36">
        <v>1</v>
      </c>
      <c r="T73" s="36">
        <v>1</v>
      </c>
      <c r="AE73" s="36" t="s">
        <v>2362</v>
      </c>
      <c r="AF73" s="36">
        <v>15</v>
      </c>
      <c r="AG73" s="36" t="s">
        <v>2363</v>
      </c>
      <c r="AH73" s="36" t="s">
        <v>2364</v>
      </c>
      <c r="AI73" s="36">
        <v>255</v>
      </c>
      <c r="AL73" s="36">
        <v>1</v>
      </c>
      <c r="AN73" s="36" t="str">
        <f t="shared" si="1"/>
        <v>{dwID=4038,nLevel=1,nScrutinyType=1,szNote="锁足·首领",col={31,63,255,},[1]={bScreenHead=true,bBuffList=true,},[2]={},aCataclysmBuff={{szReminder="锁",nPriority=15,col="#1F3FFFFF",colScreenHead="#1F3FFF",nColAlpha=255,bScreenHead=true,},},},</v>
      </c>
    </row>
    <row r="74" spans="1:44" s="36" customFormat="1" x14ac:dyDescent="0.15">
      <c r="C74" s="40">
        <v>29007</v>
      </c>
      <c r="D74" s="36">
        <v>1</v>
      </c>
      <c r="I74" s="36">
        <v>1</v>
      </c>
      <c r="K74" s="36" t="s">
        <v>2160</v>
      </c>
      <c r="L74" s="36" t="s">
        <v>2386</v>
      </c>
      <c r="AN74"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40" t="s">
        <v>2407</v>
      </c>
      <c r="AP74" s="40" t="s">
        <v>2406</v>
      </c>
      <c r="AQ74" s="38" t="s">
        <v>2573</v>
      </c>
      <c r="AR74" s="38" t="s">
        <v>2574</v>
      </c>
    </row>
    <row r="75" spans="1:44" s="36" customFormat="1" x14ac:dyDescent="0.15">
      <c r="C75" s="40">
        <v>11561</v>
      </c>
      <c r="D75" s="36">
        <v>1</v>
      </c>
      <c r="G75" s="36" t="s">
        <v>2584</v>
      </c>
      <c r="I75" s="36">
        <v>1</v>
      </c>
      <c r="K75" s="36" t="s">
        <v>2586</v>
      </c>
      <c r="L75" s="36" t="s">
        <v>2585</v>
      </c>
      <c r="AN75" s="36" t="str">
        <f t="shared" si="1"/>
        <v>{dwID=11561,nLevel=1,szName="据点内",nScrutinyType=1,szNote="判断是否在大旗附近",col={80,231,236,},[1]={},[2]={},tCountdown={{nClass=1,nIcon=1272,nFrame=2,szName="据点大旗·旗手提示",nTime=-1,key="据点大旗·旗手提示",},},},</v>
      </c>
      <c r="AO75" s="36" t="s">
        <v>2724</v>
      </c>
      <c r="AP75" s="39"/>
      <c r="AQ75" s="39"/>
      <c r="AR75" s="39"/>
    </row>
    <row r="76" spans="1:44" s="36" customFormat="1" x14ac:dyDescent="0.15">
      <c r="C76" s="40">
        <v>7723</v>
      </c>
      <c r="D76" s="36">
        <v>1</v>
      </c>
      <c r="I76" s="36">
        <v>2</v>
      </c>
      <c r="K76" s="36" t="s">
        <v>1797</v>
      </c>
      <c r="L76" s="36" t="s">
        <v>1667</v>
      </c>
      <c r="T76" s="36">
        <v>1</v>
      </c>
      <c r="V76" s="36">
        <v>1</v>
      </c>
      <c r="AF76" s="36">
        <v>1</v>
      </c>
      <c r="AG76" s="36" t="s">
        <v>2489</v>
      </c>
      <c r="AI76" s="36">
        <v>170</v>
      </c>
      <c r="AN76" s="36" t="str">
        <f t="shared" si="1"/>
        <v>{dwID=7723,nLevel=1,nScrutinyType=2,szNote="神机雷",col={255,255,255,},[1]={bBuffList=true,bTeamPanel=true,},[2]={},aCataclysmBuff={{nPriority=1,col="#FFFFFFAA",nColAlpha=170,},},},</v>
      </c>
    </row>
    <row r="77" spans="1:44" s="36" customFormat="1" x14ac:dyDescent="0.15">
      <c r="A77" s="36" t="s">
        <v>613</v>
      </c>
      <c r="B77" s="36">
        <v>656</v>
      </c>
      <c r="AN77" s="36" t="str">
        <f t="shared" si="1"/>
        <v>},[656]={</v>
      </c>
    </row>
    <row r="78" spans="1:44" s="36" customFormat="1" x14ac:dyDescent="0.15">
      <c r="C78" s="40">
        <v>11567</v>
      </c>
      <c r="D78" s="36">
        <v>1</v>
      </c>
      <c r="F78" s="36">
        <v>1245</v>
      </c>
      <c r="G78" s="36" t="s">
        <v>2091</v>
      </c>
      <c r="I78" s="36">
        <v>1</v>
      </c>
      <c r="K78" s="36" t="s">
        <v>1953</v>
      </c>
      <c r="L78" s="36" t="s">
        <v>1781</v>
      </c>
      <c r="AN78" s="36" t="str">
        <f t="shared" si="1"/>
        <v>{dwID=11567,nLevel=1,nIcon=1245,szName="答对",nScrutinyType=1,szNote="回答奖励",col={255,255,0,},[1]={},[2]={},tCountdown={{nClass=1,nIcon=13,nFrame=1,szName="答题验证·回答正确",nTime=5,key="挂机检测",},},},</v>
      </c>
      <c r="AO78" s="36" t="s">
        <v>2083</v>
      </c>
    </row>
    <row r="79" spans="1:44" s="36" customFormat="1" x14ac:dyDescent="0.15">
      <c r="C79" s="40">
        <v>11559</v>
      </c>
      <c r="D79" s="36">
        <v>1</v>
      </c>
      <c r="F79" s="36">
        <v>1244</v>
      </c>
      <c r="G79" s="36" t="s">
        <v>1957</v>
      </c>
      <c r="I79" s="36">
        <v>1</v>
      </c>
      <c r="K79" s="36" t="s">
        <v>1954</v>
      </c>
      <c r="L79" s="36" t="s">
        <v>1964</v>
      </c>
      <c r="N79" s="36" t="s">
        <v>1787</v>
      </c>
      <c r="O79" s="36">
        <v>1</v>
      </c>
      <c r="P79" s="36">
        <v>1</v>
      </c>
      <c r="Q79" s="36">
        <v>1</v>
      </c>
      <c r="R79" s="36">
        <v>1</v>
      </c>
      <c r="T79" s="36">
        <v>1</v>
      </c>
      <c r="U79" s="36">
        <v>1</v>
      </c>
      <c r="V79" s="36">
        <v>1</v>
      </c>
      <c r="AE79" s="36" t="s">
        <v>1973</v>
      </c>
      <c r="AF79" s="36">
        <v>3</v>
      </c>
      <c r="AG79" s="36" t="s">
        <v>1955</v>
      </c>
      <c r="AH79" s="36" t="s">
        <v>1956</v>
      </c>
      <c r="AI79" s="36">
        <v>255</v>
      </c>
      <c r="AJ79" s="36">
        <v>1</v>
      </c>
      <c r="AK79" s="36">
        <v>1</v>
      </c>
      <c r="AL79" s="36">
        <v>1</v>
      </c>
      <c r="AN79"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9" s="36" t="s">
        <v>2084</v>
      </c>
    </row>
    <row r="80" spans="1:44" s="36" customFormat="1" x14ac:dyDescent="0.15">
      <c r="C80" s="40">
        <v>11565</v>
      </c>
      <c r="D80" s="36">
        <v>1</v>
      </c>
      <c r="F80" s="36">
        <v>592</v>
      </c>
      <c r="G80" s="36" t="s">
        <v>2387</v>
      </c>
      <c r="K80" s="36" t="s">
        <v>2388</v>
      </c>
      <c r="L80" s="36" t="s">
        <v>2115</v>
      </c>
      <c r="R80" s="36">
        <v>1</v>
      </c>
      <c r="AN80" s="36" t="str">
        <f t="shared" si="1"/>
        <v>{dwID=11565,nLevel=1,nIcon=592,szName="大旗手",szNote="大旗手检测",col={0,255,255,},[1]={bScreenHead=true,},[2]={},},</v>
      </c>
    </row>
    <row r="81" spans="3:44" s="36" customFormat="1" x14ac:dyDescent="0.15">
      <c r="C81" s="40">
        <v>32813</v>
      </c>
      <c r="D81" s="36">
        <v>1</v>
      </c>
      <c r="F81" s="36">
        <v>16834</v>
      </c>
      <c r="G81" s="36" t="s">
        <v>2701</v>
      </c>
      <c r="K81" s="36" t="s">
        <v>2696</v>
      </c>
      <c r="L81" s="36" t="s">
        <v>2698</v>
      </c>
      <c r="T81" s="36">
        <v>1</v>
      </c>
      <c r="V81" s="36">
        <v>1</v>
      </c>
      <c r="AE81" s="36" t="s">
        <v>2697</v>
      </c>
      <c r="AF81" s="36">
        <v>37</v>
      </c>
      <c r="AG81" s="36" t="s">
        <v>2699</v>
      </c>
      <c r="AH81" s="36" t="s">
        <v>2700</v>
      </c>
      <c r="AI81" s="36">
        <v>255</v>
      </c>
      <c r="AN81"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1" s="36" t="s">
        <v>2707</v>
      </c>
    </row>
    <row r="82" spans="3:44" s="36" customFormat="1" x14ac:dyDescent="0.15">
      <c r="C82" s="40">
        <v>32812</v>
      </c>
      <c r="D82" s="36">
        <v>1</v>
      </c>
      <c r="F82" s="36">
        <v>3451</v>
      </c>
      <c r="G82" s="36" t="s">
        <v>2702</v>
      </c>
      <c r="K82" s="36" t="s">
        <v>2703</v>
      </c>
      <c r="L82" s="36" t="s">
        <v>2704</v>
      </c>
      <c r="T82" s="36">
        <v>1</v>
      </c>
      <c r="AN82" s="36" t="str">
        <f t="shared" si="1"/>
        <v>{dwID=32812,nLevel=1,nIcon=3451,szName="损CD",szNote="据点大旗赛点CD",col={255,50,50,},[1]={bBuffList=true,},[2]={},tCountdown={{nClass=1,nIcon=16834,nFrame=1,szName="大旗赛点·CD",nTime="60,大旗赛点·触发冷却;62,大旗赛点·解除冷却",nRefresh=1,key="大旗赛点·CD",},},},</v>
      </c>
      <c r="AO82" s="36" t="s">
        <v>2705</v>
      </c>
    </row>
    <row r="83" spans="3:44" s="36" customFormat="1" x14ac:dyDescent="0.15">
      <c r="C83" s="40">
        <v>31381</v>
      </c>
      <c r="D83" s="36">
        <v>1</v>
      </c>
      <c r="G83" s="36" t="s">
        <v>2561</v>
      </c>
      <c r="K83" s="36" t="s">
        <v>2385</v>
      </c>
      <c r="L83" s="36" t="s">
        <v>1964</v>
      </c>
      <c r="R83" s="36">
        <v>1</v>
      </c>
      <c r="T83" s="36">
        <v>1</v>
      </c>
      <c r="AE83" s="36" t="s">
        <v>2577</v>
      </c>
      <c r="AF83" s="36">
        <v>11</v>
      </c>
      <c r="AG83" s="36" t="s">
        <v>1955</v>
      </c>
      <c r="AH83" s="36" t="s">
        <v>1956</v>
      </c>
      <c r="AI83" s="36">
        <v>255</v>
      </c>
      <c r="AL83" s="36">
        <v>1</v>
      </c>
      <c r="AN83" s="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83" s="36" t="s">
        <v>2721</v>
      </c>
      <c r="AP83" s="36" t="s">
        <v>2391</v>
      </c>
    </row>
    <row r="84" spans="3:44" s="36" customFormat="1" x14ac:dyDescent="0.15">
      <c r="C84" s="40">
        <v>8807</v>
      </c>
      <c r="D84" s="36">
        <v>1</v>
      </c>
      <c r="G84" s="36" t="s">
        <v>1966</v>
      </c>
      <c r="I84" s="36">
        <v>1</v>
      </c>
      <c r="K84" s="36" t="s">
        <v>1967</v>
      </c>
      <c r="L84" s="36" t="s">
        <v>1964</v>
      </c>
      <c r="N84" s="36" t="s">
        <v>1787</v>
      </c>
      <c r="O84" s="36">
        <v>1</v>
      </c>
      <c r="P84" s="36">
        <v>1</v>
      </c>
      <c r="Q84" s="36">
        <v>1</v>
      </c>
      <c r="T84" s="36">
        <v>1</v>
      </c>
      <c r="U84" s="36">
        <v>1</v>
      </c>
      <c r="AE84" s="36" t="s">
        <v>1972</v>
      </c>
      <c r="AF84" s="36">
        <v>2</v>
      </c>
      <c r="AG84" s="36" t="s">
        <v>1955</v>
      </c>
      <c r="AI84" s="36">
        <v>255</v>
      </c>
      <c r="AJ84" s="36">
        <v>1</v>
      </c>
      <c r="AN84"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s="36" t="s">
        <v>2082</v>
      </c>
    </row>
    <row r="85" spans="3:44" s="36" customFormat="1" x14ac:dyDescent="0.15">
      <c r="C85" s="40">
        <v>7913</v>
      </c>
      <c r="D85" s="36">
        <v>1</v>
      </c>
      <c r="I85" s="36">
        <v>2</v>
      </c>
      <c r="K85" s="36" t="s">
        <v>1833</v>
      </c>
      <c r="L85" s="36" t="s">
        <v>1830</v>
      </c>
      <c r="T85" s="36">
        <v>1</v>
      </c>
      <c r="AE85" s="36" t="s">
        <v>2374</v>
      </c>
      <c r="AF85" s="36">
        <v>5</v>
      </c>
      <c r="AG85" s="36" t="s">
        <v>1832</v>
      </c>
      <c r="AH85" s="36" t="s">
        <v>1831</v>
      </c>
      <c r="AI85" s="36">
        <v>255</v>
      </c>
      <c r="AJ85" s="36">
        <v>1</v>
      </c>
      <c r="AL85" s="36">
        <v>1</v>
      </c>
      <c r="AN85" s="36" t="str">
        <f t="shared" si="1"/>
        <v>{dwID=7913,nLevel=1,nScrutinyType=2,szNote="意涌系统通用抗百分比回血",col={255,204,0,},[1]={bBuffList=true,},[2]={},aCataclysmBuff={{szReminder="涌",nPriority=5,col="#FFCC00FF",colScreenHead="#FFCC00",nColAlpha=255,bAttention=true,bScreenHead=true,},},},</v>
      </c>
    </row>
    <row r="86" spans="3:44" s="36" customFormat="1" x14ac:dyDescent="0.15">
      <c r="C86" s="40">
        <v>7911</v>
      </c>
      <c r="D86" s="36">
        <v>1</v>
      </c>
      <c r="I86" s="36">
        <v>2</v>
      </c>
      <c r="K86" s="36" t="s">
        <v>1947</v>
      </c>
      <c r="L86" s="36" t="s">
        <v>1964</v>
      </c>
      <c r="R86" s="36">
        <v>1</v>
      </c>
      <c r="T86" s="36">
        <v>1</v>
      </c>
      <c r="AE86" s="36" t="s">
        <v>1974</v>
      </c>
      <c r="AF86" s="36">
        <v>4</v>
      </c>
      <c r="AG86" s="36" t="s">
        <v>1955</v>
      </c>
      <c r="AH86" s="36" t="s">
        <v>1956</v>
      </c>
      <c r="AI86" s="36">
        <v>255</v>
      </c>
      <c r="AJ86" s="36">
        <v>1</v>
      </c>
      <c r="AL86" s="36">
        <v>1</v>
      </c>
      <c r="AN86" s="36" t="str">
        <f t="shared" si="1"/>
        <v>{dwID=7911,nLevel=1,nScrutinyType=2,szNote="繁忙",col={255,50,255,},[1]={bScreenHead=true,bBuffList=true,},[2]={},aCataclysmBuff={{szReminder="忙",nPriority=4,col="#FF32FFFF",colScreenHead="#FF32FF",nColAlpha=255,bAttention=true,bScreenHead=true,},},},</v>
      </c>
    </row>
    <row r="87" spans="3:44" s="36" customFormat="1" x14ac:dyDescent="0.15">
      <c r="C87" s="40">
        <v>7756</v>
      </c>
      <c r="D87" s="36">
        <v>1</v>
      </c>
      <c r="I87" s="36">
        <v>1</v>
      </c>
      <c r="K87" s="36" t="s">
        <v>2038</v>
      </c>
      <c r="L87" s="36" t="s">
        <v>1781</v>
      </c>
      <c r="T87" s="36">
        <v>1</v>
      </c>
      <c r="AE87" s="36" t="s">
        <v>2039</v>
      </c>
      <c r="AF87" s="36">
        <v>3</v>
      </c>
      <c r="AG87" s="36" t="s">
        <v>2635</v>
      </c>
      <c r="AI87" s="36">
        <v>0</v>
      </c>
      <c r="AN87" s="36" t="str">
        <f t="shared" si="1"/>
        <v>{dwID=7756,nLevel=1,nScrutinyType=1,szNote="燃火20s",col={255,255,0,},[1]={bBuffList=true,},[2]={},aCataclysmBuff={{szReminder="火",nPriority=3,col="#00FFFF00",},},tCountdown={{nClass=1,nIcon=5399,nFrame=0,szName="增益·燃火·持续剩余",nTime=20,key="燃火",},{nClass=2,nIcon=13,szName="燃火",nTime=-1,key="燃火",},},},</v>
      </c>
      <c r="AO87" s="36" t="s">
        <v>2079</v>
      </c>
      <c r="AP87" s="36" t="s">
        <v>2080</v>
      </c>
    </row>
    <row r="88" spans="3:44" s="36" customFormat="1" x14ac:dyDescent="0.15">
      <c r="C88" s="40">
        <v>7497</v>
      </c>
      <c r="D88" s="36">
        <v>1</v>
      </c>
      <c r="G88" s="36" t="s">
        <v>2041</v>
      </c>
      <c r="I88" s="36">
        <v>2</v>
      </c>
      <c r="K88" s="36" t="s">
        <v>2040</v>
      </c>
      <c r="L88" s="36" t="s">
        <v>1781</v>
      </c>
      <c r="R88" s="36">
        <v>1</v>
      </c>
      <c r="T88" s="36">
        <v>1</v>
      </c>
      <c r="AE88" s="36" t="s">
        <v>2042</v>
      </c>
      <c r="AF88" s="36">
        <v>13</v>
      </c>
      <c r="AG88" s="36" t="s">
        <v>2043</v>
      </c>
      <c r="AH88" s="36" t="s">
        <v>2044</v>
      </c>
      <c r="AI88" s="36">
        <v>255</v>
      </c>
      <c r="AL88" s="36">
        <v>1</v>
      </c>
      <c r="AN88" s="36" t="str">
        <f t="shared" si="1"/>
        <v>{dwID=7497,nLevel=1,szName="眩晕·抛掷",nScrutinyType=2,szNote="御城·抛掷",col={255,255,0,},[1]={bScreenHead=true,bBuffList=true,},[2]={},aCataclysmBuff={{szReminder="晕",nPriority=13,col="#FFFF00FF",colScreenHead="#FFFF00",nColAlpha=255,bScreenHead=true,},},},</v>
      </c>
    </row>
    <row r="89" spans="3:44" s="36" customFormat="1" x14ac:dyDescent="0.15">
      <c r="C89" s="40">
        <v>7504</v>
      </c>
      <c r="D89" s="36">
        <v>1</v>
      </c>
      <c r="G89" s="36" t="s">
        <v>2167</v>
      </c>
      <c r="I89" s="36">
        <v>2</v>
      </c>
      <c r="K89" s="36" t="s">
        <v>2166</v>
      </c>
      <c r="L89" s="36" t="s">
        <v>1781</v>
      </c>
      <c r="R89" s="36">
        <v>1</v>
      </c>
      <c r="T89" s="36">
        <v>1</v>
      </c>
      <c r="AE89" s="36" t="s">
        <v>2042</v>
      </c>
      <c r="AF89" s="36">
        <v>13</v>
      </c>
      <c r="AG89" s="36" t="s">
        <v>2043</v>
      </c>
      <c r="AH89" s="36" t="s">
        <v>2044</v>
      </c>
      <c r="AI89" s="36">
        <v>255</v>
      </c>
      <c r="AL89" s="36">
        <v>1</v>
      </c>
      <c r="AN89" s="36" t="str">
        <f t="shared" si="1"/>
        <v>{dwID=7504,nLevel=1,szName="眩晕·御城",nScrutinyType=2,szNote="御城·精准",col={255,255,0,},[1]={bScreenHead=true,bBuffList=true,},[2]={},aCataclysmBuff={{szReminder="晕",nPriority=13,col="#FFFF00FF",colScreenHead="#FFFF00",nColAlpha=255,bScreenHead=true,},},},</v>
      </c>
    </row>
    <row r="90" spans="3:44" s="36" customFormat="1" x14ac:dyDescent="0.15">
      <c r="C90" s="40">
        <v>7503</v>
      </c>
      <c r="D90" s="36">
        <v>1</v>
      </c>
      <c r="G90" s="36" t="s">
        <v>2507</v>
      </c>
      <c r="I90" s="36">
        <v>1</v>
      </c>
      <c r="K90" s="36" t="s">
        <v>2508</v>
      </c>
      <c r="L90" s="36" t="s">
        <v>2361</v>
      </c>
      <c r="T90" s="36">
        <v>1</v>
      </c>
      <c r="V90" s="36">
        <v>1</v>
      </c>
      <c r="AF90" s="36">
        <v>37</v>
      </c>
      <c r="AG90" s="36" t="s">
        <v>2509</v>
      </c>
      <c r="AH90" s="36" t="s">
        <v>2364</v>
      </c>
      <c r="AI90" s="36">
        <v>170</v>
      </c>
      <c r="AN90" s="36" t="str">
        <f t="shared" si="1"/>
        <v>{dwID=7503,nLevel=1,szName="减速·御城",nScrutinyType=1,szNote="御城·断股",col={31,63,255,},[1]={bBuffList=true,bTeamPanel=true,},[2]={},aCataclysmBuff={{nPriority=37,col="#1F3FFFAA",colScreenHead="#1F3FFF",nColAlpha=170,},},},</v>
      </c>
    </row>
    <row r="91" spans="3:44" s="36" customFormat="1" x14ac:dyDescent="0.15">
      <c r="C91" s="40">
        <v>4038</v>
      </c>
      <c r="D91" s="36">
        <v>1</v>
      </c>
      <c r="I91" s="36">
        <v>1</v>
      </c>
      <c r="K91" s="36" t="s">
        <v>2365</v>
      </c>
      <c r="L91" s="36" t="s">
        <v>2361</v>
      </c>
      <c r="R91" s="36">
        <v>1</v>
      </c>
      <c r="T91" s="36">
        <v>1</v>
      </c>
      <c r="AE91" s="36" t="s">
        <v>2362</v>
      </c>
      <c r="AF91" s="36">
        <v>15</v>
      </c>
      <c r="AG91" s="36" t="s">
        <v>2363</v>
      </c>
      <c r="AH91" s="36" t="s">
        <v>2364</v>
      </c>
      <c r="AI91" s="36">
        <v>255</v>
      </c>
      <c r="AL91" s="36">
        <v>1</v>
      </c>
      <c r="AN91" s="36" t="str">
        <f t="shared" si="1"/>
        <v>{dwID=4038,nLevel=1,nScrutinyType=1,szNote="锁足·首领",col={31,63,255,},[1]={bScreenHead=true,bBuffList=true,},[2]={},aCataclysmBuff={{szReminder="锁",nPriority=15,col="#1F3FFFFF",colScreenHead="#1F3FFF",nColAlpha=255,bScreenHead=true,},},},</v>
      </c>
    </row>
    <row r="92" spans="3:44" s="36" customFormat="1" x14ac:dyDescent="0.15">
      <c r="C92" s="40">
        <v>29007</v>
      </c>
      <c r="D92" s="36">
        <v>1</v>
      </c>
      <c r="I92" s="36">
        <v>1</v>
      </c>
      <c r="K92" s="36" t="s">
        <v>2160</v>
      </c>
      <c r="L92" s="36" t="s">
        <v>2386</v>
      </c>
      <c r="AN92"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40" t="s">
        <v>2407</v>
      </c>
      <c r="AP92" s="40" t="s">
        <v>2406</v>
      </c>
      <c r="AQ92" s="38" t="s">
        <v>2573</v>
      </c>
      <c r="AR92" s="38" t="s">
        <v>2574</v>
      </c>
    </row>
    <row r="93" spans="3:44" s="36" customFormat="1" x14ac:dyDescent="0.15">
      <c r="C93" s="40">
        <v>11561</v>
      </c>
      <c r="D93" s="36">
        <v>1</v>
      </c>
      <c r="G93" s="36" t="s">
        <v>2584</v>
      </c>
      <c r="I93" s="36">
        <v>1</v>
      </c>
      <c r="K93" s="36" t="s">
        <v>2586</v>
      </c>
      <c r="L93" s="36" t="s">
        <v>2585</v>
      </c>
      <c r="AN93" s="36" t="str">
        <f t="shared" si="1"/>
        <v>{dwID=11561,nLevel=1,szName="据点内",nScrutinyType=1,szNote="判断是否在大旗附近",col={80,231,236,},[1]={},[2]={},tCountdown={{nClass=1,nIcon=1272,nFrame=2,szName="据点大旗·旗手提示",nTime=-1,key="据点大旗·旗手提示",},},},</v>
      </c>
      <c r="AO93" s="36" t="s">
        <v>2724</v>
      </c>
      <c r="AP93" s="39"/>
      <c r="AQ93" s="39"/>
      <c r="AR93" s="39"/>
    </row>
    <row r="94" spans="3:44" s="36" customFormat="1" x14ac:dyDescent="0.15">
      <c r="C94" s="40">
        <v>7723</v>
      </c>
      <c r="D94" s="36">
        <v>1</v>
      </c>
      <c r="I94" s="36">
        <v>2</v>
      </c>
      <c r="K94" s="36" t="s">
        <v>1797</v>
      </c>
      <c r="L94" s="36" t="s">
        <v>1667</v>
      </c>
      <c r="T94" s="36">
        <v>1</v>
      </c>
      <c r="V94" s="36">
        <v>1</v>
      </c>
      <c r="AF94" s="36">
        <v>1</v>
      </c>
      <c r="AG94" s="36" t="s">
        <v>2489</v>
      </c>
      <c r="AI94" s="36">
        <v>170</v>
      </c>
      <c r="AN94" s="36" t="str">
        <f t="shared" si="1"/>
        <v>{dwID=7723,nLevel=1,nScrutinyType=2,szNote="神机雷",col={255,255,255,},[1]={bBuffList=true,bTeamPanel=true,},[2]={},aCataclysmBuff={{nPriority=1,col="#FFFFFFAA",nColAlpha=170,},},},</v>
      </c>
    </row>
    <row r="95" spans="3:44" x14ac:dyDescent="0.15">
      <c r="AN95" s="36" t="str">
        <f t="shared" si="1"/>
        <v>},},}</v>
      </c>
    </row>
    <row r="96" spans="3:44" x14ac:dyDescent="0.15">
      <c r="AN96" s="36"/>
    </row>
  </sheetData>
  <autoFilter ref="A1:BY95" xr:uid="{ABA792D9-52CC-4EDA-9BC4-CFEC1886BBBF}"/>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abSelected="1" topLeftCell="N1" workbookViewId="0">
      <selection activeCell="X4" sqref="X4"/>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s="36" t="s">
        <v>2730</v>
      </c>
      <c r="Z4" s="36" t="s">
        <v>2731</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topLeftCell="S1" workbookViewId="0">
      <pane ySplit="1" topLeftCell="A126" activePane="bottomLeft" state="frozen"/>
      <selection pane="bottomLeft" activeCell="W137" sqref="W137"/>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2685</v>
      </c>
      <c r="B5">
        <v>-20</v>
      </c>
      <c r="V5" s="36" t="str">
        <f t="shared" si="0"/>
        <v>},[-20]={</v>
      </c>
    </row>
    <row r="6" spans="1:23" x14ac:dyDescent="0.15">
      <c r="C6" s="36">
        <v>30201</v>
      </c>
      <c r="D6">
        <v>52</v>
      </c>
      <c r="I6" t="s">
        <v>2146</v>
      </c>
      <c r="U6" t="s">
        <v>2683</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2682</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2682</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2682</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2682</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2682</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2682</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2682</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2682</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2682</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2682</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2682</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2682</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2682</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2684</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2684</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2684</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2684</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2684</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2684</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2684</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2684</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2684</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2684</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2684</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2684</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2684</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2684</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2684</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2684</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2684</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2641</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2640</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2641</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2640</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2641</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2640</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2688</v>
      </c>
      <c r="P53" s="36">
        <v>1</v>
      </c>
      <c r="U53" s="36" t="s">
        <v>2689</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2499</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2498</v>
      </c>
    </row>
    <row r="56" spans="1:23" s="36" customFormat="1" x14ac:dyDescent="0.15">
      <c r="C56" s="36">
        <v>30597</v>
      </c>
      <c r="D56" s="36">
        <v>47</v>
      </c>
      <c r="I56" s="36" t="s">
        <v>1747</v>
      </c>
      <c r="J56" s="51" t="s">
        <v>2641</v>
      </c>
      <c r="P56" s="36">
        <v>1</v>
      </c>
      <c r="V56" s="36" t="str">
        <f t="shared" si="0"/>
        <v>{dwID=30597,nFrame=47,szNote="恶人谷货郎",col={255,120,31,},[3]={bScreenHead=true,},[4]={},},</v>
      </c>
    </row>
    <row r="57" spans="1:23" s="36" customFormat="1" x14ac:dyDescent="0.15">
      <c r="C57" s="36">
        <v>30596</v>
      </c>
      <c r="D57" s="36">
        <v>47</v>
      </c>
      <c r="I57" s="36" t="s">
        <v>1746</v>
      </c>
      <c r="J57" s="50" t="s">
        <v>2640</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2641</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2640</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2642</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2641</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2640</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2402</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2640</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2640</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2616</v>
      </c>
      <c r="J76" s="36" t="s">
        <v>1667</v>
      </c>
      <c r="K76" s="36"/>
      <c r="P76">
        <v>1</v>
      </c>
      <c r="U76" s="36" t="s">
        <v>2403</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2403</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2403</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2403</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2615</v>
      </c>
      <c r="J80" s="36" t="s">
        <v>1667</v>
      </c>
      <c r="K80" s="36"/>
      <c r="P80">
        <v>1</v>
      </c>
      <c r="U80" s="36" t="s">
        <v>2403</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2403</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2403</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2403</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2403</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2403</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2403</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2403</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2603</v>
      </c>
      <c r="J88" s="36" t="s">
        <v>1667</v>
      </c>
      <c r="K88" s="36"/>
      <c r="P88">
        <v>1</v>
      </c>
      <c r="U88" s="36" t="s">
        <v>2403</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2403</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2403</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2403</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2403</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2403</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2403</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2605</v>
      </c>
      <c r="J95" s="36" t="s">
        <v>1667</v>
      </c>
      <c r="K95" s="36" t="s">
        <v>1985</v>
      </c>
      <c r="P95">
        <v>1</v>
      </c>
      <c r="U95" s="36" t="s">
        <v>2403</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2403</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2403</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2403</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2403</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2403</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2403</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2620</v>
      </c>
      <c r="J102" s="36" t="s">
        <v>1667</v>
      </c>
      <c r="K102" s="36" t="s">
        <v>1985</v>
      </c>
      <c r="P102">
        <v>1</v>
      </c>
      <c r="U102" s="36" t="s">
        <v>2403</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2619</v>
      </c>
      <c r="J103" s="36" t="s">
        <v>1667</v>
      </c>
      <c r="K103" s="36" t="s">
        <v>1985</v>
      </c>
      <c r="P103">
        <v>1</v>
      </c>
      <c r="U103" s="36" t="s">
        <v>2403</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2403</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2403</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2403</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2403</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s="36" t="s">
        <v>2733</v>
      </c>
      <c r="X107" s="36" t="s">
        <v>2732</v>
      </c>
    </row>
    <row r="108" spans="3:24" x14ac:dyDescent="0.15">
      <c r="C108">
        <v>17238</v>
      </c>
      <c r="D108">
        <v>47</v>
      </c>
      <c r="I108" s="36" t="s">
        <v>2005</v>
      </c>
      <c r="J108" s="36" t="s">
        <v>1667</v>
      </c>
      <c r="K108" s="36"/>
      <c r="P108">
        <v>1</v>
      </c>
      <c r="U108" s="36" t="s">
        <v>2403</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s="36" t="s">
        <v>2733</v>
      </c>
      <c r="X108" s="36" t="s">
        <v>2732</v>
      </c>
    </row>
    <row r="109" spans="3:24" x14ac:dyDescent="0.15">
      <c r="C109">
        <v>17240</v>
      </c>
      <c r="D109">
        <v>47</v>
      </c>
      <c r="I109" s="36" t="s">
        <v>2006</v>
      </c>
      <c r="J109" s="36" t="s">
        <v>1667</v>
      </c>
      <c r="K109" s="36"/>
      <c r="P109">
        <v>1</v>
      </c>
      <c r="U109" s="36" t="s">
        <v>2403</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s="36" t="s">
        <v>2733</v>
      </c>
      <c r="X109" s="36" t="s">
        <v>2732</v>
      </c>
    </row>
    <row r="110" spans="3:24" x14ac:dyDescent="0.15">
      <c r="C110">
        <v>17239</v>
      </c>
      <c r="D110">
        <v>47</v>
      </c>
      <c r="I110" s="36" t="s">
        <v>2007</v>
      </c>
      <c r="J110" s="36" t="s">
        <v>1667</v>
      </c>
      <c r="K110" s="36"/>
      <c r="P110">
        <v>1</v>
      </c>
      <c r="U110" s="36" t="s">
        <v>2403</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s="36" t="s">
        <v>2733</v>
      </c>
      <c r="X110" s="36" t="s">
        <v>2732</v>
      </c>
    </row>
    <row r="111" spans="3:24" x14ac:dyDescent="0.15">
      <c r="C111">
        <v>8954</v>
      </c>
      <c r="D111">
        <v>47</v>
      </c>
      <c r="I111" s="36" t="s">
        <v>2011</v>
      </c>
      <c r="J111" s="36" t="s">
        <v>1667</v>
      </c>
      <c r="K111" s="36"/>
      <c r="P111">
        <v>1</v>
      </c>
      <c r="U111" s="36" t="s">
        <v>2403</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s="36" t="s">
        <v>2733</v>
      </c>
      <c r="X111" s="36" t="s">
        <v>2732</v>
      </c>
    </row>
    <row r="112" spans="3:24" x14ac:dyDescent="0.15">
      <c r="C112">
        <v>6230</v>
      </c>
      <c r="D112">
        <v>47</v>
      </c>
      <c r="I112" s="36" t="s">
        <v>2008</v>
      </c>
      <c r="J112" s="36" t="s">
        <v>1667</v>
      </c>
      <c r="K112" s="36"/>
      <c r="P112">
        <v>1</v>
      </c>
      <c r="U112" s="36" t="s">
        <v>2403</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s="36" t="s">
        <v>2733</v>
      </c>
      <c r="X112" s="36" t="s">
        <v>2732</v>
      </c>
    </row>
    <row r="113" spans="1:24" x14ac:dyDescent="0.15">
      <c r="C113">
        <v>8952</v>
      </c>
      <c r="D113">
        <v>47</v>
      </c>
      <c r="I113" s="36" t="s">
        <v>2010</v>
      </c>
      <c r="J113" s="36" t="s">
        <v>1667</v>
      </c>
      <c r="K113" s="36"/>
      <c r="P113">
        <v>1</v>
      </c>
      <c r="U113" s="36" t="s">
        <v>2403</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s="36" t="s">
        <v>2733</v>
      </c>
      <c r="X113" s="36" t="s">
        <v>2732</v>
      </c>
    </row>
    <row r="114" spans="1:24" x14ac:dyDescent="0.15">
      <c r="C114">
        <v>8953</v>
      </c>
      <c r="D114">
        <v>47</v>
      </c>
      <c r="I114" s="36" t="s">
        <v>2009</v>
      </c>
      <c r="J114" s="36" t="s">
        <v>1667</v>
      </c>
      <c r="K114" s="36"/>
      <c r="P114">
        <v>1</v>
      </c>
      <c r="U114" s="36" t="s">
        <v>2403</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s="36" t="s">
        <v>2733</v>
      </c>
      <c r="X114" s="36" t="s">
        <v>2732</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2641</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2641</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2616</v>
      </c>
      <c r="J120" s="36" t="s">
        <v>1667</v>
      </c>
      <c r="K120" s="36"/>
      <c r="P120">
        <v>1</v>
      </c>
      <c r="U120" s="36" t="s">
        <v>2403</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2618</v>
      </c>
      <c r="J121" s="36" t="s">
        <v>1667</v>
      </c>
      <c r="K121" s="36"/>
      <c r="P121">
        <v>1</v>
      </c>
      <c r="U121" s="36" t="s">
        <v>2403</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2403</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2403</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2615</v>
      </c>
      <c r="J124" s="36" t="s">
        <v>1667</v>
      </c>
      <c r="K124" s="36"/>
      <c r="P124">
        <v>1</v>
      </c>
      <c r="U124" s="36" t="s">
        <v>2403</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2403</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2403</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2403</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2403</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2403</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2403</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2403</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2617</v>
      </c>
      <c r="J132" s="36" t="s">
        <v>1667</v>
      </c>
      <c r="K132" s="36"/>
      <c r="P132">
        <v>1</v>
      </c>
      <c r="U132" s="36" t="s">
        <v>2403</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2403</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2403</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2403</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2403</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2403</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2403</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2604</v>
      </c>
      <c r="J139" s="36" t="s">
        <v>1667</v>
      </c>
      <c r="K139" s="36" t="s">
        <v>1985</v>
      </c>
      <c r="P139">
        <v>1</v>
      </c>
      <c r="U139" s="36" t="s">
        <v>2403</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2403</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2403</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2403</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2403</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2403</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2403</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2403</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2403</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2403</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2403</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2403</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2403</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s="36" t="s">
        <v>2733</v>
      </c>
      <c r="X151" s="36" t="s">
        <v>2732</v>
      </c>
    </row>
    <row r="152" spans="1:24" x14ac:dyDescent="0.15">
      <c r="C152">
        <v>8956</v>
      </c>
      <c r="D152">
        <v>47</v>
      </c>
      <c r="I152" t="s">
        <v>2005</v>
      </c>
      <c r="J152" s="36" t="s">
        <v>1667</v>
      </c>
      <c r="K152" s="36"/>
      <c r="P152">
        <v>1</v>
      </c>
      <c r="U152" s="36" t="s">
        <v>2403</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s="36" t="s">
        <v>2733</v>
      </c>
      <c r="X152" s="36" t="s">
        <v>2732</v>
      </c>
    </row>
    <row r="153" spans="1:24" x14ac:dyDescent="0.15">
      <c r="C153">
        <v>8955</v>
      </c>
      <c r="D153">
        <v>47</v>
      </c>
      <c r="I153" t="s">
        <v>2006</v>
      </c>
      <c r="J153" s="36" t="s">
        <v>1667</v>
      </c>
      <c r="K153" s="36"/>
      <c r="P153">
        <v>1</v>
      </c>
      <c r="U153" s="36" t="s">
        <v>2403</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s="36" t="s">
        <v>2733</v>
      </c>
      <c r="X153" s="36" t="s">
        <v>2732</v>
      </c>
    </row>
    <row r="154" spans="1:24" x14ac:dyDescent="0.15">
      <c r="C154">
        <v>8957</v>
      </c>
      <c r="D154">
        <v>47</v>
      </c>
      <c r="I154" t="s">
        <v>2007</v>
      </c>
      <c r="J154" s="36" t="s">
        <v>1667</v>
      </c>
      <c r="K154" s="36"/>
      <c r="P154">
        <v>1</v>
      </c>
      <c r="U154" s="36" t="s">
        <v>2403</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s="36" t="s">
        <v>2733</v>
      </c>
      <c r="X154" s="36" t="s">
        <v>2732</v>
      </c>
    </row>
    <row r="155" spans="1:24" x14ac:dyDescent="0.15">
      <c r="C155">
        <v>17234</v>
      </c>
      <c r="D155">
        <v>47</v>
      </c>
      <c r="I155" t="s">
        <v>2011</v>
      </c>
      <c r="J155" s="36" t="s">
        <v>1667</v>
      </c>
      <c r="K155" s="36"/>
      <c r="P155">
        <v>1</v>
      </c>
      <c r="U155" s="36" t="s">
        <v>2403</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s="36" t="s">
        <v>2733</v>
      </c>
      <c r="X155" s="36" t="s">
        <v>2732</v>
      </c>
    </row>
    <row r="156" spans="1:24" x14ac:dyDescent="0.15">
      <c r="C156">
        <v>17233</v>
      </c>
      <c r="D156">
        <v>47</v>
      </c>
      <c r="I156" t="s">
        <v>2008</v>
      </c>
      <c r="J156" s="36" t="s">
        <v>1667</v>
      </c>
      <c r="K156" s="36"/>
      <c r="P156">
        <v>1</v>
      </c>
      <c r="U156" s="36" t="s">
        <v>2403</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s="36" t="s">
        <v>2733</v>
      </c>
      <c r="X156" s="36" t="s">
        <v>2732</v>
      </c>
    </row>
    <row r="157" spans="1:24" x14ac:dyDescent="0.15">
      <c r="C157">
        <v>17236</v>
      </c>
      <c r="D157">
        <v>47</v>
      </c>
      <c r="I157" t="s">
        <v>2010</v>
      </c>
      <c r="J157" s="36" t="s">
        <v>1667</v>
      </c>
      <c r="K157" s="36"/>
      <c r="P157">
        <v>1</v>
      </c>
      <c r="U157" s="36" t="s">
        <v>2403</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s="36" t="s">
        <v>2733</v>
      </c>
      <c r="X157" s="36" t="s">
        <v>2732</v>
      </c>
    </row>
    <row r="158" spans="1:24" x14ac:dyDescent="0.15">
      <c r="C158">
        <v>17235</v>
      </c>
      <c r="D158">
        <v>47</v>
      </c>
      <c r="I158" t="s">
        <v>2009</v>
      </c>
      <c r="J158" s="36" t="s">
        <v>1667</v>
      </c>
      <c r="K158" s="36"/>
      <c r="P158">
        <v>1</v>
      </c>
      <c r="U158" s="36" t="s">
        <v>2403</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s="36" t="s">
        <v>2733</v>
      </c>
      <c r="X158" s="36" t="s">
        <v>2732</v>
      </c>
    </row>
    <row r="159" spans="1:24" x14ac:dyDescent="0.15">
      <c r="A159" t="s">
        <v>1805</v>
      </c>
      <c r="B159">
        <v>22</v>
      </c>
      <c r="V159" s="36" t="str">
        <f t="shared" si="2"/>
        <v>},[22]={</v>
      </c>
    </row>
    <row r="160" spans="1:24" x14ac:dyDescent="0.15">
      <c r="C160">
        <v>7605</v>
      </c>
      <c r="D160">
        <v>47</v>
      </c>
      <c r="I160" t="s">
        <v>1692</v>
      </c>
      <c r="J160" s="51" t="s">
        <v>2641</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2640</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2640</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2641</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2640</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2641</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2684</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2684</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2684</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2684</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2684</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2684</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2684</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2684</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2684</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2684</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2640</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2641</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2682</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2682</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2682</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2682</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2682</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2682</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2682</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2684</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2684</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2684</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2684</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2684</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2684</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2684</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2684</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2684</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2684</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2684</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2684</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2640</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2684</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2684</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2684</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2684</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2684</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2684</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2641</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2640</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2682</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2682</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2682</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2682</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2684</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2684</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2684</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2684</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2684</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2684</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2684</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2684</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2684</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2684</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2684</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2684</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2684</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2684</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2684</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2641</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2682</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2684</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2641</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2640</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2641</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2640</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2641</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2640</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2499</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2498</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2682</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2682</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2682</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2682</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2682</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2682</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2682</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2682</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2684</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2684</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2684</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2684</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2684</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2684</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2684</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2684</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2684</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2684</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2684</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2684</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2684</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2684</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2684</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2684</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2068</v>
      </c>
      <c r="I369" s="36" t="s">
        <v>2069</v>
      </c>
      <c r="O369" s="36">
        <v>1</v>
      </c>
      <c r="U369" s="36" t="s">
        <v>2116</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2037</v>
      </c>
      <c r="I370" s="36" t="s">
        <v>2090</v>
      </c>
      <c r="O370" s="36">
        <v>1</v>
      </c>
      <c r="P370" s="36">
        <v>1</v>
      </c>
      <c r="U370" s="36" t="s">
        <v>2036</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2026</v>
      </c>
    </row>
    <row r="371" spans="1:23" s="36" customFormat="1" x14ac:dyDescent="0.15">
      <c r="C371" s="40">
        <v>36005</v>
      </c>
      <c r="D371" s="36">
        <v>52</v>
      </c>
      <c r="I371" s="36" t="s">
        <v>2088</v>
      </c>
      <c r="P371" s="36">
        <v>1</v>
      </c>
      <c r="V371" s="36" t="str">
        <f t="shared" si="5"/>
        <v>{dwID=36005,nFrame=52,szNote="神机台·没人状态",[3]={bScreenHead=true,},[4]={},},</v>
      </c>
    </row>
    <row r="372" spans="1:23" s="36" customFormat="1" x14ac:dyDescent="0.15">
      <c r="C372" s="40">
        <v>100133</v>
      </c>
      <c r="D372" s="36">
        <v>57</v>
      </c>
      <c r="I372" s="36" t="s">
        <v>2688</v>
      </c>
      <c r="P372" s="36">
        <v>1</v>
      </c>
      <c r="U372" s="36" t="s">
        <v>2689</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1988</v>
      </c>
      <c r="B374">
        <v>656</v>
      </c>
      <c r="V374" s="36" t="str">
        <f t="shared" si="5"/>
        <v>},[656]={</v>
      </c>
    </row>
    <row r="375" spans="1:23" x14ac:dyDescent="0.15">
      <c r="C375">
        <v>123840</v>
      </c>
      <c r="D375">
        <v>52</v>
      </c>
      <c r="I375" t="s">
        <v>1912</v>
      </c>
      <c r="J375" t="s">
        <v>1527</v>
      </c>
      <c r="O375">
        <v>1</v>
      </c>
      <c r="P375">
        <v>1</v>
      </c>
      <c r="U375" t="s">
        <v>1975</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1913</v>
      </c>
      <c r="J376" t="s">
        <v>1527</v>
      </c>
      <c r="O376">
        <v>1</v>
      </c>
      <c r="P376">
        <v>1</v>
      </c>
      <c r="U376" t="s">
        <v>1976</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2499</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2498</v>
      </c>
    </row>
    <row r="379" spans="1:23" s="36" customFormat="1" x14ac:dyDescent="0.15">
      <c r="C379" s="36">
        <v>124104</v>
      </c>
      <c r="D379" s="36">
        <v>52</v>
      </c>
      <c r="I379" s="36" t="s">
        <v>1989</v>
      </c>
      <c r="U379" s="36" t="s">
        <v>2384</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1992</v>
      </c>
    </row>
    <row r="380" spans="1:23" s="36" customFormat="1" x14ac:dyDescent="0.15">
      <c r="C380" s="36">
        <v>124103</v>
      </c>
      <c r="D380" s="36">
        <v>52</v>
      </c>
      <c r="I380" s="36" t="s">
        <v>1989</v>
      </c>
      <c r="U380" s="36" t="s">
        <v>2384</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1992</v>
      </c>
    </row>
    <row r="381" spans="1:23" s="36" customFormat="1" x14ac:dyDescent="0.15">
      <c r="C381" s="36">
        <v>124102</v>
      </c>
      <c r="D381" s="36">
        <v>52</v>
      </c>
      <c r="I381" s="36" t="s">
        <v>1989</v>
      </c>
      <c r="U381" s="36" t="s">
        <v>2384</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1992</v>
      </c>
    </row>
    <row r="382" spans="1:23" s="36" customFormat="1" x14ac:dyDescent="0.15">
      <c r="C382" s="36">
        <v>124101</v>
      </c>
      <c r="D382" s="36">
        <v>52</v>
      </c>
      <c r="I382" s="36" t="s">
        <v>1989</v>
      </c>
      <c r="U382" s="36" t="s">
        <v>2384</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1992</v>
      </c>
    </row>
    <row r="383" spans="1:23" x14ac:dyDescent="0.15">
      <c r="C383">
        <v>124280</v>
      </c>
      <c r="D383">
        <v>52</v>
      </c>
      <c r="I383" t="s">
        <v>1754</v>
      </c>
      <c r="U383" s="36" t="s">
        <v>2682</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2682</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2682</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2682</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2682</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2682</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2682</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2682</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2684</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2684</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2684</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2684</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2684</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2684</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2684</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2684</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2684</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2684</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2684</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2684</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2684</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2684</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2684</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2684</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1921</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1921</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2068</v>
      </c>
      <c r="I409" s="36" t="s">
        <v>2069</v>
      </c>
      <c r="O409" s="36">
        <v>1</v>
      </c>
      <c r="U409" s="36" t="s">
        <v>2116</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2037</v>
      </c>
      <c r="I410" s="36" t="s">
        <v>2090</v>
      </c>
      <c r="O410" s="36">
        <v>1</v>
      </c>
      <c r="P410" s="36">
        <v>1</v>
      </c>
      <c r="U410" s="36" t="s">
        <v>2036</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2026</v>
      </c>
    </row>
    <row r="411" spans="3:23" s="36" customFormat="1" x14ac:dyDescent="0.15">
      <c r="C411" s="40">
        <v>36005</v>
      </c>
      <c r="D411" s="36">
        <v>52</v>
      </c>
      <c r="I411" s="36" t="s">
        <v>2088</v>
      </c>
      <c r="P411" s="36">
        <v>1</v>
      </c>
      <c r="V411" s="36" t="str">
        <f t="shared" si="6"/>
        <v>{dwID=36005,nFrame=52,szNote="神机台·没人状态",[3]={bScreenHead=true,},[4]={},},</v>
      </c>
    </row>
    <row r="412" spans="3:23" s="36" customFormat="1" x14ac:dyDescent="0.15">
      <c r="C412" s="40">
        <v>100133</v>
      </c>
      <c r="D412" s="36">
        <v>57</v>
      </c>
      <c r="I412" s="36" t="s">
        <v>2688</v>
      </c>
      <c r="P412" s="36">
        <v>1</v>
      </c>
      <c r="U412" s="36" t="s">
        <v>2689</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2651</v>
      </c>
      <c r="K1" s="36" t="s">
        <v>2652</v>
      </c>
      <c r="L1" s="36" t="s">
        <v>2653</v>
      </c>
      <c r="M1" s="36" t="s">
        <v>2654</v>
      </c>
      <c r="N1" s="36" t="s">
        <v>2655</v>
      </c>
      <c r="O1" s="36" t="s">
        <v>2656</v>
      </c>
      <c r="P1" s="36" t="s">
        <v>2657</v>
      </c>
      <c r="Q1" s="36" t="s">
        <v>2658</v>
      </c>
      <c r="R1" s="36" t="s">
        <v>2659</v>
      </c>
      <c r="S1" s="36" t="s">
        <v>2660</v>
      </c>
      <c r="T1" s="36" t="s">
        <v>1526</v>
      </c>
      <c r="U1" s="36" t="s">
        <v>2661</v>
      </c>
      <c r="V1" s="36" t="s">
        <v>1422</v>
      </c>
    </row>
    <row r="2" spans="1:22" x14ac:dyDescent="0.15">
      <c r="A2" s="36" t="s">
        <v>2662</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2663</v>
      </c>
      <c r="N3" s="36">
        <v>1</v>
      </c>
      <c r="T3" s="36" t="s">
        <v>2664</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2663</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2665</v>
      </c>
      <c r="I5" s="36" t="s">
        <v>2663</v>
      </c>
      <c r="M5" s="36">
        <v>1</v>
      </c>
      <c r="N5" s="36">
        <v>1</v>
      </c>
      <c r="T5" s="36" t="s">
        <v>2666</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2667</v>
      </c>
      <c r="I6" s="36" t="s">
        <v>2663</v>
      </c>
      <c r="M6" s="36">
        <v>1</v>
      </c>
      <c r="N6" s="36">
        <v>1</v>
      </c>
      <c r="T6" s="36" t="s">
        <v>2668</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2685</v>
      </c>
      <c r="B7" s="36">
        <v>-20</v>
      </c>
      <c r="U7" s="36" t="str">
        <f t="shared" si="0"/>
        <v>},[-20]={</v>
      </c>
    </row>
    <row r="8" spans="1:22" x14ac:dyDescent="0.15">
      <c r="C8" s="36">
        <v>7011</v>
      </c>
      <c r="H8" s="36" t="s">
        <v>1978</v>
      </c>
      <c r="I8" s="51" t="s">
        <v>2641</v>
      </c>
      <c r="N8" s="36">
        <v>1</v>
      </c>
      <c r="T8" s="36" t="s">
        <v>2669</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2640</v>
      </c>
      <c r="N9" s="36">
        <v>1</v>
      </c>
      <c r="T9" s="36" t="s">
        <v>2669</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2663</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2663</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2663</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2663</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2663</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2663</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2670</v>
      </c>
      <c r="I19" s="51" t="s">
        <v>2641</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2671</v>
      </c>
      <c r="I20" s="50" t="s">
        <v>2640</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2672</v>
      </c>
      <c r="I21" s="36" t="s">
        <v>2663</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2672</v>
      </c>
      <c r="I23" s="36" t="s">
        <v>2663</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2673</v>
      </c>
      <c r="I24" s="36" t="s">
        <v>2663</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2674</v>
      </c>
      <c r="I25" s="36" t="s">
        <v>2663</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2670</v>
      </c>
      <c r="I26" s="51" t="s">
        <v>2641</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2671</v>
      </c>
      <c r="I27" s="50" t="s">
        <v>2640</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2675</v>
      </c>
      <c r="I29" s="51" t="s">
        <v>2641</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2676</v>
      </c>
      <c r="I30" s="50" t="s">
        <v>2640</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2677</v>
      </c>
      <c r="I31" s="36" t="s">
        <v>2663</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2678</v>
      </c>
      <c r="I33" s="36" t="s">
        <v>2663</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2673</v>
      </c>
      <c r="I34" s="36" t="s">
        <v>2663</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2674</v>
      </c>
      <c r="I35" s="36" t="s">
        <v>2663</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2675</v>
      </c>
      <c r="I36" s="51" t="s">
        <v>2641</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2676</v>
      </c>
      <c r="I37" s="50" t="s">
        <v>2640</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5"/>
  <sheetViews>
    <sheetView topLeftCell="O1" zoomScale="80" zoomScaleNormal="80" workbookViewId="0">
      <pane ySplit="1" topLeftCell="A91" activePane="bottomLeft" state="frozen"/>
      <selection activeCell="E1" sqref="E1"/>
      <selection pane="bottomLeft" activeCell="W107" sqref="W107"/>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2709</v>
      </c>
      <c r="E5" s="36" t="s">
        <v>2714</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2710</v>
      </c>
      <c r="X5" s="36" t="s">
        <v>2713</v>
      </c>
      <c r="Y5" s="36" t="s">
        <v>2711</v>
      </c>
      <c r="Z5" s="36" t="s">
        <v>2712</v>
      </c>
      <c r="AA5" s="36" t="s">
        <v>2719</v>
      </c>
      <c r="AB5" s="36" t="s">
        <v>2720</v>
      </c>
    </row>
    <row r="6" spans="1:65" s="36" customFormat="1" x14ac:dyDescent="0.15">
      <c r="C6" s="36" t="s">
        <v>1431</v>
      </c>
      <c r="D6" s="43" t="s">
        <v>2579</v>
      </c>
      <c r="E6" s="36" t="s">
        <v>2580</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2582</v>
      </c>
      <c r="E7" s="36" t="s">
        <v>2583</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2648</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2549</v>
      </c>
      <c r="X9" t="s">
        <v>2550</v>
      </c>
      <c r="Y9" s="36" t="s">
        <v>2551</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2549</v>
      </c>
      <c r="X10" t="s">
        <v>2550</v>
      </c>
      <c r="Y10" s="36" t="s">
        <v>2691</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2552</v>
      </c>
      <c r="X11" t="s">
        <v>2553</v>
      </c>
      <c r="Y11" s="36" t="s">
        <v>2692</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2552</v>
      </c>
      <c r="X12" s="36" t="s">
        <v>2553</v>
      </c>
      <c r="Y12" s="36" t="s">
        <v>2693</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2408</v>
      </c>
      <c r="X13" t="s">
        <v>2409</v>
      </c>
      <c r="Y13" t="s">
        <v>1508</v>
      </c>
      <c r="Z13" t="s">
        <v>2694</v>
      </c>
      <c r="AA13" t="s">
        <v>2695</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2512</v>
      </c>
      <c r="E14" s="36" t="s">
        <v>2513</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2514</v>
      </c>
      <c r="X14" s="36" t="s">
        <v>2515</v>
      </c>
      <c r="Y14" s="36" t="s">
        <v>2626</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2630</v>
      </c>
      <c r="X15" t="s">
        <v>2631</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2606</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2606</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2609</v>
      </c>
      <c r="E31" s="36" t="s">
        <v>2610</v>
      </c>
      <c r="F31" s="36" t="s">
        <v>1444</v>
      </c>
      <c r="G31" s="36" t="s">
        <v>1446</v>
      </c>
      <c r="I31" s="36" t="s">
        <v>1609</v>
      </c>
      <c r="J31" s="36" t="s">
        <v>1506</v>
      </c>
      <c r="K31" s="36" t="s">
        <v>1607</v>
      </c>
      <c r="L31" s="36" t="s">
        <v>2611</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2614</v>
      </c>
      <c r="E33" s="36" t="s">
        <v>2613</v>
      </c>
      <c r="F33" s="36" t="s">
        <v>1444</v>
      </c>
      <c r="G33" s="36" t="s">
        <v>1446</v>
      </c>
      <c r="I33" s="36" t="s">
        <v>1609</v>
      </c>
      <c r="J33" s="36" t="s">
        <v>1505</v>
      </c>
      <c r="K33" s="36" t="s">
        <v>1607</v>
      </c>
      <c r="L33" s="36" t="s">
        <v>2612</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2607</v>
      </c>
      <c r="E35" s="36" t="s">
        <v>2608</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2611</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2612</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2554</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2555</v>
      </c>
    </row>
    <row r="42" spans="3:28" s="36" customFormat="1" x14ac:dyDescent="0.15">
      <c r="C42" s="36" t="s">
        <v>2188</v>
      </c>
      <c r="D42" s="43" t="s">
        <v>2578</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2516</v>
      </c>
      <c r="AB42" s="39"/>
    </row>
    <row r="43" spans="3:28" s="36" customFormat="1" x14ac:dyDescent="0.15">
      <c r="C43" s="36" t="s">
        <v>2188</v>
      </c>
      <c r="D43" s="43" t="s">
        <v>2581</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2516</v>
      </c>
      <c r="AB43" s="39"/>
    </row>
    <row r="44" spans="3:28" s="36" customFormat="1" x14ac:dyDescent="0.15">
      <c r="C44" s="36" t="s">
        <v>2188</v>
      </c>
      <c r="D44" s="43" t="s">
        <v>2529</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2531</v>
      </c>
      <c r="AB44" s="39"/>
    </row>
    <row r="45" spans="3:28" s="36" customFormat="1" x14ac:dyDescent="0.15">
      <c r="C45" s="36" t="s">
        <v>2188</v>
      </c>
      <c r="D45" s="43" t="s">
        <v>2530</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2532</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2644</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2521</v>
      </c>
      <c r="E68" s="36" t="s">
        <v>2522</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2523</v>
      </c>
      <c r="X68" s="36" t="s">
        <v>2643</v>
      </c>
      <c r="AA68" s="39"/>
    </row>
    <row r="69" spans="1:38" s="36" customFormat="1" x14ac:dyDescent="0.15">
      <c r="C69" s="36" t="s">
        <v>2188</v>
      </c>
      <c r="D69" s="43" t="s">
        <v>2519</v>
      </c>
      <c r="E69" s="36" t="s">
        <v>2517</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2524</v>
      </c>
      <c r="AA69" s="39"/>
    </row>
    <row r="70" spans="1:38" s="36" customFormat="1" x14ac:dyDescent="0.15">
      <c r="C70" s="36" t="s">
        <v>2188</v>
      </c>
      <c r="D70" s="43" t="s">
        <v>2520</v>
      </c>
      <c r="E70" s="36" t="s">
        <v>2518</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2525</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2526</v>
      </c>
      <c r="E89" s="36" t="s">
        <v>2522</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2523</v>
      </c>
      <c r="X89" s="36" t="s">
        <v>2643</v>
      </c>
      <c r="AA89" s="39"/>
    </row>
    <row r="90" spans="1:38" s="36" customFormat="1" x14ac:dyDescent="0.15">
      <c r="C90" s="36" t="s">
        <v>2188</v>
      </c>
      <c r="D90" s="43" t="s">
        <v>2519</v>
      </c>
      <c r="E90" s="36" t="s">
        <v>2517</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2527</v>
      </c>
      <c r="AA90" s="39"/>
    </row>
    <row r="91" spans="1:38" s="36" customFormat="1" x14ac:dyDescent="0.15">
      <c r="C91" s="36" t="s">
        <v>2188</v>
      </c>
      <c r="D91" s="43" t="s">
        <v>2520</v>
      </c>
      <c r="E91" s="36" t="s">
        <v>2518</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2528</v>
      </c>
      <c r="AA91" s="39"/>
    </row>
    <row r="92" spans="1:38" s="36" customFormat="1" x14ac:dyDescent="0.15">
      <c r="A92" s="36" t="s">
        <v>2690</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2685</v>
      </c>
      <c r="B101" s="36">
        <v>-20</v>
      </c>
      <c r="V101" s="36" t="str">
        <f t="shared" si="23"/>
        <v>},[-20]={</v>
      </c>
    </row>
    <row r="102" spans="1:27" s="36" customFormat="1" x14ac:dyDescent="0.15">
      <c r="D102" s="36" t="s">
        <v>2590</v>
      </c>
      <c r="E102" s="36" t="s">
        <v>2591</v>
      </c>
      <c r="M102" s="36" t="s">
        <v>2502</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2592</v>
      </c>
    </row>
    <row r="103" spans="1:27" s="36" customFormat="1" x14ac:dyDescent="0.15">
      <c r="D103" s="36" t="s">
        <v>2500</v>
      </c>
      <c r="E103" s="36" t="s">
        <v>2501</v>
      </c>
      <c r="M103" s="36" t="s">
        <v>2502</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2503</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{szContent="你已经离开据点，10秒内未进入据点，则据点旗帜重置。",col={255,255,100,},[14]={},tCountdown={{nClass=14,nIcon=592,nFrame=2,szName="据点大旗·重置剩余",nTime=10,key="据点大旗·旗手提示",},},},</v>
      </c>
      <c r="W104" s="36" t="s">
        <v>2723</v>
      </c>
    </row>
    <row r="105" spans="1:27" s="36" customFormat="1" x14ac:dyDescent="0.15">
      <c r="D105" s="36" t="s">
        <v>2706</v>
      </c>
      <c r="E105" s="36" t="s">
        <v>2708</v>
      </c>
      <c r="M105" s="36" t="s">
        <v>1432</v>
      </c>
      <c r="Q105" s="36">
        <v>1</v>
      </c>
      <c r="S105" s="36">
        <v>1</v>
      </c>
      <c r="V105" s="36" t="str">
        <f t="shared" si="23"/>
        <v>{szContent="身负据点大旗，当心被夺！",szNote="[{$me}]·扛起大旗",col={255,255,100,},[14]={bTeamChannel=true,bCenterAlarm=true,},tCountdown={{nClass=14,nIcon=592,nFrame=8,szName="【{$me}】·拾取大旗",nTime=30,key="拾取大旗·{$me}",},},},</v>
      </c>
      <c r="W105" s="36" t="s">
        <v>2729</v>
      </c>
    </row>
    <row r="106" spans="1:27" s="36" customFormat="1" x14ac:dyDescent="0.15">
      <c r="C106" s="36" t="s">
        <v>1431</v>
      </c>
      <c r="D106" s="36" t="s">
        <v>2596</v>
      </c>
      <c r="E106" s="36" t="s">
        <v>2597</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2598</v>
      </c>
      <c r="X106" s="36" t="s">
        <v>2599</v>
      </c>
      <c r="Y106" s="36" t="s">
        <v>2600</v>
      </c>
      <c r="Z106" s="36" t="s">
        <v>2601</v>
      </c>
      <c r="AA106" s="36" t="s">
        <v>2602</v>
      </c>
    </row>
    <row r="107" spans="1:27" s="36" customFormat="1" x14ac:dyDescent="0.15">
      <c r="C107" s="36" t="s">
        <v>1431</v>
      </c>
      <c r="D107" s="36" t="s">
        <v>2504</v>
      </c>
      <c r="E107" s="36" t="s">
        <v>2505</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2506</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2587</v>
      </c>
      <c r="E110" s="36" t="s">
        <v>2588</v>
      </c>
      <c r="M110" s="36" t="s">
        <v>2502</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2589</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2434</v>
      </c>
      <c r="X111" s="36" t="s">
        <v>2646</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2434</v>
      </c>
      <c r="X112" s="36" t="s">
        <v>2647</v>
      </c>
    </row>
    <row r="113" spans="1:27" s="36" customFormat="1" x14ac:dyDescent="0.15">
      <c r="C113" s="36" t="s">
        <v>2188</v>
      </c>
      <c r="D113" s="36" t="s">
        <v>2490</v>
      </c>
      <c r="E113" s="36" t="s">
        <v>2491</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2493</v>
      </c>
      <c r="X113" s="36" t="s">
        <v>2494</v>
      </c>
      <c r="Y113" s="36" t="s">
        <v>2495</v>
      </c>
      <c r="Z113" s="36" t="s">
        <v>2497</v>
      </c>
      <c r="AA113" s="36" t="s">
        <v>2496</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2622</v>
      </c>
      <c r="X114" s="40" t="s">
        <v>2410</v>
      </c>
      <c r="Y114" s="40" t="s">
        <v>2411</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2559</v>
      </c>
      <c r="Y115" s="38" t="s">
        <v>2560</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2410</v>
      </c>
      <c r="Y117" s="40" t="s">
        <v>2411</v>
      </c>
    </row>
    <row r="118" spans="1:27" x14ac:dyDescent="0.15">
      <c r="C118" t="s">
        <v>2191</v>
      </c>
      <c r="D118" t="s">
        <v>1582</v>
      </c>
      <c r="E118" t="s">
        <v>2687</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2645</v>
      </c>
      <c r="X118" s="40" t="s">
        <v>2410</v>
      </c>
      <c r="Y118" s="40" t="s">
        <v>2411</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2492</v>
      </c>
    </row>
    <row r="121" spans="1:27" s="36" customFormat="1" x14ac:dyDescent="0.15">
      <c r="C121" s="36" t="s">
        <v>2188</v>
      </c>
      <c r="D121" s="43" t="s">
        <v>2545</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2533</v>
      </c>
      <c r="X121" s="36" t="s">
        <v>2534</v>
      </c>
    </row>
    <row r="122" spans="1:27" s="36" customFormat="1" x14ac:dyDescent="0.15">
      <c r="C122" s="36" t="s">
        <v>2188</v>
      </c>
      <c r="D122" s="43" t="s">
        <v>2546</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2535</v>
      </c>
      <c r="X122" s="36" t="s">
        <v>2536</v>
      </c>
    </row>
    <row r="123" spans="1:27" x14ac:dyDescent="0.15">
      <c r="C123" t="s">
        <v>1596</v>
      </c>
      <c r="D123" t="s">
        <v>1590</v>
      </c>
      <c r="M123" t="s">
        <v>1438</v>
      </c>
      <c r="T123" s="36"/>
      <c r="V123" s="36" t="str">
        <f t="shared" si="23"/>
        <v>{szContent="恶人谷老友们可在我这里传送到恶人谷！",szTarget="赵新宇",col={255,100,100,},[14]={},tCountdown={{nClass=-1,nIcon=589,nFrame=7,szName="赵新宇·已刷新",nTime=2,nRefresh=600,key="赵新宇",},},},</v>
      </c>
      <c r="W123" t="s">
        <v>2727</v>
      </c>
    </row>
    <row r="124" spans="1:27" x14ac:dyDescent="0.15">
      <c r="C124" t="s">
        <v>1595</v>
      </c>
      <c r="D124" t="s">
        <v>1584</v>
      </c>
      <c r="M124" t="s">
        <v>1565</v>
      </c>
      <c r="T124" s="36"/>
      <c r="V124" s="36" t="str">
        <f t="shared" si="23"/>
        <v>{szContent="浩气盟侠士们可在我这里传送到浩气盟！",szTarget="方超",col={100,100,255,},[14]={},tCountdown={{nClass=-1,nIcon=308,nFrame=3,szName="方超·已刷新",nTime=2,nRefresh=600,key="方超",},},},</v>
      </c>
      <c r="W124" t="s">
        <v>2728</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94"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2442</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2547</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2537</v>
      </c>
      <c r="X135" s="36" t="s">
        <v>2538</v>
      </c>
    </row>
    <row r="136" spans="1:24" s="36" customFormat="1" x14ac:dyDescent="0.15">
      <c r="C136" s="36" t="s">
        <v>2188</v>
      </c>
      <c r="D136" s="43" t="s">
        <v>2548</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2539</v>
      </c>
      <c r="X136" s="36" t="s">
        <v>2540</v>
      </c>
    </row>
    <row r="137" spans="1:24" x14ac:dyDescent="0.15">
      <c r="C137" t="s">
        <v>1589</v>
      </c>
      <c r="D137" t="s">
        <v>1590</v>
      </c>
      <c r="M137" t="s">
        <v>1438</v>
      </c>
      <c r="V137" s="36" t="str">
        <f t="shared" si="27"/>
        <v>{szContent="恶人谷老友们可在我这里传送到恶人谷！",szTarget="霸图",col={255,100,100,},[14]={},tCountdown={{nClass=-1,nIcon=2864,nFrame=7,szName="霸图·已刷新",nTime=2,nRefresh=600,key="霸图",},},},</v>
      </c>
      <c r="W137" t="s">
        <v>2725</v>
      </c>
    </row>
    <row r="138" spans="1:24" x14ac:dyDescent="0.15">
      <c r="C138" t="s">
        <v>1583</v>
      </c>
      <c r="D138" t="s">
        <v>1584</v>
      </c>
      <c r="M138" t="s">
        <v>1565</v>
      </c>
      <c r="V138" s="36" t="str">
        <f t="shared" si="27"/>
        <v>{szContent="浩气盟侠士们可在我这里传送到浩气盟！",szTarget="孙永恒",col={100,100,255,},[14]={},tCountdown={{nClass=-1,nIcon=845,nFrame=3,szName="孙永恒·已刷新",nTime=2,nRefresh=600,key="孙永恒",},},},</v>
      </c>
      <c r="W138" t="s">
        <v>2726</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2435</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2436</v>
      </c>
    </row>
    <row r="148" spans="1:27" x14ac:dyDescent="0.15">
      <c r="C148" t="s">
        <v>2188</v>
      </c>
      <c r="D148" s="43" t="s">
        <v>2545</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2533</v>
      </c>
      <c r="X148" s="36" t="s">
        <v>2541</v>
      </c>
      <c r="Z148" s="36"/>
      <c r="AA148" s="36"/>
    </row>
    <row r="149" spans="1:27" x14ac:dyDescent="0.15">
      <c r="C149" t="s">
        <v>2188</v>
      </c>
      <c r="D149" s="43" t="s">
        <v>2546</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2535</v>
      </c>
      <c r="X149" s="36" t="s">
        <v>2542</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{szContent="恶人谷老友们可在我这里传送到恶人谷！",szTarget="赵新宇",col={255,100,100,},[14]={},tCountdown={{nClass=-1,nIcon=589,nFrame=7,szName="赵新宇·已刷新",nTime=2,nRefresh=600,key="赵新宇",},},},</v>
      </c>
      <c r="W150" s="36" t="s">
        <v>2727</v>
      </c>
    </row>
    <row r="151" spans="1:27" s="36" customFormat="1" x14ac:dyDescent="0.15">
      <c r="C151" s="36" t="s">
        <v>1595</v>
      </c>
      <c r="D151" s="36" t="s">
        <v>1584</v>
      </c>
      <c r="M151" s="36" t="s">
        <v>1565</v>
      </c>
      <c r="V151" s="36" t="str">
        <f t="shared" si="27"/>
        <v>{szContent="浩气盟侠士们可在我这里传送到浩气盟！",szTarget="方超",col={100,100,255,},[14]={},tCountdown={{nClass=-1,nIcon=308,nFrame=3,szName="方超·已刷新",nTime=2,nRefresh=600,key="方超",},},},</v>
      </c>
      <c r="W151" s="36" t="s">
        <v>2728</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2443</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2444</v>
      </c>
    </row>
    <row r="155" spans="1:27" x14ac:dyDescent="0.15">
      <c r="C155" t="s">
        <v>2188</v>
      </c>
      <c r="D155" s="43" t="s">
        <v>2547</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2537</v>
      </c>
      <c r="X155" s="36" t="s">
        <v>2543</v>
      </c>
      <c r="Z155" s="36"/>
      <c r="AA155" s="36"/>
    </row>
    <row r="156" spans="1:27" x14ac:dyDescent="0.15">
      <c r="C156" t="s">
        <v>2188</v>
      </c>
      <c r="D156" s="43" t="s">
        <v>2548</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2539</v>
      </c>
      <c r="X156" s="36" t="s">
        <v>2544</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{szContent="恶人谷老友们可在我这里传送到恶人谷！",szTarget="霸图",col={255,100,100,},[14]={},tCountdown={{nClass=-1,nIcon=2864,nFrame=7,szName="霸图·已刷新",nTime=2,nRefresh=600,key="霸图",},},},</v>
      </c>
      <c r="W157" s="36" t="s">
        <v>2725</v>
      </c>
    </row>
    <row r="158" spans="1:27" s="36" customFormat="1" x14ac:dyDescent="0.15">
      <c r="C158" s="36" t="s">
        <v>1583</v>
      </c>
      <c r="D158" s="36" t="s">
        <v>1584</v>
      </c>
      <c r="M158" s="36" t="s">
        <v>1565</v>
      </c>
      <c r="V158" s="36" t="str">
        <f t="shared" si="27"/>
        <v>{szContent="浩气盟侠士们可在我这里传送到浩气盟！",szTarget="孙永恒",col={100,100,255,},[14]={},tCountdown={{nClass=-1,nIcon=845,nFrame=3,szName="孙永恒·已刷新",nTime=2,nRefresh=600,key="孙永恒",},},},</v>
      </c>
      <c r="W158" s="36" t="s">
        <v>2726</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2437</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2438</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2445</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2446</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2439</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2440</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2447</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2441</v>
      </c>
    </row>
    <row r="171" spans="1:27" x14ac:dyDescent="0.15">
      <c r="A171" s="36" t="s">
        <v>1819</v>
      </c>
      <c r="B171" s="36">
        <v>216</v>
      </c>
      <c r="V171" s="36" t="str">
        <f t="shared" si="27"/>
        <v>},[216]={</v>
      </c>
    </row>
    <row r="172" spans="1:27" s="36" customFormat="1" x14ac:dyDescent="0.15">
      <c r="C172" s="36" t="s">
        <v>2188</v>
      </c>
      <c r="D172" s="43" t="s">
        <v>1946</v>
      </c>
      <c r="E172" s="36" t="s">
        <v>1945</v>
      </c>
      <c r="M172" s="36" t="s">
        <v>1432</v>
      </c>
      <c r="O172" s="36">
        <v>1</v>
      </c>
      <c r="S172" s="36">
        <v>1</v>
      </c>
      <c r="V172"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2" s="36" t="s">
        <v>2556</v>
      </c>
      <c r="X172" s="36" t="s">
        <v>2557</v>
      </c>
      <c r="Y172" s="36" t="s">
        <v>2558</v>
      </c>
    </row>
    <row r="173" spans="1:27" s="36" customFormat="1" x14ac:dyDescent="0.15">
      <c r="C173" s="40" t="s">
        <v>2188</v>
      </c>
      <c r="D173" s="36" t="s">
        <v>1578</v>
      </c>
      <c r="M173" s="36" t="s">
        <v>1565</v>
      </c>
      <c r="N173" s="36">
        <v>1</v>
      </c>
      <c r="V173"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3" s="36" t="s">
        <v>2434</v>
      </c>
      <c r="X173" s="36" t="s">
        <v>2646</v>
      </c>
    </row>
    <row r="174" spans="1:27" s="36" customFormat="1" x14ac:dyDescent="0.15">
      <c r="C174" s="40" t="s">
        <v>2188</v>
      </c>
      <c r="D174" s="36" t="s">
        <v>1579</v>
      </c>
      <c r="M174" s="36" t="s">
        <v>1438</v>
      </c>
      <c r="N174" s="36">
        <v>1</v>
      </c>
      <c r="V174"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4" s="36" t="s">
        <v>2434</v>
      </c>
      <c r="X174" s="36" t="s">
        <v>2647</v>
      </c>
    </row>
    <row r="175" spans="1:27" s="36" customFormat="1" x14ac:dyDescent="0.15">
      <c r="C175" s="40" t="s">
        <v>2188</v>
      </c>
      <c r="D175" s="36" t="s">
        <v>2490</v>
      </c>
      <c r="E175" s="36" t="s">
        <v>2491</v>
      </c>
      <c r="M175" s="36" t="s">
        <v>1748</v>
      </c>
      <c r="S175" s="36">
        <v>1</v>
      </c>
      <c r="V175"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5" s="36" t="s">
        <v>2493</v>
      </c>
      <c r="X175" s="36" t="s">
        <v>2494</v>
      </c>
      <c r="Y175" s="36" t="s">
        <v>2495</v>
      </c>
      <c r="Z175" s="36" t="s">
        <v>2497</v>
      </c>
      <c r="AA175" s="36" t="s">
        <v>2496</v>
      </c>
    </row>
    <row r="176" spans="1:27" s="36" customFormat="1" x14ac:dyDescent="0.15">
      <c r="C176" s="40" t="s">
        <v>1431</v>
      </c>
      <c r="D176" s="36" t="s">
        <v>2504</v>
      </c>
      <c r="E176" s="36" t="s">
        <v>2505</v>
      </c>
      <c r="M176" s="36" t="s">
        <v>1432</v>
      </c>
      <c r="O176" s="36">
        <v>1</v>
      </c>
      <c r="S176" s="36">
        <v>1</v>
      </c>
      <c r="V176"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6" s="36" t="s">
        <v>2506</v>
      </c>
    </row>
    <row r="177" spans="1:27" s="36" customFormat="1" x14ac:dyDescent="0.15">
      <c r="C177" s="40"/>
      <c r="D177" s="36" t="s">
        <v>2500</v>
      </c>
      <c r="E177" s="36" t="s">
        <v>2501</v>
      </c>
      <c r="M177" s="36" t="s">
        <v>2502</v>
      </c>
      <c r="P177" s="36" t="s">
        <v>1089</v>
      </c>
      <c r="Q177" s="36">
        <v>1</v>
      </c>
      <c r="R177" s="36">
        <v>1</v>
      </c>
      <c r="S177" s="36">
        <v>1</v>
      </c>
      <c r="U177" s="36">
        <v>1</v>
      </c>
      <c r="V177"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7" s="36" t="s">
        <v>2503</v>
      </c>
    </row>
    <row r="178" spans="1:27" s="36" customFormat="1" x14ac:dyDescent="0.15">
      <c r="C178" s="40"/>
      <c r="D178" s="36" t="s">
        <v>1899</v>
      </c>
      <c r="M178" s="36" t="s">
        <v>1748</v>
      </c>
      <c r="V178" s="36" t="str">
        <f t="shared" si="27"/>
        <v>{szContent="你已经离开据点，10秒内未进入据点，则据点旗帜重置。",col={255,255,100,},[14]={},tCountdown={{nClass=14,nIcon=592,nFrame=2,szName="据点大旗·重置剩余",nTime=10,key="离开据点·大旗重置",},},},</v>
      </c>
      <c r="W178" s="36" t="s">
        <v>1909</v>
      </c>
    </row>
    <row r="179" spans="1:27" s="36" customFormat="1" x14ac:dyDescent="0.15">
      <c r="C179" s="40" t="s">
        <v>2191</v>
      </c>
      <c r="D179" s="36" t="s">
        <v>2366</v>
      </c>
      <c r="E179" s="36" t="s">
        <v>2367</v>
      </c>
      <c r="V179"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9" s="36" t="s">
        <v>2368</v>
      </c>
      <c r="X179" s="38" t="s">
        <v>2559</v>
      </c>
      <c r="Y179" s="38" t="s">
        <v>2560</v>
      </c>
    </row>
    <row r="180" spans="1:27" s="36" customFormat="1" x14ac:dyDescent="0.15">
      <c r="C180" s="40" t="s">
        <v>2191</v>
      </c>
      <c r="D180" s="36" t="s">
        <v>1580</v>
      </c>
      <c r="E180" s="36" t="s">
        <v>2194</v>
      </c>
      <c r="V180" s="36" t="str">
        <f t="shared" si="27"/>
        <v>{szContent="哼，打扰本大爷休息！",szTarget="狼牙先锋首领",szNote="狼牙先锋首领·刷新喊话1",[14]={},tCountdown={{nClass=14,nIcon=3556,nFrame=1,szName="狼牙先锋首领·已经刷新",nTime=10,nRefresh=120,key="狼牙先锋首领",},},},</v>
      </c>
      <c r="W180" s="36" t="s">
        <v>2190</v>
      </c>
    </row>
    <row r="181" spans="1:27" s="36" customFormat="1" x14ac:dyDescent="0.15">
      <c r="C181" s="40" t="s">
        <v>2191</v>
      </c>
      <c r="D181" s="36" t="s">
        <v>1581</v>
      </c>
      <c r="E181" s="36" t="s">
        <v>2195</v>
      </c>
      <c r="V181"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1" s="36" t="s">
        <v>2190</v>
      </c>
      <c r="X181" s="40" t="s">
        <v>2410</v>
      </c>
      <c r="Y181" s="40" t="s">
        <v>2411</v>
      </c>
    </row>
    <row r="182" spans="1:27" s="36" customFormat="1" x14ac:dyDescent="0.15">
      <c r="C182" s="40" t="s">
        <v>2191</v>
      </c>
      <c r="D182" s="36" t="s">
        <v>1582</v>
      </c>
      <c r="E182" s="36" t="s">
        <v>2687</v>
      </c>
      <c r="V182"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2645</v>
      </c>
      <c r="X182" s="40" t="s">
        <v>2410</v>
      </c>
      <c r="Y182" s="40" t="s">
        <v>2411</v>
      </c>
    </row>
    <row r="183" spans="1:27" x14ac:dyDescent="0.15">
      <c r="A183" s="36" t="s">
        <v>613</v>
      </c>
      <c r="B183" s="36">
        <v>656</v>
      </c>
      <c r="V183" s="36" t="str">
        <f t="shared" si="27"/>
        <v>},[656]={</v>
      </c>
    </row>
    <row r="184" spans="1:27" s="36" customFormat="1" x14ac:dyDescent="0.15">
      <c r="C184" s="36" t="s">
        <v>2188</v>
      </c>
      <c r="D184" s="43" t="s">
        <v>1946</v>
      </c>
      <c r="E184" s="36" t="s">
        <v>1945</v>
      </c>
      <c r="M184" s="36" t="s">
        <v>1432</v>
      </c>
      <c r="O184" s="36">
        <v>1</v>
      </c>
      <c r="S184" s="36">
        <v>1</v>
      </c>
      <c r="V18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4" s="36" t="s">
        <v>2556</v>
      </c>
      <c r="X184" s="36" t="s">
        <v>2557</v>
      </c>
      <c r="Y184" s="36" t="s">
        <v>2558</v>
      </c>
    </row>
    <row r="185" spans="1:27" s="36" customFormat="1" x14ac:dyDescent="0.15">
      <c r="C185" s="40" t="s">
        <v>2188</v>
      </c>
      <c r="D185" s="36" t="s">
        <v>1578</v>
      </c>
      <c r="M185" s="36" t="s">
        <v>1565</v>
      </c>
      <c r="N185" s="36">
        <v>1</v>
      </c>
      <c r="V185"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5" s="36" t="s">
        <v>2434</v>
      </c>
      <c r="X185" s="36" t="s">
        <v>2646</v>
      </c>
    </row>
    <row r="186" spans="1:27" s="36" customFormat="1" x14ac:dyDescent="0.15">
      <c r="C186" s="40" t="s">
        <v>2188</v>
      </c>
      <c r="D186" s="36" t="s">
        <v>1579</v>
      </c>
      <c r="M186" s="36" t="s">
        <v>1438</v>
      </c>
      <c r="N186" s="36">
        <v>1</v>
      </c>
      <c r="V186"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6" s="36" t="s">
        <v>2434</v>
      </c>
      <c r="X186" s="36" t="s">
        <v>2647</v>
      </c>
    </row>
    <row r="187" spans="1:27" s="36" customFormat="1" x14ac:dyDescent="0.15">
      <c r="C187" s="40" t="s">
        <v>2188</v>
      </c>
      <c r="D187" s="36" t="s">
        <v>2490</v>
      </c>
      <c r="E187" s="36" t="s">
        <v>2491</v>
      </c>
      <c r="M187" s="36" t="s">
        <v>1748</v>
      </c>
      <c r="S187" s="36">
        <v>1</v>
      </c>
      <c r="V187"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7" s="36" t="s">
        <v>2493</v>
      </c>
      <c r="X187" s="36" t="s">
        <v>2494</v>
      </c>
      <c r="Y187" s="36" t="s">
        <v>2495</v>
      </c>
      <c r="Z187" s="36" t="s">
        <v>2497</v>
      </c>
      <c r="AA187" s="36" t="s">
        <v>2496</v>
      </c>
    </row>
    <row r="188" spans="1:27" s="36" customFormat="1" x14ac:dyDescent="0.15">
      <c r="C188" s="40" t="s">
        <v>1431</v>
      </c>
      <c r="D188" s="36" t="s">
        <v>2504</v>
      </c>
      <c r="E188" s="36" t="s">
        <v>2505</v>
      </c>
      <c r="M188" s="36" t="s">
        <v>1432</v>
      </c>
      <c r="O188" s="36">
        <v>1</v>
      </c>
      <c r="S188" s="36">
        <v>1</v>
      </c>
      <c r="V188"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8" s="36" t="s">
        <v>2506</v>
      </c>
    </row>
    <row r="189" spans="1:27" s="36" customFormat="1" x14ac:dyDescent="0.15">
      <c r="C189" s="40"/>
      <c r="D189" s="36" t="s">
        <v>2500</v>
      </c>
      <c r="E189" s="36" t="s">
        <v>2501</v>
      </c>
      <c r="M189" s="36" t="s">
        <v>2502</v>
      </c>
      <c r="P189" s="36" t="s">
        <v>1089</v>
      </c>
      <c r="Q189" s="36">
        <v>1</v>
      </c>
      <c r="R189" s="36">
        <v>1</v>
      </c>
      <c r="S189" s="36">
        <v>1</v>
      </c>
      <c r="U189" s="36">
        <v>1</v>
      </c>
      <c r="V189"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9" s="36" t="s">
        <v>2503</v>
      </c>
    </row>
    <row r="190" spans="1:27" s="36" customFormat="1" x14ac:dyDescent="0.15">
      <c r="C190" s="40"/>
      <c r="D190" s="36" t="s">
        <v>1899</v>
      </c>
      <c r="M190" s="36" t="s">
        <v>1748</v>
      </c>
      <c r="V190" s="36" t="str">
        <f t="shared" si="27"/>
        <v>{szContent="你已经离开据点，10秒内未进入据点，则据点旗帜重置。",col={255,255,100,},[14]={},tCountdown={{nClass=14,nIcon=592,nFrame=2,szName="据点大旗·重置剩余",nTime=10,key="离开据点·大旗重置",},},},</v>
      </c>
      <c r="W190" s="36" t="s">
        <v>1909</v>
      </c>
    </row>
    <row r="191" spans="1:27" s="36" customFormat="1" x14ac:dyDescent="0.15">
      <c r="C191" s="40" t="s">
        <v>2191</v>
      </c>
      <c r="D191" s="36" t="s">
        <v>2366</v>
      </c>
      <c r="E191" s="36" t="s">
        <v>2367</v>
      </c>
      <c r="V191"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1" s="36" t="s">
        <v>2368</v>
      </c>
      <c r="X191" s="38" t="s">
        <v>2559</v>
      </c>
      <c r="Y191" s="38" t="s">
        <v>2560</v>
      </c>
    </row>
    <row r="192" spans="1:27" s="36" customFormat="1" x14ac:dyDescent="0.15">
      <c r="C192" s="40" t="s">
        <v>2191</v>
      </c>
      <c r="D192" s="36" t="s">
        <v>1580</v>
      </c>
      <c r="E192" s="36" t="s">
        <v>2194</v>
      </c>
      <c r="V192" s="36" t="str">
        <f t="shared" si="27"/>
        <v>{szContent="哼，打扰本大爷休息！",szTarget="狼牙先锋首领",szNote="狼牙先锋首领·刷新喊话1",[14]={},tCountdown={{nClass=14,nIcon=3556,nFrame=1,szName="狼牙先锋首领·已经刷新",nTime=10,nRefresh=120,key="狼牙先锋首领",},},},</v>
      </c>
      <c r="W192" s="36" t="s">
        <v>2190</v>
      </c>
    </row>
    <row r="193" spans="3:25" s="36" customFormat="1" x14ac:dyDescent="0.15">
      <c r="C193" s="40" t="s">
        <v>2191</v>
      </c>
      <c r="D193" s="36" t="s">
        <v>1581</v>
      </c>
      <c r="E193" s="36" t="s">
        <v>2195</v>
      </c>
      <c r="V193"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3" s="36" t="s">
        <v>2190</v>
      </c>
      <c r="X193" s="40" t="s">
        <v>2410</v>
      </c>
      <c r="Y193" s="40" t="s">
        <v>2411</v>
      </c>
    </row>
    <row r="194" spans="3:25" s="36" customFormat="1" x14ac:dyDescent="0.15">
      <c r="C194" s="40" t="s">
        <v>2191</v>
      </c>
      <c r="D194" s="36" t="s">
        <v>1582</v>
      </c>
      <c r="E194" s="36" t="s">
        <v>2687</v>
      </c>
      <c r="V194"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2645</v>
      </c>
      <c r="X194" s="40" t="s">
        <v>2410</v>
      </c>
      <c r="Y194" s="40" t="s">
        <v>2411</v>
      </c>
    </row>
    <row r="195" spans="3:25" x14ac:dyDescent="0.15">
      <c r="V195" s="36" t="str">
        <f t="shared" ref="V195" si="28">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v>
      </c>
    </row>
  </sheetData>
  <autoFilter ref="A1:AV191"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zoomScale="90" zoomScaleNormal="90" workbookViewId="0">
      <pane ySplit="1" topLeftCell="A65" activePane="bottomLeft" state="frozen"/>
      <selection pane="bottomLeft" activeCell="T151" sqref="T151"/>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2412</v>
      </c>
      <c r="V3" s="40" t="s">
        <v>2568</v>
      </c>
    </row>
    <row r="4" spans="1:72" s="36" customFormat="1" x14ac:dyDescent="0.15">
      <c r="C4" s="36" t="s">
        <v>2627</v>
      </c>
      <c r="D4" s="36" t="s">
        <v>2628</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2629</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2399</v>
      </c>
      <c r="V7" s="36" t="s">
        <v>2717</v>
      </c>
      <c r="W7" s="36" t="s">
        <v>2715</v>
      </c>
      <c r="X7" s="36" t="s">
        <v>2716</v>
      </c>
      <c r="Y7" s="36" t="s">
        <v>2113</v>
      </c>
      <c r="Z7" s="36" t="s">
        <v>2098</v>
      </c>
      <c r="AA7" s="36" t="s">
        <v>1940</v>
      </c>
      <c r="AB7" s="36" t="s">
        <v>1941</v>
      </c>
      <c r="AC7" s="52" t="s">
        <v>2649</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2398</v>
      </c>
      <c r="V8" s="36" t="s">
        <v>2717</v>
      </c>
      <c r="W8" s="36" t="s">
        <v>2715</v>
      </c>
      <c r="X8" s="36" t="s">
        <v>2716</v>
      </c>
      <c r="Y8" s="36" t="s">
        <v>2113</v>
      </c>
      <c r="Z8" s="36" t="s">
        <v>2098</v>
      </c>
      <c r="AA8" s="36" t="s">
        <v>1940</v>
      </c>
      <c r="AB8" s="36" t="s">
        <v>1941</v>
      </c>
      <c r="AC8" s="52" t="s">
        <v>2649</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2510</v>
      </c>
      <c r="V9" s="36" t="s">
        <v>2511</v>
      </c>
      <c r="W9" t="s">
        <v>2187</v>
      </c>
      <c r="X9" s="36" t="s">
        <v>2397</v>
      </c>
      <c r="Y9" s="36" t="s">
        <v>2396</v>
      </c>
      <c r="Z9" s="36" t="s">
        <v>2717</v>
      </c>
      <c r="AA9" s="36" t="s">
        <v>2715</v>
      </c>
      <c r="AB9" s="36" t="s">
        <v>2716</v>
      </c>
      <c r="AC9" s="36" t="s">
        <v>2113</v>
      </c>
      <c r="AD9" s="36" t="s">
        <v>2098</v>
      </c>
      <c r="AE9" s="36" t="s">
        <v>1940</v>
      </c>
      <c r="AF9" s="36" t="s">
        <v>1941</v>
      </c>
      <c r="AG9" s="40" t="s">
        <v>2649</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2571</v>
      </c>
      <c r="W10" s="38" t="s">
        <v>2570</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2414</v>
      </c>
      <c r="Y17" s="36" t="s">
        <v>2415</v>
      </c>
      <c r="Z17" s="40" t="s">
        <v>2568</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2413</v>
      </c>
      <c r="W18" s="40" t="s">
        <v>2412</v>
      </c>
      <c r="X18" s="36" t="s">
        <v>2625</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2718</v>
      </c>
      <c r="V19" s="36" t="s">
        <v>2416</v>
      </c>
      <c r="W19" s="36" t="s">
        <v>2302</v>
      </c>
      <c r="X19" s="40" t="s">
        <v>2412</v>
      </c>
      <c r="Y19" s="36" t="s">
        <v>2625</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2414</v>
      </c>
      <c r="Y21" s="36" t="s">
        <v>2415</v>
      </c>
      <c r="Z21" s="40" t="s">
        <v>2568</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2413</v>
      </c>
      <c r="W22" s="40" t="s">
        <v>2412</v>
      </c>
      <c r="X22" s="36" t="s">
        <v>2625</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2718</v>
      </c>
      <c r="V23" s="36" t="s">
        <v>2416</v>
      </c>
      <c r="W23" s="36" t="s">
        <v>2302</v>
      </c>
      <c r="X23" s="40" t="s">
        <v>2412</v>
      </c>
      <c r="Y23" s="36" t="s">
        <v>2625</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2593</v>
      </c>
      <c r="D25" s="36" t="s">
        <v>2594</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2595</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2563</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2564</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2565</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2566</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2567</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2690</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2417</v>
      </c>
      <c r="V36" s="36" t="s">
        <v>2418</v>
      </c>
      <c r="W36" s="36" t="s">
        <v>2419</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2421</v>
      </c>
      <c r="W37" s="36" t="s">
        <v>2423</v>
      </c>
      <c r="X37" s="36" t="s">
        <v>2424</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2417</v>
      </c>
      <c r="V50" s="36" t="s">
        <v>2418</v>
      </c>
      <c r="W50" s="36" t="s">
        <v>2419</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2421</v>
      </c>
      <c r="W51" s="36" t="s">
        <v>2423</v>
      </c>
      <c r="X51" s="36" t="s">
        <v>2424</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2421</v>
      </c>
      <c r="W65" s="36" t="s">
        <v>2423</v>
      </c>
      <c r="X65" s="36" t="s">
        <v>2424</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2572</v>
      </c>
      <c r="W69" s="38" t="s">
        <v>2569</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2686</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2621</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2685</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2425</v>
      </c>
      <c r="V77" s="36" t="s">
        <v>2426</v>
      </c>
      <c r="W77" s="36" t="s">
        <v>2427</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2401</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2400</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2510</v>
      </c>
      <c r="V84" s="36" t="s">
        <v>2511</v>
      </c>
      <c r="W84" s="36" t="s">
        <v>2187</v>
      </c>
      <c r="X84" s="36" t="s">
        <v>2397</v>
      </c>
      <c r="Y84" s="36" t="s">
        <v>2396</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2417</v>
      </c>
      <c r="V86" s="36" t="s">
        <v>2418</v>
      </c>
      <c r="W86" s="36" t="s">
        <v>2419</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2421</v>
      </c>
      <c r="W87" s="36" t="s">
        <v>2423</v>
      </c>
      <c r="X87" s="36" t="s">
        <v>2424</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2421</v>
      </c>
      <c r="Y95" s="36" t="s">
        <v>2423</v>
      </c>
      <c r="Z95" s="36" t="s">
        <v>2431</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2433</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2449</v>
      </c>
      <c r="V96" s="36" t="s">
        <v>2429</v>
      </c>
      <c r="W96" s="36" t="s">
        <v>1898</v>
      </c>
      <c r="X96" s="36" t="s">
        <v>2450</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2421</v>
      </c>
      <c r="Y101" s="36" t="s">
        <v>2423</v>
      </c>
      <c r="Z101" s="36" t="s">
        <v>2431</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2448</v>
      </c>
      <c r="V102" s="36" t="s">
        <v>2429</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2420</v>
      </c>
      <c r="AA107" s="36" t="s">
        <v>2422</v>
      </c>
      <c r="AB107" s="36" t="s">
        <v>2430</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2463</v>
      </c>
      <c r="V108" s="36" t="s">
        <v>2476</v>
      </c>
      <c r="W108" s="36" t="s">
        <v>2428</v>
      </c>
      <c r="X108" s="36" t="s">
        <v>1897</v>
      </c>
      <c r="Y108" s="36" t="s">
        <v>1870</v>
      </c>
      <c r="Z108" s="36" t="s">
        <v>2451</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2420</v>
      </c>
      <c r="AA110" s="36" t="s">
        <v>2422</v>
      </c>
      <c r="AB110" s="36" t="s">
        <v>2430</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2464</v>
      </c>
      <c r="V111" s="36" t="s">
        <v>2477</v>
      </c>
      <c r="W111" s="36" t="s">
        <v>2428</v>
      </c>
      <c r="X111" s="36" t="s">
        <v>1897</v>
      </c>
      <c r="Y111" s="36" t="s">
        <v>1879</v>
      </c>
      <c r="Z111" s="36" t="s">
        <v>2452</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2420</v>
      </c>
      <c r="AA113" s="36" t="s">
        <v>2422</v>
      </c>
      <c r="AB113" s="36" t="s">
        <v>2430</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2465</v>
      </c>
      <c r="V114" s="36" t="s">
        <v>2478</v>
      </c>
      <c r="W114" s="36" t="s">
        <v>2428</v>
      </c>
      <c r="X114" s="36" t="s">
        <v>1897</v>
      </c>
      <c r="Y114" s="36" t="s">
        <v>1881</v>
      </c>
      <c r="Z114" s="36" t="s">
        <v>2453</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2420</v>
      </c>
      <c r="AA116" s="36" t="s">
        <v>2422</v>
      </c>
      <c r="AB116" s="36" t="s">
        <v>2430</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2466</v>
      </c>
      <c r="V117" s="36" t="s">
        <v>2479</v>
      </c>
      <c r="W117" s="36" t="s">
        <v>2428</v>
      </c>
      <c r="X117" s="36" t="s">
        <v>1897</v>
      </c>
      <c r="Y117" s="36" t="s">
        <v>1882</v>
      </c>
      <c r="Z117" s="36" t="s">
        <v>2454</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2420</v>
      </c>
      <c r="AA119" s="36" t="s">
        <v>2422</v>
      </c>
      <c r="AB119" s="36" t="s">
        <v>2430</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2467</v>
      </c>
      <c r="V120" s="36" t="s">
        <v>2480</v>
      </c>
      <c r="W120" s="36" t="s">
        <v>2428</v>
      </c>
      <c r="X120" s="36" t="s">
        <v>1897</v>
      </c>
      <c r="Y120" s="36" t="s">
        <v>1884</v>
      </c>
      <c r="Z120" s="36" t="s">
        <v>2455</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2420</v>
      </c>
      <c r="AA122" s="36" t="s">
        <v>2422</v>
      </c>
      <c r="AB122" s="36" t="s">
        <v>2430</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2468</v>
      </c>
      <c r="V123" s="36" t="s">
        <v>2481</v>
      </c>
      <c r="W123" s="36" t="s">
        <v>2428</v>
      </c>
      <c r="X123" s="36" t="s">
        <v>1897</v>
      </c>
      <c r="Y123" s="36" t="s">
        <v>1886</v>
      </c>
      <c r="Z123" s="36" t="s">
        <v>2456</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2420</v>
      </c>
      <c r="AA125" s="36" t="s">
        <v>2422</v>
      </c>
      <c r="AB125" s="36" t="s">
        <v>2430</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2469</v>
      </c>
      <c r="V126" s="36" t="s">
        <v>2482</v>
      </c>
      <c r="W126" s="36" t="s">
        <v>2428</v>
      </c>
      <c r="X126" s="36" t="s">
        <v>1897</v>
      </c>
      <c r="Y126" s="36" t="s">
        <v>1888</v>
      </c>
      <c r="Z126" s="36" t="s">
        <v>2457</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2420</v>
      </c>
      <c r="AA128" s="36" t="s">
        <v>2422</v>
      </c>
      <c r="AB128" s="36" t="s">
        <v>2430</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2470</v>
      </c>
      <c r="V129" s="36" t="s">
        <v>2483</v>
      </c>
      <c r="W129" s="36" t="s">
        <v>2428</v>
      </c>
      <c r="X129" s="36" t="s">
        <v>1897</v>
      </c>
      <c r="Y129" s="36" t="s">
        <v>1890</v>
      </c>
      <c r="Z129" s="36" t="s">
        <v>2458</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2420</v>
      </c>
      <c r="AA131" s="36" t="s">
        <v>2422</v>
      </c>
      <c r="AB131" s="36" t="s">
        <v>2430</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2471</v>
      </c>
      <c r="V132" s="36" t="s">
        <v>2484</v>
      </c>
      <c r="W132" s="36" t="s">
        <v>2428</v>
      </c>
      <c r="X132" s="36" t="s">
        <v>1897</v>
      </c>
      <c r="Y132" s="36" t="s">
        <v>1892</v>
      </c>
      <c r="Z132" s="36" t="s">
        <v>2459</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2420</v>
      </c>
      <c r="AA134" s="36" t="s">
        <v>2422</v>
      </c>
      <c r="AB134" s="36" t="s">
        <v>2430</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2472</v>
      </c>
      <c r="V135" s="36" t="s">
        <v>2485</v>
      </c>
      <c r="W135" s="36" t="s">
        <v>2428</v>
      </c>
      <c r="X135" s="36" t="s">
        <v>1897</v>
      </c>
      <c r="Y135" s="36" t="s">
        <v>1894</v>
      </c>
      <c r="Z135" s="36" t="s">
        <v>2460</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2420</v>
      </c>
      <c r="AA137" s="36" t="s">
        <v>2422</v>
      </c>
      <c r="AB137" s="36" t="s">
        <v>2430</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2473</v>
      </c>
      <c r="V138" s="36" t="s">
        <v>2486</v>
      </c>
      <c r="W138" s="36" t="s">
        <v>2428</v>
      </c>
      <c r="X138" s="36" t="s">
        <v>1897</v>
      </c>
      <c r="Y138" s="36" t="s">
        <v>1896</v>
      </c>
      <c r="Z138" s="36" t="s">
        <v>2461</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2420</v>
      </c>
      <c r="AA140" s="36" t="s">
        <v>2422</v>
      </c>
      <c r="AB140" s="36" t="s">
        <v>2430</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2474</v>
      </c>
      <c r="V141" s="36" t="s">
        <v>2487</v>
      </c>
      <c r="W141" s="36" t="s">
        <v>2428</v>
      </c>
      <c r="X141" s="36" t="s">
        <v>1898</v>
      </c>
      <c r="Y141" s="36" t="s">
        <v>1868</v>
      </c>
      <c r="Z141" s="36" t="s">
        <v>2462</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2420</v>
      </c>
      <c r="W143" s="36" t="s">
        <v>2422</v>
      </c>
      <c r="X143" s="36" t="s">
        <v>2432</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2475</v>
      </c>
      <c r="V144" s="36" t="s">
        <v>2488</v>
      </c>
      <c r="W144" s="36" t="s">
        <v>2428</v>
      </c>
      <c r="X144" s="36" t="s">
        <v>1897</v>
      </c>
      <c r="Y144" s="36" t="s">
        <v>1919</v>
      </c>
      <c r="Z144" s="36" t="s">
        <v>1920</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2425</v>
      </c>
      <c r="V145" s="36" t="s">
        <v>2426</v>
      </c>
      <c r="W145" s="36" t="s">
        <v>2427</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2420</v>
      </c>
      <c r="W147" t="s">
        <v>2422</v>
      </c>
      <c r="X147" s="36" t="s">
        <v>2432</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2475</v>
      </c>
      <c r="V148" s="36" t="s">
        <v>2488</v>
      </c>
      <c r="W148" s="36" t="s">
        <v>2428</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2425</v>
      </c>
      <c r="V149" s="36" t="s">
        <v>2426</v>
      </c>
      <c r="W149" s="36" t="s">
        <v>2427</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2026-04-12T05:47:47Z</dcterms:modified>
</cp:coreProperties>
</file>