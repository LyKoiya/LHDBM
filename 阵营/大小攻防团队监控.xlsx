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23426"/>
  <workbookPr dateCompatibility="0" codeName="ThisWorkbook" defaultThemeVersion="166925"/>
  <mc:AlternateContent xmlns:mc="http://schemas.openxmlformats.org/markup-compatibility/2006">
    <mc:Choice Requires="x15">
      <x15ac:absPath xmlns:x15ac="http://schemas.microsoft.com/office/spreadsheetml/2010/11/ac" url="D:\JX3\Game\JX3\bin\zhcn_hd\interface\MY#DATA\!all-users@zhcn_hd\userdata\team_mon\remote\打包\阵营\"/>
    </mc:Choice>
  </mc:AlternateContent>
  <xr:revisionPtr revIDLastSave="0" documentId="13_ncr:9_{84B6456B-19DD-404B-B03E-263A3422CF7E}" xr6:coauthVersionLast="45" xr6:coauthVersionMax="45" xr10:uidLastSave="{00000000-0000-0000-0000-000000000000}"/>
  <bookViews>
    <workbookView xWindow="-120" yWindow="-120" windowWidth="29040" windowHeight="15720" activeTab="8" xr2:uid="{00000000-000D-0000-FFFF-FFFF00000000}"/>
  </bookViews>
  <sheets>
    <sheet name="茗伊团队监控数据总控" sheetId="2" r:id="rId1"/>
    <sheet name="字典" sheetId="4" r:id="rId2"/>
    <sheet name="有利气劲" sheetId="14" r:id="rId3"/>
    <sheet name="不利气劲" sheetId="15" r:id="rId4"/>
    <sheet name="武学招式" sheetId="16" r:id="rId5"/>
    <sheet name="系统角色" sheetId="12" r:id="rId6"/>
    <sheet name="交互物件" sheetId="17" r:id="rId7"/>
    <sheet name="角色喊话" sheetId="10" r:id="rId8"/>
    <sheet name="系统频道" sheetId="11" r:id="rId9"/>
  </sheets>
  <definedNames>
    <definedName name="_xlnm._FilterDatabase" localSheetId="3" hidden="1">不利气劲!$A$1:$BY$95</definedName>
    <definedName name="_xlnm._FilterDatabase" localSheetId="7" hidden="1">角色喊话!$A$1:$AV$191</definedName>
    <definedName name="_xlnm._FilterDatabase" localSheetId="5" hidden="1">系统角色!$A$1:$X$409</definedName>
    <definedName name="_xlnm._FilterDatabase" localSheetId="8" hidden="1">系统频道!$A$1:$BG$149</definedName>
    <definedName name="_xlnm._FilterDatabase" localSheetId="2" hidden="1">有利气劲!$A$1:$AS$45</definedName>
    <definedName name="JunSun1" localSheetId="6">DATE(交互物件!日历年份,6,1)-WEEKDAY(DATE(交互物件!日历年份,6,1))</definedName>
    <definedName name="JunSun1" localSheetId="4">DATE(武学招式!日历年份,6,1)-WEEKDAY(DATE(武学招式!日历年份,6,1))</definedName>
    <definedName name="JunSun1" localSheetId="5">DATE(系统角色!日历年份,6,1)-WEEKDAY(DATE(系统角色!日历年份,6,1))</definedName>
    <definedName name="JunSun1">DATE(日历年份,6,1)-WEEKDAY(DATE(日历年份,6,1))</definedName>
    <definedName name="日历年份" localSheetId="6">#REF!</definedName>
    <definedName name="日历年份" localSheetId="4">#REF!</definedName>
    <definedName name="日历年份" localSheetId="5">#REF!</definedName>
    <definedName name="日历年份">#REF!</definedName>
  </definedNames>
  <calcPr calcId="191029"/>
  <extLs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purl.oclc.org/ooxml/spreadsheetml/main">
  <c r="T3" i="11" l="1"/>
  <c r="T4" i="11"/>
  <c r="T5" i="11"/>
  <c r="T6" i="11"/>
  <c r="T7" i="11"/>
  <c r="T8" i="11"/>
  <c r="T9" i="11"/>
  <c r="T10" i="11"/>
  <c r="T11" i="11"/>
  <c r="T12" i="11"/>
  <c r="T13" i="11"/>
  <c r="T14" i="11"/>
  <c r="T15" i="11"/>
  <c r="T16" i="11"/>
  <c r="T17" i="11"/>
  <c r="T18" i="11"/>
  <c r="T19" i="11"/>
  <c r="T20" i="11"/>
  <c r="T21" i="11"/>
  <c r="T22" i="11"/>
  <c r="T23" i="11"/>
  <c r="T24" i="11"/>
  <c r="T25" i="11"/>
  <c r="T26" i="11"/>
  <c r="T27" i="11"/>
  <c r="T28" i="11"/>
  <c r="T29" i="11"/>
  <c r="T30" i="11"/>
  <c r="T31" i="11"/>
  <c r="T32" i="11"/>
  <c r="T33" i="11"/>
  <c r="T34" i="11"/>
  <c r="T35" i="11"/>
  <c r="T36" i="11"/>
  <c r="T37" i="11"/>
  <c r="T38" i="11"/>
  <c r="T39" i="11"/>
  <c r="T40" i="11"/>
  <c r="T41" i="11"/>
  <c r="T42" i="11"/>
  <c r="T43" i="11"/>
  <c r="T44" i="11"/>
  <c r="T45" i="11"/>
  <c r="T46" i="11"/>
  <c r="T47" i="11"/>
  <c r="T48" i="11"/>
  <c r="T49" i="11"/>
  <c r="T50" i="11"/>
  <c r="T51" i="11"/>
  <c r="T52" i="11"/>
  <c r="T53" i="11"/>
  <c r="T54" i="11"/>
  <c r="T55" i="11"/>
  <c r="T56" i="11"/>
  <c r="T57" i="11"/>
  <c r="T58" i="11"/>
  <c r="T59" i="11"/>
  <c r="T60" i="11"/>
  <c r="T61" i="11"/>
  <c r="T62" i="11"/>
  <c r="T63" i="11"/>
  <c r="T64" i="11"/>
  <c r="T65" i="11"/>
  <c r="T66" i="11"/>
  <c r="T67" i="11"/>
  <c r="T68" i="11"/>
  <c r="T69" i="11"/>
  <c r="T70" i="11"/>
  <c r="T71" i="11"/>
  <c r="T72" i="11"/>
  <c r="T73" i="11"/>
  <c r="T74" i="11"/>
  <c r="T75" i="11"/>
  <c r="T76" i="11"/>
  <c r="T77" i="11"/>
  <c r="T78" i="11"/>
  <c r="T79" i="11"/>
  <c r="T80" i="11"/>
  <c r="T81" i="11"/>
  <c r="T82" i="11"/>
  <c r="T83" i="11"/>
  <c r="T84" i="11"/>
  <c r="T85" i="11"/>
  <c r="T86" i="11"/>
  <c r="T87" i="11"/>
  <c r="T88" i="11"/>
  <c r="T89" i="11"/>
  <c r="T90" i="11"/>
  <c r="T91" i="11"/>
  <c r="T92" i="11"/>
  <c r="T93" i="11"/>
  <c r="T94" i="11"/>
  <c r="T95" i="11"/>
  <c r="T96" i="11"/>
  <c r="T97" i="11"/>
  <c r="T98" i="11"/>
  <c r="T99" i="11"/>
  <c r="T100" i="11"/>
  <c r="T101" i="11"/>
  <c r="T102" i="11"/>
  <c r="T103" i="11"/>
  <c r="T104" i="11"/>
  <c r="T105" i="11"/>
  <c r="T106" i="11"/>
  <c r="T107" i="11"/>
  <c r="T108" i="11"/>
  <c r="T109" i="11"/>
  <c r="T110" i="11"/>
  <c r="T111" i="11"/>
  <c r="T112" i="11"/>
  <c r="T113" i="11"/>
  <c r="T114" i="11"/>
  <c r="T115" i="11"/>
  <c r="T116" i="11"/>
  <c r="T117" i="11"/>
  <c r="T118" i="11"/>
  <c r="T119" i="11"/>
  <c r="T120" i="11"/>
  <c r="T121" i="11"/>
  <c r="T122" i="11"/>
  <c r="T123" i="11"/>
  <c r="T124" i="11"/>
  <c r="T125" i="11"/>
  <c r="T126" i="11"/>
  <c r="T127" i="11"/>
  <c r="T128" i="11"/>
  <c r="T129" i="11"/>
  <c r="T130" i="11"/>
  <c r="T131" i="11"/>
  <c r="T132" i="11"/>
  <c r="T133" i="11"/>
  <c r="T134" i="11"/>
  <c r="T135" i="11"/>
  <c r="T136" i="11"/>
  <c r="T137" i="11"/>
  <c r="T138" i="11"/>
  <c r="T139" i="11"/>
  <c r="T140" i="11"/>
  <c r="T141" i="11"/>
  <c r="T142" i="11"/>
  <c r="T143" i="11"/>
  <c r="T144" i="11"/>
  <c r="T145" i="11"/>
  <c r="T146" i="11"/>
  <c r="T147" i="11"/>
  <c r="T148" i="11"/>
  <c r="T149" i="11"/>
  <c r="T150" i="11"/>
  <c r="AN3" i="14"/>
  <c r="AN4" i="14"/>
  <c r="AN5" i="14"/>
  <c r="AN6" i="14"/>
  <c r="AN7" i="14"/>
  <c r="AN8" i="14"/>
  <c r="AN9" i="14"/>
  <c r="AN10" i="14"/>
  <c r="AN11" i="14"/>
  <c r="AN12" i="14"/>
  <c r="AN13" i="14"/>
  <c r="AN14" i="14"/>
  <c r="AN15" i="14"/>
  <c r="AN16" i="14"/>
  <c r="AN17" i="14"/>
  <c r="AN18" i="14"/>
  <c r="AN19" i="14"/>
  <c r="AN20" i="14"/>
  <c r="AN21" i="14"/>
  <c r="AN22" i="14"/>
  <c r="AN23" i="14"/>
  <c r="AN24" i="14"/>
  <c r="AN25" i="14"/>
  <c r="AN26" i="14"/>
  <c r="AN27" i="14"/>
  <c r="AN28" i="14"/>
  <c r="AN29" i="14"/>
  <c r="AN30" i="14"/>
  <c r="AN31" i="14"/>
  <c r="AN32" i="14"/>
  <c r="AN33" i="14"/>
  <c r="AN34" i="14"/>
  <c r="AN35" i="14"/>
  <c r="AN36" i="14"/>
  <c r="AN37" i="14"/>
  <c r="AN38" i="14"/>
  <c r="AN39" i="14"/>
  <c r="AN40" i="14"/>
  <c r="AN41" i="14"/>
  <c r="AN42" i="14"/>
  <c r="AN43" i="14"/>
  <c r="AN44" i="14"/>
  <c r="AN45" i="14"/>
  <c r="AN3" i="15"/>
  <c r="AN4" i="15"/>
  <c r="AN5" i="15"/>
  <c r="AN6" i="15"/>
  <c r="AN7" i="15"/>
  <c r="AN8" i="15"/>
  <c r="AN9" i="15"/>
  <c r="AN10" i="15"/>
  <c r="AN11" i="15"/>
  <c r="AN12" i="15"/>
  <c r="AN13" i="15"/>
  <c r="AN14" i="15"/>
  <c r="AN15" i="15"/>
  <c r="AN16" i="15"/>
  <c r="AN17" i="15"/>
  <c r="AN18" i="15"/>
  <c r="AN19" i="15"/>
  <c r="AN20" i="15"/>
  <c r="AN21" i="15"/>
  <c r="AN22" i="15"/>
  <c r="AN23" i="15"/>
  <c r="AN24" i="15"/>
  <c r="AN25" i="15"/>
  <c r="AN26" i="15"/>
  <c r="AN27" i="15"/>
  <c r="AN28" i="15"/>
  <c r="AN29" i="15"/>
  <c r="AN30" i="15"/>
  <c r="AN31" i="15"/>
  <c r="AN32" i="15"/>
  <c r="AN33" i="15"/>
  <c r="AN34" i="15"/>
  <c r="AN35" i="15"/>
  <c r="AN36" i="15"/>
  <c r="AN37" i="15"/>
  <c r="AN38" i="15"/>
  <c r="AN39" i="15"/>
  <c r="AN40" i="15"/>
  <c r="AN41" i="15"/>
  <c r="AN42" i="15"/>
  <c r="AN43" i="15"/>
  <c r="AN44" i="15"/>
  <c r="AN45" i="15"/>
  <c r="AN46" i="15"/>
  <c r="AN47" i="15"/>
  <c r="AN48" i="15"/>
  <c r="AN49" i="15"/>
  <c r="AN50" i="15"/>
  <c r="AN51" i="15"/>
  <c r="AN52" i="15"/>
  <c r="AN53" i="15"/>
  <c r="AN54" i="15"/>
  <c r="AN55" i="15"/>
  <c r="AN56" i="15"/>
  <c r="AN57" i="15"/>
  <c r="AN58" i="15"/>
  <c r="AN59" i="15"/>
  <c r="AN60" i="15"/>
  <c r="AN61" i="15"/>
  <c r="AN62" i="15"/>
  <c r="AN63" i="15"/>
  <c r="AN64" i="15"/>
  <c r="AN65" i="15"/>
  <c r="AN66" i="15"/>
  <c r="AN67" i="15"/>
  <c r="AN68" i="15"/>
  <c r="AN69" i="15"/>
  <c r="AN70" i="15"/>
  <c r="AN71" i="15"/>
  <c r="AN72" i="15"/>
  <c r="AN73" i="15"/>
  <c r="AN74" i="15"/>
  <c r="AN75" i="15"/>
  <c r="AN76" i="15"/>
  <c r="AN77" i="15"/>
  <c r="AN78" i="15"/>
  <c r="AN79" i="15"/>
  <c r="AN80" i="15"/>
  <c r="AN81" i="15"/>
  <c r="AN82" i="15"/>
  <c r="AN83" i="15"/>
  <c r="AN84" i="15"/>
  <c r="AN85" i="15"/>
  <c r="AN86" i="15"/>
  <c r="AN87" i="15"/>
  <c r="AN88" i="15"/>
  <c r="AN89" i="15"/>
  <c r="AN90" i="15"/>
  <c r="AN91" i="15"/>
  <c r="AN92" i="15"/>
  <c r="AN93" i="15"/>
  <c r="AN94" i="15"/>
  <c r="AN95" i="15"/>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3" i="10"/>
  <c r="V4" i="10"/>
  <c r="V5" i="10"/>
  <c r="V6" i="10"/>
  <c r="V7" i="10"/>
  <c r="V8" i="10"/>
  <c r="V9" i="10"/>
  <c r="V10" i="10"/>
  <c r="V11" i="10"/>
  <c r="V12" i="10"/>
  <c r="V13" i="10"/>
  <c r="V14" i="10"/>
  <c r="V15" i="10"/>
  <c r="V16" i="10"/>
  <c r="V17" i="10"/>
  <c r="V18" i="10"/>
  <c r="V19" i="10"/>
  <c r="V20" i="10"/>
  <c r="V21" i="10"/>
  <c r="V22" i="10"/>
  <c r="V23" i="10"/>
  <c r="V24" i="10"/>
  <c r="V25" i="10"/>
  <c r="V26" i="10"/>
  <c r="V27" i="10"/>
  <c r="V28" i="10"/>
  <c r="V29" i="10"/>
  <c r="V30" i="10"/>
  <c r="V31" i="10"/>
  <c r="V32" i="10"/>
  <c r="V33" i="10"/>
  <c r="V34" i="10"/>
  <c r="V35" i="10"/>
  <c r="V36" i="10"/>
  <c r="V37" i="10"/>
  <c r="V38" i="10"/>
  <c r="V39" i="10"/>
  <c r="V40" i="10"/>
  <c r="V41" i="10"/>
  <c r="V42" i="10"/>
  <c r="V43" i="10"/>
  <c r="V44" i="10"/>
  <c r="V45" i="10"/>
  <c r="V46" i="10"/>
  <c r="V47" i="10"/>
  <c r="V48" i="10"/>
  <c r="V49" i="10"/>
  <c r="V50" i="10"/>
  <c r="V51" i="10"/>
  <c r="V52" i="10"/>
  <c r="V53" i="10"/>
  <c r="V54" i="10"/>
  <c r="V55" i="10"/>
  <c r="V56" i="10"/>
  <c r="V57" i="10"/>
  <c r="V58" i="10"/>
  <c r="V59" i="10"/>
  <c r="V60" i="10"/>
  <c r="V61" i="10"/>
  <c r="V62" i="10"/>
  <c r="V63" i="10"/>
  <c r="V64" i="10"/>
  <c r="V65" i="10"/>
  <c r="V66" i="10"/>
  <c r="V67" i="10"/>
  <c r="V68" i="10"/>
  <c r="V69" i="10"/>
  <c r="V70" i="10"/>
  <c r="V71" i="10"/>
  <c r="V72" i="10"/>
  <c r="V73" i="10"/>
  <c r="V74" i="10"/>
  <c r="V75" i="10"/>
  <c r="V76" i="10"/>
  <c r="V77" i="10"/>
  <c r="V78" i="10"/>
  <c r="V79" i="10"/>
  <c r="V80" i="10"/>
  <c r="V81" i="10"/>
  <c r="V82" i="10"/>
  <c r="V83" i="10"/>
  <c r="V84" i="10"/>
  <c r="V85" i="10"/>
  <c r="V86" i="10"/>
  <c r="V87" i="10"/>
  <c r="V88" i="10"/>
  <c r="V89" i="10"/>
  <c r="V90" i="10"/>
  <c r="V91" i="10"/>
  <c r="V92" i="10"/>
  <c r="V93" i="10"/>
  <c r="V94" i="10"/>
  <c r="V95" i="10"/>
  <c r="V96" i="10"/>
  <c r="V97" i="10"/>
  <c r="V98" i="10"/>
  <c r="V99" i="10"/>
  <c r="V100" i="10"/>
  <c r="V101" i="10"/>
  <c r="V102" i="10"/>
  <c r="V103" i="10"/>
  <c r="V104" i="10"/>
  <c r="V105" i="10"/>
  <c r="V106" i="10"/>
  <c r="V107" i="10"/>
  <c r="V108" i="10"/>
  <c r="V109" i="10"/>
  <c r="V110" i="10"/>
  <c r="V111" i="10"/>
  <c r="V112" i="10"/>
  <c r="V113" i="10"/>
  <c r="V114" i="10"/>
  <c r="V115" i="10"/>
  <c r="V116" i="10"/>
  <c r="V117" i="10"/>
  <c r="V118" i="10"/>
  <c r="V119" i="10"/>
  <c r="V120" i="10"/>
  <c r="V121" i="10"/>
  <c r="V122" i="10"/>
  <c r="V123" i="10"/>
  <c r="V124" i="10"/>
  <c r="V125" i="10"/>
  <c r="V126" i="10"/>
  <c r="V127" i="10"/>
  <c r="V128" i="10"/>
  <c r="V129" i="10"/>
  <c r="V130" i="10"/>
  <c r="V131" i="10"/>
  <c r="V132" i="10"/>
  <c r="V133" i="10"/>
  <c r="V134" i="10"/>
  <c r="V135" i="10"/>
  <c r="V136" i="10"/>
  <c r="V137" i="10"/>
  <c r="V138" i="10"/>
  <c r="V139" i="10"/>
  <c r="V140" i="10"/>
  <c r="V141" i="10"/>
  <c r="V142" i="10"/>
  <c r="V143" i="10"/>
  <c r="V144" i="10"/>
  <c r="V145" i="10"/>
  <c r="V146" i="10"/>
  <c r="V147" i="10"/>
  <c r="V148" i="10"/>
  <c r="V149" i="10"/>
  <c r="V150" i="10"/>
  <c r="V151" i="10"/>
  <c r="V152" i="10"/>
  <c r="V153" i="10"/>
  <c r="V154" i="10"/>
  <c r="V155" i="10"/>
  <c r="V156" i="10"/>
  <c r="V157" i="10"/>
  <c r="V158" i="10"/>
  <c r="V159" i="10"/>
  <c r="V160" i="10"/>
  <c r="V161" i="10"/>
  <c r="V162" i="10"/>
  <c r="V163" i="10"/>
  <c r="V164" i="10"/>
  <c r="V165" i="10"/>
  <c r="V166" i="10"/>
  <c r="V167" i="10"/>
  <c r="V168" i="10"/>
  <c r="V169" i="10"/>
  <c r="V170" i="10"/>
  <c r="V171" i="10"/>
  <c r="V172" i="10"/>
  <c r="V173" i="10"/>
  <c r="V174" i="10"/>
  <c r="V175" i="10"/>
  <c r="V176" i="10"/>
  <c r="V177" i="10"/>
  <c r="V178" i="10"/>
  <c r="V179" i="10"/>
  <c r="V180" i="10"/>
  <c r="V181" i="10"/>
  <c r="V182" i="10"/>
  <c r="V183" i="10"/>
  <c r="V184" i="10"/>
  <c r="V185" i="10"/>
  <c r="V186" i="10"/>
  <c r="V187" i="10"/>
  <c r="V188" i="10"/>
  <c r="V189" i="10"/>
  <c r="V190" i="10"/>
  <c r="V191" i="10"/>
  <c r="V192" i="10"/>
  <c r="V193" i="10"/>
  <c r="V194" i="10"/>
  <c r="V195" i="10"/>
  <c r="U3" i="17" l="1"/>
  <c r="U4" i="17"/>
  <c r="U5" i="17"/>
  <c r="U6" i="17"/>
  <c r="U7" i="17"/>
  <c r="U8" i="17"/>
  <c r="U9" i="17"/>
  <c r="U10" i="17"/>
  <c r="U11" i="17"/>
  <c r="U12" i="17"/>
  <c r="U13" i="17"/>
  <c r="U14" i="17"/>
  <c r="U15" i="17"/>
  <c r="U16" i="17"/>
  <c r="U17" i="17"/>
  <c r="U18" i="17"/>
  <c r="U19" i="17"/>
  <c r="U20" i="17"/>
  <c r="U21" i="17"/>
  <c r="U22" i="17"/>
  <c r="U23" i="17"/>
  <c r="U24" i="17"/>
  <c r="U25" i="17"/>
  <c r="U26" i="17"/>
  <c r="U27" i="17"/>
  <c r="U28" i="17"/>
  <c r="U29" i="17"/>
  <c r="U30" i="17"/>
  <c r="U31" i="17"/>
  <c r="U32" i="17"/>
  <c r="U33" i="17"/>
  <c r="U34" i="17"/>
  <c r="U35" i="17"/>
  <c r="U36" i="17"/>
  <c r="U37" i="17"/>
  <c r="U38" i="17"/>
  <c r="U39" i="17"/>
  <c r="Y88" i="10" l="1"/>
  <c r="Y87" i="10"/>
  <c r="Y86" i="10"/>
  <c r="Y85" i="10"/>
  <c r="Y84" i="10"/>
  <c r="Y83" i="10"/>
  <c r="Y82" i="10"/>
  <c r="Y81" i="10"/>
  <c r="Y80" i="10"/>
  <c r="Y79" i="10"/>
  <c r="Y78" i="10"/>
  <c r="Y77" i="10"/>
  <c r="Y76" i="10"/>
  <c r="Y75" i="10"/>
  <c r="Y74" i="10"/>
  <c r="Y73" i="10"/>
  <c r="Y67" i="10"/>
  <c r="Y66" i="10"/>
  <c r="Y65" i="10"/>
  <c r="Y64" i="10"/>
  <c r="Y63" i="10"/>
  <c r="Y62" i="10"/>
  <c r="Y61" i="10"/>
  <c r="Y60" i="10"/>
  <c r="Y59" i="10"/>
  <c r="Y58" i="10"/>
  <c r="Y57" i="10"/>
  <c r="Y56" i="10"/>
  <c r="Y55" i="10"/>
  <c r="Y54" i="10"/>
  <c r="Y53" i="10"/>
  <c r="Y52" i="10"/>
  <c r="Z39" i="10"/>
  <c r="Z38" i="10"/>
  <c r="Z37" i="10"/>
  <c r="Z36" i="10"/>
  <c r="Z35" i="10"/>
  <c r="Z34" i="10"/>
  <c r="Z33" i="10"/>
  <c r="Z32" i="10"/>
  <c r="Z31" i="10"/>
  <c r="Z30" i="10"/>
  <c r="Y29" i="10"/>
  <c r="Y28" i="10"/>
  <c r="Y27" i="10"/>
  <c r="Y26" i="10"/>
  <c r="Y25" i="10"/>
  <c r="Y24" i="10"/>
  <c r="Y23" i="10"/>
  <c r="Y22" i="10"/>
  <c r="Y21" i="10"/>
  <c r="Y20" i="10"/>
  <c r="Y19" i="10"/>
  <c r="Y18" i="10"/>
  <c r="Y17" i="10"/>
  <c r="Y16" i="10"/>
  <c r="U15" i="11"/>
  <c r="U14" i="11"/>
  <c r="U2" i="17" l="1"/>
  <c r="V15" i="11" l="1"/>
  <c r="V14" i="11"/>
  <c r="Z88" i="10"/>
  <c r="Z87" i="10"/>
  <c r="Z86" i="10"/>
  <c r="Z85" i="10"/>
  <c r="Z84" i="10"/>
  <c r="Z83" i="10"/>
  <c r="Z82" i="10"/>
  <c r="Z81" i="10"/>
  <c r="Z80" i="10"/>
  <c r="Z79" i="10"/>
  <c r="Z78" i="10"/>
  <c r="Z77" i="10"/>
  <c r="Z76" i="10"/>
  <c r="Z75" i="10"/>
  <c r="Z74" i="10"/>
  <c r="Z73" i="10"/>
  <c r="Z67" i="10"/>
  <c r="Z66" i="10"/>
  <c r="Z65" i="10"/>
  <c r="Z64" i="10"/>
  <c r="Z63" i="10"/>
  <c r="Z62" i="10"/>
  <c r="Z61" i="10"/>
  <c r="Z60" i="10"/>
  <c r="Z59" i="10"/>
  <c r="Z58" i="10"/>
  <c r="Z57" i="10"/>
  <c r="Z56" i="10"/>
  <c r="Z55" i="10"/>
  <c r="Z54" i="10"/>
  <c r="Z53" i="10"/>
  <c r="Z52" i="10"/>
  <c r="AA39" i="10"/>
  <c r="AA38" i="10"/>
  <c r="AA37" i="10"/>
  <c r="AA36" i="10"/>
  <c r="AA35" i="10"/>
  <c r="AA34" i="10"/>
  <c r="AA33" i="10"/>
  <c r="AA32" i="10"/>
  <c r="AA31" i="10"/>
  <c r="AA30" i="10"/>
  <c r="Z29" i="10"/>
  <c r="Z28" i="10"/>
  <c r="Z27" i="10"/>
  <c r="Z26" i="10"/>
  <c r="Z25" i="10"/>
  <c r="Z24" i="10"/>
  <c r="Z23" i="10"/>
  <c r="Z22" i="10"/>
  <c r="Z21" i="10"/>
  <c r="Z20" i="10"/>
  <c r="Z19" i="10"/>
  <c r="Z18" i="10"/>
  <c r="Z17" i="10"/>
  <c r="Z16" i="10"/>
  <c r="X3" i="16" l="1"/>
  <c r="X4" i="16"/>
  <c r="X5" i="16"/>
  <c r="Y33" i="10" l="1"/>
  <c r="X33" i="10"/>
  <c r="Y31" i="10"/>
  <c r="X31" i="10"/>
  <c r="Y35" i="10"/>
  <c r="X35" i="10"/>
  <c r="C29" i="10"/>
  <c r="X29" i="10"/>
  <c r="W29" i="10"/>
  <c r="E29" i="10"/>
  <c r="Y140" i="11" l="1"/>
  <c r="Y137" i="11"/>
  <c r="Y134" i="11"/>
  <c r="Y131" i="11"/>
  <c r="Y128" i="11"/>
  <c r="Y125" i="11"/>
  <c r="Y122" i="11"/>
  <c r="Y119" i="11"/>
  <c r="Y116" i="11"/>
  <c r="Y113" i="11"/>
  <c r="Y110" i="11"/>
  <c r="Y107" i="11"/>
  <c r="X140" i="11"/>
  <c r="X137" i="11"/>
  <c r="X134" i="11"/>
  <c r="X131" i="11"/>
  <c r="X128" i="11"/>
  <c r="X125" i="11"/>
  <c r="X122" i="11"/>
  <c r="X119" i="11"/>
  <c r="X116" i="11"/>
  <c r="X113" i="11"/>
  <c r="X110" i="11"/>
  <c r="X107" i="11"/>
  <c r="W140" i="11"/>
  <c r="V140" i="11"/>
  <c r="W137" i="11"/>
  <c r="V137" i="11"/>
  <c r="W134" i="11"/>
  <c r="V134" i="11"/>
  <c r="W131" i="11"/>
  <c r="V131" i="11"/>
  <c r="W128" i="11"/>
  <c r="V128" i="11"/>
  <c r="W125" i="11"/>
  <c r="V125" i="11"/>
  <c r="W122" i="11"/>
  <c r="V122" i="11"/>
  <c r="W119" i="11"/>
  <c r="V119" i="11"/>
  <c r="W116" i="11"/>
  <c r="V116" i="11"/>
  <c r="W113" i="11"/>
  <c r="V113" i="11"/>
  <c r="W110" i="11"/>
  <c r="V110" i="11"/>
  <c r="W107" i="11"/>
  <c r="V107" i="11"/>
  <c r="W101" i="11"/>
  <c r="V101" i="11"/>
  <c r="W95" i="11"/>
  <c r="V95" i="11"/>
  <c r="AE140" i="11" l="1"/>
  <c r="AF140" i="11"/>
  <c r="AG140" i="11"/>
  <c r="AH140" i="11"/>
  <c r="AE137" i="11"/>
  <c r="AF137" i="11"/>
  <c r="AG137" i="11"/>
  <c r="AH137" i="11"/>
  <c r="AE134" i="11"/>
  <c r="AF134" i="11"/>
  <c r="AG134" i="11"/>
  <c r="AH134" i="11"/>
  <c r="AE131" i="11"/>
  <c r="AF131" i="11"/>
  <c r="AG131" i="11"/>
  <c r="AH131" i="11"/>
  <c r="AE128" i="11"/>
  <c r="AF128" i="11"/>
  <c r="AG128" i="11"/>
  <c r="AH128" i="11"/>
  <c r="AE125" i="11"/>
  <c r="AF125" i="11"/>
  <c r="AG125" i="11"/>
  <c r="AH125" i="11"/>
  <c r="AE122" i="11"/>
  <c r="AF122" i="11"/>
  <c r="AG122" i="11"/>
  <c r="AH122" i="11"/>
  <c r="AE119" i="11"/>
  <c r="AF119" i="11"/>
  <c r="AG119" i="11"/>
  <c r="AH119" i="11"/>
  <c r="AE116" i="11"/>
  <c r="AF116" i="11"/>
  <c r="AG116" i="11"/>
  <c r="AH116" i="11"/>
  <c r="AE113" i="11"/>
  <c r="AF113" i="11"/>
  <c r="AG113" i="11"/>
  <c r="AH113" i="11"/>
  <c r="AE110" i="11"/>
  <c r="AF110" i="11"/>
  <c r="AG110" i="11"/>
  <c r="AH110" i="11"/>
  <c r="AE107" i="11"/>
  <c r="AF107" i="11"/>
  <c r="AG107" i="11"/>
  <c r="AH107" i="11"/>
  <c r="AC101" i="11"/>
  <c r="AD101" i="11"/>
  <c r="AC95" i="11"/>
  <c r="AD95" i="11"/>
  <c r="X2" i="16" l="1"/>
  <c r="X88" i="10" l="1"/>
  <c r="W88" i="10"/>
  <c r="X87" i="10"/>
  <c r="W87" i="10"/>
  <c r="X86" i="10"/>
  <c r="W86" i="10"/>
  <c r="X85" i="10"/>
  <c r="W85" i="10"/>
  <c r="X84" i="10"/>
  <c r="W84" i="10"/>
  <c r="X83" i="10"/>
  <c r="W83" i="10"/>
  <c r="X82" i="10"/>
  <c r="W82" i="10"/>
  <c r="X81" i="10"/>
  <c r="W81" i="10"/>
  <c r="X80" i="10"/>
  <c r="W80" i="10"/>
  <c r="X79" i="10"/>
  <c r="W79" i="10"/>
  <c r="X78" i="10"/>
  <c r="W78" i="10"/>
  <c r="X77" i="10"/>
  <c r="W77" i="10"/>
  <c r="X76" i="10"/>
  <c r="W76" i="10"/>
  <c r="X75" i="10"/>
  <c r="W75" i="10"/>
  <c r="X74" i="10"/>
  <c r="W74" i="10"/>
  <c r="X73" i="10"/>
  <c r="W73" i="10"/>
  <c r="X53" i="10"/>
  <c r="X54" i="10"/>
  <c r="X55" i="10"/>
  <c r="X56" i="10"/>
  <c r="X57" i="10"/>
  <c r="X58" i="10"/>
  <c r="X59" i="10"/>
  <c r="X60" i="10"/>
  <c r="X61" i="10"/>
  <c r="X62" i="10"/>
  <c r="X63" i="10"/>
  <c r="X64" i="10"/>
  <c r="X65" i="10"/>
  <c r="X66" i="10"/>
  <c r="X67" i="10"/>
  <c r="X52" i="10"/>
  <c r="W53" i="10"/>
  <c r="W54" i="10"/>
  <c r="W55" i="10"/>
  <c r="W56" i="10"/>
  <c r="W57" i="10"/>
  <c r="W58" i="10"/>
  <c r="W59" i="10"/>
  <c r="W60" i="10"/>
  <c r="W61" i="10"/>
  <c r="W62" i="10"/>
  <c r="W63" i="10"/>
  <c r="W64" i="10"/>
  <c r="W65" i="10"/>
  <c r="W66" i="10"/>
  <c r="W67" i="10"/>
  <c r="W52" i="10"/>
  <c r="X32" i="10"/>
  <c r="X34" i="10"/>
  <c r="X36" i="10"/>
  <c r="X37" i="10"/>
  <c r="X38" i="10"/>
  <c r="X39" i="10"/>
  <c r="X30" i="10"/>
  <c r="Y32" i="10"/>
  <c r="Y34" i="10"/>
  <c r="Y36" i="10"/>
  <c r="Y37" i="10"/>
  <c r="Y38" i="10"/>
  <c r="Y39" i="10"/>
  <c r="Y30" i="10"/>
  <c r="W17" i="10"/>
  <c r="W18" i="10"/>
  <c r="W19" i="10"/>
  <c r="W20" i="10"/>
  <c r="W21" i="10"/>
  <c r="W22" i="10"/>
  <c r="W23" i="10"/>
  <c r="W24" i="10"/>
  <c r="W25" i="10"/>
  <c r="W26" i="10"/>
  <c r="W27" i="10"/>
  <c r="W28" i="10"/>
  <c r="W16" i="10"/>
  <c r="X17" i="10"/>
  <c r="X18" i="10"/>
  <c r="X19" i="10"/>
  <c r="X20" i="10"/>
  <c r="X21" i="10"/>
  <c r="X22" i="10"/>
  <c r="X23" i="10"/>
  <c r="X24" i="10"/>
  <c r="X25" i="10"/>
  <c r="X26" i="10"/>
  <c r="X27" i="10"/>
  <c r="X28" i="10"/>
  <c r="X16" i="10"/>
  <c r="E53" i="10" l="1"/>
  <c r="E54" i="10"/>
  <c r="E55" i="10"/>
  <c r="E56" i="10"/>
  <c r="E57" i="10"/>
  <c r="E58" i="10"/>
  <c r="E59" i="10"/>
  <c r="E60" i="10"/>
  <c r="E61" i="10"/>
  <c r="E62" i="10"/>
  <c r="E63" i="10"/>
  <c r="E64" i="10"/>
  <c r="E65" i="10"/>
  <c r="E66" i="10"/>
  <c r="E67" i="10"/>
  <c r="E52" i="10"/>
  <c r="E74" i="10"/>
  <c r="E75" i="10"/>
  <c r="E76" i="10"/>
  <c r="E77" i="10"/>
  <c r="E78" i="10"/>
  <c r="E79" i="10"/>
  <c r="E80" i="10"/>
  <c r="E81" i="10"/>
  <c r="E82" i="10"/>
  <c r="E83" i="10"/>
  <c r="E84" i="10"/>
  <c r="E85" i="10"/>
  <c r="E86" i="10"/>
  <c r="E87" i="10"/>
  <c r="E88" i="10"/>
  <c r="E73" i="10"/>
  <c r="E18" i="10" l="1"/>
  <c r="E19" i="10"/>
  <c r="E20" i="10"/>
  <c r="E21" i="10"/>
  <c r="E22" i="10"/>
  <c r="E23" i="10"/>
  <c r="E17" i="10"/>
  <c r="E24" i="10"/>
  <c r="E25" i="10"/>
  <c r="E26" i="10"/>
  <c r="E27" i="10"/>
  <c r="E28" i="10"/>
  <c r="E16" i="10"/>
  <c r="C17" i="10"/>
  <c r="C16" i="10"/>
  <c r="C19" i="10"/>
  <c r="C20" i="10"/>
  <c r="C21" i="10"/>
  <c r="C22" i="10"/>
  <c r="C23" i="10"/>
  <c r="C24" i="10"/>
  <c r="C25" i="10"/>
  <c r="C26" i="10"/>
  <c r="C27" i="10"/>
  <c r="C28" i="10"/>
  <c r="C18" i="10"/>
  <c r="AN2" i="14" l="1"/>
  <c r="AN2" i="15"/>
  <c r="T2" i="11" l="1"/>
  <c r="V2" i="10"/>
  <c r="V2" i="12" l="1"/>
  <c r="A4" i="2" l="1"/>
  <c r="B33" i="4" l="1"/>
  <c r="U2" i="4" l="1"/>
  <c r="S2" i="4"/>
</calcChain>
</file>

<file path=xl/sharedStrings.xml><?xml version="1.0" encoding="utf-8"?>
<sst xmlns="http://purl.oclc.org/ooxml/spreadsheetml/main" count="5787" uniqueCount="2734">
  <si>
    <t>标识</t>
  </si>
  <si>
    <t>dwID</t>
  </si>
  <si>
    <t>等级</t>
  </si>
  <si>
    <t>备注信息</t>
  </si>
  <si>
    <t>0,255,0</t>
  </si>
  <si>
    <t>万花</t>
  </si>
  <si>
    <t>七秀</t>
  </si>
  <si>
    <t>龙门荒漠</t>
  </si>
  <si>
    <t>浩气盟</t>
  </si>
  <si>
    <t>恶人谷</t>
  </si>
  <si>
    <t>瞿塘峡</t>
  </si>
  <si>
    <t>七十级云湖天池</t>
  </si>
  <si>
    <t>唐门</t>
  </si>
  <si>
    <t>明教</t>
  </si>
  <si>
    <t>丐帮</t>
  </si>
  <si>
    <t>长安城</t>
  </si>
  <si>
    <t>浮香丘</t>
  </si>
  <si>
    <t>五台山</t>
  </si>
  <si>
    <t>阴山大草原</t>
  </si>
  <si>
    <t>黑戈壁</t>
  </si>
  <si>
    <t>洛阳城</t>
  </si>
  <si>
    <t>霸刀山庄</t>
  </si>
  <si>
    <t>云梦幽泽</t>
  </si>
  <si>
    <t>龙泉府</t>
  </si>
  <si>
    <t>经首道源岛</t>
  </si>
  <si>
    <t>鲲鹏岛</t>
  </si>
  <si>
    <t>雪山温泉</t>
  </si>
  <si>
    <t>天原绝境</t>
  </si>
  <si>
    <t>晟江</t>
  </si>
  <si>
    <t>万灵山庄</t>
  </si>
  <si>
    <t>罗小黑建木海</t>
  </si>
  <si>
    <t>szLang = "zhcn",</t>
    <phoneticPr fontId="18" type="noConversion"/>
  </si>
  <si>
    <t>语言，默认可不修改</t>
    <phoneticPr fontId="18" type="noConversion"/>
  </si>
  <si>
    <t>导出时的玩家名称</t>
    <phoneticPr fontId="18" type="noConversion"/>
  </si>
  <si>
    <t>时间戳</t>
    <phoneticPr fontId="18" type="noConversion"/>
  </si>
  <si>
    <t>导出时的服务器名称</t>
    <phoneticPr fontId="18" type="noConversion"/>
  </si>
  <si>
    <t>数据推荐官方语音包uuid</t>
    <phoneticPr fontId="18" type="noConversion"/>
  </si>
  <si>
    <t>数据推荐插件语音包uuid</t>
    <phoneticPr fontId="18" type="noConversion"/>
  </si>
  <si>
    <t>__meta = {</t>
    <phoneticPr fontId="18" type="noConversion"/>
  </si>
  <si>
    <t>},</t>
    <phoneticPr fontId="18" type="noConversion"/>
  </si>
  <si>
    <t>紫霞功</t>
  </si>
  <si>
    <t>DEBUFF</t>
  </si>
  <si>
    <t>洗髓经</t>
  </si>
  <si>
    <t>易筋经</t>
  </si>
  <si>
    <t>血战天策</t>
  </si>
  <si>
    <t>标记</t>
  </si>
  <si>
    <t>栖灵洞天</t>
  </si>
  <si>
    <t>pet_Type</t>
    <phoneticPr fontId="18" type="noConversion"/>
  </si>
  <si>
    <t>Source</t>
    <phoneticPr fontId="18" type="noConversion"/>
  </si>
  <si>
    <t>出行饲料</t>
    <phoneticPr fontId="18" type="noConversion"/>
  </si>
  <si>
    <t>宠物对应饲料</t>
    <phoneticPr fontId="18" type="noConversion"/>
  </si>
  <si>
    <t>宠物类型</t>
    <phoneticPr fontId="18" type="noConversion"/>
  </si>
  <si>
    <t>服务器</t>
    <phoneticPr fontId="18" type="noConversion"/>
  </si>
  <si>
    <t>鱼虾类</t>
    <phoneticPr fontId="18" type="noConversion"/>
  </si>
  <si>
    <t>小鱼虾</t>
    <phoneticPr fontId="18" type="noConversion"/>
  </si>
  <si>
    <t>禽鸟</t>
    <phoneticPr fontId="18" type="noConversion"/>
  </si>
  <si>
    <t>杂粮谷物</t>
  </si>
  <si>
    <t>猪</t>
    <phoneticPr fontId="18" type="noConversion"/>
  </si>
  <si>
    <t>家畜</t>
    <phoneticPr fontId="18" type="noConversion"/>
  </si>
  <si>
    <t>绝代天骄</t>
    <phoneticPr fontId="18" type="noConversion"/>
  </si>
  <si>
    <t>电信八区</t>
    <phoneticPr fontId="18" type="noConversion"/>
  </si>
  <si>
    <t>水族</t>
  </si>
  <si>
    <t>锦绣霓裳活动</t>
    <phoneticPr fontId="18" type="noConversion"/>
  </si>
  <si>
    <t>谷物类</t>
    <phoneticPr fontId="18" type="noConversion"/>
  </si>
  <si>
    <t>羊</t>
    <phoneticPr fontId="18" type="noConversion"/>
  </si>
  <si>
    <t>稻香村</t>
  </si>
  <si>
    <t>斗转星移</t>
    <phoneticPr fontId="18" type="noConversion"/>
  </si>
  <si>
    <t>电信五区</t>
    <phoneticPr fontId="18" type="noConversion"/>
  </si>
  <si>
    <t>大师赛竞猜</t>
    <phoneticPr fontId="18" type="noConversion"/>
  </si>
  <si>
    <t>肉类</t>
    <phoneticPr fontId="18" type="noConversion"/>
  </si>
  <si>
    <t>封家小块肉排</t>
  </si>
  <si>
    <t>皇竹草</t>
    <phoneticPr fontId="18" type="noConversion"/>
  </si>
  <si>
    <t>马</t>
    <phoneticPr fontId="18" type="noConversion"/>
  </si>
  <si>
    <t>唯我独尊</t>
    <phoneticPr fontId="18" type="noConversion"/>
  </si>
  <si>
    <t>走兽</t>
    <phoneticPr fontId="18" type="noConversion"/>
  </si>
  <si>
    <t>积分福袋</t>
    <phoneticPr fontId="18" type="noConversion"/>
  </si>
  <si>
    <t>机关组装零件</t>
    <phoneticPr fontId="18" type="noConversion"/>
  </si>
  <si>
    <t>猫科</t>
    <phoneticPr fontId="18" type="noConversion"/>
  </si>
  <si>
    <t>1024_蓝天白云</t>
  </si>
  <si>
    <t>乾坤一掷</t>
    <phoneticPr fontId="18" type="noConversion"/>
  </si>
  <si>
    <t>机关</t>
    <phoneticPr fontId="18" type="noConversion"/>
  </si>
  <si>
    <t>未知</t>
    <phoneticPr fontId="18" type="noConversion"/>
  </si>
  <si>
    <t>啮齿类</t>
    <phoneticPr fontId="18" type="noConversion"/>
  </si>
  <si>
    <t>磨牙棒</t>
  </si>
  <si>
    <t>犬科</t>
    <phoneticPr fontId="18" type="noConversion"/>
  </si>
  <si>
    <t>少林</t>
  </si>
  <si>
    <t>横刀断浪</t>
    <phoneticPr fontId="18" type="noConversion"/>
  </si>
  <si>
    <t>世界奇遇</t>
    <phoneticPr fontId="18" type="noConversion"/>
  </si>
  <si>
    <t>异宠类</t>
    <phoneticPr fontId="18" type="noConversion"/>
  </si>
  <si>
    <t>草饼</t>
  </si>
  <si>
    <t>啮齿</t>
    <phoneticPr fontId="18" type="noConversion"/>
  </si>
  <si>
    <t>扬州</t>
  </si>
  <si>
    <t>剑胆琴心</t>
    <phoneticPr fontId="18" type="noConversion"/>
  </si>
  <si>
    <t>积分回馈</t>
    <phoneticPr fontId="18" type="noConversion"/>
  </si>
  <si>
    <t>草料类</t>
    <phoneticPr fontId="18" type="noConversion"/>
  </si>
  <si>
    <t>纯阳</t>
  </si>
  <si>
    <t>幽月轮</t>
    <phoneticPr fontId="18" type="noConversion"/>
  </si>
  <si>
    <t>秘境奇遇</t>
    <phoneticPr fontId="18" type="noConversion"/>
  </si>
  <si>
    <t>异宠</t>
    <phoneticPr fontId="18" type="noConversion"/>
  </si>
  <si>
    <t>洛阳</t>
  </si>
  <si>
    <t>梦江南</t>
    <phoneticPr fontId="18" type="noConversion"/>
  </si>
  <si>
    <t>门派特有</t>
    <phoneticPr fontId="18" type="noConversion"/>
  </si>
  <si>
    <t>任何</t>
    <phoneticPr fontId="18" type="noConversion"/>
  </si>
  <si>
    <t>蜀黍</t>
    <phoneticPr fontId="18" type="noConversion"/>
  </si>
  <si>
    <t>洛道</t>
  </si>
  <si>
    <t>执子之手</t>
    <phoneticPr fontId="18" type="noConversion"/>
  </si>
  <si>
    <t>游戏活动</t>
    <phoneticPr fontId="18" type="noConversion"/>
  </si>
  <si>
    <t>寇岛</t>
  </si>
  <si>
    <t>飞龙在天</t>
    <phoneticPr fontId="18" type="noConversion"/>
  </si>
  <si>
    <t>双线二区</t>
    <phoneticPr fontId="18" type="noConversion"/>
  </si>
  <si>
    <t>限时宠物</t>
    <phoneticPr fontId="18" type="noConversion"/>
  </si>
  <si>
    <t>天策</t>
  </si>
  <si>
    <t>破阵子</t>
    <phoneticPr fontId="18" type="noConversion"/>
  </si>
  <si>
    <t>双线一区</t>
    <phoneticPr fontId="18" type="noConversion"/>
  </si>
  <si>
    <t>运营活动</t>
    <phoneticPr fontId="18" type="noConversion"/>
  </si>
  <si>
    <t>枫华谷</t>
  </si>
  <si>
    <t>天鹅坪</t>
    <phoneticPr fontId="18" type="noConversion"/>
  </si>
  <si>
    <t>金水镇</t>
  </si>
  <si>
    <t>长安城</t>
    <phoneticPr fontId="18" type="noConversion"/>
  </si>
  <si>
    <t>电信一区</t>
    <phoneticPr fontId="18" type="noConversion"/>
  </si>
  <si>
    <t>灵霄峡</t>
  </si>
  <si>
    <t>蝶恋花</t>
    <phoneticPr fontId="18" type="noConversion"/>
  </si>
  <si>
    <t>长安</t>
  </si>
  <si>
    <t>龙争虎斗</t>
    <phoneticPr fontId="18" type="noConversion"/>
  </si>
  <si>
    <t>青梅煮酒</t>
    <phoneticPr fontId="18" type="noConversion"/>
  </si>
  <si>
    <t>双线四区</t>
    <phoneticPr fontId="18" type="noConversion"/>
  </si>
  <si>
    <t>天工坊</t>
  </si>
  <si>
    <t>奉天证道</t>
    <phoneticPr fontId="18" type="noConversion"/>
  </si>
  <si>
    <t>无盐岛</t>
  </si>
  <si>
    <t>空雾峰</t>
  </si>
  <si>
    <t>天地三才阵</t>
  </si>
  <si>
    <t>巴陵县</t>
  </si>
  <si>
    <t>南屏山</t>
  </si>
  <si>
    <t>荻花宫前山</t>
  </si>
  <si>
    <t>日轮山城</t>
  </si>
  <si>
    <t>五十级云湖天池</t>
  </si>
  <si>
    <t>昆仑</t>
  </si>
  <si>
    <t>特殊光照地图2</t>
  </si>
  <si>
    <t>战宝迦兰</t>
  </si>
  <si>
    <t>天子峰</t>
  </si>
  <si>
    <t>风雨稻香村</t>
  </si>
  <si>
    <t>英雄天地三才阵</t>
  </si>
  <si>
    <t>英雄天工坊</t>
  </si>
  <si>
    <t>神农洇</t>
  </si>
  <si>
    <t>四十级云湖天池</t>
  </si>
  <si>
    <t>英雄荻花宫前山</t>
  </si>
  <si>
    <t>英雄无盐岛</t>
  </si>
  <si>
    <t>英雄天子峰</t>
  </si>
  <si>
    <t>英雄空雾峰</t>
  </si>
  <si>
    <t>英雄日轮山城</t>
  </si>
  <si>
    <t>英雄灵霄峡</t>
  </si>
  <si>
    <t>英雄战宝迦兰</t>
  </si>
  <si>
    <t>英雄风雨稻香村</t>
  </si>
  <si>
    <t>珍珑棋谷</t>
  </si>
  <si>
    <t>藏剑山庄</t>
  </si>
  <si>
    <t>丝绸之路</t>
  </si>
  <si>
    <t>剑冢</t>
  </si>
  <si>
    <t>邀星坪_夜射天狼</t>
  </si>
  <si>
    <t>守株围场_打猎</t>
  </si>
  <si>
    <t>困龙岭_梅花桩</t>
  </si>
  <si>
    <t>陷空坳_宇文宝藏</t>
  </si>
  <si>
    <t>百草园</t>
  </si>
  <si>
    <t>持国天王殿</t>
  </si>
  <si>
    <t>宫中神武遗迹</t>
  </si>
  <si>
    <t>英雄剑冢</t>
  </si>
  <si>
    <t>英雄宫中神武遗迹</t>
  </si>
  <si>
    <t>25人普通宫中神武遗迹</t>
  </si>
  <si>
    <t>25人普通持国天王殿</t>
  </si>
  <si>
    <t>英雄持国天王殿</t>
  </si>
  <si>
    <t>荻花宫后山</t>
  </si>
  <si>
    <t>荻花圣殿</t>
  </si>
  <si>
    <t>10人英雄荻花圣殿</t>
  </si>
  <si>
    <t>25人普通荻花圣殿</t>
  </si>
  <si>
    <t>仙踪林</t>
  </si>
  <si>
    <t>25人英雄荻花圣殿</t>
  </si>
  <si>
    <t>英雄荻花宫后山</t>
  </si>
  <si>
    <t>帮会领地</t>
  </si>
  <si>
    <t>毒神殿</t>
  </si>
  <si>
    <t>白龙口</t>
  </si>
  <si>
    <t>无量山</t>
  </si>
  <si>
    <t>五毒</t>
  </si>
  <si>
    <t>融天岭</t>
  </si>
  <si>
    <t>黑龙沼</t>
  </si>
  <si>
    <t>苍山洱海</t>
  </si>
  <si>
    <t>法王窟</t>
  </si>
  <si>
    <t>无量宫</t>
  </si>
  <si>
    <t>成都</t>
  </si>
  <si>
    <t>龙渊泽</t>
  </si>
  <si>
    <t>寂灭厅</t>
  </si>
  <si>
    <t>英雄仙踪林</t>
  </si>
  <si>
    <t>英雄毒神殿</t>
  </si>
  <si>
    <t>英雄寂灭厅</t>
  </si>
  <si>
    <t>英雄无量宫</t>
  </si>
  <si>
    <t>英雄法王窟</t>
  </si>
  <si>
    <t>低级仙踪林</t>
  </si>
  <si>
    <t>25人英雄龙渊泽</t>
  </si>
  <si>
    <t>25人普通龙渊泽</t>
  </si>
  <si>
    <t>10人英雄龙渊泽</t>
  </si>
  <si>
    <t>荻花洞窟</t>
  </si>
  <si>
    <t>英雄神农洇</t>
  </si>
  <si>
    <t>低级唐门密室</t>
  </si>
  <si>
    <t>唐门密室</t>
  </si>
  <si>
    <t>神剑冢</t>
  </si>
  <si>
    <t>天山碎冰谷</t>
  </si>
  <si>
    <t>乐山大佛窟</t>
  </si>
  <si>
    <t>华山之巅</t>
  </si>
  <si>
    <t>英雄荻花洞窟</t>
  </si>
  <si>
    <t>持国天王回忆录</t>
  </si>
  <si>
    <t>25人英雄烛龙殿</t>
  </si>
  <si>
    <t>烛龙殿</t>
  </si>
  <si>
    <t>三国古战场</t>
  </si>
  <si>
    <t>会战唐门</t>
  </si>
  <si>
    <t>大漠楼兰</t>
  </si>
  <si>
    <t>25人英雄会战唐门</t>
  </si>
  <si>
    <t>枫华谷·战乱</t>
  </si>
  <si>
    <t>南诏皇宫</t>
  </si>
  <si>
    <t>光明顶秘道</t>
  </si>
  <si>
    <t>低级光明顶秘道</t>
  </si>
  <si>
    <t>试炼之地</t>
  </si>
  <si>
    <t>英雄持国回忆录</t>
  </si>
  <si>
    <t>雪原争锋</t>
  </si>
  <si>
    <t>洛阳·战乱</t>
  </si>
  <si>
    <t>大唐监狱</t>
  </si>
  <si>
    <t>马嵬驿</t>
  </si>
  <si>
    <t>英雄南诏皇宫</t>
  </si>
  <si>
    <t>长安·战乱</t>
  </si>
  <si>
    <t>英雄一线天</t>
  </si>
  <si>
    <t>天策·战乱</t>
  </si>
  <si>
    <t>战宝军械库</t>
  </si>
  <si>
    <t>华清宫</t>
  </si>
  <si>
    <t>英雄华清宫</t>
  </si>
  <si>
    <t>华清宫回忆录</t>
  </si>
  <si>
    <t>大明宫</t>
  </si>
  <si>
    <t>英雄大明宫</t>
  </si>
  <si>
    <t>一线天</t>
  </si>
  <si>
    <t>流离岛</t>
  </si>
  <si>
    <t>英雄流离岛</t>
  </si>
  <si>
    <t>英雄战宝军械库</t>
  </si>
  <si>
    <t>齐物阁</t>
  </si>
  <si>
    <t>迷仙引</t>
  </si>
  <si>
    <t>英雄血战天策</t>
  </si>
  <si>
    <t>风雪稻香村</t>
  </si>
  <si>
    <t>英雄风雪稻香村</t>
  </si>
  <si>
    <t>直城门</t>
  </si>
  <si>
    <t>狼影殿</t>
  </si>
  <si>
    <t>秦皇陵</t>
  </si>
  <si>
    <t>英雄秦皇陵</t>
  </si>
  <si>
    <t>墨家秘殿</t>
  </si>
  <si>
    <t>春明门</t>
  </si>
  <si>
    <t>藏宝洞·野人谷</t>
  </si>
  <si>
    <t>藏宝洞·夜狼山</t>
  </si>
  <si>
    <t>太原之战·夜守孤城</t>
  </si>
  <si>
    <t>太原之战·逐虎驱狼</t>
  </si>
  <si>
    <t>苍云</t>
  </si>
  <si>
    <t>太原</t>
  </si>
  <si>
    <t>雁门关之役</t>
  </si>
  <si>
    <t>普通雁门关之役</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</si>
  <si>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</si>
  <si>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</si>
  <si>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</si>
  <si>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</si>
  <si>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</si>
  <si>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</si>
  <si>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</si>
  <si>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</si>
  <si>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</si>
  <si>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</si>
  <si>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</si>
  <si>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千岛湖</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</si>
  <si>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</si>
  <si>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</si>
  <si>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</si>
  <si>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</si>
  <si>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</si>
  <si>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</si>
  <si>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</si>
  <si>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</si>
  <si>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</si>
  <si>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</si>
  <si>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</si>
  <si>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</si>
  <si>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</si>
  <si>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</si>
  <si>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</si>
  <si>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</si>
  <si>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</si>
  <si>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</si>
  <si>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</si>
  <si>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上阳宫_观风殿</t>
  </si>
  <si>
    <t>上阳宫_双曜亭</t>
  </si>
  <si>
    <t>白帝水宫</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</si>
  <si>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</si>
  <si>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</si>
  <si>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</si>
  <si>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</si>
  <si>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</si>
  <si>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</si>
  <si>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</si>
  <si>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</si>
  <si>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</si>
  <si>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</si>
  <si>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</si>
  <si>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</si>
  <si>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</si>
  <si>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</si>
  <si>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</si>
  <si>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</si>
  <si>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</si>
  <si>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</si>
  <si>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</si>
  <si>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</si>
  <si>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</si>
  <si>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</si>
  <si>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</si>
  <si>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</si>
  <si>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</si>
  <si>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</si>
  <si>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</si>
  <si>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</si>
  <si>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</si>
  <si>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phoneticPr fontId="18" type="noConversion"/>
  </si>
  <si>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</si>
  <si>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</si>
  <si>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</si>
  <si>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</si>
  <si>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</si>
  <si>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</si>
  <si>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</si>
  <si>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</si>
  <si>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</si>
  <si>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</si>
  <si>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</si>
  <si>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</si>
  <si>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</si>
  <si>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</si>
  <si>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</si>
  <si>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</si>
  <si>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</si>
  <si>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</si>
  <si>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</si>
  <si>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</si>
  <si>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</si>
  <si>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</si>
  <si>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</si>
  <si>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</si>
  <si>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</si>
  <si>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</si>
  <si>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</si>
  <si>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</si>
  <si>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</si>
  <si>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</si>
  <si>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</si>
  <si>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</si>
  <si>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</si>
  <si>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</si>
  <si>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</si>
  <si>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李渡鬼域</t>
  </si>
  <si>
    <t>帮会狼牙堡_辉天堑</t>
  </si>
  <si>
    <t>帮会狼牙堡_狼神殿</t>
  </si>
  <si>
    <t>洞天福地岛</t>
  </si>
  <si>
    <t>九寨沟</t>
  </si>
  <si>
    <t>侠客岛</t>
  </si>
  <si>
    <t>蓬莱</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</si>
  <si>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</si>
  <si>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</si>
  <si>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</si>
  <si>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</si>
  <si>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</si>
  <si>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</si>
  <si>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</si>
  <si>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</si>
  <si>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</si>
  <si>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</si>
  <si>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</si>
  <si>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</si>
  <si>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</si>
  <si>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</si>
  <si>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</si>
  <si>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</si>
  <si>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</si>
  <si>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</si>
  <si>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</si>
  <si>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</si>
  <si>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</si>
  <si>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</si>
  <si>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</si>
  <si>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</si>
  <si>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</si>
  <si>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</si>
  <si>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</si>
  <si>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</si>
  <si>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</si>
  <si>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</si>
  <si>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</si>
  <si>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</si>
  <si>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</si>
  <si>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</si>
  <si>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</si>
  <si>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</si>
  <si>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</si>
  <si>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</si>
  <si>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</si>
  <si>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</si>
  <si>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</si>
  <si>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</si>
  <si>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</si>
  <si>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</si>
  <si>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</si>
  <si>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</si>
  <si>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</si>
  <si>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</si>
  <si>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</si>
  <si>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</si>
  <si>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</si>
  <si>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</si>
  <si>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</si>
  <si>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</si>
  <si>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</si>
  <si>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</si>
  <si>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</si>
  <si>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</si>
  <si>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</si>
  <si>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</si>
  <si>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</si>
  <si>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</si>
  <si>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</si>
  <si>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</si>
  <si>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</si>
  <si>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</si>
  <si>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</si>
  <si>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</si>
  <si>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</si>
  <si>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</si>
  <si>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</si>
  <si>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</si>
  <si>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</si>
  <si>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</si>
  <si>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</si>
  <si>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</si>
  <si>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</si>
  <si>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</si>
  <si>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</si>
  <si>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</si>
  <si>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</si>
  <si>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</si>
  <si>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</si>
  <si>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</si>
  <si>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</si>
  <si>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</si>
  <si>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</si>
  <si>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</si>
  <si>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</si>
  <si>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</si>
  <si>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</si>
  <si>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</si>
  <si>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</si>
  <si>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</si>
  <si>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</si>
  <si>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</si>
  <si>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</si>
  <si>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</si>
  <si>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</si>
  <si>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</si>
  <si>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</si>
  <si>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</si>
  <si>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</si>
  <si>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</si>
  <si>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</si>
  <si>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</si>
  <si>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</si>
  <si>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</si>
  <si>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</si>
  <si>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</si>
  <si>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</si>
  <si>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</si>
  <si>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</si>
  <si>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</si>
  <si>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</si>
  <si>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</si>
  <si>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</si>
  <si>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</si>
  <si>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</si>
  <si>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</si>
  <si>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</si>
  <si>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</si>
  <si>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</si>
  <si>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</si>
  <si>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</si>
  <si>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</si>
  <si>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</si>
  <si>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</si>
  <si>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</si>
  <si>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</si>
  <si>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</si>
  <si>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</si>
  <si>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</si>
  <si>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</si>
  <si>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</si>
  <si>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</si>
  <si>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</si>
  <si>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</si>
  <si>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</si>
  <si>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</si>
  <si>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</si>
  <si>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</si>
  <si>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</si>
  <si>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</si>
  <si>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</si>
  <si>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</si>
  <si>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</si>
  <si>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</si>
  <si>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</si>
  <si>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</si>
  <si>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</si>
  <si>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</si>
  <si>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</si>
  <si>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</si>
  <si>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</si>
  <si>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</si>
  <si>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</si>
  <si>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</si>
  <si>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</si>
  <si>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</si>
  <si>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</si>
  <si>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</si>
  <si>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</si>
  <si>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</si>
  <si>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</si>
  <si>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</si>
  <si>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</si>
  <si>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</si>
  <si>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</si>
  <si>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</si>
  <si>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</si>
  <si>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</si>
  <si>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</si>
  <si>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</si>
  <si>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</si>
  <si>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</si>
  <si>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</si>
  <si>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</si>
  <si>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</si>
  <si>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刀宗</t>
  </si>
  <si>
    <t>百溪</t>
  </si>
  <si>
    <t>烂柯山</t>
  </si>
  <si>
    <t>楚州</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</si>
  <si>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</si>
  <si>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</si>
  <si>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</si>
  <si>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</si>
  <si>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</si>
  <si>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</si>
  <si>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</si>
  <si>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</si>
  <si>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</si>
  <si>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</si>
  <si>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</si>
  <si>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</si>
  <si>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</si>
  <si>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</si>
  <si>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</si>
  <si>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</si>
  <si>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</si>
  <si>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</si>
  <si>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</si>
  <si>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</si>
  <si>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</si>
  <si>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</si>
  <si>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</si>
  <si>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</si>
  <si>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</si>
  <si>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</si>
  <si>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</si>
  <si>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</si>
  <si>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</si>
  <si>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</si>
  <si>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</si>
  <si>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</si>
  <si>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</si>
  <si>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</si>
  <si>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</si>
  <si>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</si>
  <si>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</si>
  <si>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</si>
  <si>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</si>
  <si>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</si>
  <si>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</si>
  <si>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</si>
  <si>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</si>
  <si>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</si>
  <si>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</si>
  <si>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</si>
  <si>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</si>
  <si>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</si>
  <si>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</si>
  <si>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</si>
  <si>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</si>
  <si>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</si>
  <si>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</si>
  <si>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</si>
  <si>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</si>
  <si>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</si>
  <si>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</si>
  <si>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</si>
  <si>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</si>
  <si>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</si>
  <si>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</si>
  <si>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</si>
  <si>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</si>
  <si>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</si>
  <si>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</si>
  <si>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</si>
  <si>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</si>
  <si>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</si>
  <si>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英雄栖灵洞天</t>
  </si>
  <si>
    <t>新旧贴花测试_新</t>
  </si>
  <si>
    <t>新旧贴画测试_旧</t>
  </si>
  <si>
    <t>登陆界面_2023_001</t>
  </si>
  <si>
    <t>八荒衡鉴·仙踪林</t>
    <phoneticPr fontId="18" type="noConversion"/>
  </si>
  <si>
    <t>浩气盟</t>
    <phoneticPr fontId="18" type="noConversion"/>
  </si>
  <si>
    <t>恶人谷</t>
    <phoneticPr fontId="18" type="noConversion"/>
  </si>
  <si>
    <t>藏剑</t>
  </si>
  <si>
    <t>长歌</t>
  </si>
  <si>
    <t>霸刀</t>
  </si>
  <si>
    <t>凌雪</t>
  </si>
  <si>
    <t>衍天</t>
  </si>
  <si>
    <t>药宗</t>
  </si>
  <si>
    <t>万灵</t>
    <phoneticPr fontId="18" type="noConversion"/>
  </si>
  <si>
    <t>160,30,30</t>
  </si>
  <si>
    <t>255,178,95</t>
  </si>
  <si>
    <t>255,111,83</t>
  </si>
  <si>
    <t>121,183,54</t>
  </si>
  <si>
    <t>214,249,93</t>
  </si>
  <si>
    <t>205,133,63</t>
  </si>
  <si>
    <t>240,70,96</t>
  </si>
  <si>
    <t>180,60,0</t>
  </si>
  <si>
    <t>161,9,34</t>
  </si>
  <si>
    <t>166,83,251</t>
  </si>
  <si>
    <t>0,172,153</t>
  </si>
  <si>
    <t>255,50,50</t>
  </si>
  <si>
    <t>绿色</t>
  </si>
  <si>
    <t>黄色</t>
  </si>
  <si>
    <t>255,255,0</t>
  </si>
  <si>
    <t>紫色</t>
  </si>
  <si>
    <t>255,50,255</t>
  </si>
  <si>
    <t>蓝色</t>
  </si>
  <si>
    <t>0,50,255</t>
  </si>
  <si>
    <t>红色</t>
    <phoneticPr fontId="18" type="noConversion"/>
  </si>
  <si>
    <t>青色</t>
    <phoneticPr fontId="18" type="noConversion"/>
  </si>
  <si>
    <t>白色</t>
    <phoneticPr fontId="18" type="noConversion"/>
  </si>
  <si>
    <t>橙色</t>
    <phoneticPr fontId="18" type="noConversion"/>
  </si>
  <si>
    <t>255,150,0</t>
    <phoneticPr fontId="18" type="noConversion"/>
  </si>
  <si>
    <t>0,255,255</t>
    <phoneticPr fontId="18" type="noConversion"/>
  </si>
  <si>
    <t>淡黄</t>
    <phoneticPr fontId="18" type="noConversion"/>
  </si>
  <si>
    <t>223,191,31</t>
    <phoneticPr fontId="18" type="noConversion"/>
  </si>
  <si>
    <t>嫩绿</t>
    <phoneticPr fontId="18" type="noConversion"/>
  </si>
  <si>
    <t>179,238,74</t>
    <phoneticPr fontId="18" type="noConversion"/>
  </si>
  <si>
    <t>粉色</t>
    <phoneticPr fontId="18" type="noConversion"/>
  </si>
  <si>
    <t>灰色</t>
    <phoneticPr fontId="18" type="noConversion"/>
  </si>
  <si>
    <t>金色</t>
    <phoneticPr fontId="18" type="noConversion"/>
  </si>
  <si>
    <t>255,204,0</t>
    <phoneticPr fontId="18" type="noConversion"/>
  </si>
  <si>
    <t>淡紫</t>
    <phoneticPr fontId="18" type="noConversion"/>
  </si>
  <si>
    <t>165,96,232</t>
    <phoneticPr fontId="18" type="noConversion"/>
  </si>
  <si>
    <t>淡绿</t>
    <phoneticPr fontId="18" type="noConversion"/>
  </si>
  <si>
    <t>0,238,0</t>
    <phoneticPr fontId="18" type="noConversion"/>
  </si>
  <si>
    <t>太虚剑意</t>
  </si>
  <si>
    <t>花间游</t>
  </si>
  <si>
    <t>离经易道</t>
  </si>
  <si>
    <t>傲血战意</t>
  </si>
  <si>
    <t>铁牢律</t>
  </si>
  <si>
    <t>冰心诀</t>
  </si>
  <si>
    <t>云裳心经</t>
  </si>
  <si>
    <t>毒经</t>
  </si>
  <si>
    <t>补天诀</t>
  </si>
  <si>
    <t>惊羽诀</t>
  </si>
  <si>
    <t>天罗诡道</t>
  </si>
  <si>
    <t>问水诀</t>
  </si>
  <si>
    <t>山居剑意</t>
  </si>
  <si>
    <t>笑尘诀</t>
  </si>
  <si>
    <t>焚影圣诀</t>
  </si>
  <si>
    <t>明尊琉璃体</t>
  </si>
  <si>
    <t>铁骨衣</t>
  </si>
  <si>
    <t>分山劲</t>
  </si>
  <si>
    <t>莫问</t>
  </si>
  <si>
    <t>相知</t>
  </si>
  <si>
    <t>北傲诀</t>
  </si>
  <si>
    <t>凌海诀</t>
  </si>
  <si>
    <t>隐龙诀</t>
  </si>
  <si>
    <t>太玄经</t>
  </si>
  <si>
    <t>灵素</t>
  </si>
  <si>
    <t>无方</t>
  </si>
  <si>
    <t>心法</t>
    <phoneticPr fontId="18" type="noConversion"/>
  </si>
  <si>
    <t>通用</t>
    <phoneticPr fontId="18" type="noConversion"/>
  </si>
  <si>
    <t>BUFF</t>
  </si>
  <si>
    <t>有利气劲</t>
  </si>
  <si>
    <t>CASTING</t>
  </si>
  <si>
    <t>NPC</t>
  </si>
  <si>
    <t>DOODAD</t>
  </si>
  <si>
    <t>TALK</t>
  </si>
  <si>
    <t>CHAT</t>
  </si>
  <si>
    <t>不利气劲</t>
  </si>
  <si>
    <t>武学招式</t>
  </si>
  <si>
    <t>系统角色</t>
  </si>
  <si>
    <t>交互物件</t>
  </si>
  <si>
    <t>角色喊话</t>
  </si>
  <si>
    <t>系统频道</t>
  </si>
  <si>
    <t>团队面板</t>
    <phoneticPr fontId="18" type="noConversion"/>
  </si>
  <si>
    <t>值类型</t>
  </si>
  <si>
    <t>描述</t>
  </si>
  <si>
    <t>nStackNum</t>
  </si>
  <si>
    <t>整数</t>
  </si>
  <si>
    <t>触发层数</t>
  </si>
  <si>
    <t>nStackNum = 3</t>
  </si>
  <si>
    <t>szStackOp</t>
  </si>
  <si>
    <t>字符串</t>
  </si>
  <si>
    <t>触发逻辑（数学比较运算符）</t>
  </si>
  <si>
    <t>szStackOp = "="</t>
  </si>
  <si>
    <t>布尔</t>
  </si>
  <si>
    <t>仅来源自己</t>
  </si>
  <si>
    <t>bOnlyMine = true</t>
  </si>
  <si>
    <t>bOnlyMe</t>
  </si>
  <si>
    <t>仅监控自己</t>
  </si>
  <si>
    <t>bOnlyMe = true</t>
  </si>
  <si>
    <t>szReminder</t>
  </si>
  <si>
    <t>备注</t>
  </si>
  <si>
    <t>szReminder = "xxx"</t>
  </si>
  <si>
    <t>nPriority</t>
  </si>
  <si>
    <t>优先级（越小越高，0为最高）</t>
  </si>
  <si>
    <t>nPriority = 2</t>
  </si>
  <si>
    <t>col</t>
  </si>
  <si>
    <t>蒙版颜色 + 描边颜色</t>
  </si>
  <si>
    <t>col = "#3FDFBFA9"</t>
  </si>
  <si>
    <t>整数（0-255）</t>
  </si>
  <si>
    <t>描边透明度</t>
  </si>
  <si>
    <t>nColAlpha = 169</t>
  </si>
  <si>
    <t>蒙版警告</t>
  </si>
  <si>
    <t>bAttention = true</t>
  </si>
  <si>
    <t>bScreenHead</t>
  </si>
  <si>
    <t>开启头顶提示</t>
  </si>
  <si>
    <t>bScreenHead = true</t>
  </si>
  <si>
    <t>头顶提示颜色</t>
  </si>
  <si>
    <t>colScreenHead = "#DFBF3F"</t>
  </si>
  <si>
    <t>开启特效警告</t>
  </si>
  <si>
    <t>bCaution = true</t>
  </si>
  <si>
    <t>tRelation</t>
  </si>
  <si>
    <t>表</t>
  </si>
  <si>
    <t>目标关系</t>
  </si>
  <si>
    <t>-</t>
  </si>
  <si>
    <t>tLife</t>
  </si>
  <si>
    <t>目标血量百分比</t>
  </si>
  <si>
    <t>nMaxDistance</t>
  </si>
  <si>
    <t>数字</t>
  </si>
  <si>
    <t>最大距离</t>
  </si>
  <si>
    <t>nMaxDistance = 10</t>
  </si>
  <si>
    <t>szDisplay</t>
  </si>
  <si>
    <t>名称显示</t>
  </si>
  <si>
    <t>szDisplay = "xxxx"</t>
  </si>
  <si>
    <t>dwMapID</t>
  </si>
  <si>
    <t>生效地图ID</t>
  </si>
  <si>
    <t>dwMapID = -1</t>
  </si>
  <si>
    <t>tRelation = {			--目标关系
    bAll = false,			--全部
    bEnemy = false,			--敌对目标
    bAlly = true,			--非敌对目标
},</t>
    <phoneticPr fontId="18" type="noConversion"/>
  </si>
  <si>
    <t>tLife = {				--目标气血限制
    bEnable = true,			--是否启用
    szOperator = "&gt;=",		--触发逻辑（对应气血百分比，=、!=、&lt;、&gt;=、&gt;、&lt;=）
    nValue = 60,			--气血百分比
},</t>
    <phoneticPr fontId="18" type="noConversion"/>
  </si>
  <si>
    <t>nClass</t>
  </si>
  <si>
    <t>nClass = 9</t>
  </si>
  <si>
    <t>nIcon</t>
  </si>
  <si>
    <t>计时条图标</t>
  </si>
  <si>
    <t>nIcon = 894</t>
  </si>
  <si>
    <t>nFrame</t>
  </si>
  <si>
    <t>倒计时条背景色（0橙,1粉,2红,3黄,4灰,5深蓝,6绿,7浅蓝,8紫,其他为透明）</t>
  </si>
  <si>
    <t>nFrame = 1</t>
  </si>
  <si>
    <t>bHold</t>
  </si>
  <si>
    <t>倒计时过图不消失</t>
  </si>
  <si>
    <t>bHold = true</t>
  </si>
  <si>
    <t>szName</t>
  </si>
  <si>
    <t>倒计时条显示文字</t>
  </si>
  <si>
    <t>szName = "倒计时 {$S565}"</t>
  </si>
  <si>
    <t>bTeamChannel</t>
  </si>
  <si>
    <t>是否开启团队喊话报警</t>
  </si>
  <si>
    <t>bTeamChannel = true</t>
  </si>
  <si>
    <t>nTime</t>
  </si>
  <si>
    <t>数字/字符串</t>
  </si>
  <si>
    <t>nTime = 10</t>
  </si>
  <si>
    <t>nRefresh</t>
  </si>
  <si>
    <t>重复调用时间限制</t>
  </si>
  <si>
    <t>nRefresh = 5</t>
  </si>
  <si>
    <t>key</t>
  </si>
  <si>
    <t>倒计时唯一标识</t>
  </si>
  <si>
    <t>key = "demo"</t>
  </si>
  <si>
    <t>动态属性编号</t>
    <phoneticPr fontId="18" type="noConversion"/>
  </si>
  <si>
    <t>焦点列表</t>
    <phoneticPr fontId="18" type="noConversion"/>
  </si>
  <si>
    <t>倒计时条</t>
    <phoneticPr fontId="18" type="noConversion"/>
  </si>
  <si>
    <t>键名</t>
  </si>
  <si>
    <t> 示例</t>
  </si>
  <si>
    <t>应用范围</t>
  </si>
  <si>
    <t>是否必须</t>
  </si>
  <si>
    <t>szNote</t>
  </si>
  <si>
    <t>szNote = "备注说明"</t>
  </si>
  <si>
    <t>BUFF、DEBUFF、CASTING、NPC、DOODAD、TALK、CHAT</t>
  </si>
  <si>
    <t>否</t>
  </si>
  <si>
    <t>是</t>
  </si>
  <si>
    <t>tCountdown</t>
  </si>
  <si>
    <t>数组</t>
  </si>
  <si>
    <t>计时条</t>
  </si>
  <si>
    <t>通用报警颜色</t>
  </si>
  <si>
    <t>col = {255,0,0}</t>
  </si>
  <si>
    <t>非完全通用部分包含：</t>
  </si>
  <si>
    <t>ID（编号）</t>
  </si>
  <si>
    <t>dwID = 684</t>
  </si>
  <si>
    <t>BUFF、DEBUFF、CASTING、NPC、DOODAD</t>
  </si>
  <si>
    <t>nLevel</t>
  </si>
  <si>
    <t>nLevel = 1</t>
  </si>
  <si>
    <t>BUFF、DEBUFF、CASTING</t>
  </si>
  <si>
    <t>是否区分等级</t>
  </si>
  <si>
    <t>bCheckLevel = true</t>
  </si>
  <si>
    <t>nCount</t>
  </si>
  <si>
    <t>层数必须达到n/数量必须达到n</t>
  </si>
  <si>
    <t>nCount = 2</t>
  </si>
  <si>
    <t>BUFF、DEBUFF、NPC、DOODAD</t>
  </si>
  <si>
    <t>自定义名称</t>
  </si>
  <si>
    <t>szName = "天地低昂"</t>
  </si>
  <si>
    <t>自定义图标</t>
  </si>
  <si>
    <t>nIcon = 1498</t>
  </si>
  <si>
    <t>监控对象类型（缺省-全部，1自身，2团队，3敌对，4当前目标）</t>
  </si>
  <si>
    <t>nScrutinyType = 2</t>
  </si>
  <si>
    <t>aCataclysmBuff</t>
  </si>
  <si>
    <t>茗伊团队框架buff设置</t>
  </si>
  <si>
    <t>BUFF、DEBUFF</t>
  </si>
  <si>
    <t>bMonTarget </t>
  </si>
  <si>
    <t>显示目标名称</t>
  </si>
  <si>
    <t>bMonTarget = true</t>
  </si>
  <si>
    <t>npc头像图标ID</t>
  </si>
  <si>
    <t>nFrame = 50</t>
  </si>
  <si>
    <t>bAllLeave</t>
  </si>
  <si>
    <t>必须全部消失</t>
  </si>
  <si>
    <t>bAllLeave = true</t>
  </si>
  <si>
    <t>NPC、DOODAD</t>
  </si>
  <si>
    <t>aFocus</t>
  </si>
  <si>
    <t>焦点</t>
  </si>
  <si>
    <t>szTarget</t>
  </si>
  <si>
    <t>喊话对象</t>
  </si>
  <si>
    <t>szTarget = "xxx"</t>
  </si>
  <si>
    <t>szContent</t>
  </si>
  <si>
    <t>szContent = "xxx"</t>
  </si>
  <si>
    <t>bSearch</t>
  </si>
  <si>
    <t>模糊匹配</t>
  </si>
  <si>
    <t>bSearch = true</t>
  </si>
  <si>
    <t>TALK，CHAT</t>
  </si>
  <si>
    <t>bReg</t>
  </si>
  <si>
    <t>开启正则</t>
  </si>
  <si>
    <t>bReg = true</t>
  </si>
  <si>
    <t>示例</t>
    <phoneticPr fontId="18" type="noConversion"/>
  </si>
  <si>
    <t>见《团队面板属性》</t>
    <phoneticPr fontId="18" type="noConversion"/>
  </si>
  <si>
    <t>自身心法要求（心法ID请参阅《心法ID表》）</t>
    <phoneticPr fontId="18" type="noConversion"/>
  </si>
  <si>
    <t>见《计时条属性》</t>
    <phoneticPr fontId="18" type="noConversion"/>
  </si>
  <si>
    <t>静态属性</t>
    <phoneticPr fontId="18" type="noConversion"/>
  </si>
  <si>
    <t>OTHER</t>
  </si>
  <si>
    <t>BUFF_GET</t>
  </si>
  <si>
    <t>获得BUFF</t>
  </si>
  <si>
    <t>BUFF_LOSE</t>
  </si>
  <si>
    <t>失去BUFF</t>
  </si>
  <si>
    <t>NPC_ENTER</t>
  </si>
  <si>
    <t>NPC进入场景</t>
  </si>
  <si>
    <t>NPC_LEAVE</t>
  </si>
  <si>
    <t>NPC离开场景</t>
  </si>
  <si>
    <t>NPC_TALK</t>
  </si>
  <si>
    <t>NPC说话信息(未使用)</t>
  </si>
  <si>
    <t>NPC_LIFE</t>
  </si>
  <si>
    <t>NPC气血值监控</t>
  </si>
  <si>
    <t>NPC_FIGHT</t>
  </si>
  <si>
    <t>NPC进入战斗</t>
  </si>
  <si>
    <t>SKILL_BEGIN</t>
  </si>
  <si>
    <t>技能开始释放</t>
  </si>
  <si>
    <t>SKILL_END</t>
  </si>
  <si>
    <t>技能成功(结束)释放</t>
  </si>
  <si>
    <t>SYS_TALK</t>
  </si>
  <si>
    <t>系统聊天信息(未使用)</t>
  </si>
  <si>
    <t>NPC_ALLLEAVE</t>
  </si>
  <si>
    <t>所有同一个NPC离开场景</t>
  </si>
  <si>
    <t>NPC_DEATH</t>
  </si>
  <si>
    <t>NPC死亡</t>
  </si>
  <si>
    <t>NPC_ALLDEATH</t>
  </si>
  <si>
    <t>所有同一个NPC死亡</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</si>
  <si>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</si>
  <si>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</si>
  <si>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</si>
  <si>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</si>
  <si>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</si>
  <si>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</si>
  <si>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</si>
  <si>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</si>
  <si>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</si>
  <si>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</si>
  <si>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</si>
  <si>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</si>
  <si>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</si>
  <si>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动态属性</t>
    <phoneticPr fontId="18" type="noConversion"/>
  </si>
  <si>
    <t>bCheckLevel</t>
    <phoneticPr fontId="18" type="noConversion"/>
  </si>
  <si>
    <t>nScrutinyType</t>
    <phoneticPr fontId="18" type="noConversion"/>
  </si>
  <si>
    <t>tKungFu</t>
    <phoneticPr fontId="18" type="noConversion"/>
  </si>
  <si>
    <t>键</t>
  </si>
  <si>
    <t>示例</t>
  </si>
  <si>
    <t>tMark</t>
  </si>
  <si>
    <t>见下文</t>
  </si>
  <si>
    <t>团队频道报警开关</t>
  </si>
  <si>
    <t>bWhisperChannel</t>
  </si>
  <si>
    <t>密聊频道报警开关</t>
  </si>
  <si>
    <t>bWhisperChannel = true</t>
  </si>
  <si>
    <t>bCenterAlarm</t>
  </si>
  <si>
    <t>中央报警开关</t>
  </si>
  <si>
    <t>bCenterAlarm = true</t>
  </si>
  <si>
    <t>头顶报警开关</t>
  </si>
  <si>
    <t>BUFF、DEBUFF、NPC</t>
  </si>
  <si>
    <t>bPartyBuffList</t>
  </si>
  <si>
    <t>团队气劲列表开关</t>
  </si>
  <si>
    <t>bPartyBuffList = true</t>
  </si>
  <si>
    <t>bBuffList</t>
  </si>
  <si>
    <t>自身气劲列表开关</t>
  </si>
  <si>
    <t>bBuffList = true</t>
  </si>
  <si>
    <t>bTeamPanel</t>
  </si>
  <si>
    <t>（显示于）团队面板开关</t>
  </si>
  <si>
    <t>bTeamPanel = true</t>
  </si>
  <si>
    <t>仅显示来源自己的气劲开关</t>
  </si>
  <si>
    <t>bOnlySelfSrc = true</t>
  </si>
  <si>
    <t>szVoice</t>
  </si>
  <si>
    <t>语音slug标识</t>
  </si>
  <si>
    <t>szVoice = "ChengShang_P"</t>
  </si>
  <si>
    <t>bVoiceSelfOnly</t>
  </si>
  <si>
    <t>是否优先使用官方语音条目</t>
  </si>
  <si>
    <t>bVoiceSelfOnly = true</t>
  </si>
  <si>
    <t>bVoiceOfficial</t>
  </si>
  <si>
    <t>是否仅在自身气劲下播放语音（仅用于气劲相关）</t>
  </si>
  <si>
    <t>bVoiceOfficial = true</t>
  </si>
  <si>
    <t>255,153,204</t>
    <phoneticPr fontId="18" type="noConversion"/>
  </si>
  <si>
    <t>170,170,170</t>
    <phoneticPr fontId="18" type="noConversion"/>
  </si>
  <si>
    <t>60,128,220</t>
    <phoneticPr fontId="18" type="noConversion"/>
  </si>
  <si>
    <t>196,152,255</t>
    <phoneticPr fontId="18" type="noConversion"/>
  </si>
  <si>
    <t>22,216,216</t>
    <phoneticPr fontId="18" type="noConversion"/>
  </si>
  <si>
    <t>255,129,176</t>
    <phoneticPr fontId="18" type="noConversion"/>
  </si>
  <si>
    <t>55,147,255</t>
    <phoneticPr fontId="18" type="noConversion"/>
  </si>
  <si>
    <t>100,250,180</t>
    <phoneticPr fontId="18" type="noConversion"/>
  </si>
  <si>
    <t>106,108,189</t>
    <phoneticPr fontId="18" type="noConversion"/>
  </si>
  <si>
    <t>171,227,250</t>
    <phoneticPr fontId="18" type="noConversion"/>
  </si>
  <si>
    <t>107,183,242</t>
    <phoneticPr fontId="18" type="noConversion"/>
  </si>
  <si>
    <t>235,215,115</t>
    <phoneticPr fontId="18" type="noConversion"/>
  </si>
  <si>
    <t>255,255,255</t>
    <phoneticPr fontId="18" type="noConversion"/>
  </si>
  <si>
    <t>bOnlySelfSrc</t>
    <phoneticPr fontId="18" type="noConversion"/>
  </si>
  <si>
    <t>bOnlyMine</t>
    <phoneticPr fontId="18" type="noConversion"/>
  </si>
  <si>
    <t>colScreenHead</t>
    <phoneticPr fontId="18" type="noConversion"/>
  </si>
  <si>
    <t>nColAlpha</t>
    <phoneticPr fontId="18" type="noConversion"/>
  </si>
  <si>
    <t>bAttention</t>
    <phoneticPr fontId="18" type="noConversion"/>
  </si>
  <si>
    <t>bScreenHead</t>
    <phoneticPr fontId="18" type="noConversion"/>
  </si>
  <si>
    <t>bCaution</t>
    <phoneticPr fontId="18" type="noConversion"/>
  </si>
  <si>
    <t>CHAT</t>
    <phoneticPr fontId="18" type="noConversion"/>
  </si>
  <si>
    <t>szOfficialVoicePacketUUID="",</t>
    <phoneticPr fontId="18" type="noConversion"/>
  </si>
  <si>
    <t>szCustomVoicePacketUUID="",</t>
    <phoneticPr fontId="18" type="noConversion"/>
  </si>
  <si>
    <t>团队监控手册</t>
    <phoneticPr fontId="18" type="noConversion"/>
  </si>
  <si>
    <t>不建议使用0、1，因为在excel表格中0，1可能代表布尔值，干扰公式结果，建议从5开始，留下2，3，4给PVE中BOSS秒杀等重要气劲使用</t>
    <phoneticPr fontId="18" type="noConversion"/>
  </si>
  <si>
    <t>透明建议使用-1</t>
    <phoneticPr fontId="18" type="noConversion"/>
  </si>
  <si>
    <t>主城</t>
    <phoneticPr fontId="18" type="noConversion"/>
  </si>
  <si>
    <t>秘境</t>
    <phoneticPr fontId="18" type="noConversion"/>
  </si>
  <si>
    <t>小队秘境</t>
    <phoneticPr fontId="18" type="noConversion"/>
  </si>
  <si>
    <t>团队秘境</t>
    <phoneticPr fontId="18" type="noConversion"/>
  </si>
  <si>
    <t>浪客行</t>
    <phoneticPr fontId="18" type="noConversion"/>
  </si>
  <si>
    <t>野外地图</t>
    <phoneticPr fontId="18" type="noConversion"/>
  </si>
  <si>
    <t>名剑大会</t>
    <phoneticPr fontId="18" type="noConversion"/>
  </si>
  <si>
    <t>回收站</t>
    <phoneticPr fontId="18" type="noConversion"/>
  </si>
  <si>
    <t>战场</t>
    <phoneticPr fontId="18" type="noConversion"/>
  </si>
  <si>
    <t>绝境战场</t>
    <phoneticPr fontId="18" type="noConversion"/>
  </si>
  <si>
    <t>李渡鬼域</t>
    <phoneticPr fontId="18" type="noConversion"/>
  </si>
  <si>
    <t>百战通用</t>
    <phoneticPr fontId="18" type="noConversion"/>
  </si>
  <si>
    <t>列镜虚境</t>
    <phoneticPr fontId="18" type="noConversion"/>
  </si>
  <si>
    <t>家园</t>
    <phoneticPr fontId="18" type="noConversion"/>
  </si>
  <si>
    <t>八荒横鉴</t>
    <phoneticPr fontId="18" type="noConversion"/>
  </si>
  <si>
    <t>动态属性编号映射</t>
    <phoneticPr fontId="18" type="noConversion"/>
  </si>
  <si>
    <t>插件面板可修改</t>
    <phoneticPr fontId="18" type="noConversion"/>
  </si>
  <si>
    <t>喊话内容(注意excel换行表示为\n)</t>
    <phoneticPr fontId="18" type="noConversion"/>
  </si>
  <si>
    <t>tKungFu={["SKILL#10081"] = true,["SKILL#10080"] = true,},</t>
    <phoneticPr fontId="18" type="noConversion"/>
  </si>
  <si>
    <t>江湖</t>
  </si>
  <si>
    <t>School ID</t>
  </si>
  <si>
    <t>门派</t>
    <phoneticPr fontId="18" type="noConversion"/>
  </si>
  <si>
    <t>Force ID</t>
    <phoneticPr fontId="18" type="noConversion"/>
  </si>
  <si>
    <t>地图ID</t>
    <phoneticPr fontId="18" type="noConversion"/>
  </si>
  <si>
    <t>地图名称</t>
    <phoneticPr fontId="18" type="noConversion"/>
  </si>
  <si>
    <t>Mount ID</t>
  </si>
  <si>
    <t>武学套路说明</t>
  </si>
  <si>
    <t>10005;10010;10095;10082</t>
  </si>
  <si>
    <t>防身武艺;基础招式;混元气功;江湖轻功</t>
  </si>
  <si>
    <t>10031;10032;10033;10034</t>
  </si>
  <si>
    <t>罗汉棍法;龙爪功;袈裟伏魔功;达摩武诀</t>
  </si>
  <si>
    <t>10000;10009;10011;10012</t>
  </si>
  <si>
    <t>纯阳诀;北冥剑气;天道剑势;坐忘经</t>
  </si>
  <si>
    <t>10018;10019;10088;10089</t>
  </si>
  <si>
    <t>养心诀;太素九针;点穴截脉;百花拂穴手</t>
  </si>
  <si>
    <t>10017;10023;10024;10061</t>
  </si>
  <si>
    <t>羽林枪法;虎牙令;奔雷枪术;游龙骑法</t>
  </si>
  <si>
    <t>10068;10069;10070;10072</t>
  </si>
  <si>
    <t>猿公剑法;霓裳羽衣;西河剑器;剑器浑脱</t>
  </si>
  <si>
    <t>10171;10172;10173;10174</t>
  </si>
  <si>
    <t>千劫万毒手;引魂蛊术;驭虫奇术;补天心经</t>
  </si>
  <si>
    <t>10216;10218;10219;10220</t>
  </si>
  <si>
    <t>乾坤一掷;百步穿杨;九宫飞星;天魔无相</t>
  </si>
  <si>
    <t>10146;10148;10149;10150</t>
  </si>
  <si>
    <t>秀水剑法;灵峰剑式;君子风;西子情</t>
  </si>
  <si>
    <t>10263;10264;10296;10265</t>
  </si>
  <si>
    <t>打狗棒法;降龙掌·上;降龙掌·下;逍遥行</t>
  </si>
  <si>
    <t>10235;10236;10237;10238</t>
  </si>
  <si>
    <t>日月净世;幻魔妙相;御暗烬灭令;大圣明尊法</t>
  </si>
  <si>
    <t>10385;10386;10384;10383</t>
  </si>
  <si>
    <t>云城盾;苍雪刀;破阵令;寒铁诀</t>
  </si>
  <si>
    <t>10440;10441;10442;10443</t>
  </si>
  <si>
    <t>音;曲;气;影</t>
  </si>
  <si>
    <t>10465;10466;10467;10468</t>
  </si>
  <si>
    <t>殷雷腿;秀明尘身;松烟竹雾;雪絮金屏</t>
  </si>
  <si>
    <t>10535;10539;10540;10541</t>
  </si>
  <si>
    <t>风起云扬诀;长空破云式;九霄踏云步;碧海缥缈掌</t>
  </si>
  <si>
    <t>10586;10588;10589;10590</t>
  </si>
  <si>
    <t>断水刃;隐雷鞭;冲云链;山河令</t>
  </si>
  <si>
    <t>10614;10617;10618;10619</t>
  </si>
  <si>
    <t>九字诀;占术;奇门;天机</t>
  </si>
  <si>
    <t>10622;10623;10624;10625</t>
  </si>
  <si>
    <t>行忌制方;行宜列药;凌波飞叶令;神农百草诀</t>
  </si>
  <si>
    <t>10697;10706;10707;10708</t>
  </si>
  <si>
    <t>流云势法;游风步;破浪三式;骤雨劲</t>
  </si>
  <si>
    <t>Kungfu ID</t>
    <phoneticPr fontId="18" type="noConversion"/>
  </si>
  <si>
    <t>颜色表</t>
    <phoneticPr fontId="18" type="noConversion"/>
  </si>
  <si>
    <t>RGB</t>
    <phoneticPr fontId="18" type="noConversion"/>
  </si>
  <si>
    <t>H</t>
    <phoneticPr fontId="18" type="noConversion"/>
  </si>
  <si>
    <t>站位走位</t>
    <phoneticPr fontId="18" type="noConversion"/>
  </si>
  <si>
    <t>准备承伤</t>
  </si>
  <si>
    <t>ChengShang_P</t>
  </si>
  <si>
    <t>都来准备承伤</t>
  </si>
  <si>
    <t>准备抱团</t>
  </si>
  <si>
    <t>BaoTuan_P</t>
  </si>
  <si>
    <t>准备抱团啦</t>
  </si>
  <si>
    <t>准备分散</t>
  </si>
  <si>
    <t>FenSan_P</t>
  </si>
  <si>
    <t>准备分散呀</t>
  </si>
  <si>
    <t>准备移动</t>
  </si>
  <si>
    <t>YiDong_P</t>
  </si>
  <si>
    <t>准备原地不动</t>
  </si>
  <si>
    <t>YuanDiBuDong_P</t>
  </si>
  <si>
    <t>准备原地停留</t>
  </si>
  <si>
    <t>准备背对</t>
  </si>
  <si>
    <t>BeiDui_P</t>
  </si>
  <si>
    <t>准备引导</t>
  </si>
  <si>
    <t>YinDao_P</t>
  </si>
  <si>
    <t>远离boss</t>
  </si>
  <si>
    <t>YuanLiBoss</t>
  </si>
  <si>
    <t>快远离boss</t>
  </si>
  <si>
    <t>Boss拉走</t>
  </si>
  <si>
    <t>BossLaZou</t>
  </si>
  <si>
    <t>把boss拉走</t>
  </si>
  <si>
    <t>小怪拉走</t>
  </si>
  <si>
    <t>XiaoGuaiLaZou</t>
  </si>
  <si>
    <t>把小怪拉走</t>
  </si>
  <si>
    <t>承伤抱团</t>
  </si>
  <si>
    <t>ChengShang_T</t>
  </si>
  <si>
    <t>一起抱团承伤</t>
  </si>
  <si>
    <t>找T抱团</t>
  </si>
  <si>
    <t>BaoTuan_T_sp</t>
  </si>
  <si>
    <t>人群抱团</t>
  </si>
  <si>
    <t>BaoTuan_T_sp2</t>
  </si>
  <si>
    <t>点名抱团</t>
  </si>
  <si>
    <t>BaoTuan_T_s</t>
  </si>
  <si>
    <t>点名玩家抱团</t>
  </si>
  <si>
    <t>boss脚下抱团</t>
  </si>
  <si>
    <t>BaoTuan_T_sp3</t>
  </si>
  <si>
    <t>npc脚下抱团</t>
  </si>
  <si>
    <t>BaoTuan_T_sp4</t>
  </si>
  <si>
    <t>保持分散</t>
  </si>
  <si>
    <t>FenSan_T</t>
  </si>
  <si>
    <t>保持分散 散开</t>
  </si>
  <si>
    <t>保持移动</t>
  </si>
  <si>
    <t>YiDong_T</t>
  </si>
  <si>
    <t>保持移动 别停</t>
  </si>
  <si>
    <t>别动</t>
  </si>
  <si>
    <t>YuanDiBuDong_T</t>
  </si>
  <si>
    <t>站原地别动</t>
  </si>
  <si>
    <t>背对boss</t>
  </si>
  <si>
    <t>BeiDui_T</t>
  </si>
  <si>
    <t>面向背对boss</t>
  </si>
  <si>
    <t>注意引导</t>
  </si>
  <si>
    <t>YinDao_T</t>
  </si>
  <si>
    <t>注意准备引导</t>
  </si>
  <si>
    <t>点名引导</t>
  </si>
  <si>
    <t>YinDao_T_s</t>
  </si>
  <si>
    <t>点名玩家引导</t>
  </si>
  <si>
    <t>点名</t>
    <phoneticPr fontId="18" type="noConversion"/>
  </si>
  <si>
    <t>准备点名</t>
  </si>
  <si>
    <t>DianMing_P</t>
  </si>
  <si>
    <t>远离点名</t>
  </si>
  <si>
    <t>DianMing_T_sp</t>
  </si>
  <si>
    <t>远离点名玩家</t>
  </si>
  <si>
    <t>点名出人群</t>
  </si>
  <si>
    <t>DianMing_T_sp2</t>
  </si>
  <si>
    <t>点名玩家出人群</t>
  </si>
  <si>
    <t>点名躲技能</t>
  </si>
  <si>
    <t>DianMing_T_sp3</t>
  </si>
  <si>
    <t>点名玩家多好技能</t>
  </si>
  <si>
    <t>点名上点</t>
  </si>
  <si>
    <t>DianMing_T_sp4</t>
  </si>
  <si>
    <t>点名玩家前往指定点</t>
  </si>
  <si>
    <t>点名不动</t>
  </si>
  <si>
    <t>DianMing_T_sp5</t>
  </si>
  <si>
    <t>点名玩家原地别动</t>
  </si>
  <si>
    <t>点名遛怪</t>
  </si>
  <si>
    <t>DianMing_T_sp6</t>
  </si>
  <si>
    <t>点名玩家遛怪</t>
  </si>
  <si>
    <t>技能释放</t>
    <phoneticPr fontId="18" type="noConversion"/>
  </si>
  <si>
    <t>准备驱散</t>
  </si>
  <si>
    <t>QuSan_P</t>
  </si>
  <si>
    <t>准备减伤</t>
  </si>
  <si>
    <t>JianShang_P</t>
  </si>
  <si>
    <t>准备开减伤</t>
  </si>
  <si>
    <t>准备控怪</t>
  </si>
  <si>
    <t>KongGuai_P</t>
  </si>
  <si>
    <t>准备打断</t>
  </si>
  <si>
    <t>DaDuan_P</t>
  </si>
  <si>
    <t>准备连续打断</t>
  </si>
  <si>
    <t>LianXuDaDuan_P</t>
  </si>
  <si>
    <t>准备抬血</t>
  </si>
  <si>
    <t>TaiXie_P</t>
  </si>
  <si>
    <t>治疗准备抬血</t>
  </si>
  <si>
    <t>准备断读条</t>
  </si>
  <si>
    <t>DuanDuTiao_P</t>
  </si>
  <si>
    <t>驱散T</t>
  </si>
  <si>
    <t>QuSan_T_sp</t>
  </si>
  <si>
    <t>快驱散T</t>
  </si>
  <si>
    <t>驱散点名</t>
  </si>
  <si>
    <t>QuSan_T_sp2</t>
  </si>
  <si>
    <t>驱散点名玩家</t>
  </si>
  <si>
    <t>驱散boss</t>
  </si>
  <si>
    <t>QuSan_T_sp3</t>
  </si>
  <si>
    <t>驱散npc</t>
  </si>
  <si>
    <t>QuSan_T_sp4</t>
  </si>
  <si>
    <t>驱散Npc</t>
  </si>
  <si>
    <t>快开减伤</t>
  </si>
  <si>
    <t>JianShang_T</t>
  </si>
  <si>
    <t>快开减伤！</t>
  </si>
  <si>
    <t>给点名减伤</t>
  </si>
  <si>
    <t>JianShang_T_s</t>
  </si>
  <si>
    <t>给被点玩家减伤！</t>
  </si>
  <si>
    <t>注意控怪</t>
  </si>
  <si>
    <t>KongGuai_T</t>
  </si>
  <si>
    <t>注意控制目标</t>
  </si>
  <si>
    <t>打断！</t>
  </si>
  <si>
    <t>DaDuan_T</t>
  </si>
  <si>
    <t>快打断！</t>
  </si>
  <si>
    <t>打断注意接断</t>
  </si>
  <si>
    <t>LianXuDaDuan_T</t>
  </si>
  <si>
    <t>准备继续打断</t>
  </si>
  <si>
    <t>注意团血</t>
  </si>
  <si>
    <t>TaiXie_T</t>
  </si>
  <si>
    <t>点名给大加</t>
  </si>
  <si>
    <t>TaiXie_T_s</t>
  </si>
  <si>
    <t>给点名玩家大加！</t>
  </si>
  <si>
    <t>别用读条技能</t>
  </si>
  <si>
    <t>DuanDuTiao_T</t>
  </si>
  <si>
    <t>断读条，别用读条技能</t>
  </si>
  <si>
    <t>目标</t>
    <phoneticPr fontId="18" type="noConversion"/>
  </si>
  <si>
    <t>准备转火</t>
  </si>
  <si>
    <t>ZhuanHuo_P</t>
  </si>
  <si>
    <t>准备停手</t>
  </si>
  <si>
    <t>TingShou_P</t>
  </si>
  <si>
    <t>准备停奶</t>
  </si>
  <si>
    <t>TingNai_P</t>
  </si>
  <si>
    <t>治疗准备停奶</t>
  </si>
  <si>
    <t>准备换仇</t>
  </si>
  <si>
    <t>HuanChou_P</t>
  </si>
  <si>
    <t>T准备换仇</t>
  </si>
  <si>
    <t>停手别打了</t>
  </si>
  <si>
    <t>TingShou_T</t>
  </si>
  <si>
    <t>DPS停手!</t>
  </si>
  <si>
    <t>治疗停手</t>
  </si>
  <si>
    <t>TingNai_T</t>
  </si>
  <si>
    <t>治疗停手!</t>
  </si>
  <si>
    <t>注意换仇</t>
  </si>
  <si>
    <t>HuanChou_T</t>
  </si>
  <si>
    <t>T注意换仇</t>
  </si>
  <si>
    <t>其它</t>
    <phoneticPr fontId="18" type="noConversion"/>
  </si>
  <si>
    <t>准备转阶段</t>
  </si>
  <si>
    <t>ZhuanJieDuan</t>
  </si>
  <si>
    <t>准备QTE</t>
  </si>
  <si>
    <t>QTE</t>
  </si>
  <si>
    <t>使用道具</t>
  </si>
  <si>
    <t>ShiYongDaoJu</t>
  </si>
  <si>
    <t>使用特殊道具</t>
  </si>
  <si>
    <t>使用特殊技能</t>
  </si>
  <si>
    <t>ShiYongTeShuJiNeng</t>
  </si>
  <si>
    <t>转火</t>
    <phoneticPr fontId="18" type="noConversion"/>
  </si>
  <si>
    <t>转火白云</t>
  </si>
  <si>
    <t>ZhuanHuo_T_BY</t>
  </si>
  <si>
    <t>转火小剑</t>
  </si>
  <si>
    <t>ZhuanHuo_T_XJ</t>
  </si>
  <si>
    <t>转火斧头</t>
  </si>
  <si>
    <t>ZhuanHuo_T_FT</t>
  </si>
  <si>
    <t>转火钩子</t>
  </si>
  <si>
    <t>ZhuanHuo_T_GZ</t>
  </si>
  <si>
    <t>转火红鼓</t>
  </si>
  <si>
    <t>ZhuanHuo_T_HG</t>
  </si>
  <si>
    <t>转火剪刀</t>
  </si>
  <si>
    <t>ZhuanHuo_T_JD</t>
  </si>
  <si>
    <t>转火棒槌</t>
  </si>
  <si>
    <t>ZhuanHuo_T_BCh</t>
  </si>
  <si>
    <t>转火如意</t>
  </si>
  <si>
    <t>ZhuanHuo_T_RY</t>
  </si>
  <si>
    <t>转火飞镖</t>
  </si>
  <si>
    <t>ZhuanHuo_T_FB</t>
  </si>
  <si>
    <t>转火扇子</t>
  </si>
  <si>
    <t>ZhuanHuo_T_ShZ</t>
  </si>
  <si>
    <t>转火扇子 </t>
  </si>
  <si>
    <t>近战转火白云</t>
  </si>
  <si>
    <t>ZhuanHuo_T_BY_sp</t>
  </si>
  <si>
    <t>近战转火小剑</t>
  </si>
  <si>
    <t>ZhuanHuo_T_XJ_sp</t>
  </si>
  <si>
    <t>近战转火斧头</t>
  </si>
  <si>
    <t>ZhuanHuo_T_FT_sp</t>
  </si>
  <si>
    <t>近战转火钩子</t>
  </si>
  <si>
    <t>ZhuanHuo_T_GZ_sp</t>
  </si>
  <si>
    <t>近战转火红鼓</t>
  </si>
  <si>
    <t>ZhuanHuo_T_HG_sp</t>
  </si>
  <si>
    <t>近战转火剪刀</t>
  </si>
  <si>
    <t>ZhuanHuo_T_JD_sp</t>
  </si>
  <si>
    <t>近战转火棒槌</t>
  </si>
  <si>
    <t>ZhuanHuo_T_BCh_sp</t>
  </si>
  <si>
    <t>近战转火如意</t>
  </si>
  <si>
    <t>ZhuanHuo_T_RY_sp</t>
  </si>
  <si>
    <t>近战转火飞镖</t>
  </si>
  <si>
    <t>ZhuanHuo_T_FB_sp</t>
  </si>
  <si>
    <t>近战转火扇子</t>
  </si>
  <si>
    <t>ZhuanHuo_T_ShZ_sp</t>
  </si>
  <si>
    <t>远程转火白云</t>
  </si>
  <si>
    <t>ZhuanHuo_T_BY_sp2</t>
  </si>
  <si>
    <t>远程转火小剑</t>
  </si>
  <si>
    <t>ZhuanHuo_T_XJ_sp2</t>
  </si>
  <si>
    <t>远程转火斧头</t>
  </si>
  <si>
    <t>ZhuanHuo_T_FT_sp2</t>
  </si>
  <si>
    <t>远程转火钩子</t>
  </si>
  <si>
    <t>ZhuanHuo_T_GZ_sp2</t>
  </si>
  <si>
    <t>远程转火红鼓</t>
  </si>
  <si>
    <t>ZhuanHuo_T_HG_sp2</t>
  </si>
  <si>
    <t>远程转火剪刀</t>
  </si>
  <si>
    <t>ZhuanHuo_T_JD_sp2</t>
  </si>
  <si>
    <t>远程转火棒槌</t>
  </si>
  <si>
    <t>ZhuanHuo_T_BCh_sp2</t>
  </si>
  <si>
    <t>远程转火如意</t>
  </si>
  <si>
    <t>ZhuanHuo_T_RY_sp2</t>
  </si>
  <si>
    <t>远程转火飞镖</t>
  </si>
  <si>
    <t>ZhuanHuo_T_FB_sp2</t>
  </si>
  <si>
    <t>远程转火扇子</t>
  </si>
  <si>
    <t>ZhuanHuo_T_ShZ_sp2</t>
  </si>
  <si>
    <t>内功转火白云</t>
  </si>
  <si>
    <t>ZhuanHuo_T_BY_sp3</t>
  </si>
  <si>
    <t>内功转火小剑</t>
  </si>
  <si>
    <t>ZhuanHuo_T_XJ_sp3</t>
  </si>
  <si>
    <t>内功转火斧头</t>
  </si>
  <si>
    <t>ZhuanHuo_T_FT_sp3</t>
  </si>
  <si>
    <t>内功转火钩子</t>
  </si>
  <si>
    <t>ZhuanHuo_T_GZ_sp3</t>
  </si>
  <si>
    <t>内功转火红鼓</t>
  </si>
  <si>
    <t>ZhuanHuo_T_HG_sp3</t>
  </si>
  <si>
    <t>内功转火剪刀</t>
  </si>
  <si>
    <t>ZhuanHuo_T_JD_sp3</t>
  </si>
  <si>
    <t>内功转火棒槌</t>
  </si>
  <si>
    <t>ZhuanHuo_T_BCh_sp3</t>
  </si>
  <si>
    <t>内功转火如意</t>
  </si>
  <si>
    <t>ZhuanHuo_T_RY_sp3</t>
  </si>
  <si>
    <t>内功转火飞镖</t>
  </si>
  <si>
    <t>ZhuanHuo_T_FB_sp3</t>
  </si>
  <si>
    <t>内功转火扇子</t>
  </si>
  <si>
    <t>ZhuanHuo_T_ShZ_sp3</t>
  </si>
  <si>
    <t>外功转火白云</t>
  </si>
  <si>
    <t>ZhuanHuo_T_BY_sp4</t>
  </si>
  <si>
    <t>外功转火小剑</t>
  </si>
  <si>
    <t>ZhuanHuo_T_XJ_sp4</t>
  </si>
  <si>
    <t>外功转火斧头</t>
  </si>
  <si>
    <t>ZhuanHuo_T_FT_sp4</t>
  </si>
  <si>
    <t>外功转火钩子</t>
  </si>
  <si>
    <t>ZhuanHuo_T_GZ_sp4</t>
  </si>
  <si>
    <t>外功转火红鼓</t>
  </si>
  <si>
    <t>ZhuanHuo_T_HG_sp4</t>
  </si>
  <si>
    <t>外功转火剪刀</t>
  </si>
  <si>
    <t>ZhuanHuo_T_JD_sp4</t>
  </si>
  <si>
    <t>外功转火棒槌</t>
  </si>
  <si>
    <t>ZhuanHuo_T_BCh_sp4</t>
  </si>
  <si>
    <t>外功转火如意</t>
  </si>
  <si>
    <t>ZhuanHuo_T_RY_sp4</t>
  </si>
  <si>
    <t>外功转火飞镖</t>
  </si>
  <si>
    <t>ZhuanHuo_T_FB_sp4</t>
  </si>
  <si>
    <t>外功转火扇子</t>
  </si>
  <si>
    <t>ZhuanHuo_T_ShZ_sp4</t>
  </si>
  <si>
    <t>治疗奶白云</t>
  </si>
  <si>
    <t>ZhiLiao_BY</t>
  </si>
  <si>
    <t>治疗奶小剑</t>
  </si>
  <si>
    <t>ZhiLiao_XJ</t>
  </si>
  <si>
    <t>治疗奶斧头</t>
  </si>
  <si>
    <t>ZhiLiao_FT</t>
  </si>
  <si>
    <t>治疗奶钩子</t>
  </si>
  <si>
    <t>ZhiLiao_GZ</t>
  </si>
  <si>
    <t>治疗奶红鼓</t>
  </si>
  <si>
    <t>ZhiLiao_HG</t>
  </si>
  <si>
    <t>治疗奶剪刀</t>
  </si>
  <si>
    <t>ZhiLiao_JD</t>
  </si>
  <si>
    <t>治疗奶棒槌</t>
  </si>
  <si>
    <t>ZhiLiao_BCh</t>
  </si>
  <si>
    <t>治疗奶如意</t>
  </si>
  <si>
    <t>ZhiLiao_RY</t>
  </si>
  <si>
    <t>治疗奶飞镖</t>
  </si>
  <si>
    <t>ZhiLiao_FB</t>
  </si>
  <si>
    <t>治疗奶扇子</t>
  </si>
  <si>
    <t>ZhiLiao_ShZ</t>
  </si>
  <si>
    <t>范围技能处理</t>
    <phoneticPr fontId="18" type="noConversion"/>
  </si>
  <si>
    <t>准备躲面向</t>
  </si>
  <si>
    <t>DuoMianXiang_P</t>
  </si>
  <si>
    <t>准备连续面向</t>
  </si>
  <si>
    <t>LianXuMianXiang_P</t>
  </si>
  <si>
    <t>准备进面向</t>
  </si>
  <si>
    <t>JinMianXiang_P</t>
  </si>
  <si>
    <t>准备躲矩形</t>
  </si>
  <si>
    <t>DuoJuXing_P</t>
  </si>
  <si>
    <t>准备躲圈</t>
  </si>
  <si>
    <t>DuoQuan_P</t>
  </si>
  <si>
    <t>准备连续躲圈</t>
  </si>
  <si>
    <t>LianXuDuoQuan_P</t>
  </si>
  <si>
    <t>准备进圈</t>
  </si>
  <si>
    <t>JinQuan_P</t>
  </si>
  <si>
    <t>准备躲线</t>
  </si>
  <si>
    <t>DuoXian_P</t>
  </si>
  <si>
    <t>准备挡线</t>
  </si>
  <si>
    <t>DangXian_P</t>
  </si>
  <si>
    <t>准备跳环</t>
  </si>
  <si>
    <t>TiaoHuan_P</t>
  </si>
  <si>
    <t>准备跳绳</t>
  </si>
  <si>
    <t>TiaoSheng_P</t>
  </si>
  <si>
    <t>面向快躲</t>
  </si>
  <si>
    <t>DuoMianXiang_T</t>
  </si>
  <si>
    <t>躲面向不要停</t>
  </si>
  <si>
    <t>LianXuMianXiang_T</t>
  </si>
  <si>
    <t>快进面向</t>
  </si>
  <si>
    <t>JinMianXiang_T</t>
  </si>
  <si>
    <t>矩形快躲</t>
  </si>
  <si>
    <t>DuoJuXing_T</t>
  </si>
  <si>
    <t>快躲圈</t>
  </si>
  <si>
    <t>DuoQuan_T</t>
  </si>
  <si>
    <t>躲圈躲圈躲圈</t>
  </si>
  <si>
    <t>LianXuDuoQuan_T</t>
  </si>
  <si>
    <t>快进圈</t>
  </si>
  <si>
    <t>JinQuan_T</t>
  </si>
  <si>
    <t>连线快躲</t>
  </si>
  <si>
    <t>DuoXian_T</t>
  </si>
  <si>
    <t>快挡线</t>
  </si>
  <si>
    <t>DangXian_T</t>
  </si>
  <si>
    <t>开始跳环</t>
  </si>
  <si>
    <t>TiaoHuan_T</t>
  </si>
  <si>
    <t>开始跳绳</t>
  </si>
  <si>
    <t>TiaoSheng_T</t>
  </si>
  <si>
    <t>小轻功</t>
    <phoneticPr fontId="18" type="noConversion"/>
  </si>
  <si>
    <t>准备扶摇</t>
  </si>
  <si>
    <t>FuYao_P</t>
  </si>
  <si>
    <t>准备二段跳</t>
  </si>
  <si>
    <t>ErDuanTiao_P</t>
  </si>
  <si>
    <t>准备后跳</t>
  </si>
  <si>
    <t>HouTiao_P</t>
  </si>
  <si>
    <t>准备蹑云</t>
  </si>
  <si>
    <t>NieYun_P</t>
  </si>
  <si>
    <t>扶摇起跳</t>
  </si>
  <si>
    <t>FuYao_T</t>
  </si>
  <si>
    <t>扶摇起跳并滞空</t>
  </si>
  <si>
    <t>FuYao_T_sp</t>
  </si>
  <si>
    <t>点名扶摇跳</t>
  </si>
  <si>
    <t>FuYao_T_s</t>
  </si>
  <si>
    <t>开始二段跳</t>
  </si>
  <si>
    <t>ErDuanTiao_T</t>
  </si>
  <si>
    <t>点名二段跳</t>
  </si>
  <si>
    <t>ErDuanTiao_T_s</t>
  </si>
  <si>
    <t>开始后跳</t>
  </si>
  <si>
    <t>HouTiao_T</t>
  </si>
  <si>
    <t>点名快后跳</t>
  </si>
  <si>
    <t>HouTiao_T_s</t>
  </si>
  <si>
    <t>蹑云快跑</t>
  </si>
  <si>
    <t>NieYun_T</t>
  </si>
  <si>
    <t>魔盒</t>
    <phoneticPr fontId="18" type="noConversion"/>
  </si>
  <si>
    <t>剑三欢迎你</t>
  </si>
  <si>
    <t>jx3box_1</t>
  </si>
  <si>
    <t>魔盒真好用</t>
  </si>
  <si>
    <t>jx3box_2</t>
  </si>
  <si>
    <t>倒数：5、4、3、2、1！</t>
  </si>
  <si>
    <t>jx3box_3</t>
  </si>
  <si>
    <t>脱战</t>
  </si>
  <si>
    <t>jx3box_4</t>
  </si>
  <si>
    <t>快脱战！快跑！</t>
  </si>
  <si>
    <t>自绝经脉</t>
  </si>
  <si>
    <t>jx3box_5</t>
  </si>
  <si>
    <t>快自绝经脉</t>
  </si>
  <si>
    <t>jx3box_6</t>
  </si>
  <si>
    <t>宝贝快开门！我知道你在家！</t>
  </si>
  <si>
    <t>jx3box_7</t>
  </si>
  <si>
    <t>下把一定</t>
  </si>
  <si>
    <t>jx3box_8</t>
  </si>
  <si>
    <t>语音唯一标识符</t>
    <phoneticPr fontId="18" type="noConversion"/>
  </si>
  <si>
    <t>内容示例</t>
    <phoneticPr fontId="18" type="noConversion"/>
  </si>
  <si>
    <t> 语音唯一标识符</t>
    <phoneticPr fontId="18" type="noConversion"/>
  </si>
  <si>
    <t>使用前请详细看本页黄字</t>
    <phoneticPr fontId="18" type="noConversion"/>
  </si>
  <si>
    <t>多个焦点数组，关系建议先写敌对，后友方，最后全部</t>
    <phoneticPr fontId="18" type="noConversion"/>
  </si>
  <si>
    <t>多个条件面板，必须最高条件放前，低条件放后，且每个条件面板的优先级需依次+1</t>
    <phoneticPr fontId="18" type="noConversion"/>
  </si>
  <si>
    <t>例：春泥护花，第一个条件&gt;=8层、优先级5，第二条件&gt;=4、优先级6，第三条件&gt;=1、优先级7</t>
    <phoneticPr fontId="18" type="noConversion"/>
  </si>
  <si>
    <t>例：第一条件，敌方血量&lt;100，第二条件非敌方血量&lt;100，第三条件全部</t>
    <phoneticPr fontId="18" type="noConversion"/>
  </si>
  <si>
    <t>例：王遗风，可以设置为NPC·王遗风，但不要设置为NPC·老王</t>
    <phoneticPr fontId="18" type="noConversion"/>
  </si>
  <si>
    <t>仅生效第一个字符，例：这是一个备注，显示时只显示“这”</t>
    <phoneticPr fontId="18" type="noConversion"/>
  </si>
  <si>
    <t>此气劲来源自己的监控，常用于治疗心法的hot</t>
    <phoneticPr fontId="18" type="noConversion"/>
  </si>
  <si>
    <t>绿块自行修改，不改亦可</t>
    <phoneticPr fontId="18" type="noConversion"/>
  </si>
  <si>
    <t>TALK、CHAT。请注意字符串换行请写\n，若含有英文引号请用\转义，例："侠士"上线了。请写\"侠士\"上线了。</t>
    <phoneticPr fontId="18" type="noConversion"/>
  </si>
  <si>
    <t>不生效，该事件屏蔽</t>
    <phoneticPr fontId="18" type="noConversion"/>
  </si>
  <si>
    <t>例：春泥护花，你可以自由添加各种符号写“气劲·减伤·【春泥护花】”，但请不要写“气劲·减伤·【春泥】”</t>
    <phoneticPr fontId="18" type="noConversion"/>
  </si>
  <si>
    <t>倒计时条调用标识，标识符由自己规定，但注意关键字请最最最最好用全名。因为标识符可以设置模板字符，你可以跨区域用模板字符调用终止，用了缩写则很难在别处用模板调用</t>
    <phoneticPr fontId="18" type="noConversion"/>
  </si>
  <si>
    <t>例：阴山大草原，可以设置标识符为地图·[阴山大草原]，但不要设置为地图·[阴山]或地图·[大草原]</t>
    <phoneticPr fontId="18" type="noConversion"/>
  </si>
  <si>
    <t>工具下载地址</t>
    <phoneticPr fontId="18" type="noConversion"/>
  </si>
  <si>
    <t>教程地址</t>
    <phoneticPr fontId="18" type="noConversion"/>
  </si>
  <si>
    <t>https://www.jx3box.com/tool/74098</t>
    <phoneticPr fontId="18" type="noConversion"/>
  </si>
  <si>
    <t>https://www.jx3box.com/tool/60356</t>
  </si>
  <si>
    <t>地图id</t>
  </si>
  <si>
    <t>通用颜色</t>
  </si>
  <si>
    <t>倒计时条</t>
  </si>
  <si>
    <t>喊话内容</t>
  </si>
  <si>
    <t>子串搜索</t>
  </si>
  <si>
    <t>正则匹配</t>
  </si>
  <si>
    <t>喊话.语音报警</t>
  </si>
  <si>
    <t>喊话.团队报警</t>
  </si>
  <si>
    <t>喊话.密聊警报</t>
  </si>
  <si>
    <t>喊话.中央报警</t>
  </si>
  <si>
    <t>喊话.头顶报警</t>
  </si>
  <si>
    <t>%</t>
  </si>
  <si>
    <t>255,255,100,</t>
  </si>
  <si>
    <t>(.-)已经尽力，请暂且退回疗伤。</t>
  </si>
  <si>
    <t>{$1}·败退</t>
  </si>
  <si>
    <t>罢了，青山不改，绿水长流，后会有期！</t>
  </si>
  <si>
    <t>{$sender}·败退</t>
  </si>
  <si>
    <t>(.-)力不能敌，暂时败退。(.-)进攻顺利，此战有功，请即刻回营，准备下一步战略。</t>
  </si>
  <si>
    <t>255,100,100,</t>
  </si>
  <si>
    <t>的带领下，成功击退谢渊！</t>
  </si>
  <si>
    <t>的带领下，成功击退王遗风！</t>
    <phoneticPr fontId="18" type="noConversion"/>
  </si>
  <si>
    <t>主场·恶人·王遗风·击退·浩气·谢渊·首领</t>
    <phoneticPr fontId="18" type="noConversion"/>
  </si>
  <si>
    <t>顾延恶已经尽力，请暂且退回疗伤。</t>
    <phoneticPr fontId="18" type="noConversion"/>
  </si>
  <si>
    <t>王遗风</t>
  </si>
  <si>
    <t>王遗风</t>
    <phoneticPr fontId="18" type="noConversion"/>
  </si>
  <si>
    <t>谢渊</t>
  </si>
  <si>
    <t>谢渊</t>
    <phoneticPr fontId="18" type="noConversion"/>
  </si>
  <si>
    <t>吕沛杰已经尽力，请暂且退回疗伤。</t>
    <phoneticPr fontId="18" type="noConversion"/>
  </si>
  <si>
    <t>陶国栋已经尽力，请暂且退回疗伤。</t>
    <phoneticPr fontId="18" type="noConversion"/>
  </si>
  <si>
    <t>张一洋已经尽力，请暂且退回疗伤。</t>
    <phoneticPr fontId="18" type="noConversion"/>
  </si>
  <si>
    <t>谢烟客已经尽力，请暂且退回疗伤。</t>
    <phoneticPr fontId="18" type="noConversion"/>
  </si>
  <si>
    <t>陶杰已经尽力，请暂且退回疗伤。</t>
    <phoneticPr fontId="18" type="noConversion"/>
  </si>
  <si>
    <t>郑鸥已经尽力，请暂且退回疗伤。</t>
    <phoneticPr fontId="18" type="noConversion"/>
  </si>
  <si>
    <t>周峰已经尽力，请暂且退回疗伤。</t>
    <phoneticPr fontId="18" type="noConversion"/>
  </si>
  <si>
    <t>100,100,255,</t>
    <phoneticPr fontId="18" type="noConversion"/>
  </si>
  <si>
    <t>主场·浩气·谢渊·击退·恶人·王遗风·首领</t>
    <phoneticPr fontId="18" type="noConversion"/>
  </si>
  <si>
    <t>赵紫儿</t>
    <phoneticPr fontId="18" type="noConversion"/>
  </si>
  <si>
    <t>叶镜池</t>
  </si>
  <si>
    <t>郭珠</t>
  </si>
  <si>
    <t>影</t>
  </si>
  <si>
    <t>烟</t>
  </si>
  <si>
    <t>岳琅</t>
  </si>
  <si>
    <t>独孤修</t>
  </si>
  <si>
    <t>伊夜</t>
  </si>
  <si>
    <t>丁丁</t>
    <phoneticPr fontId="18" type="noConversion"/>
  </si>
  <si>
    <t>阵营首领</t>
    <phoneticPr fontId="18" type="noConversion"/>
  </si>
  <si>
    <t>地图</t>
    <phoneticPr fontId="18" type="noConversion"/>
  </si>
  <si>
    <t>驻场首领</t>
    <phoneticPr fontId="18" type="noConversion"/>
  </si>
  <si>
    <t>退场首领</t>
    <phoneticPr fontId="18" type="noConversion"/>
  </si>
  <si>
    <t>谢烟客</t>
  </si>
  <si>
    <t>谢烟客</t>
    <phoneticPr fontId="18" type="noConversion"/>
  </si>
  <si>
    <t>陶杰</t>
  </si>
  <si>
    <t>郑鸥</t>
  </si>
  <si>
    <t>周峰</t>
  </si>
  <si>
    <t>顾延恶</t>
  </si>
  <si>
    <t>吕沛杰</t>
  </si>
  <si>
    <t>陶国栋</t>
  </si>
  <si>
    <t>张一洋</t>
  </si>
  <si>
    <t>复活点</t>
    <phoneticPr fontId="18" type="noConversion"/>
  </si>
  <si>
    <t>烟雨居舍</t>
  </si>
  <si>
    <t>烟雨居舍</t>
    <phoneticPr fontId="18" type="noConversion"/>
  </si>
  <si>
    <t>七星岩</t>
  </si>
  <si>
    <t>平安客栈</t>
  </si>
  <si>
    <t>炎狱山</t>
  </si>
  <si>
    <t>白骨陵园</t>
  </si>
  <si>
    <t>丐王坡</t>
  </si>
  <si>
    <t>255,100,100,</t>
    <phoneticPr fontId="18" type="noConversion"/>
  </si>
  <si>
    <t>^本场攻防“([主战奇袭场]+)”已结束，([浩气盟恶人谷]+)[侠士们众志成城和，]-([大完险胜]+)([浩气盟恶人谷]+)[！，]+</t>
    <phoneticPr fontId="18" type="noConversion"/>
  </si>
  <si>
    <t>本场攻防“奇袭场”已结束，浩气盟侠士和恶人谷侠士经过一场恶战，势均力敌，最终打为平手，暂时休战！\n</t>
    <phoneticPr fontId="18" type="noConversion"/>
  </si>
  <si>
    <t>奇袭场·平手</t>
    <phoneticPr fontId="18" type="noConversion"/>
  </si>
  <si>
    <t>主战场·平手</t>
    <phoneticPr fontId="18" type="noConversion"/>
  </si>
  <si>
    <t>([浩气恶人]+)[盟谷]-的【(.-)】帮会成功占领【(.-)】据点！</t>
  </si>
  <si>
    <t>{$3}·{$1}占领</t>
    <phoneticPr fontId="18" type="noConversion"/>
  </si>
  <si>
    <t>{$3}·{$1}大旗被夺</t>
    <phoneticPr fontId="18" type="noConversion"/>
  </si>
  <si>
    <t>{$1}·{$2}劫粮</t>
    <phoneticPr fontId="18" type="noConversion"/>
  </si>
  <si>
    <t>[主场]</t>
    <phoneticPr fontId="18" type="noConversion"/>
  </si>
  <si>
    <t>穆玄英</t>
    <phoneticPr fontId="18" type="noConversion"/>
  </si>
  <si>
    <t>叶镜池</t>
    <phoneticPr fontId="18" type="noConversion"/>
  </si>
  <si>
    <t>影</t>
    <phoneticPr fontId="18" type="noConversion"/>
  </si>
  <si>
    <t>郭珠</t>
    <phoneticPr fontId="18" type="noConversion"/>
  </si>
  <si>
    <t>独孤修</t>
    <phoneticPr fontId="18" type="noConversion"/>
  </si>
  <si>
    <t>烟</t>
    <phoneticPr fontId="18" type="noConversion"/>
  </si>
  <si>
    <t>岳琅</t>
    <phoneticPr fontId="18" type="noConversion"/>
  </si>
  <si>
    <t>你已进入地图【浩气盟】。</t>
    <phoneticPr fontId="18" type="noConversion"/>
  </si>
  <si>
    <t>肖药儿</t>
    <phoneticPr fontId="18" type="noConversion"/>
  </si>
  <si>
    <t>月弄痕</t>
    <phoneticPr fontId="18" type="noConversion"/>
  </si>
  <si>
    <t>游驹</t>
    <phoneticPr fontId="18" type="noConversion"/>
  </si>
  <si>
    <t>你已进入地图【恶人谷】。</t>
    <phoneticPr fontId="18" type="noConversion"/>
  </si>
  <si>
    <t>{nClass=14,nIcon=13,nFrame=-1,szName="{$sender}·{$1}·减伤",nTime=-2,key="{$sender}·{$1}·减伤",},</t>
    <phoneticPr fontId="18" type="noConversion"/>
  </si>
  <si>
    <t>你获得了100点威名、100点战阶。受到了鼓舞，气力值增加500点。</t>
  </si>
  <si>
    <t>你获得了100点威名、100点战阶。受到了鼓舞，气力值消耗减少一段时间。</t>
  </si>
  <si>
    <t>图标</t>
  </si>
  <si>
    <t>数量</t>
  </si>
  <si>
    <t>全部消失</t>
  </si>
  <si>
    <t>名称</t>
  </si>
  <si>
    <t>心法要求</t>
  </si>
  <si>
    <t>NPC进入.标记</t>
  </si>
  <si>
    <t>NPC进入.语音报警</t>
  </si>
  <si>
    <t>NPC进入.团队报警</t>
  </si>
  <si>
    <t>NPC进入.密聊报警</t>
  </si>
  <si>
    <t>NPC进入.中央报警</t>
  </si>
  <si>
    <t>NPC进入.头顶报警</t>
  </si>
  <si>
    <t>NPC离开.语音报警</t>
  </si>
  <si>
    <t>NPC离开.团队报警</t>
  </si>
  <si>
    <t>NPC离开.密聊报警</t>
  </si>
  <si>
    <t>NPC离开.中央报警</t>
  </si>
  <si>
    <t>焦点列表</t>
  </si>
  <si>
    <t>0,255,0,</t>
  </si>
  <si>
    <t>{dwMapID=-1,nMaxDistance=0,tRelation={bAll=false,bEnemy=true,bAlly=false,},tLife={bEnable=false,szOperator="&gt;",nValue=0,},},</t>
  </si>
  <si>
    <t>野外地图</t>
  </si>
  <si>
    <t>{dwMapID=-1,nMaxDistance=10,tRelation={bAll=false,bEnemy=false,bAlly=true,},tLife={bEnable=false,szOperator="&gt;",nValue=0,},},</t>
  </si>
  <si>
    <t>100,255,255,</t>
  </si>
  <si>
    <t>{dwMapID=-1,szDisplay="郭海宾·阵营前置",nMaxDistance=0,tRelation={bAll=true,bEnemy=false,bAlly=false,},tLife={bEnable=false,szOperator="&gt;",nValue=0,},},</t>
  </si>
  <si>
    <t>{dwMapID=-1,szDisplay="左破天·阵营前置",nMaxDistance=0,tRelation={bAll=true,bEnemy=false,bAlly=false,},tLife={bEnable=false,szOperator="&gt;",nValue=0,},},</t>
  </si>
  <si>
    <t>{dwMapID=-1,szDisplay="赵新宇·阵营前置",nMaxDistance=0,tRelation={bAll=true,bEnemy=false,bAlly=false,},tLife={bEnable=false,szOperator="&gt;",nValue=0,},},</t>
  </si>
  <si>
    <t>{dwMapID=-1,szDisplay="方超··阵营前置",nMaxDistance=0,tRelation={bAll=true,bEnemy=false,bAlly=false,},tLife={bEnable=false,szOperator="&gt;",nValue=0,},},</t>
  </si>
  <si>
    <t>{dwMapID=-1,szDisplay="浩气牛车·粮草先行",nMaxDistance=0,tRelation={bAll=true,bEnemy=false,bAlly=false,},tLife={bEnable=false,szOperator="&gt;",nValue=0,},},</t>
  </si>
  <si>
    <t>{dwMapID=-1,szDisplay="恶人牛车·粮草先行",nMaxDistance=0,tRelation={bAll=true,bEnemy=false,bAlly=false,},tLife={bEnable=false,szOperator="&gt;",nValue=0,},},</t>
  </si>
  <si>
    <t>管良沧·粮草先行</t>
  </si>
  <si>
    <t>{dwMapID=-1,szDisplay="管良沧·粮草先行",nMaxDistance=60,tRelation={bAll=false,bEnemy=false,bAlly=true,},tLife={bEnable=false,szOperator="&gt;",nValue=0,},},</t>
  </si>
  <si>
    <t>苏才寥·粮草先行</t>
  </si>
  <si>
    <t>{dwMapID=-1,szDisplay="苏才寥·粮草先行",nMaxDistance=60,tRelation={bAll=false,bEnemy=false,bAlly=true,},tLife={bEnable=false,szOperator="&gt;",nValue=0,},},</t>
  </si>
  <si>
    <t>{dwMapID=-1,nMaxDistance=3,tRelation={bAll=false,bEnemy=false,bAlly=true,},tLife={bEnable=false,szOperator="&gt;",nValue=0,},},</t>
  </si>
  <si>
    <t>{dwMapID=-1,szDisplay="王洵·阵营前置",nMaxDistance=10,tRelation={bAll=false,bEnemy=false,bAlly=true,},tLife={bEnable=false,szOperator="&gt;",nValue=0,},},</t>
  </si>
  <si>
    <t>{dwMapID=-1,szDisplay="何非笑·阵营前置",nMaxDistance=10,tRelation={bAll=false,bEnemy=false,bAlly=true,},tLife={bEnable=false,szOperator="&gt;",nValue=0,},},</t>
  </si>
  <si>
    <t>{dwMapID=-1,nMaxDistance=0,tRelation={bAll=true,bEnemy=false,bAlly=false,},tLife={bEnable=false,szOperator="&gt;",nValue=0,},},</t>
  </si>
  <si>
    <t>{dwMapID=-1,nMaxDistance=10,tRelation={bAll=false,bEnemy=true,bAlly=false,},tLife={bEnable=false,szOperator="&gt;",nValue=0,},},</t>
  </si>
  <si>
    <t>{dwMapID=-1,szDisplay="夏洛特·阴山商路补货",nMaxDistance=20,tRelation={bAll=true,bEnemy=false,bAlly=false,},tLife={bEnable=false,szOperator="&gt;",nValue=0,},},</t>
  </si>
  <si>
    <t>{dwMapID=-1,nMaxDistance=40,tRelation={bAll=true,bEnemy=false,bAlly=false,},tLife={bEnable=false,szOperator="&gt;",nValue=0,},},</t>
  </si>
  <si>
    <t>{dwMapID=-1,szDisplay="蒋征南·烽烟再起",nMaxDistance=10,tRelation={bAll=false,bEnemy=false,bAlly=true,},tLife={bEnable=false,szOperator="&gt;",nValue=0,},},</t>
  </si>
  <si>
    <t>狼牙先锋首领掉落</t>
  </si>
  <si>
    <t>{dwMapID=-1,szDisplay="狼牙先锋首领·掉落",nMaxDistance=0,tRelation={bAll=true,bEnemy=false,bAlly=false,},tLife={bEnable=false,szOperator="&gt;",nValue=0,},},</t>
  </si>
  <si>
    <t>粮仓宝堆</t>
  </si>
  <si>
    <t>{dwMapID=-1,szDisplay="粮仓宝堆",nMaxDistance=0,tRelation={bAll=true,bEnemy=false,bAlly=false,},tLife={bEnable=false,szOperator="&gt;",nValue=0,},},</t>
  </si>
  <si>
    <t>{dwMapID=-1,szDisplay="方超信物·阵营前置",nMaxDistance=0,tRelation={bAll=true,bEnemy=false,bAlly=false,},tLife={bEnable=false,szOperator="&gt;",nValue=0,},},</t>
  </si>
  <si>
    <t>{dwMapID=-1,szDisplay="赵新宇信物·阵营前置",nMaxDistance=0,tRelation={bAll=true,bEnemy=false,bAlly=false,},tLife={bEnable=false,szOperator="&gt;",nValue=0,},},</t>
  </si>
  <si>
    <t>{dwMapID=-1,szDisplay="河底的沙石·前置",nMaxDistance=20,tRelation={bAll=false,bEnemy=true,bAlly=false,},tLife={bEnable=false,szOperator="&gt;",nValue=0,},},</t>
  </si>
  <si>
    <t>{dwMapID=-1,szDisplay="护送奖赏·粮草先行",nMaxDistance=0,tRelation={bAll=true,bEnemy=false,bAlly=false,},tLife={bEnable=false,szOperator="&gt;",nValue=0,},},</t>
  </si>
  <si>
    <t>{dwMapID=-1,szDisplay="孙永恒信物·阵营前置",nMaxDistance=0,tRelation={bAll=true,bEnemy=false,bAlly=false,},tLife={bEnable=false,szOperator="&gt;",nValue=0,},},</t>
  </si>
  <si>
    <t>{dwMapID=-1,szDisplay="霸图的信物·阵营前置",nMaxDistance=0,tRelation={bAll=true,bEnemy=false,bAlly=false,},tLife={bEnable=false,szOperator="&gt;",nValue=0,},},</t>
  </si>
  <si>
    <t>{dwMapID=-1,szDisplay="散落的冰魂货箱·前置",nMaxDistance=20,tRelation={bAll=true,bEnemy=false,bAlly=false,},tLife={bEnable=false,szOperator="&gt;",nValue=0,},},</t>
  </si>
  <si>
    <t>物资堆·物资车</t>
  </si>
  <si>
    <t>物资箱·复活点</t>
  </si>
  <si>
    <t>{dwMapID=-1,szDisplay="物资箱·复活点",nMaxDistance=30,tRelation={bAll=true,bEnemy=false,bAlly=false,},tLife={bEnable=false,szOperator="&gt;",nValue=0,},},</t>
  </si>
  <si>
    <t>{dwMapID=-1,szDisplay="冰魂·阵营前置",nMaxDistance=60,tRelation={bAll=true,bEnemy=false,bAlly=false,},tLife={bEnable=false,szOperator="&gt;",nValue=0,},},</t>
  </si>
  <si>
    <t>100,100,255,</t>
  </si>
  <si>
    <t>侠士 [{$me}] 在拾取复活点物资时意外获得了[便携装置·神机车]。</t>
    <phoneticPr fontId="18" type="noConversion"/>
  </si>
  <si>
    <t>本场恶人谷攻防即将结束，昆仑物资运送暂且休整，等待下一场攻防开启！\n</t>
  </si>
  <si>
    <t>昆仑山浩气盟东昆仑高地援军已到，营地夺回，交通恢复！\n</t>
  </si>
  <si>
    <t>昆仑山恶人谷西昆仑高地援军已到，营地夺回，交通恢复！\n</t>
  </si>
  <si>
    <t>南屏山浩气盟望北村援军已到，营地夺回，交通恢复！\n</t>
  </si>
  <si>
    <t>南屏山恶人谷伴江村援军已到，营地夺回，交通恢复！\n</t>
  </si>
  <si>
    <t>前线战况空前激烈！未能进入前线据点争夺场景参与战斗的侠士，可前往阴山大草原助本阵营后方物资运送一臂之力！只需完成增援任务，也可以参与本日逐鹿中原结算奖励发放。\n</t>
  </si>
  <si>
    <t>逐鹿中原前线战况空前激烈，位于阴山大草原的分线据点争夺将于5分钟后开启！未能进入前线据点争夺场景的侠士可从沙盘地图（Ctrl + M）动态分线入口，或主城战场区小曾和小珍处进入分线场景。\n</t>
  </si>
  <si>
    <t>阴山大草原·分线据点争夺正式开始，场景内交通已中断。\n</t>
  </si>
  <si>
    <t>阵营攻防首领战奇袭场分线已经开启，现可前往本日奇袭场分线参与争夺，也可通过主城战场区分线接引人前往各个奇袭场分线参与。\n</t>
  </si>
  <si>
    <t>前线据点之争已经打响，争夺正式开始，沙盘地图（CTRL + M）绘有详细战略意图，谁将称霸中原，我们拭目以待！\n</t>
  </si>
  <si>
    <t>本场贡献值进入前1200名，额外获得3000威名，可通过邮件领取\n</t>
  </si>
  <si>
    <t>留下大量军功，请“浩气盟”侠士们前来拾取，切莫错过。</t>
  </si>
  <si>
    <t>留下大量军功，请“恶人谷”侠士们前来拾取，切莫错过。</t>
  </si>
  <si>
    <t>哼，打扰本大爷休息！</t>
  </si>
  <si>
    <t>你爷爷我年轻些时候，也是翻云覆雨的江湖响当当一号人物！</t>
  </si>
  <si>
    <t>我竟然败给你们这群小辈！</t>
  </si>
  <si>
    <t>孙永恒</t>
  </si>
  <si>
    <t>浩气盟侠士们可在我这里传送到浩气盟！</t>
  </si>
  <si>
    <t>苏才寥</t>
  </si>
  <si>
    <t>浩气盟的运输小队出现了，大伙快前去接送到我方营地，盟主重重有赏！</t>
  </si>
  <si>
    <t>护送不利，浩气盟的运输小队被恶人谷截下了！</t>
  </si>
  <si>
    <t>浩气盟的运输小队成功到达营地！接下来由他们将物资运往更前线，大伙继续加油，收集更多物资！</t>
  </si>
  <si>
    <t>霸图</t>
  </si>
  <si>
    <t>恶人谷老友们可在我这里传送到恶人谷！</t>
  </si>
  <si>
    <t>管良沧</t>
  </si>
  <si>
    <t>恶人谷的运输小队出现了，大伙快前去接送到我方营地，谷主重重有赏！</t>
  </si>
  <si>
    <t>护送不利，恶人谷的运输小队被浩气盟截下了！</t>
  </si>
  <si>
    <t>恶人谷的运输小队成功到达营地！接下来由他们将物资运往更前线，大伙继续加油，收集更多物资！</t>
  </si>
  <si>
    <t>方超</t>
  </si>
  <si>
    <t>赵新宇</t>
  </si>
  <si>
    <t>左破天</t>
  </si>
  <si>
    <t>何非笑</t>
  </si>
  <si>
    <t>王洵</t>
  </si>
  <si>
    <t>恶人谷伍长</t>
  </si>
  <si>
    <t>浩气盟伍长</t>
  </si>
  <si>
    <t>物资车</t>
  </si>
  <si>
    <t>何非笑周日7604</t>
  </si>
  <si>
    <t>{dwMapID=-1,szDisplay="拦截奖赏·粮草先行",nMaxDistance=0,tRelation={bAll=true,bEnemy=false,bAlly=false,},tLife={bEnable=false,szOperator="&gt;",nValue=0,},},</t>
  </si>
  <si>
    <t>{dwMapID=-1,nMaxDistance=10,tRelation={bAll=false,bEnemy=false,bAlly=true,},tLife={bEnable=true,szOperator="==",nValue=100,},},</t>
  </si>
  <si>
    <t>{dwMapID=-1,nMaxDistance=35,tRelation={bAll=false,bEnemy=false,bAlly=true,},tLife={bEnable=true,szOperator="==",nValue=100,},},</t>
  </si>
  <si>
    <t>恶人</t>
    <phoneticPr fontId="18" type="noConversion"/>
  </si>
  <si>
    <t>驻场阵营</t>
    <phoneticPr fontId="18" type="noConversion"/>
  </si>
  <si>
    <t>浩气</t>
    <phoneticPr fontId="18" type="noConversion"/>
  </si>
  <si>
    <t>伊夜</t>
    <phoneticPr fontId="18" type="noConversion"/>
  </si>
  <si>
    <t>本场浩气盟攻防即将结束，南屏山物资运送暂且休整，等待下一场攻防开启！\n</t>
    <phoneticPr fontId="18" type="noConversion"/>
  </si>
  <si>
    <t>本场恶人谷攻防即将结束，昆仑物资运送暂且休整，等待下一场攻防开启！\n</t>
    <phoneticPr fontId="18" type="noConversion"/>
  </si>
  <si>
    <t>王遗风已率恶人谷众首领抵达浩气盟，请各位恶人谷侠士速到浩气盟支援。浩气盟侠士也请速回浩气盟防御！\n</t>
    <phoneticPr fontId="18" type="noConversion"/>
  </si>
  <si>
    <t>谢渊已率浩气盟众首领抵达恶人谷，请各位浩气盟侠士速到恶人谷支援。恶人谷侠士也请速回恶人谷防御！\n</t>
  </si>
  <si>
    <t>szAuthor = "荷花鲤",</t>
    <phoneticPr fontId="18" type="noConversion"/>
  </si>
  <si>
    <t>szServer = "唯我独尊",</t>
    <phoneticPr fontId="18" type="noConversion"/>
  </si>
  <si>
    <t>层数</t>
  </si>
  <si>
    <t>区分等级</t>
  </si>
  <si>
    <t>监控对象</t>
  </si>
  <si>
    <t>获得气劲.标记</t>
  </si>
  <si>
    <t>获得气劲.语音报警</t>
  </si>
  <si>
    <t>获得气劲.团队报警</t>
  </si>
  <si>
    <t>获得气劲.密聊报警</t>
  </si>
  <si>
    <t>获得气劲.中央报警</t>
  </si>
  <si>
    <t>获得气劲.头顶警报</t>
  </si>
  <si>
    <t>获得气劲.团队气劲列表</t>
  </si>
  <si>
    <t>获得气劲.自身气劲列表</t>
  </si>
  <si>
    <t>获得气劲.团队面板</t>
  </si>
  <si>
    <t>获得气劲.仅来源自己</t>
  </si>
  <si>
    <t>失去气劲.团队警报</t>
  </si>
  <si>
    <t>失去气劲.密聊警报</t>
  </si>
  <si>
    <t>失去气劲.中央警报</t>
  </si>
  <si>
    <t>面板.触发层数</t>
  </si>
  <si>
    <t>面板.触发逻辑</t>
  </si>
  <si>
    <t>面板.仅来源自己</t>
  </si>
  <si>
    <t>面板.仅监控自己</t>
  </si>
  <si>
    <t>面板.备注</t>
  </si>
  <si>
    <t>面板.优先级</t>
  </si>
  <si>
    <t>面板.蒙版颜色</t>
  </si>
  <si>
    <t>面板.头顶颜色</t>
  </si>
  <si>
    <t>面板.描边透明度</t>
  </si>
  <si>
    <t>面板.蒙版警告</t>
  </si>
  <si>
    <t>面板.特效警告</t>
  </si>
  <si>
    <t>面板.头顶提示</t>
  </si>
  <si>
    <t>面板.保留数组</t>
  </si>
  <si>
    <t>{nClass=2,nIcon=6678,nFrame=6,szName="骑御·调息",nTime=-1,key="骑御·调息",},</t>
  </si>
  <si>
    <t>劲足</t>
  </si>
  <si>
    <t>{nClass=1,nIcon=6678,nFrame=6,szName="骑御·调息",nTime=0,key="骑御·调息",},</t>
  </si>
  <si>
    <t>气力·调息</t>
    <phoneticPr fontId="18" type="noConversion"/>
  </si>
  <si>
    <t>速度·劲足</t>
    <phoneticPr fontId="18" type="noConversion"/>
  </si>
  <si>
    <t>骑御</t>
    <phoneticPr fontId="18" type="noConversion"/>
  </si>
  <si>
    <t>据点大旗</t>
    <phoneticPr fontId="18" type="noConversion"/>
  </si>
  <si>
    <t>守卫据点</t>
    <phoneticPr fontId="18" type="noConversion"/>
  </si>
  <si>
    <t>{dwMapID=-1,nMaxDistance=0,tRelation={bAll=true,bEnemy=false,bAlly=false,},tLife={bEnable=false,szOperator="&gt;",nValue=0,},},</t>
    <phoneticPr fontId="18" type="noConversion"/>
  </si>
  <si>
    <t>粮草先行·浩气牛车</t>
    <phoneticPr fontId="18" type="noConversion"/>
  </si>
  <si>
    <t>粮草先行·恶人牛车</t>
    <phoneticPr fontId="18" type="noConversion"/>
  </si>
  <si>
    <t>{nClass=20,nIcon=308,nFrame=3,szName="方超·已刷新",nTime=10,nRefresh=600,key="方超",},</t>
    <phoneticPr fontId="18" type="noConversion"/>
  </si>
  <si>
    <t>{nClass=20,nIcon=589,nFrame=7,szName="赵新宇·已刷新",nTime=10,nRefresh=600,key="赵新宇",},</t>
    <phoneticPr fontId="18" type="noConversion"/>
  </si>
  <si>
    <t>{nClass=20,nIcon=845,nFrame=3,szName="孙永恒·已刷新",nTime=10,nRefresh=600,key="孙永恒",},</t>
    <phoneticPr fontId="18" type="noConversion"/>
  </si>
  <si>
    <t>{nClass=20,nIcon=2864,nFrame=7,szName="霸图·已刷新",nTime=10,nRefresh=600,key="霸图",},</t>
    <phoneticPr fontId="18" type="noConversion"/>
  </si>
  <si>
    <t>{$1}·败退|{$2}·回营</t>
    <phoneticPr fontId="18" type="noConversion"/>
  </si>
  <si>
    <t>{$1}·败退|{$2}·回防</t>
    <phoneticPr fontId="18" type="noConversion"/>
  </si>
  <si>
    <t>陶杰</t>
    <phoneticPr fontId="18" type="noConversion"/>
  </si>
  <si>
    <t>郑鸥</t>
    <phoneticPr fontId="18" type="noConversion"/>
  </si>
  <si>
    <t>周峰</t>
    <phoneticPr fontId="18" type="noConversion"/>
  </si>
  <si>
    <t>[团队监控]数据加载成功</t>
    <phoneticPr fontId="18" type="noConversion"/>
  </si>
  <si>
    <t>255,255,255,</t>
    <phoneticPr fontId="18" type="noConversion"/>
  </si>
  <si>
    <t>浩气盟物资车已被拦截，车内装大量物资，望侠士们前来拾取，切莫错过。</t>
    <phoneticPr fontId="18" type="noConversion"/>
  </si>
  <si>
    <t>浩气·物资车·被截</t>
    <phoneticPr fontId="18" type="noConversion"/>
  </si>
  <si>
    <t>恶人谷物资车已被拦截，车内装大量物资，望侠士们前来拾取，切莫错过。</t>
    <phoneticPr fontId="18" type="noConversion"/>
  </si>
  <si>
    <t>恶人·物资车·被截</t>
    <phoneticPr fontId="18" type="noConversion"/>
  </si>
  <si>
    <t>分流活动已开启，大侠可以前往巴陵县接取阵营攻防前置任务</t>
    <phoneticPr fontId="18" type="noConversion"/>
  </si>
  <si>
    <t>分流活动已开启，大侠可以前往龙门荒漠接取阵营攻防前置任务</t>
    <phoneticPr fontId="18" type="noConversion"/>
  </si>
  <si>
    <t>{nClass=12,nIcon=13,nFrame=4,szName="郭海宾·刷新剩余",nTime=10.1,},</t>
    <phoneticPr fontId="18" type="noConversion"/>
  </si>
  <si>
    <t>{nClass=12,nIcon=13,nFrame=4,szName="左破天·刷新剩余",nTime=10.1,},</t>
    <phoneticPr fontId="18" type="noConversion"/>
  </si>
  <si>
    <t>{nClass=12,nIcon=13,nFrame=4,szName="于成仇·刷新剩余",nTime=10.1,},</t>
    <phoneticPr fontId="18" type="noConversion"/>
  </si>
  <si>
    <t>{nClass=12,nIcon=13,nFrame=4,szName="阎世通·刷新剩余",nTime=10.1,},</t>
    <phoneticPr fontId="18" type="noConversion"/>
  </si>
  <si>
    <t>于成仇</t>
  </si>
  <si>
    <t>阎世通</t>
  </si>
  <si>
    <t>大旗·青云坞</t>
    <phoneticPr fontId="18" type="noConversion"/>
  </si>
  <si>
    <t>大旗·金门关</t>
    <phoneticPr fontId="18" type="noConversion"/>
  </si>
  <si>
    <t>长乐坊村民</t>
    <phoneticPr fontId="18" type="noConversion"/>
  </si>
  <si>
    <t>被虏的江湖人士</t>
    <phoneticPr fontId="18" type="noConversion"/>
  </si>
  <si>
    <t>{dwMapID=-1,szDisplay="孙永恒·阵营前置",nMaxDistance=0,tRelation={bAll=true,bEnemy=false,bAlly=false,},tLife={bEnable=false,szOperator="&gt;",nValue=0,},},</t>
    <phoneticPr fontId="18" type="noConversion"/>
  </si>
  <si>
    <t>孙永恒·阵营前置</t>
  </si>
  <si>
    <t>{dwMapID=-1,szDisplay="霸图·阵营前置",nMaxDistance=0,tRelation={bAll=true,bEnemy=false,bAlly=false,},tLife={bEnable=false,szOperator="&gt;",nValue=0,},},</t>
    <phoneticPr fontId="18" type="noConversion"/>
  </si>
  <si>
    <t>霸图·阵营前置</t>
  </si>
  <si>
    <t>{dwMapID=-1,szDisplay="王洵·阵营前置",nMaxDistance=60,tRelation={bAll=false,bEnemy=false,bAlly=true,},tLife={bEnable=false,szOperator="&gt;",nValue=0,},},</t>
    <phoneticPr fontId="18" type="noConversion"/>
  </si>
  <si>
    <t>王洵·阵营前置</t>
  </si>
  <si>
    <t>王洵·阵营前置</t>
    <phoneticPr fontId="18" type="noConversion"/>
  </si>
  <si>
    <t>何非笑·阵营前置</t>
  </si>
  <si>
    <t>何非笑·阵营前置</t>
    <phoneticPr fontId="18" type="noConversion"/>
  </si>
  <si>
    <t>{dwMapID=-1,szDisplay="何非笑·阵营前置",nMaxDistance=60,tRelation={bAll=false,bEnemy=false,bAlly=true,},tLife={bEnable=false,szOperator="&gt;",nValue=0,},},</t>
    <phoneticPr fontId="18" type="noConversion"/>
  </si>
  <si>
    <t>浩气牛车</t>
    <phoneticPr fontId="18" type="noConversion"/>
  </si>
  <si>
    <t>恶人牛车</t>
    <phoneticPr fontId="18" type="noConversion"/>
  </si>
  <si>
    <t>{dwMapID=-1,szDisplay="何非笑·阵营前置",nMaxDistance=0,tRelation={bAll=false,bEnemy=false,bAlly=true,},tLife={bEnable=false,szOperator="&gt;",nValue=0,},},</t>
    <phoneticPr fontId="18" type="noConversion"/>
  </si>
  <si>
    <t>{dwMapID=-1,szDisplay="王洵·阵营前置",nMaxDistance=20,tRelation={bAll=false,bEnemy=false,bAlly=true,},tLife={bEnable=false,szOperator="&gt;",nValue=0,},},</t>
    <phoneticPr fontId="18" type="noConversion"/>
  </si>
  <si>
    <t>休憩的商人</t>
    <phoneticPr fontId="18" type="noConversion"/>
  </si>
  <si>
    <t>{dwMapID=-1,szDisplay="方超·阵营前置",nMaxDistance=0,tRelation={bAll=true,bEnemy=false,bAlly=false,},tLife={bEnable=false,szOperator="&gt;",nValue=0,},},</t>
    <phoneticPr fontId="18" type="noConversion"/>
  </si>
  <si>
    <t>{dwMapID=-1,szDisplay="赵新宇·阵营前置",nMaxDistance=0,tRelation={bAll=true,bEnemy=false,bAlly=false,},tLife={bEnable=false,szOperator="&gt;",nValue=0,},},</t>
    <phoneticPr fontId="18" type="noConversion"/>
  </si>
  <si>
    <t>郭海宾</t>
    <phoneticPr fontId="18" type="noConversion"/>
  </si>
  <si>
    <t>赵新宇·阵营前置</t>
    <phoneticPr fontId="18" type="noConversion"/>
  </si>
  <si>
    <t>方超·阵营前置</t>
    <phoneticPr fontId="18" type="noConversion"/>
  </si>
  <si>
    <t>小珍</t>
    <phoneticPr fontId="18" type="noConversion"/>
  </si>
  <si>
    <t>小曾</t>
    <phoneticPr fontId="18" type="noConversion"/>
  </si>
  <si>
    <t>{dwMapID=-1,szDisplay="郭戈·烽烟再起",nMaxDistance=10,tRelation={bAll=false,bEnemy=false,bAlly=true,},tLife={bEnable=false,szOperator="&gt;",nValue=0,},},</t>
    <phoneticPr fontId="18" type="noConversion"/>
  </si>
  <si>
    <t>烽烟再起·郭戈</t>
    <phoneticPr fontId="18" type="noConversion"/>
  </si>
  <si>
    <t>烽烟再起·蒋征南</t>
    <phoneticPr fontId="18" type="noConversion"/>
  </si>
  <si>
    <t>恶人谷大将</t>
    <phoneticPr fontId="18" type="noConversion"/>
  </si>
  <si>
    <t>浩气盟大将</t>
    <phoneticPr fontId="18" type="noConversion"/>
  </si>
  <si>
    <t>{dwMapID=-1,szDisplay="蒋征南·烽烟再起",nMaxDistance=10,tRelation={bAll=false,bEnemy=false,bAlly=true,},tLife={bEnable=false,szOperator="&gt;",nValue=0,},},</t>
    <phoneticPr fontId="18" type="noConversion"/>
  </si>
  <si>
    <t>大旗·千岩关</t>
    <phoneticPr fontId="18" type="noConversion"/>
  </si>
  <si>
    <t>大旗·啖杏林</t>
    <phoneticPr fontId="18" type="noConversion"/>
  </si>
  <si>
    <t>铁铸刚</t>
    <phoneticPr fontId="18" type="noConversion"/>
  </si>
  <si>
    <t>31,255,255,</t>
    <phoneticPr fontId="18" type="noConversion"/>
  </si>
  <si>
    <t>阵营地图</t>
    <phoneticPr fontId="18" type="noConversion"/>
  </si>
  <si>
    <t>顾延恶</t>
    <phoneticPr fontId="18" type="noConversion"/>
  </si>
  <si>
    <t>小七</t>
    <phoneticPr fontId="18" type="noConversion"/>
  </si>
  <si>
    <t>退场阵营</t>
    <phoneticPr fontId="18" type="noConversion"/>
  </si>
  <si>
    <t>{dwMapID=-1,nMaxDistance=60,tRelation={bAll=false,bEnemy=true,bAlly=false,},tLife={bEnable=true,szOperator="&gt;",nValue=98,},}</t>
    <phoneticPr fontId="18" type="noConversion"/>
  </si>
  <si>
    <t>司空仲平已经尽力，请暂且退回疗伤。</t>
    <phoneticPr fontId="18" type="noConversion"/>
  </si>
  <si>
    <t>月弄痕已经尽力，请暂且退回疗伤。</t>
    <phoneticPr fontId="18" type="noConversion"/>
  </si>
  <si>
    <t>张桎辕已经尽力，请暂且退回疗伤。</t>
    <phoneticPr fontId="18" type="noConversion"/>
  </si>
  <si>
    <t>游驹已经尽力，请暂且退回疗伤。</t>
    <phoneticPr fontId="18" type="noConversion"/>
  </si>
  <si>
    <t>肖药儿已经尽力，请暂且退回疗伤。</t>
    <phoneticPr fontId="18" type="noConversion"/>
  </si>
  <si>
    <t>陶寒亭已经尽力，请暂且退回疗伤。</t>
    <phoneticPr fontId="18" type="noConversion"/>
  </si>
  <si>
    <t>米丽古丽已经尽力，请暂且退回疗伤。</t>
    <phoneticPr fontId="18" type="noConversion"/>
  </si>
  <si>
    <t>米丽古丽</t>
    <phoneticPr fontId="18" type="noConversion"/>
  </si>
  <si>
    <t>白某</t>
    <phoneticPr fontId="18" type="noConversion"/>
  </si>
  <si>
    <t>陶寒亭</t>
    <phoneticPr fontId="18" type="noConversion"/>
  </si>
  <si>
    <t>司空仲平</t>
    <phoneticPr fontId="18" type="noConversion"/>
  </si>
  <si>
    <t>张桎辕</t>
    <phoneticPr fontId="18" type="noConversion"/>
  </si>
  <si>
    <t>恶人·米丽古丽·败退</t>
    <phoneticPr fontId="18" type="noConversion"/>
  </si>
  <si>
    <t>恶人·陶寒亭·败退</t>
    <phoneticPr fontId="18" type="noConversion"/>
  </si>
  <si>
    <t>恶人·肖药儿·败退</t>
    <phoneticPr fontId="18" type="noConversion"/>
  </si>
  <si>
    <t>浩气·游驹·败退</t>
    <phoneticPr fontId="18" type="noConversion"/>
  </si>
  <si>
    <t>浩气·张桎辕·败退</t>
    <phoneticPr fontId="18" type="noConversion"/>
  </si>
  <si>
    <t>浩气·月弄痕·败退</t>
    <phoneticPr fontId="18" type="noConversion"/>
  </si>
  <si>
    <t>浩气·司空仲平·败退</t>
    <phoneticPr fontId="18" type="noConversion"/>
  </si>
  <si>
    <t>指挥退场</t>
    <phoneticPr fontId="18" type="noConversion"/>
  </si>
  <si>
    <t>指挥驻场</t>
    <phoneticPr fontId="18" type="noConversion"/>
  </si>
  <si>
    <t>伊夜使用了一招围魏救赵的妙计，率众客将奇袭了浩气盟大本营，浩气盟侠士也请速回救援！\n</t>
    <phoneticPr fontId="18" type="noConversion"/>
  </si>
  <si>
    <t>韩非池使用了一招围魏救赵的妙计，率众客将奇袭了恶人谷大本营，恶人谷侠士也请速回救援！\n</t>
    <phoneticPr fontId="18" type="noConversion"/>
  </si>
  <si>
    <t>主场攻防·正式开启</t>
    <phoneticPr fontId="18" type="noConversion"/>
  </si>
  <si>
    <t>奇袭攻防·正式开启</t>
    <phoneticPr fontId="18" type="noConversion"/>
  </si>
  <si>
    <t>浩气盟货郎</t>
    <phoneticPr fontId="18" type="noConversion"/>
  </si>
  <si>
    <t>恶人谷货郎</t>
    <phoneticPr fontId="18" type="noConversion"/>
  </si>
  <si>
    <t>255,255,100,</t>
    <phoneticPr fontId="18" type="noConversion"/>
  </si>
  <si>
    <t>据点伙计</t>
    <phoneticPr fontId="18" type="noConversion"/>
  </si>
  <si>
    <t>{dwMapID=-1,nMaxDistance=10,tRelation={bAll=false,bEnemy=false,bAlly=true,},tLife={bEnable=false,szOperator="&gt;",nValue=0,},},</t>
    <phoneticPr fontId="18" type="noConversion"/>
  </si>
  <si>
    <t>100,255,100,</t>
    <phoneticPr fontId="18" type="noConversion"/>
  </si>
  <si>
    <t>工坊·阴山大草原</t>
    <phoneticPr fontId="18" type="noConversion"/>
  </si>
  <si>
    <t>粮仓·阴山大草原</t>
    <phoneticPr fontId="18" type="noConversion"/>
  </si>
  <si>
    <t>工坊·阴山大草原·分线</t>
    <phoneticPr fontId="18" type="noConversion"/>
  </si>
  <si>
    <t>粮仓·阴山大草原·分线</t>
    <phoneticPr fontId="18" type="noConversion"/>
  </si>
  <si>
    <t>箭塔·阴山大草原·分线</t>
    <phoneticPr fontId="18" type="noConversion"/>
  </si>
  <si>
    <t>箭塔·阴山大草原</t>
    <phoneticPr fontId="18" type="noConversion"/>
  </si>
  <si>
    <t>阴山商路·浩气盟镖车</t>
    <phoneticPr fontId="18" type="noConversion"/>
  </si>
  <si>
    <t>阴山商路·散落的货物</t>
    <phoneticPr fontId="18" type="noConversion"/>
  </si>
  <si>
    <t>阴山商路·恶人谷镖车</t>
    <phoneticPr fontId="18" type="noConversion"/>
  </si>
  <si>
    <t>阴山商路·夏洛特</t>
    <phoneticPr fontId="18" type="noConversion"/>
  </si>
  <si>
    <t>霸图·阵营前置</t>
    <phoneticPr fontId="18" type="noConversion"/>
  </si>
  <si>
    <t>左破天·阵营前置</t>
    <phoneticPr fontId="18" type="noConversion"/>
  </si>
  <si>
    <t>郭海宾·阵营前置</t>
    <phoneticPr fontId="18" type="noConversion"/>
  </si>
  <si>
    <t>于成仇·阵营前置</t>
    <phoneticPr fontId="18" type="noConversion"/>
  </si>
  <si>
    <t>阎世通·阵营前置</t>
    <phoneticPr fontId="18" type="noConversion"/>
  </si>
  <si>
    <t>五台山</t>
    <phoneticPr fontId="18" type="noConversion"/>
  </si>
  <si>
    <t>阴山商路·木博</t>
    <phoneticPr fontId="18" type="noConversion"/>
  </si>
  <si>
    <t>{dwMapID=-1,nMaxDistance=90,tRelation={bAll=false,bEnemy=true,bAlly=false,},tLife={bEnable=false,szOperator="&gt;",nValue=0,},},{dwMapID=-1,nMaxDistance=60,tRelation={bAll=false,bEnemy=false,bAlly=true,},tLife={bEnable=true,szOperator="&lt;",nValue=100,},},</t>
    <phoneticPr fontId="18" type="noConversion"/>
  </si>
  <si>
    <t>{dwMapID=-1,nMaxDistance=90,tRelation={bAll=false,bEnemy=true,bAlly=false,},tLife={bEnable=false,szOperator="&gt;",nValue=0,},},{dwMapID=-1,nMaxDistance=60,tRelation={bAll=false,bEnemy=fals,bAlly=true,},tLife={bEnable=true,szOperator="&lt;",nValue=100,},},</t>
    <phoneticPr fontId="18" type="noConversion"/>
  </si>
  <si>
    <t>{nClass=20,nIcon=10449,nFrame=7,szName="【{$1}】浩气劫粮",nTime=30,nRefresh=1,key="{$1}·浩气劫粮",},</t>
  </si>
  <si>
    <t>{nClass=20,nIcon=10450,nFrame=3,szName="【{$1}】恶人劫粮",nTime=30,nRefresh=1,key="{$1}·恶人劫粮",},</t>
  </si>
  <si>
    <t>为保障各位侠士的安全，浩气盟和恶人谷重新派出了守卫，在野外地图侠士重伤后复活可回到阵营复活点！\n</t>
    <phoneticPr fontId="18" type="noConversion"/>
  </si>
  <si>
    <t>{nClass=20,nIcon=14889,nFrame=3,szName="主战场·恶人谷",nTime=60,key="大攻防·主战场",},</t>
    <phoneticPr fontId="18" type="noConversion"/>
  </si>
  <si>
    <t>{nClass=20,nIcon=14889,nFrame=3,szName="奇袭场·恶人谷",nTime=60,key="大攻防·奇袭场",},</t>
    <phoneticPr fontId="18" type="noConversion"/>
  </si>
  <si>
    <t>{nClass=20,nIcon=14890,nFrame=7,szName="主战场·浩气盟",nTime=60,key="大攻防·主战场",},</t>
    <phoneticPr fontId="18" type="noConversion"/>
  </si>
  <si>
    <t>{nClass=20,nIcon=14890,nFrame=7,szName="奇袭场·浩气盟",nTime=60,key="大攻防·奇袭场",},</t>
    <phoneticPr fontId="18" type="noConversion"/>
  </si>
  <si>
    <t>翅膀</t>
  </si>
  <si>
    <t>飞行机甲·黑翼</t>
    <phoneticPr fontId="18" type="noConversion"/>
  </si>
  <si>
    <t>轰炸</t>
  </si>
  <si>
    <t>255,255,0,</t>
    <phoneticPr fontId="18" type="noConversion"/>
  </si>
  <si>
    <t>{nClass=1,nIcon=6491,nFrame=6,szName="骑御·劲足",nTime=0.5,nRefresh=300,key="骑御·调息",},</t>
    <phoneticPr fontId="18" type="noConversion"/>
  </si>
  <si>
    <t>获得·便携装置·神机车</t>
    <phoneticPr fontId="18" type="noConversion"/>
  </si>
  <si>
    <t>御城·矛</t>
    <phoneticPr fontId="18" type="noConversion"/>
  </si>
  <si>
    <t>御城矛</t>
    <phoneticPr fontId="18" type="noConversion"/>
  </si>
  <si>
    <t>据点争夺战即将开始，为防弄虚作假者，即将对据点活动地图进行清场操作，同时清空此前所有排队队列，请各阵营侠士做好准备。拥有据点地图优先进入权的帮众可提前进入地图以作防守准备，不会被清出地图。\n</t>
    <phoneticPr fontId="18" type="noConversion"/>
  </si>
  <si>
    <t>DianMing_P</t>
    <phoneticPr fontId="18" type="noConversion"/>
  </si>
  <si>
    <t>{nClass=20,nIcon=5815,nFrame=-1,szName="阵营攻防·开始排队",nTime="1,阵营攻防·开始排队;10,阵营攻防·开始排队",nRefresh=1,key="阵营活动",},</t>
  </si>
  <si>
    <t>{nClass=20,nIcon=3536,nFrame=6,szName="攻防进入前1200名",nTime=10,key="阵营活动",},</t>
  </si>
  <si>
    <t>{nClass=20,nIcon=3536,nFrame=3,szName="据点攻防·活动结束",nTime=5,key="阵营活动",},</t>
  </si>
  <si>
    <t>阵营攻防战即将开始，为防弄虚作假者，即将对“恶人谷”地图进行清场操作，并在“中午十二点三十分”开始攻防排队，请勿在中午十二点三十分前排队，将被视为无效，请侠士们提前做好准备。\n</t>
  </si>
  <si>
    <t>阵营攻防战即将开始，为防弄虚作假者，即将对“浩气盟”地图进行清场操作，并在“中午十二点三十分”开始攻防排队，请勿在中午十二点三十分前排队，将被视为无效，请侠士们提前做好准备。\n</t>
  </si>
  <si>
    <t>阵营攻防排队正式开始，同时清空此前所有排队队列，尚未排队的侠士们速速前往浩气盟地图参与排队，亦可与主城战场的冷倪之、冷允之对话进行排队。\n</t>
    <phoneticPr fontId="18" type="noConversion"/>
  </si>
  <si>
    <t>阵营攻防排队正式开始，同时清空此前所有排队队列，尚未排队的侠士们速速前往恶人谷地图参与排队，亦可与主城战场的冷倪之、冷允之对话进行排队。\n</t>
    <phoneticPr fontId="18" type="noConversion"/>
  </si>
  <si>
    <t>阵营攻防战即将开始，为防弄虚作假者，即将对“浩气盟”地图进行清场操作，并在“下午六点三十分”开始攻防排队，请勿在下午六点三十分前排队，将被视为无效，请侠士们提前做好准备。\n</t>
    <phoneticPr fontId="18" type="noConversion"/>
  </si>
  <si>
    <t>阵营攻防战即将开始，为防弄虚作假者，即将对“恶人谷”地图进行清场操作，并在“下午六点三十分”开始攻防排队，请勿在下午六点三十分前排队，将被视为无效，请侠士们提前做好准备。\n</t>
    <phoneticPr fontId="18" type="noConversion"/>
  </si>
  <si>
    <t>神机雷</t>
    <phoneticPr fontId="18" type="noConversion"/>
  </si>
  <si>
    <t>([浩气恶人]+)[盟谷]-位于([^%d]-)的【(.-)据点】大旗被夺</t>
    <phoneticPr fontId="18" type="noConversion"/>
  </si>
  <si>
    <t>([浩气恶人]+)[盟谷]-位于(.-)的【(.-)据点】大旗被夺</t>
    <phoneticPr fontId="18" type="noConversion"/>
  </si>
  <si>
    <t>庇佑</t>
    <phoneticPr fontId="18" type="noConversion"/>
  </si>
  <si>
    <t>战车庇佑</t>
    <phoneticPr fontId="18" type="noConversion"/>
  </si>
  <si>
    <t>攻防场景特殊规则</t>
  </si>
  <si>
    <t>^江湖快报！(.-)据点粮仓被一群([浩气恶人]+)[盟谷]-人士洗劫</t>
    <phoneticPr fontId="18" type="noConversion"/>
  </si>
  <si>
    <t xml:space="preserve"> </t>
    <phoneticPr fontId="18" type="noConversion"/>
  </si>
  <si>
    <t>南屏山</t>
    <phoneticPr fontId="18" type="noConversion"/>
  </si>
  <si>
    <t>昆仑</t>
    <phoneticPr fontId="18" type="noConversion"/>
  </si>
  <si>
    <t>巴陵县</t>
    <phoneticPr fontId="18" type="noConversion"/>
  </si>
  <si>
    <t>龙门荒漠</t>
    <phoneticPr fontId="18" type="noConversion"/>
  </si>
  <si>
    <t>洛道</t>
    <phoneticPr fontId="18" type="noConversion"/>
  </si>
  <si>
    <t>金水镇</t>
    <phoneticPr fontId="18" type="noConversion"/>
  </si>
  <si>
    <t>瞿塘峡</t>
    <phoneticPr fontId="18" type="noConversion"/>
  </si>
  <si>
    <t>白龙口</t>
    <phoneticPr fontId="18" type="noConversion"/>
  </si>
  <si>
    <t>无量山</t>
    <phoneticPr fontId="18" type="noConversion"/>
  </si>
  <si>
    <t>融天岭</t>
    <phoneticPr fontId="18" type="noConversion"/>
  </si>
  <si>
    <t>黑龙沼</t>
    <phoneticPr fontId="18" type="noConversion"/>
  </si>
  <si>
    <t>苍山洱海</t>
    <phoneticPr fontId="18" type="noConversion"/>
  </si>
  <si>
    <t>枫华谷·战乱</t>
    <phoneticPr fontId="18" type="noConversion"/>
  </si>
  <si>
    <t>马嵬驿</t>
    <phoneticPr fontId="18" type="noConversion"/>
  </si>
  <si>
    <t>阴山大草原</t>
    <phoneticPr fontId="18" type="noConversion"/>
  </si>
  <si>
    <t>{$1}·大旗重置</t>
    <phoneticPr fontId="18" type="noConversion"/>
  </si>
  <si>
    <t>{nClass=1,nIcon=6678,nFrame=6,szName="骑御·调息",nTime="18.8,调息·7级·触发剩余;22.8,调息·5级·触发剩余",nRefresh=0,key="骑御·调息",},</t>
    <phoneticPr fontId="18" type="noConversion"/>
  </si>
  <si>
    <t>{nClass=1,nIcon=13,szName="绣球花",nTime=-1,key="绣球花",},</t>
    <phoneticPr fontId="18" type="noConversion"/>
  </si>
  <si>
    <t>{nClass=1,nIcon=13,szName="郁金香",nTime=-1,key="郁金香",},</t>
    <phoneticPr fontId="18" type="noConversion"/>
  </si>
  <si>
    <t>{nClass=1,nIcon=13,szName="牵牛花",nTime=-1,key="牵牛花",},</t>
    <phoneticPr fontId="18" type="noConversion"/>
  </si>
  <si>
    <t>重伤</t>
    <phoneticPr fontId="18" type="noConversion"/>
  </si>
  <si>
    <t>死亡挂机</t>
    <phoneticPr fontId="18" type="noConversion"/>
  </si>
  <si>
    <t>伟龙debuff</t>
  </si>
  <si>
    <t>操作箭弩车</t>
    <phoneticPr fontId="18" type="noConversion"/>
  </si>
  <si>
    <t>箭弩车</t>
  </si>
  <si>
    <t>255,204,0,</t>
    <phoneticPr fontId="18" type="noConversion"/>
  </si>
  <si>
    <t>#FFCC00</t>
  </si>
  <si>
    <t>#FFCC00FF</t>
  </si>
  <si>
    <t>意涌系统通用抗百分比回血</t>
    <phoneticPr fontId="18" type="noConversion"/>
  </si>
  <si>
    <t>{nClass=20,nIcon=13,nFrame=-1,szName="阵营活动",nTime=-2,key="阵营活动",},</t>
    <phoneticPr fontId="18" type="noConversion"/>
  </si>
  <si>
    <t>{dwMapID=-1,szDisplay="大旗·武王城",nMaxDistance=1,tRelation={bAll=true,bEnemy=false,bAlly=false,},tLife={bEnable=false,szOperator="&gt;",nValue=0,},},</t>
  </si>
  <si>
    <t>{dwMapID=-1,szDisplay="大旗·凛风堡",nMaxDistance=1,tRelation={bAll=true,bEnemy=false,bAlly=false,},tLife={bEnable=false,szOperator="&gt;",nValue=0,},},</t>
  </si>
  <si>
    <t>{dwMapID=-1,szDisplay="大旗·盘龙坞",nMaxDistance=1,tRelation={bAll=true,bEnemy=false,bAlly=false,},tLife={bEnable=false,szOperator="&gt;",nValue=0,},},</t>
  </si>
  <si>
    <t>{dwMapID=-1,szDisplay="大旗·逐鹿坪",nMaxDistance=1,tRelation={bAll=true,bEnemy=false,bAlly=false,},tLife={bEnable=false,szOperator="&gt;",nValue=0,},},</t>
  </si>
  <si>
    <t>{dwMapID=-1,szDisplay="大旗·龙门镇",nMaxDistance=1,tRelation={bAll=true,bEnemy=false,bAlly=false,},tLife={bEnable=false,szOperator="&gt;",nValue=0,},},</t>
  </si>
  <si>
    <t>{dwMapID=-1,szDisplay="大旗·飞沙关",nMaxDistance=1,tRelation={bAll=true,bEnemy=false,bAlly=false,},tLife={bEnable=false,szOperator="&gt;",nValue=0,},},</t>
  </si>
  <si>
    <t>{dwMapID=-1,szDisplay="大旗·红莲岗",nMaxDistance=1,tRelation={bAll=true,bEnemy=false,bAlly=false,},tLife={bEnable=false,szOperator="&gt;",nValue=0,},},</t>
  </si>
  <si>
    <t>{dwMapID=-1,szDisplay="大旗·秋雨堡",nMaxDistance=1,tRelation={bAll=true,bEnemy=false,bAlly=false,},tLife={bEnable=false,szOperator="&gt;",nValue=0,},},</t>
  </si>
  <si>
    <t>{dwMapID=-1,szDisplay="大旗·金门关",nMaxDistance=1,tRelation={bAll=true,bEnemy=false,bAlly=false,},tLife={bEnable=false,szOperator="&gt;",nValue=0,},},</t>
  </si>
  <si>
    <t>{dwMapID=-1,szDisplay="大旗·青云坞",nMaxDistance=1,tRelation={bAll=true,bEnemy=false,bAlly=false,},tLife={bEnable=false,szOperator="&gt;",nValue=0,},},</t>
  </si>
  <si>
    <t>{dwMapID=-1,szDisplay="大旗·激流坞",nMaxDistance=1,tRelation={bAll=true,bEnemy=false,bAlly=false,},tLife={bEnable=false,szOperator="&gt;",nValue=0,},},</t>
  </si>
  <si>
    <t>{dwMapID=-1,szDisplay="大旗·不空关",nMaxDistance=1,tRelation={bAll=true,bEnemy=false,bAlly=false,},tLife={bEnable=false,szOperator="&gt;",nValue=0,},},</t>
  </si>
  <si>
    <t>{dwMapID=-1,szDisplay="大旗·日月崖",nMaxDistance=1,tRelation={bAll=true,bEnemy=false,bAlly=false,},tLife={bEnable=false,szOperator="&gt;",nValue=0,},},</t>
  </si>
  <si>
    <t>{dwMapID=-1,szDisplay="大旗·卧龙坡",nMaxDistance=1,tRelation={bAll=true,bEnemy=false,bAlly=false,},tLife={bEnable=false,szOperator="&gt;",nValue=0,},},</t>
  </si>
  <si>
    <t>{dwMapID=-1,szDisplay="大旗·霜戈堡",nMaxDistance=1,tRelation={bAll=true,bEnemy=false,bAlly=false,},tLife={bEnable=false,szOperator="&gt;",nValue=0,},},</t>
  </si>
  <si>
    <t>{dwMapID=-1,szDisplay="大旗·澜沧城",nMaxDistance=1,tRelation={bAll=true,bEnemy=false,bAlly=false,},tLife={bEnable=false,szOperator="&gt;",nValue=0,},},</t>
  </si>
  <si>
    <t>{dwMapID=-1,szDisplay="大旗·神池岭",nMaxDistance=1,tRelation={bAll=true,bEnemy=false,bAlly=false,},tLife={bEnable=false,szOperator="&gt;",nValue=0,},},</t>
  </si>
  <si>
    <t>{dwMapID=-1,szDisplay="大旗·烈日岗",nMaxDistance=1,tRelation={bAll=true,bEnemy=false,bAlly=false,},tLife={bEnable=false,szOperator="&gt;",nValue=0,},},</t>
  </si>
  <si>
    <t>{dwMapID=-1,szDisplay="大旗·凤鸣堡",nMaxDistance=1,tRelation={bAll=true,bEnemy=false,bAlly=false,},tLife={bEnable=false,szOperator="&gt;",nValue=0,},},</t>
  </si>
  <si>
    <t>{dwMapID=-1,szDisplay="大旗·惊虬谷",nMaxDistance=1,tRelation={bAll=true,bEnemy=false,bAlly=false,},tLife={bEnable=false,szOperator="&gt;",nValue=0,},},</t>
  </si>
  <si>
    <t>{dwMapID=-1,szDisplay="大旗·大理山城",nMaxDistance=1,tRelation={bAll=true,bEnemy=false,bAlly=false,},tLife={bEnable=false,szOperator="&gt;",nValue=0,},},</t>
  </si>
  <si>
    <t>{dwMapID=-1,szDisplay="大旗·千岩关",nMaxDistance=1,tRelation={bAll=true,bEnemy=false,bAlly=false,},tLife={bEnable=false,szOperator="&gt;",nValue=0,},},</t>
  </si>
  <si>
    <t>{dwMapID=-1,szDisplay="大旗·枫湖寨",nMaxDistance=1,tRelation={bAll=true,bEnemy=false,bAlly=false,},tLife={bEnable=false,szOperator="&gt;",nValue=0,},},</t>
  </si>
  <si>
    <t>{dwMapID=-1,szDisplay="大旗·啖杏林",nMaxDistance=1,tRelation={bAll=true,bEnemy=false,bAlly=false,},tLife={bEnable=false,szOperator="&gt;",nValue=0,},},</t>
  </si>
  <si>
    <t>{dwMapID=-1,szDisplay="大旗·扶风郡",nMaxDistance=1,tRelation={bAll=true,bEnemy=false,bAlly=false,},tLife={bEnable=false,szOperator="&gt;",nValue=0,},},</t>
  </si>
  <si>
    <t>{dwMapID=-1,szDisplay="大旗·世外坡",nMaxDistance=1,tRelation={bAll=true,bEnemy=false,bAlly=false,},tLife={bEnable=false,szOperator="&gt;",nValue=0,},},</t>
  </si>
  <si>
    <t>{nClass=20,nIcon=592,nFrame=4,szName="{$3}·大旗重置",nTime=-1,key="{$3}·大旗重置",},</t>
    <phoneticPr fontId="18" type="noConversion"/>
  </si>
  <si>
    <t>大旗·武王城</t>
    <phoneticPr fontId="18" type="noConversion"/>
  </si>
  <si>
    <t>大旗·凛风堡</t>
    <phoneticPr fontId="18" type="noConversion"/>
  </si>
  <si>
    <t>{nClass=20,nIcon=592,nFrame=4,szName="【凛风堡】大旗重置",nTime=180,nRefresh=7200,key="凛风堡·大旗重置",},</t>
    <phoneticPr fontId="18" type="noConversion"/>
  </si>
  <si>
    <t>大旗·盘龙坞</t>
    <phoneticPr fontId="18" type="noConversion"/>
  </si>
  <si>
    <t>大旗·逐鹿坪</t>
    <phoneticPr fontId="18" type="noConversion"/>
  </si>
  <si>
    <t>大旗·扶风郡</t>
    <phoneticPr fontId="18" type="noConversion"/>
  </si>
  <si>
    <t>{nClass=20,nIcon=592,nFrame=4,szName="【扶风郡】大旗重置",nTime=180,nRefresh=7200,key="扶风郡·大旗重置",},</t>
    <phoneticPr fontId="18" type="noConversion"/>
  </si>
  <si>
    <t>大旗·世外坡</t>
    <phoneticPr fontId="18" type="noConversion"/>
  </si>
  <si>
    <t>{nClass=20,nIcon=592,nFrame=4,szName="【盘龙坞】大旗重置",nTime=180,nRefresh=7200,key="盘龙坞·大旗重置",},</t>
    <phoneticPr fontId="18" type="noConversion"/>
  </si>
  <si>
    <t>大旗·惊虬谷</t>
    <phoneticPr fontId="18" type="noConversion"/>
  </si>
  <si>
    <t>大旗·烈日岗</t>
    <phoneticPr fontId="18" type="noConversion"/>
  </si>
  <si>
    <t>大旗·澜沧城</t>
    <phoneticPr fontId="18" type="noConversion"/>
  </si>
  <si>
    <t>大旗·卧龙坡</t>
    <phoneticPr fontId="18" type="noConversion"/>
  </si>
  <si>
    <t>大旗·不空关</t>
    <phoneticPr fontId="18" type="noConversion"/>
  </si>
  <si>
    <t>大旗·秋雨堡</t>
    <phoneticPr fontId="18" type="noConversion"/>
  </si>
  <si>
    <t>大旗·飞沙关</t>
    <phoneticPr fontId="18" type="noConversion"/>
  </si>
  <si>
    <t>大旗·龙门镇</t>
    <phoneticPr fontId="18" type="noConversion"/>
  </si>
  <si>
    <t>{nClass=20,nIcon=592,nFrame=4,szName="【龙门镇】大旗重置",nTime=180,nRefresh=7200,key="龙门镇·大旗重置",},</t>
  </si>
  <si>
    <t>大旗·红莲岗</t>
    <phoneticPr fontId="18" type="noConversion"/>
  </si>
  <si>
    <t>{nClass=20,nIcon=592,nFrame=4,szName="【红莲岗】大旗重置",nTime=180,nRefresh=7200,key="红莲岗·大旗重置",},</t>
  </si>
  <si>
    <t>{nClass=20,nIcon=592,nFrame=4,szName="【金门关】大旗重置",nTime=180,nRefresh=7200,key="金门关·大旗重置",},</t>
  </si>
  <si>
    <t>大旗·激流坞</t>
    <phoneticPr fontId="18" type="noConversion"/>
  </si>
  <si>
    <t>{nClass=20,nIcon=592,nFrame=4,szName="【激流坞】大旗重置",nTime=180,nRefresh=7200,key="激流坞·大旗重置",},</t>
  </si>
  <si>
    <t>大旗·日月崖</t>
    <phoneticPr fontId="18" type="noConversion"/>
  </si>
  <si>
    <t>{nClass=20,nIcon=592,nFrame=4,szName="【日月崖】大旗重置",nTime=180,nRefresh=7200,key="日月崖·大旗重置",},</t>
  </si>
  <si>
    <t>大旗·霜戈堡</t>
    <phoneticPr fontId="18" type="noConversion"/>
  </si>
  <si>
    <t>{nClass=20,nIcon=592,nFrame=4,szName="【霜戈堡】大旗重置",nTime=180,nRefresh=7200,key="霜戈堡·大旗重置",},</t>
  </si>
  <si>
    <t>大旗·神池岭</t>
    <phoneticPr fontId="18" type="noConversion"/>
  </si>
  <si>
    <t>{nClass=20,nIcon=592,nFrame=4,szName="【神池岭】大旗重置",nTime=180,nRefresh=7200,key="神池岭·大旗重置",},</t>
  </si>
  <si>
    <t>大旗·凤鸣堡</t>
    <phoneticPr fontId="18" type="noConversion"/>
  </si>
  <si>
    <t>{nClass=20,nIcon=592,nFrame=4,szName="【凤鸣堡】大旗重置",nTime=180,nRefresh=7200,key="凤鸣堡·大旗重置",},</t>
  </si>
  <si>
    <t>大旗·大理山城</t>
    <phoneticPr fontId="18" type="noConversion"/>
  </si>
  <si>
    <t>{nClass=20,nIcon=592,nFrame=4,szName="【大理山城】大旗重置",nTime=180,nRefresh=7200,key="大理山城·大旗重置",},</t>
  </si>
  <si>
    <t>大旗·枫湖寨</t>
    <phoneticPr fontId="18" type="noConversion"/>
  </si>
  <si>
    <t>{nClass=20,nIcon=592,nFrame=4,szName="【枫湖寨】大旗重置",nTime=180,nRefresh=7200,key="枫湖寨·大旗重置",},</t>
  </si>
  <si>
    <t>{nClass=20,nIcon=592,nFrame=4,szName="【{$1}】大旗重置",nTime=30,key="{$1}·大旗重置",},</t>
  </si>
  <si>
    <t>{nClass=20,nIcon=592,nFrame=4,szName="【{$1}】大旗重置",nTime=30,key="{$1}·大旗重置",},</t>
    <phoneticPr fontId="18" type="noConversion"/>
  </si>
  <si>
    <t>你已经离开据点，10秒内未进入据点，则据点旗帜重置。</t>
    <phoneticPr fontId="18" type="noConversion"/>
  </si>
  <si>
    <t>{nClass=14,nIcon=591,nFrame=3,szName="{$1}战书·{$3}·{$2}",nTime=10,key="宣战战书",},</t>
    <phoneticPr fontId="18" type="noConversion"/>
  </si>
  <si>
    <t>{nClass=14,nIcon=591,nFrame=7,szName="{$1}战书·{$3}·{$2}",nTime=10,key="宣战战书",},</t>
    <phoneticPr fontId="18" type="noConversion"/>
  </si>
  <si>
    <t>(.-)的“(.-)”在(.-)插下了宣战令旗，简直是对(.-)的侮辱！谁去摧毁它，必有重赏！</t>
  </si>
  <si>
    <t>浩气战书</t>
    <phoneticPr fontId="18" type="noConversion"/>
  </si>
  <si>
    <t>{dwMapID=-1,szDisplay="浩气战书·黑白路",nMaxDistance=60,tRelation={bAll=true,bEnemy=false,bAlly=false,},tLife={bEnable=false,szOperator="&gt;",nValue=0,},},</t>
    <phoneticPr fontId="18" type="noConversion"/>
  </si>
  <si>
    <t>恶人战书</t>
    <phoneticPr fontId="18" type="noConversion"/>
  </si>
  <si>
    <t>{dwMapID=-1,szDisplay="恶人战书·黑白路",nMaxDistance=60,tRelation={bAll=true,bEnemy=false,bAlly=false,},tLife={bEnable=false,szOperator="&gt;",nValue=0,},},</t>
    <phoneticPr fontId="18" type="noConversion"/>
  </si>
  <si>
    <t>据点总管</t>
  </si>
  <si>
    <t>补货·[{$1}]·{$2}</t>
    <phoneticPr fontId="18" type="noConversion"/>
  </si>
  <si>
    <t>{nClass=14,nIcon=592,nFrame=2,szName="据点大旗·重置剩余",nTime=10,key="离开据点·大旗重置",},</t>
  </si>
  <si>
    <t>{nClass=14,nIcon=135,nFrame=6,szName="补货·[{$1}]·{$2}",nTime=10,nRefresh=600,key="阵营模式",},</t>
    <phoneticPr fontId="18" type="noConversion"/>
  </si>
  <si>
    <t>{nClass=14,nIcon=13,nFrame=6,szName="阵营模式",nTime=-2,key="阵营模式",},</t>
    <phoneticPr fontId="18" type="noConversion"/>
  </si>
  <si>
    <t>大旗·云台营</t>
    <phoneticPr fontId="18" type="noConversion"/>
  </si>
  <si>
    <t>大旗·高阳营</t>
    <phoneticPr fontId="18" type="noConversion"/>
  </si>
  <si>
    <t>抗摔·强健</t>
    <phoneticPr fontId="18" type="noConversion"/>
  </si>
  <si>
    <t>抗摔</t>
    <phoneticPr fontId="18" type="noConversion"/>
  </si>
  <si>
    <t>已为.-补.-%[(.+)%].-(%d-)个.-消耗(%d+%.?%d-)金</t>
  </si>
  <si>
    <t>好嘞，老夫开始收货了。本次特产转为(%d-)个(.-)，(.-)[，]-您辛苦了！</t>
    <phoneticPr fontId="18" type="noConversion"/>
  </si>
  <si>
    <t>{nClass=14,nIcon=374,nFrame=6,szName="{$2}·{$1}{$3}",nTime=10,nRefresh=600,key="阵营模式",},</t>
    <phoneticPr fontId="18" type="noConversion"/>
  </si>
  <si>
    <t>{nClass=20,nIcon=592,nFrame=4,szName="【云台营】大旗重置",nTime=180,nRefresh=7200,key="云台营·大旗重置",},</t>
    <phoneticPr fontId="18" type="noConversion"/>
  </si>
  <si>
    <t>{nClass=20,nIcon=592,nFrame=4,szName="【高阳营】大旗重置",nTime=180,nRefresh=7200,key="高阳营·大旗重置",},</t>
    <phoneticPr fontId="18" type="noConversion"/>
  </si>
  <si>
    <t>{dwMapID=-1,szDisplay="分线·传送",nMaxDistance=12,tRelation={bAll=false,bEnemy=false,bAlly=true,},tLife={bEnable=false,szOperator="&gt;",nValue=0,},},</t>
    <phoneticPr fontId="18" type="noConversion"/>
  </si>
  <si>
    <t>{nClass=20,nIcon=5815,nFrame=-1,szName="阵营活动",nTime="1,据点攻防·开始排队;10,据点攻防·开始排队;60,据点攻防·等待排队",nRefresh=1,key="阵营活动",},</t>
    <phoneticPr fontId="18" type="noConversion"/>
  </si>
  <si>
    <t>主城地图</t>
    <phoneticPr fontId="18" type="noConversion"/>
  </si>
  <si>
    <t>{dwMapID=-1,szDisplay="分线·传送",nMaxDistance=6,tRelation={bAll=false,bEnemy=false,bAlly=true,},tLife={bEnable=false,szOperator="&gt;",nValue=0,},},</t>
    <phoneticPr fontId="18" type="noConversion"/>
  </si>
  <si>
    <t>^【(.*)】据点大旗(.*)重置回初始位置！\n</t>
  </si>
  <si>
    <t>return {CHAT={</t>
    <phoneticPr fontId="18" type="noConversion"/>
  </si>
  <si>
    <t>return {TALK={</t>
    <phoneticPr fontId="18" type="noConversion"/>
  </si>
  <si>
    <t>return {NPC={</t>
    <phoneticPr fontId="18" type="noConversion"/>
  </si>
  <si>
    <t>return {DEBUFF={</t>
    <phoneticPr fontId="18" type="noConversion"/>
  </si>
  <si>
    <t>return {BUFF={</t>
    <phoneticPr fontId="18" type="noConversion"/>
  </si>
  <si>
    <t>{$1}·{$2}·{$3}</t>
    <phoneticPr fontId="18" type="noConversion"/>
  </si>
  <si>
    <t>本场战役已结束，双方战事惨烈，未分胜负！双方士气各涨500分！\n</t>
    <phoneticPr fontId="18" type="noConversion"/>
  </si>
  <si>
    <t>据点争夺已结束，所有交通已恢复。\n</t>
    <phoneticPr fontId="18" type="noConversion"/>
  </si>
  <si>
    <t>{nClass=20,nIcon=2400,nFrame=0,szName="据点攻防·平局",nTime=30,nRefresh=2,key="阵营活动",},</t>
    <phoneticPr fontId="18" type="noConversion"/>
  </si>
  <si>
    <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t>
    <phoneticPr fontId="18" type="noConversion"/>
  </si>
  <si>
    <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t>
    <phoneticPr fontId="18" type="noConversion"/>
  </si>
  <si>
    <t>浩气盟·本周胜利</t>
    <phoneticPr fontId="18" type="noConversion"/>
  </si>
  <si>
    <t>恶人谷·本周胜利</t>
    <phoneticPr fontId="18" type="noConversion"/>
  </si>
  <si>
    <t>{nClass=20,nIcon=2401,nFrame=0,szName="奇袭攻防·正式开始",nTime="30,奇袭攻防·正式开始;60,建议关闭·江湖身份",nRefresh=10,key="阵营活动",},</t>
    <phoneticPr fontId="18" type="noConversion"/>
  </si>
  <si>
    <t>{nClass=20,nIcon=13,nFrame=4,szName="浩气·物资车·运达",nTime=-1,key="浩气·物资车·运达",},</t>
    <phoneticPr fontId="18" type="noConversion"/>
  </si>
  <si>
    <t>{nClass=20,nIcon=13,nFrame=4,szName="恶人·物资车·运达",nTime=-1,key="恶人·物资车·运达",},</t>
    <phoneticPr fontId="18" type="noConversion"/>
  </si>
  <si>
    <t>{nClass=1,nIcon=13,nFrame=4,szName="浩气·物资车·运达",nTime=-1,key="浩气·物资车·运达",},</t>
    <phoneticPr fontId="18" type="noConversion"/>
  </si>
  <si>
    <t>{nClass=1,nIcon=13,nFrame=4,szName="恶人·物资车·运达",nTime=-1,key="恶人·物资车·运达",},</t>
    <phoneticPr fontId="18" type="noConversion"/>
  </si>
  <si>
    <t>{nClass=20,nIcon=2401,nFrame=0,szName="本场攻防·结束剩余",nTime=60,nRefresh=5,key="阵营活动",},</t>
    <phoneticPr fontId="18" type="noConversion"/>
  </si>
  <si>
    <t>【{$1}】·{$2}·{$3}·城门</t>
  </si>
  <si>
    <t>(.-)侠士([打开关闭]+)了【(.-)据点】城门！</t>
  </si>
  <si>
    <t>繁忙</t>
    <phoneticPr fontId="18" type="noConversion"/>
  </si>
  <si>
    <t>^本场战役已结束，双方战事惨烈，但终是(.-)略胜一筹，(.-)！(.-)士气大涨(%d-)分！</t>
    <phoneticPr fontId="18" type="noConversion"/>
  </si>
  <si>
    <t>{nClass=14,nIcon=13,nFrame=7,szName="浩气·劫车奖励",nTime=60,key="恶人·矿车",},</t>
  </si>
  <si>
    <t>{nClass=14,nIcon=13,nFrame=3,szName="恶人·劫车奖励",nTime=60,key="浩气·矿车",},</t>
  </si>
  <si>
    <t>{nClass=14,nIcon=13,nFrame=3,szName="恶人·护送牛车",nTime="548,恶人·护送牛车;562,恶人·延迟护送牛车",nRefresh=0,key="恶人·矿车",},</t>
    <phoneticPr fontId="18" type="noConversion"/>
  </si>
  <si>
    <t>{nClass=14,nIcon=13,nFrame=7,szName="浩气·护送牛车",nTime="548,浩气·护送牛车;562,浩气·延迟护送牛车",nRefresh=0,key="浩气·矿车",},</t>
    <phoneticPr fontId="18" type="noConversion"/>
  </si>
  <si>
    <t>回答奖励</t>
    <phoneticPr fontId="18" type="noConversion"/>
  </si>
  <si>
    <t>验证码答案</t>
    <phoneticPr fontId="18" type="noConversion"/>
  </si>
  <si>
    <t>#FF32FFFF</t>
    <phoneticPr fontId="18" type="noConversion"/>
  </si>
  <si>
    <t>#FF32FF</t>
    <phoneticPr fontId="18" type="noConversion"/>
  </si>
  <si>
    <t>答题</t>
    <phoneticPr fontId="18" type="noConversion"/>
  </si>
  <si>
    <t>栖霞幻境</t>
    <phoneticPr fontId="18" type="noConversion"/>
  </si>
  <si>
    <t>漓水河岸</t>
    <phoneticPr fontId="18" type="noConversion"/>
  </si>
  <si>
    <t>{nClass=14,nIcon=13,nFrame=7,szName="浩气·护送牛车",nTime="337,浩气·护送牛车;340,浩气·延迟护送牛车",nRefresh=0,key="浩气·矿车",},</t>
    <phoneticPr fontId="18" type="noConversion"/>
  </si>
  <si>
    <t>{nClass=14,nIcon=13,nFrame=3,szName="恶人·护送牛车",nTime="337,恶人·护送牛车;340,恶人·延迟护送牛车",nRefresh=0,key="恶人·矿车",},</t>
    <phoneticPr fontId="18" type="noConversion"/>
  </si>
  <si>
    <t>验战阶</t>
    <phoneticPr fontId="18" type="noConversion"/>
  </si>
  <si>
    <t>前阶段战阶·占坑检测</t>
    <phoneticPr fontId="18" type="noConversion"/>
  </si>
  <si>
    <t>255,50,255,</t>
    <phoneticPr fontId="18" type="noConversion"/>
  </si>
  <si>
    <t>攻防挂机</t>
    <phoneticPr fontId="18" type="noConversion"/>
  </si>
  <si>
    <t>注视</t>
    <phoneticPr fontId="18" type="noConversion"/>
  </si>
  <si>
    <t>据点挂机</t>
    <phoneticPr fontId="18" type="noConversion"/>
  </si>
  <si>
    <t>全屏泛光.获得气劲</t>
    <phoneticPr fontId="18" type="noConversion"/>
  </si>
  <si>
    <t>全屏泛光.喊话</t>
    <phoneticPr fontId="18" type="noConversion"/>
  </si>
  <si>
    <t>#FFFFFFFF</t>
    <phoneticPr fontId="18" type="noConversion"/>
  </si>
  <si>
    <t>车</t>
    <phoneticPr fontId="18" type="noConversion"/>
  </si>
  <si>
    <t>视</t>
    <phoneticPr fontId="18" type="noConversion"/>
  </si>
  <si>
    <t>题</t>
    <phoneticPr fontId="18" type="noConversion"/>
  </si>
  <si>
    <t>忙</t>
    <phoneticPr fontId="18" type="noConversion"/>
  </si>
  <si>
    <t>{dwMapID=-1,szDisplay="大旗·云台营",nMaxDistance=30,tRelation={bAll=true,bEnemy=false,bAlly=false,},tLife={bEnable=false,szOperator="&gt;",nValue=0,},},</t>
    <phoneticPr fontId="18" type="noConversion"/>
  </si>
  <si>
    <t>{dwMapID=-1,szDisplay="大旗·高阳营",nMaxDistance=30,tRelation={bAll=true,bEnemy=false,bAlly=false,},tLife={bEnable=false,szOperator="&gt;",nValue=0,},},</t>
    <phoneticPr fontId="18" type="noConversion"/>
  </si>
  <si>
    <t>{nClass=20,nIcon=2400,nFrame=0,szName="{$1}·{$2}",nTime=30,nRefresh=2,key="阵营活动",},</t>
    <phoneticPr fontId="18" type="noConversion"/>
  </si>
  <si>
    <t>祭天护送恶人宝箱</t>
  </si>
  <si>
    <t>祭天护送浩气宝箱</t>
  </si>
  <si>
    <t>{nClass=14,nIcon=13,nFrame=3,szName="恶人·领取护送奖赏",nTime=60,key="恶人·矿车",},</t>
  </si>
  <si>
    <t>{nClass=14,nIcon=13,nFrame=7,szName="浩气·领取护送奖赏",nTime=60,key="浩气·矿车",},</t>
  </si>
  <si>
    <t>吕沛杰</t>
    <phoneticPr fontId="18" type="noConversion"/>
  </si>
  <si>
    <t>陶国栋</t>
    <phoneticPr fontId="18" type="noConversion"/>
  </si>
  <si>
    <t>张一洋</t>
    <phoneticPr fontId="18" type="noConversion"/>
  </si>
  <si>
    <t>true,false,false,false,false,false,false,false,false,false,</t>
    <phoneticPr fontId="18" type="noConversion"/>
  </si>
  <si>
    <t>通用城门</t>
    <phoneticPr fontId="18" type="noConversion"/>
  </si>
  <si>
    <t>城门·苍山洱海</t>
    <phoneticPr fontId="18" type="noConversion"/>
  </si>
  <si>
    <t>阴山大草原·分线</t>
    <phoneticPr fontId="18" type="noConversion"/>
  </si>
  <si>
    <t>城门·阴山大草原·分线</t>
    <phoneticPr fontId="18" type="noConversion"/>
  </si>
  <si>
    <t>城门·阴山大草原</t>
    <phoneticPr fontId="18" type="noConversion"/>
  </si>
  <si>
    <t>城门·马嵬驿</t>
    <phoneticPr fontId="18" type="noConversion"/>
  </si>
  <si>
    <t>{nClass=12,nFrame=1,nIcon=1904,nTime=30,szName="城门·已摧毁",},</t>
  </si>
  <si>
    <t>奇袭·恶人·伊夜</t>
    <phoneticPr fontId="18" type="noConversion"/>
  </si>
  <si>
    <t>奇袭·浩气·韩非池</t>
    <phoneticPr fontId="18" type="noConversion"/>
  </si>
  <si>
    <t>奇袭·恶人·丁丁</t>
    <phoneticPr fontId="18" type="noConversion"/>
  </si>
  <si>
    <t>奇袭·恶人·独孤修</t>
    <phoneticPr fontId="18" type="noConversion"/>
  </si>
  <si>
    <t>奇袭·恶人·烟</t>
    <phoneticPr fontId="18" type="noConversion"/>
  </si>
  <si>
    <t>奇袭·恶人·岳琅</t>
    <phoneticPr fontId="18" type="noConversion"/>
  </si>
  <si>
    <t>奇袭·浩气·影</t>
    <phoneticPr fontId="18" type="noConversion"/>
  </si>
  <si>
    <t>奇袭·浩气·赵紫儿</t>
    <phoneticPr fontId="18" type="noConversion"/>
  </si>
  <si>
    <t>奇袭·浩气·叶镜池</t>
    <phoneticPr fontId="18" type="noConversion"/>
  </si>
  <si>
    <t>奇袭·浩气·穆玄英</t>
    <phoneticPr fontId="18" type="noConversion"/>
  </si>
  <si>
    <t>奇袭·浩气·郭珠</t>
    <phoneticPr fontId="18" type="noConversion"/>
  </si>
  <si>
    <t>复活·恶人·顾延恶</t>
    <phoneticPr fontId="18" type="noConversion"/>
  </si>
  <si>
    <t>复活·恶人·吕沛杰</t>
    <phoneticPr fontId="18" type="noConversion"/>
  </si>
  <si>
    <t>复活·恶人·陶国栋</t>
    <phoneticPr fontId="18" type="noConversion"/>
  </si>
  <si>
    <t>复活·恶人·张一洋</t>
    <phoneticPr fontId="18" type="noConversion"/>
  </si>
  <si>
    <t>复活·浩气·谢烟客</t>
    <phoneticPr fontId="18" type="noConversion"/>
  </si>
  <si>
    <t>复活·浩气·周峰</t>
    <phoneticPr fontId="18" type="noConversion"/>
  </si>
  <si>
    <t>复活·浩气·郑鸥</t>
    <phoneticPr fontId="18" type="noConversion"/>
  </si>
  <si>
    <t>复活·浩气·陶杰</t>
    <phoneticPr fontId="18" type="noConversion"/>
  </si>
  <si>
    <t>主场·恶人·灭世机甲</t>
    <phoneticPr fontId="18" type="noConversion"/>
  </si>
  <si>
    <t>主场·浩气·司空仲平</t>
    <phoneticPr fontId="18" type="noConversion"/>
  </si>
  <si>
    <t>主场·浩气·张桎辕</t>
    <phoneticPr fontId="18" type="noConversion"/>
  </si>
  <si>
    <t>主场·浩气·月弄痕</t>
    <phoneticPr fontId="18" type="noConversion"/>
  </si>
  <si>
    <t>主场·浩气·谢渊</t>
    <phoneticPr fontId="18" type="noConversion"/>
  </si>
  <si>
    <t>主场·浩气·王遗风</t>
    <phoneticPr fontId="18" type="noConversion"/>
  </si>
  <si>
    <t>主场·恶人·陶寒亭</t>
    <phoneticPr fontId="18" type="noConversion"/>
  </si>
  <si>
    <t>主场·恶人·米丽古丽</t>
    <phoneticPr fontId="18" type="noConversion"/>
  </si>
  <si>
    <t>主场·恶人·肖药儿</t>
    <phoneticPr fontId="18" type="noConversion"/>
  </si>
  <si>
    <t>主场·浩气·游驹</t>
    <phoneticPr fontId="18" type="noConversion"/>
  </si>
  <si>
    <t>主场·恶人·王遗风</t>
    <phoneticPr fontId="18" type="noConversion"/>
  </si>
  <si>
    <t>旗</t>
    <phoneticPr fontId="18" type="noConversion"/>
  </si>
  <si>
    <t>{nClass=20,nIcon=3445,nFrame=3,szName="恶人谷·本周胜利",nTime=60,key="阵营活动",},</t>
    <phoneticPr fontId="18" type="noConversion"/>
  </si>
  <si>
    <t>{nClass=20,nIcon=3444,nFrame=7,szName="浩气盟·本周胜利",nTime=60,key="阵营活动",},</t>
    <phoneticPr fontId="18" type="noConversion"/>
  </si>
  <si>
    <t>{nClass=12,nFrame=1,nIcon=361,nTime=10,szName="神机台·已摧毁",},</t>
    <phoneticPr fontId="18" type="noConversion"/>
  </si>
  <si>
    <t>摧城车·组装中</t>
  </si>
  <si>
    <t>摧城车·组装中</t>
    <phoneticPr fontId="18" type="noConversion"/>
  </si>
  <si>
    <t>{dwMapID=-1,szDisplay="摧城车·敌方·组装中",nMaxDistance=60,tRelation={bAll=false,bEnemy=true,bAlly=false,},tLife={bEnable=false,szOperator="&gt;",nValue=0,},},{dwMapID=-1,szDisplay="摧城车·组装中",nMaxDistance=60,tRelation={bAll=false,bEnemy=false,bAlly=true,},tLife={bEnable=false,szOperator="&gt;",nValue=0,},},</t>
    <phoneticPr fontId="18" type="noConversion"/>
  </si>
  <si>
    <t>摧城车</t>
    <phoneticPr fontId="18" type="noConversion"/>
  </si>
  <si>
    <t>{dwMapID=-1,szDisplay="摧城车·敌方",nMaxDistance=15,tRelation={bAll=false,bEnemy=true,bAlly=false,},tLife={bEnable=false,szOperator="&gt;",nValue=0,},},</t>
    <phoneticPr fontId="18" type="noConversion"/>
  </si>
  <si>
    <t>摧城车底座-浩气</t>
    <phoneticPr fontId="18" type="noConversion"/>
  </si>
  <si>
    <t>摧城车底座-恶人</t>
    <phoneticPr fontId="18" type="noConversion"/>
  </si>
  <si>
    <t>恶人·物资车·出发</t>
    <phoneticPr fontId="18" type="noConversion"/>
  </si>
  <si>
    <t>浩气·物资车·出发</t>
    <phoneticPr fontId="18" type="noConversion"/>
  </si>
  <si>
    <t>{dwMapID=-1,szDisplay="神机台·敌方",nMaxDistance=60,tRelation={bAll=false,bEnemy=true,bAlly=false,},tLife={bEnable=false,szOperator="&gt;",nValue=0,},},{dwMapID=-1,szDisplay="神机台·有人",nMaxDistance=60,tRelation={bAll=false,bEnemy=false,bAlly=true,},tLife={bEnable=false,szOperator="&gt;",nValue=0,},},</t>
    <phoneticPr fontId="18" type="noConversion"/>
  </si>
  <si>
    <t>神机台·有人</t>
    <phoneticPr fontId="18" type="noConversion"/>
  </si>
  <si>
    <t>燃火20s</t>
    <phoneticPr fontId="18" type="noConversion"/>
  </si>
  <si>
    <t>火</t>
    <phoneticPr fontId="18" type="noConversion"/>
  </si>
  <si>
    <t>御城·抛掷</t>
    <phoneticPr fontId="18" type="noConversion"/>
  </si>
  <si>
    <t>眩晕·抛掷</t>
    <phoneticPr fontId="18" type="noConversion"/>
  </si>
  <si>
    <t>晕</t>
    <phoneticPr fontId="18" type="noConversion"/>
  </si>
  <si>
    <t>#FFFF00FF</t>
    <phoneticPr fontId="18" type="noConversion"/>
  </si>
  <si>
    <t>#FFFF00</t>
    <phoneticPr fontId="18" type="noConversion"/>
  </si>
  <si>
    <t>夜晚</t>
  </si>
  <si>
    <t>攻防·夜晚</t>
  </si>
  <si>
    <t>255,255,0,</t>
  </si>
  <si>
    <t>大雪</t>
  </si>
  <si>
    <t>攻防·大雪</t>
  </si>
  <si>
    <t>攻防·雾天</t>
  </si>
  <si>
    <t>沙暴</t>
  </si>
  <si>
    <t>攻防·沙尘暴</t>
  </si>
  <si>
    <t>下雨</t>
  </si>
  <si>
    <t>攻防·下雨</t>
  </si>
  <si>
    <t>大风</t>
  </si>
  <si>
    <t>攻防·大风</t>
  </si>
  <si>
    <t>弩CD</t>
    <phoneticPr fontId="18" type="noConversion"/>
  </si>
  <si>
    <t>放置·摧城车</t>
    <phoneticPr fontId="18" type="noConversion"/>
  </si>
  <si>
    <t>放置一辆摧城车，本日本阵营还可放置(%d-)辆摧城车。</t>
    <phoneticPr fontId="18" type="noConversion"/>
  </si>
  <si>
    <t>{dwMapID=-1,szDisplay="摧城车·浩气",nMaxDistance=60,tRelation={bAll=true,bEnemy=true,bAlly=true,},tLife={bEnable=false,szOperator="&gt;",nValue=0,},},</t>
    <phoneticPr fontId="18" type="noConversion"/>
  </si>
  <si>
    <t>{dwMapID=-1,szDisplay="摧城车·恶人",nMaxDistance=60,tRelation={bAll=true,bEnemy=true,bAlly=true,},tLife={bEnable=false,szOperator="&gt;",nValue=0,},},</t>
    <phoneticPr fontId="18" type="noConversion"/>
  </si>
  <si>
    <t>{dwMapID=-1,szDisplay="摧城车·敌方",nMaxDistance=30,tRelation={bAll=false,bEnemy=true,bAlly=false,},tLife={bEnable=false,szOperator="&gt;",nValue=0,},},{dwMapID=-1,szDisplay="摧城车·友方",nMaxDistance=15,tRelation={bAll=false,bEnemy=false,bAlly=true,},tLife={bEnable=false,szOperator="&gt;",nValue=0,},},</t>
    <phoneticPr fontId="18" type="noConversion"/>
  </si>
  <si>
    <t>{nClass=12,nFrame=1,nIcon=15838,nTime=10,szName="恶人·摧城车·已摧毁",},</t>
    <phoneticPr fontId="18" type="noConversion"/>
  </si>
  <si>
    <t>{nClass=12,nFrame=1,nIcon=15839,nTime=10,szName="浩气·摧城车·已摧毁",},</t>
    <phoneticPr fontId="18" type="noConversion"/>
  </si>
  <si>
    <t>恶人·神机车·组装中</t>
    <phoneticPr fontId="18" type="noConversion"/>
  </si>
  <si>
    <t>浩气·神机车·组装中</t>
    <phoneticPr fontId="18" type="noConversion"/>
  </si>
  <si>
    <t>浩气·神机车</t>
    <phoneticPr fontId="18" type="noConversion"/>
  </si>
  <si>
    <t>火圈</t>
    <phoneticPr fontId="18" type="noConversion"/>
  </si>
  <si>
    <t>减疗火圈</t>
    <phoneticPr fontId="18" type="noConversion"/>
  </si>
  <si>
    <t>浩气·摧城车·底座</t>
    <phoneticPr fontId="18" type="noConversion"/>
  </si>
  <si>
    <t>恶人·摧城车·底座</t>
    <phoneticPr fontId="18" type="noConversion"/>
  </si>
  <si>
    <t>恶人·神机车·底座</t>
    <phoneticPr fontId="18" type="noConversion"/>
  </si>
  <si>
    <t>浩气·神机车·底座</t>
    <phoneticPr fontId="18" type="noConversion"/>
  </si>
  <si>
    <t>恶人·神机车</t>
    <phoneticPr fontId="18" type="noConversion"/>
  </si>
  <si>
    <t>恶人·组装神机车</t>
    <phoneticPr fontId="18" type="noConversion"/>
  </si>
  <si>
    <t>浩气·组装神机车</t>
    <phoneticPr fontId="18" type="noConversion"/>
  </si>
  <si>
    <t>浩气·摧城车</t>
    <phoneticPr fontId="18" type="noConversion"/>
  </si>
  <si>
    <t>恶人·摧城车</t>
    <phoneticPr fontId="18" type="noConversion"/>
  </si>
  <si>
    <t>{nClass=1,nIcon=5399,nFrame=0,szName="增益·燃火·持续剩余",nTime=20,key="燃火",},</t>
    <phoneticPr fontId="18" type="noConversion"/>
  </si>
  <si>
    <t>{nClass=2,nIcon=13,szName="燃火",nTime=-1,key="燃火",},</t>
    <phoneticPr fontId="18" type="noConversion"/>
  </si>
  <si>
    <t>关闭刷马等计时条</t>
    <phoneticPr fontId="18" type="noConversion"/>
  </si>
  <si>
    <t>{nClass=1,nIcon=13,nFrame=2,szName="挂机检测·首领注视",nTime=30,key="挂机检测",},</t>
    <phoneticPr fontId="18" type="noConversion"/>
  </si>
  <si>
    <t>{nClass=1,nIcon=13,nFrame=1,szName="答题验证·回答正确",nTime=5,key="挂机检测",},</t>
    <phoneticPr fontId="18" type="noConversion"/>
  </si>
  <si>
    <t>{nClass=1,nIcon=13,nFrame=1,szName="答题验证·剩余时间",nTime=30,key="挂机检测",},</t>
    <phoneticPr fontId="18" type="noConversion"/>
  </si>
  <si>
    <t>([浩气恶人]-)前线战况焦灼，(.-)，有劳你速速前往支援！</t>
  </si>
  <si>
    <t>{$1}·{$2}·即将到达</t>
    <phoneticPr fontId="18" type="noConversion"/>
  </si>
  <si>
    <t>{nClass=12,nFrame=1,nIcon=134,nTime=10,szName="模型·摧城车·已摧毁",},</t>
    <phoneticPr fontId="18" type="noConversion"/>
  </si>
  <si>
    <t>神机台·没人状态</t>
    <phoneticPr fontId="18" type="noConversion"/>
  </si>
  <si>
    <t>神机台·启动状态</t>
    <phoneticPr fontId="18" type="noConversion"/>
  </si>
  <si>
    <t>神机台·有人状态</t>
    <phoneticPr fontId="18" type="noConversion"/>
  </si>
  <si>
    <t>答对</t>
    <phoneticPr fontId="18" type="noConversion"/>
  </si>
  <si>
    <t>{nClass=14,nIcon=6158,nFrame=1,szName="摧城车·本日剩余·{$1}辆",nTime=10,key="摧城车",},</t>
    <phoneticPr fontId="18" type="noConversion"/>
  </si>
  <si>
    <t>帮会领地</t>
    <phoneticPr fontId="18" type="noConversion"/>
  </si>
  <si>
    <t>你获得了200点威名、200点战阶。受到了鼓舞，气力值消耗减少一段时间。</t>
  </si>
  <si>
    <t>{nClass=14,nIcon=8850,nFrame=1,szName="拾取间隔",nTime="300,物资车·拾取物资·间隔剩余;310,物资车·可以拾取物资了",nRefresh=1,key="牛车拾取间隔",},</t>
    <phoneticPr fontId="18" type="noConversion"/>
  </si>
  <si>
    <t>本场攻防“主战场”已结束，浩气盟侠士和恶人谷侠士经过一场恶战，势均力敌，最终打为平手，暂时休战！\n</t>
    <phoneticPr fontId="18" type="noConversion"/>
  </si>
  <si>
    <t>本场攻防·即将结束</t>
    <phoneticPr fontId="18" type="noConversion"/>
  </si>
  <si>
    <t>{nClass=20,nIcon=13,szName="首领拾取间隔",nTime=-1,key="首领拾取间隔",},</t>
    <phoneticPr fontId="18" type="noConversion"/>
  </si>
  <si>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</si>
  <si>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</si>
  <si>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</si>
  <si>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</si>
  <si>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</si>
  <si>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</si>
  <si>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</si>
  <si>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</si>
  <si>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</si>
  <si>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</si>
  <si>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</si>
  <si>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</si>
  <si>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{nClass=1,nIcon=13,szName="牛车拾取间隔",nTime=0,key="牛车拾取间隔",},</t>
    <phoneticPr fontId="18" type="noConversion"/>
  </si>
  <si>
    <t>{nClass=1,nIcon=13,szName="首领拾取间隔",nTime=-1,key="首领拾取间隔",},</t>
    <phoneticPr fontId="18" type="noConversion"/>
  </si>
  <si>
    <t>{nClass=20,nIcon=13,szName="牛车拾取间隔",nTime=-1,key="牛车拾取间隔",},</t>
    <phoneticPr fontId="18" type="noConversion"/>
  </si>
  <si>
    <t>return {CASTING={</t>
    <phoneticPr fontId="18" type="noConversion"/>
  </si>
  <si>
    <t>0,255,255,</t>
    <phoneticPr fontId="18" type="noConversion"/>
  </si>
  <si>
    <t>{dwMapID=-1,szDisplay="火圈·减疗",nMaxDistance=8,tRelation={bAll=true,bEnemy=true,bAlly=true,},tLife={bEnable=false,szOperator="&gt;",nValue=0,},},</t>
    <phoneticPr fontId="18" type="noConversion"/>
  </si>
  <si>
    <t>据点攻防·已经结束</t>
    <phoneticPr fontId="18" type="noConversion"/>
  </si>
  <si>
    <t>{nClass=1,nIcon=23896,nFrame=5,szName="夜晚·场景火堆·地形障碍",nTime=30,nRefresh=9000,key="天气事件1",},</t>
  </si>
  <si>
    <t>{nClass=1,nIcon=23895,nFrame=5,szName="大雪·场景雪堆·地形障碍",nTime=30,nRefresh=9000,key="天气事件1",},</t>
  </si>
  <si>
    <t>{nClass=1,nIcon=23893,nFrame=5,szName="雾天·伤害15尺内·气血增加20%",nTime=30,nRefresh=9000,key="天气事件1",},</t>
  </si>
  <si>
    <t>{nClass=1,nIcon=23892,nFrame=5,szName="沙暴·减疗10%·复活加快50%",nTime=30,nRefresh=9000,key="天气事件1",},</t>
  </si>
  <si>
    <t>{nClass=20,nIcon=13,szName="天气事件2",nTime=-2,key="天气事件2",},</t>
    <phoneticPr fontId="18" type="noConversion"/>
  </si>
  <si>
    <t>{nClass=20,nIcon=13,szName="天气事件1",nTime=-2,key="天气事件1",},</t>
    <phoneticPr fontId="18" type="noConversion"/>
  </si>
  <si>
    <t>{nClass=1,nIcon=23897,nFrame=4,szName="下周·雨天·减伤加速调息",nTime=30,nRefresh=9000,key="天气事件2",},</t>
    <phoneticPr fontId="18" type="noConversion"/>
  </si>
  <si>
    <t>{nClass=1,nIcon=23892,nFrame=4,szName="下周·沙暴·减疗加快复活",nTime=30,nRefresh=9000,key="天气事件2",},</t>
    <phoneticPr fontId="18" type="noConversion"/>
  </si>
  <si>
    <t>{nClass=1,nIcon=23897,nFrame=5,szName="雨天·减伤5%·加速调息20%",nTime=30,nRefresh=9000,key="天气事件1",},</t>
    <phoneticPr fontId="18" type="noConversion"/>
  </si>
  <si>
    <t>{nClass=1,nIcon=23896,nFrame=4,szName="下周·夜晚·场景火堆地形障碍",nTime=30,nRefresh=9000,key="天气事件2",},</t>
    <phoneticPr fontId="18" type="noConversion"/>
  </si>
  <si>
    <t>{nClass=20,nIcon=13,szName="狼牙先锋首领",nTime=0,key="狼牙先锋首领",},</t>
    <phoneticPr fontId="18" type="noConversion"/>
  </si>
  <si>
    <t>{nClass=20,nIcon=13,szName="离开据点·大旗重置",nTime=0,key="离开据点·大旗重置",},</t>
    <phoneticPr fontId="18" type="noConversion"/>
  </si>
  <si>
    <t>{nClass=12,nFrame=4,nIcon=13,nTime="180,铁铸刚·刷新剩余;182,铁铸刚·正在刷新",szName="铁铸刚·刷新剩余",nRefresh=0,key="铁铸刚",},</t>
    <phoneticPr fontId="18" type="noConversion"/>
  </si>
  <si>
    <t>据点攻防·平局</t>
    <phoneticPr fontId="18" type="noConversion"/>
  </si>
  <si>
    <t>据点攻防·{$1}·{$2}</t>
    <phoneticPr fontId="18" type="noConversion"/>
  </si>
  <si>
    <t>奇袭·贡献值·限速90%</t>
    <phoneticPr fontId="18" type="noConversion"/>
  </si>
  <si>
    <t>奇袭·贡献值·限速50%</t>
    <phoneticPr fontId="18" type="noConversion"/>
  </si>
  <si>
    <t>战斗移动骑乘</t>
    <phoneticPr fontId="18" type="noConversion"/>
  </si>
  <si>
    <t>一触即发·休息阶段</t>
    <phoneticPr fontId="18" type="noConversion"/>
  </si>
  <si>
    <t>偃旗息鼓·攻防阶段</t>
    <phoneticPr fontId="18" type="noConversion"/>
  </si>
  <si>
    <t>{nClass=1,nIcon=23893,nFrame=4,szName="下周·雾天·伤害15尺气血增加",nTime=30,nRefresh=9000,key="天气事件2",},</t>
  </si>
  <si>
    <t>{nClass=1,nIcon=23895,nFrame=4,szName="下周·大雪·场景雪堆·地形障碍",nTime=30,nRefresh=9000,key="天气事件2",},</t>
  </si>
  <si>
    <t>通用箭塔</t>
    <phoneticPr fontId="18" type="noConversion"/>
  </si>
  <si>
    <t>箭塔·龙门荒漠</t>
    <phoneticPr fontId="18" type="noConversion"/>
  </si>
  <si>
    <t>箭塔·昆仑</t>
    <phoneticPr fontId="18" type="noConversion"/>
  </si>
  <si>
    <t>箭塔·瞿塘峡</t>
    <phoneticPr fontId="18" type="noConversion"/>
  </si>
  <si>
    <t>箭塔·无量山</t>
    <phoneticPr fontId="18" type="noConversion"/>
  </si>
  <si>
    <t>箭塔·苍山洱海</t>
    <phoneticPr fontId="18" type="noConversion"/>
  </si>
  <si>
    <t>通用工房</t>
    <phoneticPr fontId="18" type="noConversion"/>
  </si>
  <si>
    <t>工房·龙门荒漠</t>
    <phoneticPr fontId="18" type="noConversion"/>
  </si>
  <si>
    <t>通用粮仓</t>
    <phoneticPr fontId="18" type="noConversion"/>
  </si>
  <si>
    <t>粮仓·龙门荒漠</t>
    <phoneticPr fontId="18" type="noConversion"/>
  </si>
  <si>
    <t>粮仓·苍山洱海</t>
    <phoneticPr fontId="18" type="noConversion"/>
  </si>
  <si>
    <t>工房·苍山洱海</t>
    <phoneticPr fontId="18" type="noConversion"/>
  </si>
  <si>
    <t>粮仓·马嵬驿</t>
    <phoneticPr fontId="18" type="noConversion"/>
  </si>
  <si>
    <t>进战移动马</t>
    <phoneticPr fontId="18" type="noConversion"/>
  </si>
  <si>
    <t>城门·昆仑</t>
    <phoneticPr fontId="18" type="noConversion"/>
  </si>
  <si>
    <t>城门·无量山</t>
    <phoneticPr fontId="18" type="noConversion"/>
  </si>
  <si>
    <t>城门·龙门荒漠</t>
    <phoneticPr fontId="18" type="noConversion"/>
  </si>
  <si>
    <t>通用箭塔·瞿塘峡·枫华谷</t>
    <phoneticPr fontId="18" type="noConversion"/>
  </si>
  <si>
    <t>通用箭塔·昆仑·苍山洱海</t>
    <phoneticPr fontId="18" type="noConversion"/>
  </si>
  <si>
    <t>箭塔·马嵬驿·龙门荒漠</t>
    <phoneticPr fontId="18" type="noConversion"/>
  </si>
  <si>
    <t>九素化生·伤害距离</t>
    <phoneticPr fontId="18" type="noConversion"/>
  </si>
  <si>
    <t>秘境地图</t>
    <phoneticPr fontId="18" type="noConversion"/>
  </si>
  <si>
    <t>通用地图</t>
    <phoneticPr fontId="18" type="noConversion"/>
  </si>
  <si>
    <t>{nClass=20,nIcon=5815,nFrame=7,szName="主战场·浩气盟",nTime="1,阵营攻防·开始排队·浩气盟;10,阵营攻防·开始排队·浩气盟",key="大攻防·主战场",},</t>
    <phoneticPr fontId="18" type="noConversion"/>
  </si>
  <si>
    <t>{nClass=20,nIcon=5815,nFrame=3,szName="主战场·恶人谷",nTime="1,阵营攻防·开始排队·恶人谷;10,阵营攻防·开始排队·恶人谷",key="大攻防·主战场",},</t>
    <phoneticPr fontId="18" type="noConversion"/>
  </si>
  <si>
    <t>西风古道</t>
    <phoneticPr fontId="18" type="noConversion"/>
  </si>
  <si>
    <t>御城·精准</t>
  </si>
  <si>
    <t>眩晕·御城</t>
    <phoneticPr fontId="18" type="noConversion"/>
  </si>
  <si>
    <t>{nClass=2,nIcon=6491,nFrame=1,szName="劲足·已消失",nTime=3,nRefresh=5,key="骑御·劲足",},</t>
    <phoneticPr fontId="18" type="noConversion"/>
  </si>
  <si>
    <t>{nClass=2,nIcon=13,szName="通用事件",nTime=-2,key="通用事件",},</t>
    <phoneticPr fontId="18" type="noConversion"/>
  </si>
  <si>
    <t>五分钟内只可拾取一次对立阵营首领仓皇撤退留下的物资。</t>
    <phoneticPr fontId="18" type="noConversion"/>
  </si>
  <si>
    <t>{nClass=14,nIcon=13,szName="首领拾取间隔",nTime=-2,key="首领拾取间隔",},</t>
    <phoneticPr fontId="18" type="noConversion"/>
  </si>
  <si>
    <t>主场·助战首领堆·拾取间隔</t>
    <phoneticPr fontId="18" type="noConversion"/>
  </si>
  <si>
    <t>你获得了100点威名、100点战阶。</t>
    <phoneticPr fontId="18" type="noConversion"/>
  </si>
  <si>
    <t>堆堆·助战首领</t>
    <phoneticPr fontId="18" type="noConversion"/>
  </si>
  <si>
    <t>堆堆·驻场首领</t>
    <phoneticPr fontId="18" type="noConversion"/>
  </si>
  <si>
    <t>堆堆·牛车奖励</t>
    <phoneticPr fontId="18" type="noConversion"/>
  </si>
  <si>
    <t>#00FFFFFF</t>
    <phoneticPr fontId="18" type="noConversion"/>
  </si>
  <si>
    <t>#00FFFF</t>
    <phoneticPr fontId="18" type="noConversion"/>
  </si>
  <si>
    <t>业务繁忙</t>
    <phoneticPr fontId="18" type="noConversion"/>
  </si>
  <si>
    <t>(.-)误入埋伏，防守不利，暂时败退。请(.-)暂且撤回驻守之地，务必小心防守。</t>
    <phoneticPr fontId="18" type="noConversion"/>
  </si>
  <si>
    <t>(.-)出手协助众人酣战一场，其力有所不支，暂且从前线撤回。</t>
    <phoneticPr fontId="18" type="noConversion"/>
  </si>
  <si>
    <t>(.-)出手协助众人酣战一场，回到驻守之地。</t>
    <phoneticPr fontId="18" type="noConversion"/>
  </si>
  <si>
    <t>{$1}·助战失利·回营</t>
    <phoneticPr fontId="18" type="noConversion"/>
  </si>
  <si>
    <t>{$1}·助战结束·回营</t>
    <phoneticPr fontId="18" type="noConversion"/>
  </si>
  <si>
    <t>恶人·据点总管</t>
    <phoneticPr fontId="18" type="noConversion"/>
  </si>
  <si>
    <t>浩气·据点总管</t>
    <phoneticPr fontId="18" type="noConversion"/>
  </si>
  <si>
    <t>{nClass=20,nIcon=13,szName="大攻防·{$1}",nTime=-2,key="大攻防·{$1}",},</t>
    <phoneticPr fontId="18" type="noConversion"/>
  </si>
  <si>
    <t>%</t>
    <phoneticPr fontId="18" type="noConversion"/>
  </si>
  <si>
    <t>尔等鼠辈！谁敢与我一战！</t>
    <phoneticPr fontId="18" type="noConversion"/>
  </si>
  <si>
    <t>{nClass=14,nIcon=3556,nFrame=1,szName="狼牙先锋首领·已经刷新",nTime=10,nRefresh=120,key="狼牙先锋首领",},</t>
    <phoneticPr fontId="18" type="noConversion"/>
  </si>
  <si>
    <t>狼牙先锋首领</t>
    <phoneticPr fontId="18" type="noConversion"/>
  </si>
  <si>
    <t>{nClass=14,nIcon=3536,nFrame=3,szName="龙门·攻防前置分流",nTime=30,nRefresh=1800,key="分流活动",},</t>
    <phoneticPr fontId="18" type="noConversion"/>
  </si>
  <si>
    <t>{nClass=14,nIcon=3536,nFrame=7,szName="巴陵·攻防前置分流",nTime=30,nRefresh=1800,key="分流活动",},</t>
    <phoneticPr fontId="18" type="noConversion"/>
  </si>
  <si>
    <t>狼牙先锋首领·刷新喊话1</t>
    <phoneticPr fontId="18" type="noConversion"/>
  </si>
  <si>
    <t>狼牙先锋首领·刷新喊话2</t>
    <phoneticPr fontId="18" type="noConversion"/>
  </si>
  <si>
    <t>正在拍卖攻防掉落的稀有物品，其中通常有当前最高品质附魔、绝世稀有坐骑、玄晶等，阵营侠士们切勿错过！\n</t>
    <phoneticPr fontId="18" type="noConversion"/>
  </si>
  <si>
    <t>阵营攻防·拍卖掉落</t>
    <phoneticPr fontId="18" type="noConversion"/>
  </si>
  <si>
    <t>{nClass=20,nIcon=134,nFrame=0,szName="获得·[便携装置·神机车]",nTime=10,nRefresh=1,key="交互事件",},</t>
    <phoneticPr fontId="18" type="noConversion"/>
  </si>
  <si>
    <t>{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t>
    <phoneticPr fontId="18" type="noConversion"/>
  </si>
  <si>
    <t>{nClass=20,nIcon=4837,nFrame=7,szName="{$2}【{$3}】浩气大旗被夺",nTime=30,nRefresh=1,key="{$3}·浩气大旗",},</t>
    <phoneticPr fontId="18" type="noConversion"/>
  </si>
  <si>
    <t>{nClass=20,nIcon=4838,nFrame=3,szName="{$2}【{$3}】恶人大旗被夺",nTime=30,nRefresh=1,key="{$3}·恶人大旗",},</t>
    <phoneticPr fontId="18" type="noConversion"/>
  </si>
  <si>
    <t>正在拍卖逐鹿中原掉落的稀有物品，其中通常有当前最高品质附魔、绝世稀有坐骑、玄晶等，阵营侠士们切勿错过！\n</t>
    <phoneticPr fontId="18" type="noConversion"/>
  </si>
  <si>
    <t>据点攻防·拍卖掉落</t>
    <phoneticPr fontId="18" type="noConversion"/>
  </si>
  <si>
    <t>武王城</t>
    <phoneticPr fontId="18" type="noConversion"/>
  </si>
  <si>
    <t>凛风堡</t>
    <phoneticPr fontId="18" type="noConversion"/>
  </si>
  <si>
    <t>盘龙坞</t>
    <phoneticPr fontId="18" type="noConversion"/>
  </si>
  <si>
    <t>逐鹿坪</t>
    <phoneticPr fontId="18" type="noConversion"/>
  </si>
  <si>
    <t>龙门镇</t>
    <phoneticPr fontId="18" type="noConversion"/>
  </si>
  <si>
    <t>飞沙关</t>
    <phoneticPr fontId="18" type="noConversion"/>
  </si>
  <si>
    <t>红莲岗</t>
    <phoneticPr fontId="18" type="noConversion"/>
  </si>
  <si>
    <t>秋雨堡</t>
    <phoneticPr fontId="18" type="noConversion"/>
  </si>
  <si>
    <t>金门关</t>
    <phoneticPr fontId="18" type="noConversion"/>
  </si>
  <si>
    <t>青云坞</t>
    <phoneticPr fontId="18" type="noConversion"/>
  </si>
  <si>
    <t>激流坞</t>
    <phoneticPr fontId="18" type="noConversion"/>
  </si>
  <si>
    <t>不空关</t>
    <phoneticPr fontId="18" type="noConversion"/>
  </si>
  <si>
    <t>日月崖</t>
    <phoneticPr fontId="18" type="noConversion"/>
  </si>
  <si>
    <t>卧龙坡</t>
    <phoneticPr fontId="18" type="noConversion"/>
  </si>
  <si>
    <t>霜戈堡</t>
    <phoneticPr fontId="18" type="noConversion"/>
  </si>
  <si>
    <t>澜沧城</t>
    <phoneticPr fontId="18" type="noConversion"/>
  </si>
  <si>
    <t>神池岭</t>
    <phoneticPr fontId="18" type="noConversion"/>
  </si>
  <si>
    <t>烈日岗</t>
    <phoneticPr fontId="18" type="noConversion"/>
  </si>
  <si>
    <t>凤鸣堡</t>
    <phoneticPr fontId="18" type="noConversion"/>
  </si>
  <si>
    <t>惊虬谷</t>
    <phoneticPr fontId="18" type="noConversion"/>
  </si>
  <si>
    <t>大理山城</t>
    <phoneticPr fontId="18" type="noConversion"/>
  </si>
  <si>
    <t>千岩关</t>
    <phoneticPr fontId="18" type="noConversion"/>
  </si>
  <si>
    <t>枫湖寨</t>
    <phoneticPr fontId="18" type="noConversion"/>
  </si>
  <si>
    <t>啖杏林</t>
    <phoneticPr fontId="18" type="noConversion"/>
  </si>
  <si>
    <t>扶风郡</t>
    <phoneticPr fontId="18" type="noConversion"/>
  </si>
  <si>
    <t>世外坡</t>
    <phoneticPr fontId="18" type="noConversion"/>
  </si>
  <si>
    <t>云台营</t>
    <phoneticPr fontId="18" type="noConversion"/>
  </si>
  <si>
    <t>高阳营</t>
    <phoneticPr fontId="18" type="noConversion"/>
  </si>
  <si>
    <t>{nClass=20,nIcon=4837,nFrame=7,szName="{$2}【{$3}】浩气大旗被夺",nTime=30,key="{$3}·浩气大旗",},</t>
    <phoneticPr fontId="18" type="noConversion"/>
  </si>
  <si>
    <t>{nClass=20,nIcon=4838,nFrame=3,szName="{$2}【{$3}】恶人大旗被夺",nTime=30,key="{$3}·恶人大旗",},</t>
    <phoneticPr fontId="18" type="noConversion"/>
  </si>
  <si>
    <t>{nClass=3,nIcon=3445,nFrame=3,szName="武王城·浩气大旗被夺",nTime=-1,key="武王城·浩气大旗",},</t>
    <phoneticPr fontId="18" type="noConversion"/>
  </si>
  <si>
    <t>{nClass=3,nIcon=3445,nFrame=3,szName="凛风堡·浩气大旗被夺",nTime=-1,key="凛风堡·浩气大旗",},</t>
    <phoneticPr fontId="18" type="noConversion"/>
  </si>
  <si>
    <t>{nClass=3,nIcon=3445,nFrame=3,szName="盘龙坞·浩气大旗被夺",nTime=-1,key="盘龙坞·浩气大旗",},</t>
    <phoneticPr fontId="18" type="noConversion"/>
  </si>
  <si>
    <t>{nClass=3,nIcon=3445,nFrame=3,szName="逐鹿坪·浩气大旗被夺",nTime=-1,key="逐鹿坪·浩气大旗",},</t>
    <phoneticPr fontId="18" type="noConversion"/>
  </si>
  <si>
    <t>{nClass=3,nIcon=3445,nFrame=3,szName="龙门镇·浩气大旗被夺",nTime=-1,key="龙门镇·浩气大旗",},</t>
    <phoneticPr fontId="18" type="noConversion"/>
  </si>
  <si>
    <t>{nClass=3,nIcon=3445,nFrame=3,szName="飞沙关·浩气大旗被夺",nTime=-1,key="飞沙关·浩气大旗",},</t>
    <phoneticPr fontId="18" type="noConversion"/>
  </si>
  <si>
    <t>{nClass=3,nIcon=3445,nFrame=3,szName="红莲岗·浩气大旗被夺",nTime=-1,key="红莲岗·浩气大旗",},</t>
    <phoneticPr fontId="18" type="noConversion"/>
  </si>
  <si>
    <t>{nClass=3,nIcon=3445,nFrame=3,szName="秋雨堡·浩气大旗被夺",nTime=-1,key="秋雨堡·浩气大旗",},</t>
    <phoneticPr fontId="18" type="noConversion"/>
  </si>
  <si>
    <t>{nClass=3,nIcon=3445,nFrame=3,szName="金门关·浩气大旗被夺",nTime=-1,key="金门关·浩气大旗",},</t>
    <phoneticPr fontId="18" type="noConversion"/>
  </si>
  <si>
    <t>{nClass=3,nIcon=3445,nFrame=3,szName="青云坞·浩气大旗被夺",nTime=-1,key="青云坞·浩气大旗",},</t>
    <phoneticPr fontId="18" type="noConversion"/>
  </si>
  <si>
    <t>{nClass=3,nIcon=3445,nFrame=3,szName="激流坞·浩气大旗被夺",nTime=-1,key="激流坞·浩气大旗",},</t>
    <phoneticPr fontId="18" type="noConversion"/>
  </si>
  <si>
    <t>{nClass=3,nIcon=3445,nFrame=3,szName="不空关·浩气大旗被夺",nTime=-1,key="不空关·浩气大旗",},</t>
    <phoneticPr fontId="18" type="noConversion"/>
  </si>
  <si>
    <t>{nClass=3,nIcon=3445,nFrame=3,szName="日月崖·浩气大旗被夺",nTime=-1,key="日月崖·浩气大旗",},</t>
    <phoneticPr fontId="18" type="noConversion"/>
  </si>
  <si>
    <t>{nClass=3,nIcon=3445,nFrame=3,szName="卧龙坡·浩气大旗被夺",nTime=-1,key="卧龙坡·浩气大旗",},</t>
    <phoneticPr fontId="18" type="noConversion"/>
  </si>
  <si>
    <t>{nClass=3,nIcon=3445,nFrame=3,szName="霜戈堡·浩气大旗被夺",nTime=-1,key="霜戈堡·浩气大旗",},</t>
    <phoneticPr fontId="18" type="noConversion"/>
  </si>
  <si>
    <t>{nClass=3,nIcon=3445,nFrame=3,szName="澜沧城·浩气大旗被夺",nTime=-1,key="澜沧城·浩气大旗",},</t>
    <phoneticPr fontId="18" type="noConversion"/>
  </si>
  <si>
    <t>{nClass=3,nIcon=3445,nFrame=3,szName="神池岭·浩气大旗被夺",nTime=-1,key="神池岭·浩气大旗",},</t>
    <phoneticPr fontId="18" type="noConversion"/>
  </si>
  <si>
    <t>{nClass=3,nIcon=3445,nFrame=3,szName="烈日岗·浩气大旗被夺",nTime=-1,key="烈日岗·浩气大旗",},</t>
    <phoneticPr fontId="18" type="noConversion"/>
  </si>
  <si>
    <t>{nClass=3,nIcon=3445,nFrame=3,szName="凤鸣堡·浩气大旗被夺",nTime=-1,key="凤鸣堡·浩气大旗",},</t>
    <phoneticPr fontId="18" type="noConversion"/>
  </si>
  <si>
    <t>{nClass=3,nIcon=3445,nFrame=3,szName="惊虬谷·浩气大旗被夺",nTime=-1,key="惊虬谷·浩气大旗",},</t>
    <phoneticPr fontId="18" type="noConversion"/>
  </si>
  <si>
    <t>{nClass=3,nIcon=3445,nFrame=3,szName="大理山城·浩气大旗被夺",nTime=-1,key="大理山城·浩气大旗",},</t>
    <phoneticPr fontId="18" type="noConversion"/>
  </si>
  <si>
    <t>{nClass=3,nIcon=3445,nFrame=3,szName="千岩关·浩气大旗被夺",nTime=-1,key="千岩关·浩气大旗",},</t>
    <phoneticPr fontId="18" type="noConversion"/>
  </si>
  <si>
    <t>{nClass=3,nIcon=3445,nFrame=3,szName="枫湖寨·浩气大旗被夺",nTime=-1,key="枫湖寨·浩气大旗",},</t>
    <phoneticPr fontId="18" type="noConversion"/>
  </si>
  <si>
    <t>{nClass=3,nIcon=3445,nFrame=3,szName="啖杏林·浩气大旗被夺",nTime=-1,key="啖杏林·浩气大旗",},</t>
    <phoneticPr fontId="18" type="noConversion"/>
  </si>
  <si>
    <t>{nClass=3,nIcon=3445,nFrame=3,szName="扶风郡·浩气大旗被夺",nTime=-1,key="扶风郡·浩气大旗",},</t>
    <phoneticPr fontId="18" type="noConversion"/>
  </si>
  <si>
    <t>{nClass=3,nIcon=3445,nFrame=3,szName="世外坡·浩气大旗被夺",nTime=-1,key="世外坡·浩气大旗",},</t>
    <phoneticPr fontId="18" type="noConversion"/>
  </si>
  <si>
    <t>{nClass=3,nIcon=3445,nFrame=3,szName="云台营·浩气大旗被夺",nTime=-1,key="云台营·浩气大旗",},</t>
    <phoneticPr fontId="18" type="noConversion"/>
  </si>
  <si>
    <t>{nClass=3,nIcon=3445,nFrame=3,szName="高阳营·浩气大旗被夺",nTime=-1,key="高阳营·浩气大旗",},</t>
    <phoneticPr fontId="18" type="noConversion"/>
  </si>
  <si>
    <t>{nClass=3,nIcon=3444,nFrame=7,szName="高阳营·恶人大旗被夺",nTime=-1,key="高阳营·恶人大旗",},</t>
    <phoneticPr fontId="18" type="noConversion"/>
  </si>
  <si>
    <t>{nClass=3,nIcon=3444,nFrame=7,szName="武王城·恶人大旗被夺",nTime=-1,key="武王城·恶人大旗",},</t>
    <phoneticPr fontId="18" type="noConversion"/>
  </si>
  <si>
    <t>{nClass=3,nIcon=3444,nFrame=7,szName="凛风堡·恶人大旗被夺",nTime=-1,key="凛风堡·恶人大旗",},</t>
    <phoneticPr fontId="18" type="noConversion"/>
  </si>
  <si>
    <t>{nClass=3,nIcon=3444,nFrame=7,szName="盘龙坞·恶人大旗被夺",nTime=-1,key="盘龙坞·恶人大旗",},</t>
    <phoneticPr fontId="18" type="noConversion"/>
  </si>
  <si>
    <t>{nClass=3,nIcon=3444,nFrame=7,szName="逐鹿坪·恶人大旗被夺",nTime=-1,key="逐鹿坪·恶人大旗",},</t>
    <phoneticPr fontId="18" type="noConversion"/>
  </si>
  <si>
    <t>{nClass=3,nIcon=3444,nFrame=7,szName="龙门镇·恶人大旗被夺",nTime=-1,key="龙门镇·恶人大旗",},</t>
    <phoneticPr fontId="18" type="noConversion"/>
  </si>
  <si>
    <t>{nClass=3,nIcon=3444,nFrame=7,szName="飞沙关·恶人大旗被夺",nTime=-1,key="飞沙关·恶人大旗",},</t>
    <phoneticPr fontId="18" type="noConversion"/>
  </si>
  <si>
    <t>{nClass=3,nIcon=3444,nFrame=7,szName="红莲岗·恶人大旗被夺",nTime=-1,key="红莲岗·恶人大旗",},</t>
    <phoneticPr fontId="18" type="noConversion"/>
  </si>
  <si>
    <t>{nClass=3,nIcon=3444,nFrame=7,szName="秋雨堡·恶人大旗被夺",nTime=-1,key="秋雨堡·恶人大旗",},</t>
    <phoneticPr fontId="18" type="noConversion"/>
  </si>
  <si>
    <t>{nClass=3,nIcon=3444,nFrame=7,szName="金门关·恶人大旗被夺",nTime=-1,key="金门关·恶人大旗",},</t>
    <phoneticPr fontId="18" type="noConversion"/>
  </si>
  <si>
    <t>{nClass=3,nIcon=3444,nFrame=7,szName="青云坞·恶人大旗被夺",nTime=-1,key="青云坞·恶人大旗",},</t>
    <phoneticPr fontId="18" type="noConversion"/>
  </si>
  <si>
    <t>{nClass=3,nIcon=3444,nFrame=7,szName="激流坞·恶人大旗被夺",nTime=-1,key="激流坞·恶人大旗",},</t>
    <phoneticPr fontId="18" type="noConversion"/>
  </si>
  <si>
    <t>{nClass=3,nIcon=3444,nFrame=7,szName="不空关·恶人大旗被夺",nTime=-1,key="不空关·恶人大旗",},</t>
    <phoneticPr fontId="18" type="noConversion"/>
  </si>
  <si>
    <t>{nClass=3,nIcon=3444,nFrame=7,szName="日月崖·恶人大旗被夺",nTime=-1,key="日月崖·恶人大旗",},</t>
    <phoneticPr fontId="18" type="noConversion"/>
  </si>
  <si>
    <t>{nClass=3,nIcon=3444,nFrame=7,szName="卧龙坡·恶人大旗被夺",nTime=-1,key="卧龙坡·恶人大旗",},</t>
    <phoneticPr fontId="18" type="noConversion"/>
  </si>
  <si>
    <t>{nClass=3,nIcon=3444,nFrame=7,szName="霜戈堡·恶人大旗被夺",nTime=-1,key="霜戈堡·恶人大旗",},</t>
    <phoneticPr fontId="18" type="noConversion"/>
  </si>
  <si>
    <t>{nClass=3,nIcon=3444,nFrame=7,szName="澜沧城·恶人大旗被夺",nTime=-1,key="澜沧城·恶人大旗",},</t>
    <phoneticPr fontId="18" type="noConversion"/>
  </si>
  <si>
    <t>{nClass=3,nIcon=3444,nFrame=7,szName="神池岭·恶人大旗被夺",nTime=-1,key="神池岭·恶人大旗",},</t>
    <phoneticPr fontId="18" type="noConversion"/>
  </si>
  <si>
    <t>{nClass=3,nIcon=3444,nFrame=7,szName="烈日岗·恶人大旗被夺",nTime=-1,key="烈日岗·恶人大旗",},</t>
    <phoneticPr fontId="18" type="noConversion"/>
  </si>
  <si>
    <t>{nClass=3,nIcon=3444,nFrame=7,szName="凤鸣堡·恶人大旗被夺",nTime=-1,key="凤鸣堡·恶人大旗",},</t>
    <phoneticPr fontId="18" type="noConversion"/>
  </si>
  <si>
    <t>{nClass=3,nIcon=3444,nFrame=7,szName="惊虬谷·恶人大旗被夺",nTime=-1,key="惊虬谷·恶人大旗",},</t>
    <phoneticPr fontId="18" type="noConversion"/>
  </si>
  <si>
    <t>{nClass=3,nIcon=3444,nFrame=7,szName="大理山城·恶人大旗被夺",nTime=-1,key="大理山城·恶人大旗",},</t>
    <phoneticPr fontId="18" type="noConversion"/>
  </si>
  <si>
    <t>{nClass=3,nIcon=3444,nFrame=7,szName="千岩关·恶人大旗被夺",nTime=-1,key="千岩关·恶人大旗",},</t>
    <phoneticPr fontId="18" type="noConversion"/>
  </si>
  <si>
    <t>{nClass=3,nIcon=3444,nFrame=7,szName="枫湖寨·恶人大旗被夺",nTime=-1,key="枫湖寨·恶人大旗",},</t>
    <phoneticPr fontId="18" type="noConversion"/>
  </si>
  <si>
    <t>{nClass=3,nIcon=3444,nFrame=7,szName="啖杏林·恶人大旗被夺",nTime=-1,key="啖杏林·恶人大旗",},</t>
    <phoneticPr fontId="18" type="noConversion"/>
  </si>
  <si>
    <t>{nClass=3,nIcon=3444,nFrame=7,szName="扶风郡·恶人大旗被夺",nTime=-1,key="扶风郡·恶人大旗",},</t>
    <phoneticPr fontId="18" type="noConversion"/>
  </si>
  <si>
    <t>{nClass=3,nIcon=3444,nFrame=7,szName="世外坡·恶人大旗被夺",nTime=-1,key="世外坡·恶人大旗",},</t>
    <phoneticPr fontId="18" type="noConversion"/>
  </si>
  <si>
    <t>{nClass=3,nIcon=3444,nFrame=7,szName="云台营·恶人大旗被夺",nTime=-1,key="云台营·恶人大旗",},</t>
    <phoneticPr fontId="18" type="noConversion"/>
  </si>
  <si>
    <t>{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t>
    <phoneticPr fontId="18" type="noConversion"/>
  </si>
  <si>
    <t>{nClass=20,nIcon=13,szName="{$3}·浩气大旗",nTime=-1,key="{$3}·浩气大旗",},</t>
    <phoneticPr fontId="18" type="noConversion"/>
  </si>
  <si>
    <t>{nClass=20,nIcon=13,szName="{$3}·恶人大旗",nTime=-1,key="{$3}·恶人大旗",},</t>
    <phoneticPr fontId="18" type="noConversion"/>
  </si>
  <si>
    <t>{nClass=20,nIcon=14888,nFrame=7,szName="【{$3}】·浩气[{$2}]占领",nTime=30,nRefresh=1,key="{$3}·浩气大旗",},</t>
    <phoneticPr fontId="18" type="noConversion"/>
  </si>
  <si>
    <t>{nClass=20,nIcon=14887,nFrame=3,szName="【{$3}】·恶人[{$2}]占领",nTime=30,nRefresh=1,key="{$3}·恶人大旗",},</t>
    <phoneticPr fontId="18" type="noConversion"/>
  </si>
  <si>
    <t>{nClass=20,nIcon=14887,nFrame=3,szName="【{$3}】·恶人[{$2}]占领",nTime=30,nRefresh=1,key="{$3}·浩气占领",},</t>
  </si>
  <si>
    <t>{nClass=20,nIcon=14888,nFrame=7,szName="【{$3}】·浩气[{$2}]占领",nTime=30,nRefresh=1,key="{$3}·恶人占领",},</t>
    <phoneticPr fontId="18" type="noConversion"/>
  </si>
  <si>
    <t>{nClass=20,nIcon=13,szName="{$3}·{$1}占领",nTime=-1,key="{$3}·{$1}占领",},</t>
    <phoneticPr fontId="18" type="noConversion"/>
  </si>
  <si>
    <t>{nClass=20,nIcon=13,nFrame=0,szName="阵营攻防·拍卖掉落",nTime=30,key="阵营活动",},</t>
    <phoneticPr fontId="18" type="noConversion"/>
  </si>
  <si>
    <t>{nClass=20,nIcon=13,nFrame=0,szName="据点攻防·拍卖掉落",nTime=30,key="阵营活动",},</t>
    <phoneticPr fontId="18" type="noConversion"/>
  </si>
  <si>
    <t>{nClass=1,nIcon=23890,nFrame=5,szName="大风·气力减慢·战斗上马机甲",nTime=30,nRefresh=9000,key="天气事件1",},</t>
    <phoneticPr fontId="18" type="noConversion"/>
  </si>
  <si>
    <t>{nClass=1,nIcon=23890,nFrame=4,szName="下周·大风·战斗上马机甲",nTime=30,nRefresh=9000,key="天气事件2",},</t>
    <phoneticPr fontId="18" type="noConversion"/>
  </si>
  <si>
    <t>{nClass=20,nIcon=13,szName="速战速决",nTime=-2,key="速战速决",},</t>
    <phoneticPr fontId="18" type="noConversion"/>
  </si>
  <si>
    <t>大跑商</t>
    <phoneticPr fontId="18" type="noConversion"/>
  </si>
  <si>
    <t>场景标记</t>
  </si>
  <si>
    <t>运货首领</t>
  </si>
  <si>
    <t>镖</t>
  </si>
  <si>
    <t>179,238,58,</t>
  </si>
  <si>
    <t>哑运</t>
    <phoneticPr fontId="18" type="noConversion"/>
  </si>
  <si>
    <t>阴山商路贸易区</t>
  </si>
  <si>
    <t>补货点</t>
  </si>
  <si>
    <t>255,150,0,</t>
    <phoneticPr fontId="18" type="noConversion"/>
  </si>
  <si>
    <t>31,63,255,</t>
    <phoneticPr fontId="18" type="noConversion"/>
  </si>
  <si>
    <t>阴山商路·恶人·谷艾</t>
    <phoneticPr fontId="18" type="noConversion"/>
  </si>
  <si>
    <t>阴山商路·浩气·宋涛</t>
    <phoneticPr fontId="18" type="noConversion"/>
  </si>
  <si>
    <t>恶人谷精锐队长</t>
    <phoneticPr fontId="18" type="noConversion"/>
  </si>
  <si>
    <t>浩气盟精锐队长</t>
    <phoneticPr fontId="18" type="noConversion"/>
  </si>
  <si>
    <t>九素化生·15尺伤害距离</t>
    <phoneticPr fontId="18" type="noConversion"/>
  </si>
  <si>
    <t>15尺</t>
    <phoneticPr fontId="18" type="noConversion"/>
  </si>
  <si>
    <t>{nClass=20,nIcon=13,nFrame=0,szName="粮草先行·活动结束",nTime=5,key="粮草先行·浩气盟",},</t>
    <phoneticPr fontId="18" type="noConversion"/>
  </si>
  <si>
    <t>{nClass=20,nIcon=13,nFrame=0,szName="粮草先行·活动结束",nTime=5,key="粮草先行·恶人谷",},</t>
    <phoneticPr fontId="18" type="noConversion"/>
  </si>
  <si>
    <t>{nClass=20,nIcon=13,szName="粮草先行·浩气盟",nTime=0,key="粮草先行·浩气盟",},</t>
    <phoneticPr fontId="18" type="noConversion"/>
  </si>
  <si>
    <t>{nClass=20,nIcon=13,szName="粮草先行·恶人谷",nTime=0,key="粮草先行·恶人谷",},</t>
    <phoneticPr fontId="18" type="noConversion"/>
  </si>
  <si>
    <t>{nClass=20,nIcon=589,nFrame=7,szName="赵新宇",nTime="60,赵新宇·刷新剩余;62,赵新宇·即将刷新",nRefresh=0,key="赵新宇",},</t>
    <phoneticPr fontId="18" type="noConversion"/>
  </si>
  <si>
    <t>{nClass=20,nIcon=2864,nFrame=7,szName="霸图",nTime="60,霸图·刷新剩余;62,霸图·即将刷新",nRefresh=0,key="霸图",},</t>
    <phoneticPr fontId="18" type="noConversion"/>
  </si>
  <si>
    <t>{nClass=20,nIcon=845,nFrame=3,szName="孙永恒",nTime="60,孙永恒·刷新剩余;62,孙永恒·即将刷新",nRefresh=0,key="孙永恒",},</t>
    <phoneticPr fontId="18" type="noConversion"/>
  </si>
  <si>
    <t>浩气盟督廷卫</t>
    <phoneticPr fontId="18" type="noConversion"/>
  </si>
  <si>
    <t>恶人谷督廷卫</t>
  </si>
  <si>
    <t>增援已至武王城，速速进攻！</t>
    <phoneticPr fontId="18" type="noConversion"/>
  </si>
  <si>
    <t>增援已至凛风堡，速速进攻！</t>
    <phoneticPr fontId="18" type="noConversion"/>
  </si>
  <si>
    <t>增援已至盘龙坞，速速进攻！</t>
    <phoneticPr fontId="18" type="noConversion"/>
  </si>
  <si>
    <t>增援已至逐鹿坪，速速进攻！</t>
    <phoneticPr fontId="18" type="noConversion"/>
  </si>
  <si>
    <t>增援已至龙门镇，速速进攻！</t>
    <phoneticPr fontId="18" type="noConversion"/>
  </si>
  <si>
    <t>增援已至飞沙关，速速进攻！</t>
    <phoneticPr fontId="18" type="noConversion"/>
  </si>
  <si>
    <t>增援已至红莲岗，速速进攻！</t>
    <phoneticPr fontId="18" type="noConversion"/>
  </si>
  <si>
    <t>增援已至秋雨堡，速速进攻！</t>
    <phoneticPr fontId="18" type="noConversion"/>
  </si>
  <si>
    <t>增援已至神池岭，速速进攻！</t>
    <phoneticPr fontId="18" type="noConversion"/>
  </si>
  <si>
    <t>增援已至烈日岗，速速进攻！</t>
    <phoneticPr fontId="18" type="noConversion"/>
  </si>
  <si>
    <t>增援已至大理山城，速速进攻！</t>
    <phoneticPr fontId="18" type="noConversion"/>
  </si>
  <si>
    <t>增援已至千岩关，速速进攻！</t>
    <phoneticPr fontId="18" type="noConversion"/>
  </si>
  <si>
    <t>增援已至扶风郡，速速进攻！</t>
    <phoneticPr fontId="18" type="noConversion"/>
  </si>
  <si>
    <t>增援已至世外坡，速速进攻！</t>
    <phoneticPr fontId="18" type="noConversion"/>
  </si>
  <si>
    <t>恶人谷督廷卫</t>
    <phoneticPr fontId="18" type="noConversion"/>
  </si>
  <si>
    <t>浩气·兵符增援·武王城</t>
    <phoneticPr fontId="18" type="noConversion"/>
  </si>
  <si>
    <t>恶人·兵符增援·凛风堡</t>
    <phoneticPr fontId="18" type="noConversion"/>
  </si>
  <si>
    <t>浩气·兵符增援·盘龙坞</t>
    <phoneticPr fontId="18" type="noConversion"/>
  </si>
  <si>
    <t>浩气·兵符增援·逐鹿坪</t>
    <phoneticPr fontId="18" type="noConversion"/>
  </si>
  <si>
    <t>恶人·兵符增援·龙门镇</t>
    <phoneticPr fontId="18" type="noConversion"/>
  </si>
  <si>
    <t>恶人·兵符增援·飞沙关</t>
    <phoneticPr fontId="18" type="noConversion"/>
  </si>
  <si>
    <t>浩气·兵符增援·红莲岗</t>
    <phoneticPr fontId="18" type="noConversion"/>
  </si>
  <si>
    <t>浩气·兵符增援·秋雨堡</t>
    <phoneticPr fontId="18" type="noConversion"/>
  </si>
  <si>
    <t>恶人·兵符增援·神池岭</t>
    <phoneticPr fontId="18" type="noConversion"/>
  </si>
  <si>
    <t>恶人·兵符增援·烈日岗</t>
    <phoneticPr fontId="18" type="noConversion"/>
  </si>
  <si>
    <t>浩气·兵符增援·大理山城</t>
    <phoneticPr fontId="18" type="noConversion"/>
  </si>
  <si>
    <t>浩气·兵符增援·千岩关</t>
    <phoneticPr fontId="18" type="noConversion"/>
  </si>
  <si>
    <t>恶人·兵符增援·扶风郡</t>
    <phoneticPr fontId="18" type="noConversion"/>
  </si>
  <si>
    <t>恶人·兵符增援·世外坡</t>
    <phoneticPr fontId="18" type="noConversion"/>
  </si>
  <si>
    <t>本场攻防“主战场”已结束，浩气盟侠士和恶人谷侠士经过一场恶战，势均力敌，最终打为平手。战利品稍后开始拍卖，请留意！\n</t>
    <phoneticPr fontId="18" type="noConversion"/>
  </si>
  <si>
    <t>本场攻防“奇袭场”已结束，浩气盟侠士和恶人谷侠士经过一场恶战，势均力敌，最终打为平手。战利品稍后开始拍卖，请留意！\n</t>
    <phoneticPr fontId="18" type="noConversion"/>
  </si>
  <si>
    <t>奇袭场·平局</t>
    <phoneticPr fontId="18" type="noConversion"/>
  </si>
  <si>
    <t>主战场·平局</t>
    <phoneticPr fontId="18" type="noConversion"/>
  </si>
  <si>
    <t>31,63,255,</t>
  </si>
  <si>
    <t>锁</t>
  </si>
  <si>
    <t>#1F3FFFFF</t>
  </si>
  <si>
    <t>#1F3FFF</t>
  </si>
  <si>
    <t>锁足·首领</t>
    <phoneticPr fontId="18" type="noConversion"/>
  </si>
  <si>
    <t>哼，还有要事要办，今日收获甚多，来日定多来领略你们的武功！</t>
  </si>
  <si>
    <t>狼牙先锋首领·攻防结束</t>
    <phoneticPr fontId="18" type="noConversion"/>
  </si>
  <si>
    <t>{nClass=14,nIcon=13,szName="狼牙先锋首领·离开",nTime=0,key="狼牙先锋首领",},</t>
    <phoneticPr fontId="18" type="noConversion"/>
  </si>
  <si>
    <t>据点攻防·正式开始</t>
    <phoneticPr fontId="18" type="noConversion"/>
  </si>
  <si>
    <t>{nClass=14,nIcon=13,nFrame=0,szName="浩气·速战速决·达成",nTime=10,nRefresh=99999,key="速战速决",},</t>
  </si>
  <si>
    <t>{nClass=14,nIcon=13,nFrame=0,szName="恶人·速战速决·达成",nTime=10,nRefresh=99999,key="速战速决",},</t>
  </si>
  <si>
    <t>{dwMapID=-1,szDisplay="谷艾·阴山商路·主簿",nMaxDistance=20,tRelation={bAll=false,bEnemy=false,bAlly=true,},tLife={bEnable=false,szOperator="&gt;",nValue=0,},},</t>
    <phoneticPr fontId="18" type="noConversion"/>
  </si>
  <si>
    <t>{dwMapID=-1,szDisplay="宋涛·阴山商路·主簿",nMaxDistance=20,tRelation={bAll=false,bEnemy=false,bAlly=true,},tLife={bEnable=false,szOperator="&gt;",nValue=0,},},</t>
    <phoneticPr fontId="18" type="noConversion"/>
  </si>
  <si>
    <t>涌</t>
    <phoneticPr fontId="18" type="noConversion"/>
  </si>
  <si>
    <t>锁足·呔</t>
    <phoneticPr fontId="18" type="noConversion"/>
  </si>
  <si>
    <t>眩晕·斩魂</t>
    <phoneticPr fontId="18" type="noConversion"/>
  </si>
  <si>
    <t>斩魂</t>
  </si>
  <si>
    <t>{nClass=20,nIcon=3536,nFrame=4,szName="小攻防·阴山大草原·分流",nTime=10,nRefresh=3600,key="分流活动",},</t>
    <phoneticPr fontId="18" type="noConversion"/>
  </si>
  <si>
    <t>{nClass=20,nIcon=3536,nFrame=4,szName="攻防·奇袭场·分线·开启",nTime=30,nRefresh=10,key="分流活动",},</t>
    <phoneticPr fontId="18" type="noConversion"/>
  </si>
  <si>
    <t>{nClass=20,nIcon=3536,nFrame=0,szName="据点攻防·活动结束",nTime=5,key="阵营活动",},</t>
    <phoneticPr fontId="18" type="noConversion"/>
  </si>
  <si>
    <t>{nClass=20,nIcon=13,szName="分流活动",nTime=-2,key="分流活动",},</t>
    <phoneticPr fontId="18" type="noConversion"/>
  </si>
  <si>
    <t>{nClass=20,nIcon=3536,nFrame=4,szName="小攻防·阴山大草原·正式开始",nTime=10,nRefresh=3600,key="分流活动",},</t>
    <phoneticPr fontId="18" type="noConversion"/>
  </si>
  <si>
    <t>{nClass=20,nIcon=3536,nFrame=4,szName="小攻防·阴山大草原·分线开启",nTime=10,nRefresh=3600,key="分流活动",},</t>
    <phoneticPr fontId="18" type="noConversion"/>
  </si>
  <si>
    <t>{dwMapID=-1,szDisplay="城门·关闭",nMaxDistance=60,tRelation={bAll=true,bEnemy=true,bAlly=true,},tLife={bEnable=true,szOperator="&gt;=",nValue=50,},},{dwMapID=-1,szDisplay="城门·破损",nMaxDistance=60,tRelation={bAll=true,bEnemy=true,bAlly=true,},tLife={bEnable=true,szOperator="&gt;=",nValue=30,},},</t>
    <phoneticPr fontId="18" type="noConversion"/>
  </si>
  <si>
    <t>无法拾取大旗</t>
    <phoneticPr fontId="18" type="noConversion"/>
  </si>
  <si>
    <t>128,238,255,</t>
    <phoneticPr fontId="18" type="noConversion"/>
  </si>
  <si>
    <t>大旗手</t>
    <phoneticPr fontId="18" type="noConversion"/>
  </si>
  <si>
    <t>大旗手检测</t>
    <phoneticPr fontId="18" type="noConversion"/>
  </si>
  <si>
    <t>箭弩车记录ID</t>
    <phoneticPr fontId="18" type="noConversion"/>
  </si>
  <si>
    <t>箭弩车</t>
    <phoneticPr fontId="18" type="noConversion"/>
  </si>
  <si>
    <t>{nClass=2,nIcon=13,nFrame=2,szName="【{$receiver}】·可以捡旗",nTime=5,key="经脉逆行·{$receiver}",},</t>
    <phoneticPr fontId="18" type="noConversion"/>
  </si>
  <si>
    <t>#FFFFFF</t>
  </si>
  <si>
    <t>屹立不倒</t>
  </si>
  <si>
    <t>243,53,8,</t>
    <phoneticPr fontId="18" type="noConversion"/>
  </si>
  <si>
    <t>敌人</t>
    <phoneticPr fontId="18" type="noConversion"/>
  </si>
  <si>
    <t>{nClass=20,nIcon=2400,nFrame=0,szName="{$1}·{$2}·{$3}",nTime=57,nRefresh=5,key="大攻防·主战场",},</t>
    <phoneticPr fontId="18" type="noConversion"/>
  </si>
  <si>
    <t>{nClass=20,nIcon=2402,nFrame=4,szName="{$1}·{$2}·{$3}",nTime=57,nRefresh=5,key="大攻防·奇袭场",},</t>
    <phoneticPr fontId="18" type="noConversion"/>
  </si>
  <si>
    <t>{nClass=20,nIcon=2400,nFrame=0,szName="主战场·平局",nTime=57,nRefresh=5,key="大攻防·主战场",},</t>
    <phoneticPr fontId="18" type="noConversion"/>
  </si>
  <si>
    <t>{nClass=20,nIcon=2402,nFrame=4,szName="奇袭场·平局",nTime=57,nRefresh=5,key="大攻防·奇袭场",},</t>
    <phoneticPr fontId="18" type="noConversion"/>
  </si>
  <si>
    <t>{nClass=20,nIcon=2400,nFrame=0,szName="主战场·平手",nTime=57,nRefresh=5,key="大攻防·主战场",},</t>
    <phoneticPr fontId="18" type="noConversion"/>
  </si>
  <si>
    <t>{nClass=20,nIcon=2402,nFrame=4,szName="奇袭场·平手",nTime=57,nRefresh=5,key="大攻防·奇袭场",},</t>
    <phoneticPr fontId="18" type="noConversion"/>
  </si>
  <si>
    <t>{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t>
    <phoneticPr fontId="18" type="noConversion"/>
  </si>
  <si>
    <t>{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
    <phoneticPr fontId="18" type="noConversion"/>
  </si>
  <si>
    <t>{nClass=1,nIcon=13,szName="通用事件",nTime=-1,nRefresh=99999,key="通用事件",},</t>
    <phoneticPr fontId="18" type="noConversion"/>
  </si>
  <si>
    <t>{nClass=1,nIcon=13,szName="诛恶事件",nTime=-1,nRefresh=99999,key="诛恶事件",},</t>
    <phoneticPr fontId="18" type="noConversion"/>
  </si>
  <si>
    <t>{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t>
    <phoneticPr fontId="18" type="noConversion"/>
  </si>
  <si>
    <t>{nClass=1,nIcon=13,szName="诛恶事件",nTime=-1,nRefresh=7200,key="诛恶事件",},{nClass=1,nIcon=13,szName="通用事件",nTime=-1,nRefresh=7200,key="通用事件",},</t>
    <phoneticPr fontId="18" type="noConversion"/>
  </si>
  <si>
    <t>{nClass=14,nIcon=13,nFrame=7,szName="谢渊·{$1}·减伤",nTime=-1,nRefresh=2,key="谢渊·{$1}·减伤",},</t>
    <phoneticPr fontId="18" type="noConversion"/>
  </si>
  <si>
    <t>{nClass=14,nIcon=13,nFrame=3,szName="王遗风·{$1}·减伤",nTime=-1,nRefresh=2,key="王遗风·{$1}·减伤",},</t>
    <phoneticPr fontId="18" type="noConversion"/>
  </si>
  <si>
    <t>{nClass=14,nIcon=13,szName="诛恶事件",nTime=-1,nRefresh=7200,key="诛恶事件",},{nClass=14,nIcon=13,szName="通用事件",nTime=-1,nRefresh=7200,key="通用事件",},</t>
  </si>
  <si>
    <t>{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t>
  </si>
  <si>
    <t>{nClass=20,nIcon=13,szName="诛恶事件",nTime=-1,nRefresh=7200,key="诛恶事件",},{nClass=20,nIcon=13,szName="通用事件",nTime=-1,nRefresh=7200,key="通用事件",},</t>
  </si>
  <si>
    <t>{nClass=20,nIcon=13,szName="首领拾取间隔",nTime=-1,nRefresh=7200,key="首领拾取间隔",},</t>
    <phoneticPr fontId="18" type="noConversion"/>
  </si>
  <si>
    <t>{nClass=20,nIcon=13,nFrame=-1,szName="创意食品",nTime=-1,nRefresh=5,key="创意食品",},</t>
    <phoneticPr fontId="18" type="noConversion"/>
  </si>
  <si>
    <t>{nClass=20,nIcon=13,szName="速战速决",nTime=-1,nRefresh=99999,key="速战速决",},</t>
    <phoneticPr fontId="18" type="noConversion"/>
  </si>
  <si>
    <t>{nClass=20,nIcon=13,szName="首领拾取间隔",nTime=-1,nRefresh=30,key="首领拾取间隔",},</t>
    <phoneticPr fontId="18" type="noConversion"/>
  </si>
  <si>
    <t>{nClass=20,nIcon=13,szName="{$3}·浩气大旗",nTime=-1,nRefresh=2,key="{$3}·浩气大旗",},</t>
    <phoneticPr fontId="18" type="noConversion"/>
  </si>
  <si>
    <t>{nClass=20,nIcon=13,szName="{$3}·恶人大旗",nTime=-1,nRefresh=2,key="{$3}·恶人大旗",},</t>
    <phoneticPr fontId="18" type="noConversion"/>
  </si>
  <si>
    <t>{nClass=20,nIcon=13,szName="{$3}·{$1}大旗",nTime=-2,key="{$3}·{$1}大旗",},</t>
    <phoneticPr fontId="18" type="noConversion"/>
  </si>
  <si>
    <t>{nClass=20,nIcon=2397,nFrame=-1,szName="{$3}·浩气大旗被夺",nTime=-1,nRefresh=2,key="{$3}·浩气大旗",},</t>
  </si>
  <si>
    <t>{nClass=20,nIcon=2397,nFrame=-1,szName="{$3}·浩气大旗被夺",nTime=-1,nRefresh=2,key="{$3}·浩气大旗",},</t>
    <phoneticPr fontId="18" type="noConversion"/>
  </si>
  <si>
    <t>{nClass=20,nIcon=2398,nFrame=-1,szName="{$3}·恶人大旗被夺",nTime=-1,nRefresh=2,key="{$3}·恶人大旗",},</t>
  </si>
  <si>
    <t>{nClass=20,nIcon=2398,nFrame=-1,szName="{$3}·恶人大旗被夺",nTime=-1,nRefresh=2,key="{$3}·恶人大旗",},</t>
    <phoneticPr fontId="18" type="noConversion"/>
  </si>
  <si>
    <t>{nClass=20,nIcon=2400,nFrame=7,szName="{$3}·{$1}大旗被夺",nTime=-2,key="{$3}·{$1}大旗",},</t>
    <phoneticPr fontId="18" type="noConversion"/>
  </si>
  <si>
    <t>{nClass=20,nIcon=2397,nFrame=-1,szName="{$1}·浩气劫粮",nTime=-1,nRefresh=2,key="{$1}·浩气劫粮",},</t>
    <phoneticPr fontId="18" type="noConversion"/>
  </si>
  <si>
    <t>{nClass=20,nIcon=2398,nFrame=-1,szName="{$1}·恶人劫粮",nTime=-1,nRefresh=2,key="{$1}·恶人劫粮",},</t>
    <phoneticPr fontId="18" type="noConversion"/>
  </si>
  <si>
    <t>{nClass=20,nIcon=2400,nFrame=7,szName="{$1}·{$2}劫粮",nTime=-2,key="{$1}·{$2}劫粮",},</t>
    <phoneticPr fontId="18" type="noConversion"/>
  </si>
  <si>
    <t>{nClass=20,nIcon=13,szName="【{$1}】大旗重置",nTime=-2,key="{$1}·大旗重置",},</t>
  </si>
  <si>
    <t>{nClass=20,nIcon=13,szName="【{$1}】大旗重置",nTime=-2,key="{$1}·大旗重置",},</t>
    <phoneticPr fontId="18" type="noConversion"/>
  </si>
  <si>
    <t>{nClass=20,nIcon=2400,nFrame=-1,szName="{$3}·{$1}大旗被夺",nTime=-2,key="{$3}·{$1}大旗",},</t>
  </si>
  <si>
    <t>{nClass=20,nIcon=2400,nFrame=-1,szName="{$3}·{$1}大旗被夺",nTime=-2,key="{$3}·{$1}大旗",},</t>
    <phoneticPr fontId="18" type="noConversion"/>
  </si>
  <si>
    <t>{nClass=20,nIcon=2400,szName="{$3}·{$1}大旗被夺",nTime=-2,key="{$3}·{$1}大旗",},</t>
    <phoneticPr fontId="18" type="noConversion"/>
  </si>
  <si>
    <t>^【(.*)】据点大旗(.*)重置回初始位置！\n</t>
    <phoneticPr fontId="18" type="noConversion"/>
  </si>
  <si>
    <t>{nClass=14,nIcon=13,szName="狼牙先锋首领",nTime=-2,key="狼牙先锋首领",},</t>
    <phoneticPr fontId="18" type="noConversion"/>
  </si>
  <si>
    <t>{nClass=14,nIcon=8478,nFrame=8,szName="浩气·兵符增援·盘龙坞",nTime="10,浩气·兵符增援·盘龙坞;300,浩气·盘龙坞·兵符冷却;305,浩气·盘龙坞·可用兵符",nRefresh=1,key="兵符·盘龙坞",},</t>
  </si>
  <si>
    <t>{nClass=14,nIcon=8478,nFrame=8,szName="浩气·兵符增援·逐鹿坪",nTime="10,浩气·兵符增援·逐鹿坪;300,浩气·逐鹿坪·兵符冷却;305,浩气·逐鹿坪·可用兵符",nRefresh=1,key="兵符·逐鹿坪",},</t>
  </si>
  <si>
    <t>{nClass=14,nIcon=8478,nFrame=8,szName="浩气·兵符增援·红莲岗",nTime="10,浩气·兵符增援·红莲岗;300,浩气·红莲岗·兵符冷却;305,浩气·红莲岗·可用兵符",nRefresh=1,key="兵符·红莲岗",},</t>
  </si>
  <si>
    <t>{nClass=14,nIcon=8478,nFrame=8,szName="浩气·兵符增援·秋雨堡",nTime="10,浩气·兵符增援·秋雨堡;300,浩气·秋雨堡·兵符冷却;305,浩气·秋雨堡·可用兵符",nRefresh=1,key="兵符·秋雨堡",},</t>
  </si>
  <si>
    <t>{nClass=14,nIcon=8478,nFrame=8,szName="浩气·兵符增援·大理山城",nTime="10,浩气·兵符增援·大理山城;300,浩气·大理山城·兵符冷却;305,浩气·大理山城·可用兵符",nRefresh=1,key="兵符·大理山城",},</t>
  </si>
  <si>
    <t>{nClass=14,nIcon=8478,nFrame=8,szName="浩气·兵符增援·千岩关",nTime="10,浩气·兵符增援·千岩关;300,浩气·千岩关·兵符冷却;305,浩气·千岩关·可用兵符",nRefresh=1,key="兵符·千岩关",},</t>
  </si>
  <si>
    <t>{nClass=14,nIcon=8478,nFrame=8,szName="恶人·兵符增援·世外坡",nTime="10,恶人·兵符增援·世外坡;300,恶人·世外坡·兵符冷却;305,恶人·世外坡·可用兵符",nRefresh=1,key="兵符·世外坡",},</t>
    <phoneticPr fontId="18" type="noConversion"/>
  </si>
  <si>
    <t>{nClass=14,nIcon=8478,nFrame=8,szName="恶人·兵符增援·凛风堡",nTime="10,恶人·兵符增援·凛风堡;300,恶人·凛风堡·兵符冷却;305,恶人·凛风堡·可用兵符",nRefresh=1,key="兵符·凛风堡",},</t>
    <phoneticPr fontId="18" type="noConversion"/>
  </si>
  <si>
    <t>{nClass=14,nIcon=8478,nFrame=8,szName="恶人·兵符增援·龙门镇",nTime="10,恶人·兵符增援·龙门镇;300,恶人·龙门镇·兵符冷却;305,恶人·龙门镇·可用兵符",nRefresh=1,key="兵符·龙门镇",},</t>
    <phoneticPr fontId="18" type="noConversion"/>
  </si>
  <si>
    <t>{nClass=14,nIcon=8478,nFrame=8,szName="恶人·兵符增援·飞沙关",nTime="10,恶人·兵符增援·飞沙关;300,恶人·飞沙关·兵符冷却;305,恶人·飞沙关·可用兵符",nRefresh=1,key="兵符·飞沙关",},</t>
    <phoneticPr fontId="18" type="noConversion"/>
  </si>
  <si>
    <t>{nClass=14,nIcon=8478,nFrame=8,szName="恶人·兵符增援·神池岭",nTime="10,恶人·兵符增援·神池岭;300,恶人·神池岭·兵符冷却;305,恶人·神池岭·可用兵符",nRefresh=1,key="兵符·神池岭",},</t>
    <phoneticPr fontId="18" type="noConversion"/>
  </si>
  <si>
    <t>{nClass=14,nIcon=8478,nFrame=8,szName="恶人·兵符增援·烈日岗",nTime="10,恶人·兵符增援·烈日岗;300,恶人·烈日岗·兵符冷却;305,恶人·烈日岗·可用兵符",nRefresh=1,key="兵符·烈日岗",},</t>
    <phoneticPr fontId="18" type="noConversion"/>
  </si>
  <si>
    <t>{nClass=14,nIcon=8478,nFrame=8,szName="恶人·兵符增援·扶风郡",nTime="10,恶人·兵符增援·扶风郡;300,恶人·扶风郡·兵符冷却;305,恶人·扶风郡·可用兵符",nRefresh=1,key="兵符·扶风郡",},</t>
    <phoneticPr fontId="18" type="noConversion"/>
  </si>
  <si>
    <t>{nClass=20,nIcon=1465,szName="凛风堡·大旗重置",nTime=-2,nRefresh=7200,key="凛风堡·大旗重置",},</t>
    <phoneticPr fontId="18" type="noConversion"/>
  </si>
  <si>
    <t>{nClass=20,nIcon=1465,szName="武王城·大旗重置",nTime=-2,nRefresh=7200,key="武王城·大旗重置",},</t>
    <phoneticPr fontId="18" type="noConversion"/>
  </si>
  <si>
    <t>{nClass=20,nIcon=592,nFrame=4,szName="【武王城】大旗重置",nTime=180,nRefresh=7200,key="武王城·大旗重置",},</t>
    <phoneticPr fontId="18" type="noConversion"/>
  </si>
  <si>
    <t>{nClass=20,nIcon=592,nFrame=4,szName="【逐鹿坪】大旗重置",nTime=180,nRefresh=7200,key="逐鹿坪·大旗重置",},</t>
    <phoneticPr fontId="18" type="noConversion"/>
  </si>
  <si>
    <t>{nClass=20,nIcon=592,nFrame=4,szName="【飞沙关】大旗重置",nTime=180,nRefresh=7200,key="飞沙关·大旗重置",},</t>
  </si>
  <si>
    <t>{nClass=20,nIcon=592,nFrame=4,szName="【秋雨堡】大旗重置",nTime=180,nRefresh=7200,key="秋雨堡·大旗重置",},</t>
  </si>
  <si>
    <t>{nClass=20,nIcon=592,nFrame=4,szName="【青云坞】大旗重置",nTime=180,nRefresh=7200,key="青云坞·大旗重置",},</t>
  </si>
  <si>
    <t>{nClass=20,nIcon=592,nFrame=4,szName="【不空关】大旗重置",nTime=180,nRefresh=7200,key="不空关·大旗重置",},</t>
  </si>
  <si>
    <t>{nClass=20,nIcon=592,nFrame=4,szName="【卧龙坡】大旗重置",nTime=180,nRefresh=7200,key="卧龙坡·大旗重置",},</t>
  </si>
  <si>
    <t>{nClass=20,nIcon=592,nFrame=4,szName="【澜沧城】大旗重置",nTime=180,nRefresh=7200,key="澜沧城·大旗重置",},</t>
  </si>
  <si>
    <t>{nClass=20,nIcon=592,nFrame=4,szName="【烈日岗】大旗重置",nTime=180,nRefresh=7200,key="烈日岗·大旗重置",},</t>
  </si>
  <si>
    <t>{nClass=20,nIcon=592,nFrame=4,szName="【惊虬谷】大旗重置",nTime=180,nRefresh=7200,key="惊虬谷·大旗重置",},</t>
  </si>
  <si>
    <t>{nClass=20,nIcon=592,nFrame=4,szName="【千岩关】大旗重置",nTime=180,nRefresh=7200,key="千岩关·大旗重置",},</t>
  </si>
  <si>
    <t>{nClass=20,nIcon=592,nFrame=4,szName="【啖杏林】大旗重置",nTime=180,nRefresh=7200,key="啖杏林·大旗重置",},</t>
  </si>
  <si>
    <t>{nClass=20,nIcon=592,nFrame=4,szName="【世外坡】大旗重置",nTime=180,nRefresh=7200,key="世外坡·大旗重置",},</t>
    <phoneticPr fontId="18" type="noConversion"/>
  </si>
  <si>
    <t>{nClass=20,nIcon=1465,szName="盘龙坞·大旗重置",nTime=-2,nRefresh=7200,key="盘龙坞·大旗重置",},</t>
    <phoneticPr fontId="18" type="noConversion"/>
  </si>
  <si>
    <t>{nClass=20,nIcon=1465,szName="龙门镇·大旗重置",nTime=-2,nRefresh=7200,key="龙门镇·大旗重置",},</t>
    <phoneticPr fontId="18" type="noConversion"/>
  </si>
  <si>
    <t>{nClass=20,nIcon=1465,szName="红莲岗·大旗重置",nTime=-2,nRefresh=7200,key="红莲岗·大旗重置",},</t>
    <phoneticPr fontId="18" type="noConversion"/>
  </si>
  <si>
    <t>{nClass=20,nIcon=1465,szName="金门关·大旗重置",nTime=-2,nRefresh=7200,key="金门关·大旗重置",},</t>
    <phoneticPr fontId="18" type="noConversion"/>
  </si>
  <si>
    <t>{nClass=20,nIcon=1465,szName="激流坞·大旗重置",nTime=-2,nRefresh=7200,key="激流坞·大旗重置",},</t>
    <phoneticPr fontId="18" type="noConversion"/>
  </si>
  <si>
    <t>{nClass=20,nIcon=1465,szName="日月崖·大旗重置",nTime=-2,nRefresh=7200,key="日月崖·大旗重置",},</t>
    <phoneticPr fontId="18" type="noConversion"/>
  </si>
  <si>
    <t>{nClass=20,nIcon=1465,szName="霜戈堡·大旗重置",nTime=-2,nRefresh=7200,key="霜戈堡·大旗重置",},</t>
    <phoneticPr fontId="18" type="noConversion"/>
  </si>
  <si>
    <t>{nClass=20,nIcon=1465,szName="神池岭·大旗重置",nTime=-2,nRefresh=7200,key="神池岭·大旗重置",},</t>
    <phoneticPr fontId="18" type="noConversion"/>
  </si>
  <si>
    <t>{nClass=20,nIcon=1465,szName="凤鸣堡·大旗重置",nTime=-2,nRefresh=7200,key="凤鸣堡·大旗重置",},</t>
    <phoneticPr fontId="18" type="noConversion"/>
  </si>
  <si>
    <t>{nClass=20,nIcon=1465,szName="大理山城·大旗重置",nTime=-2,nRefresh=7200,key="大理山城·大旗重置",},</t>
    <phoneticPr fontId="18" type="noConversion"/>
  </si>
  <si>
    <t>{nClass=20,nIcon=1465,szName="枫湖寨·大旗重置",nTime=-2,nRefresh=7200,key="枫湖寨·大旗重置",},</t>
    <phoneticPr fontId="18" type="noConversion"/>
  </si>
  <si>
    <t>{nClass=20,nIcon=1465,szName="扶风郡·大旗重置",nTime=-2,nRefresh=7200,key="扶风郡·大旗重置",},</t>
    <phoneticPr fontId="18" type="noConversion"/>
  </si>
  <si>
    <t>{nClass=20,nIcon=1465,szName="云台营·大旗重置",nTime=-2,nRefresh=7200,key="云台营·大旗重置",},</t>
    <phoneticPr fontId="18" type="noConversion"/>
  </si>
  <si>
    <t>{nClass=20,nIcon=1465,szName="逐鹿坪·大旗重置",nTime=-2,nRefresh=7200,key="逐鹿坪·大旗重置",},</t>
    <phoneticPr fontId="18" type="noConversion"/>
  </si>
  <si>
    <t>{nClass=20,nIcon=1465,szName="飞沙关·大旗重置",nTime=-2,nRefresh=7200,key="飞沙关·大旗重置",},</t>
    <phoneticPr fontId="18" type="noConversion"/>
  </si>
  <si>
    <t>{nClass=20,nIcon=1465,szName="秋雨堡·大旗重置",nTime=-2,nRefresh=7200,key="秋雨堡·大旗重置",},</t>
    <phoneticPr fontId="18" type="noConversion"/>
  </si>
  <si>
    <t>{nClass=20,nIcon=1465,szName="青云坞·大旗重置",nTime=-2,nRefresh=7200,key="青云坞·大旗重置",},</t>
    <phoneticPr fontId="18" type="noConversion"/>
  </si>
  <si>
    <t>{nClass=20,nIcon=1465,szName="不空关·大旗重置",nTime=-2,nRefresh=7200,key="不空关·大旗重置",},</t>
    <phoneticPr fontId="18" type="noConversion"/>
  </si>
  <si>
    <t>{nClass=20,nIcon=1465,szName="卧龙坡·大旗重置",nTime=-2,nRefresh=7200,key="卧龙坡·大旗重置",},</t>
    <phoneticPr fontId="18" type="noConversion"/>
  </si>
  <si>
    <t>{nClass=20,nIcon=1465,szName="澜沧城·大旗重置",nTime=-2,nRefresh=7200,key="澜沧城·大旗重置",},</t>
    <phoneticPr fontId="18" type="noConversion"/>
  </si>
  <si>
    <t>{nClass=20,nIcon=1465,szName="烈日岗·大旗重置",nTime=-2,nRefresh=7200,key="烈日岗·大旗重置",},</t>
    <phoneticPr fontId="18" type="noConversion"/>
  </si>
  <si>
    <t>{nClass=20,nIcon=1465,szName="惊虬谷·大旗重置",nTime=-2,nRefresh=7200,key="惊虬谷·大旗重置",},</t>
    <phoneticPr fontId="18" type="noConversion"/>
  </si>
  <si>
    <t>{nClass=20,nIcon=1465,szName="千岩关·大旗重置",nTime=-2,nRefresh=7200,key="千岩关·大旗重置",},</t>
    <phoneticPr fontId="18" type="noConversion"/>
  </si>
  <si>
    <t>{nClass=20,nIcon=1465,szName="啖杏林·大旗重置",nTime=-2,nRefresh=7200,key="啖杏林·大旗重置",},</t>
    <phoneticPr fontId="18" type="noConversion"/>
  </si>
  <si>
    <t>{nClass=20,nIcon=1465,szName="世外坡·大旗重置",nTime=-2,nRefresh=7200,key="世外坡·大旗重置",},</t>
    <phoneticPr fontId="18" type="noConversion"/>
  </si>
  <si>
    <t>{nClass=20,nIcon=1465,szName="高阳营·大旗重置",nTime=-2,nRefresh=7200,key="高阳营·大旗重置",},</t>
    <phoneticPr fontId="18" type="noConversion"/>
  </si>
  <si>
    <t>#FFFFFFAA</t>
    <phoneticPr fontId="18" type="noConversion"/>
  </si>
  <si>
    <t>可恶！</t>
    <phoneticPr fontId="18" type="noConversion"/>
  </si>
  <si>
    <t>{$sender}·退场</t>
    <phoneticPr fontId="18" type="noConversion"/>
  </si>
  <si>
    <t>{nClass=14,nIcon=8478,nFrame=8,szName="浩气·兵符增援·武王城",nTime="10,浩气·兵符增援·武王城;300,浩气·武王城·兵符冷却;305,浩气·武王城·可用兵符",nRefresh=1,key="兵符·武王城",},</t>
    <phoneticPr fontId="18" type="noConversion"/>
  </si>
  <si>
    <t>{nClass=14,nIcon=1465,szName="浩气盟大将",nTime=-2,nRefresh=2,key="浩气盟大将",},</t>
    <phoneticPr fontId="18" type="noConversion"/>
  </si>
  <si>
    <t>{nClass=14,nIcon=1465,szName="恶人谷大将",nTime=-2,nRefresh=2,key="恶人谷大将",},</t>
    <phoneticPr fontId="18" type="noConversion"/>
  </si>
  <si>
    <t>{nClass=14,nIcon=13,szName="{$sender}",nTime=-2,key="{$sender}",},</t>
    <phoneticPr fontId="18" type="noConversion"/>
  </si>
  <si>
    <t>{nClass=14,nIcon=18830,nFrame=3,szName="恶人谷大将·退场",nTime=10,nRefresh=1,key="恶人谷大将",},</t>
    <phoneticPr fontId="18" type="noConversion"/>
  </si>
  <si>
    <t>{nClass=14,nIcon=18829,nFrame=7,szName="浩气盟大将·退场",nTime=10,nRefresh=1,key="浩气盟大将",},</t>
    <phoneticPr fontId="18" type="noConversion"/>
  </si>
  <si>
    <t>{nClass=12,nFrame=7,nIcon=18829,nTime=10,szName="浩气盟大将·退场",nRefresh=2,key="浩气盟大将",},</t>
    <phoneticPr fontId="18" type="noConversion"/>
  </si>
  <si>
    <t>{nClass=12,nFrame=3,nIcon=18830,nTime=10,szName="恶人谷大将·退场",nRefresh=2,key="恶人谷大将",},</t>
    <phoneticPr fontId="18" type="noConversion"/>
  </si>
  <si>
    <t>系统检测您有挂机行为，如果长期维持该状态将被传送出图！</t>
  </si>
  <si>
    <t>挂机检测·快活跃起来</t>
    <phoneticPr fontId="18" type="noConversion"/>
  </si>
  <si>
    <t>255,50,255,</t>
  </si>
  <si>
    <t>{nClass=14,nIcon=13,nFrame=2,szName="挂机检测·动一动",nTime=30,key="挂机检测",},</t>
    <phoneticPr fontId="18" type="noConversion"/>
  </si>
  <si>
    <t>(.-)离开据点过久，或在原地五尺范围内盘踞超过五分钟，旗帜重置！</t>
    <phoneticPr fontId="18" type="noConversion"/>
  </si>
  <si>
    <t>[{$1}]·离开据点·大旗重置</t>
    <phoneticPr fontId="18" type="noConversion"/>
  </si>
  <si>
    <t>{nClass=14,nIcon=592,nFrame=4,szName="【离开据点】大旗重置",nTime=180,key="离开据点·大旗重置",},</t>
    <phoneticPr fontId="18" type="noConversion"/>
  </si>
  <si>
    <t>减速·御城</t>
    <phoneticPr fontId="18" type="noConversion"/>
  </si>
  <si>
    <t>御城·断股</t>
    <phoneticPr fontId="18" type="noConversion"/>
  </si>
  <si>
    <t>#1F3FFFAA</t>
    <phoneticPr fontId="18" type="noConversion"/>
  </si>
  <si>
    <t>{nClass=20,nIcon=13,szName="大攻防·奇袭场",nTime=-2,nRefresh=10,key="大攻防·奇袭场",},</t>
    <phoneticPr fontId="18" type="noConversion"/>
  </si>
  <si>
    <t>{nClass=20,nIcon=13,szName="大攻防·主战场",nTime=-2,nRefresh=10,key="大攻防·主战场",},</t>
    <phoneticPr fontId="18" type="noConversion"/>
  </si>
  <si>
    <t>兄弟们，辛苦了，在此谢过。</t>
  </si>
  <si>
    <t>{$sender}·撤退</t>
    <phoneticPr fontId="18" type="noConversion"/>
  </si>
  <si>
    <t>{nClass=14,nIcon=13,szName="谢渊·{$sender}·减伤",nTime=-1,key="谢渊·{$sender}·减伤",},</t>
    <phoneticPr fontId="18" type="noConversion"/>
  </si>
  <si>
    <t>{nClass=14,nIcon=13,szName="王遗风·{$sender}·减伤",nTime=-1,key="王遗风·{$sender}·减伤",},</t>
    <phoneticPr fontId="18" type="noConversion"/>
  </si>
  <si>
    <t>{nClass=14,nIcon=13,szName="首领拾取间隔",nTime=-1,nRefresh=7200,key="首领拾取间隔",},</t>
    <phoneticPr fontId="18" type="noConversion"/>
  </si>
  <si>
    <t>恶人谷·物资车·已运达</t>
    <phoneticPr fontId="18" type="noConversion"/>
  </si>
  <si>
    <t>浩气盟·物资车·已运达</t>
    <phoneticPr fontId="18" type="noConversion"/>
  </si>
  <si>
    <t>军情速递！恶人谷物资车已运达，车内装有大量物资，望侠士们前来拾取，切莫错过。</t>
    <phoneticPr fontId="18" type="noConversion"/>
  </si>
  <si>
    <t>军情速递！浩气盟物资车已运达，车内装有大量物资，望侠士们前来拾取，切莫错过。</t>
    <phoneticPr fontId="18" type="noConversion"/>
  </si>
  <si>
    <t>军情速递！浩气盟物资官传来消息，现有一批新物资运至各复活点，望浩气侠士们前来领取，以便增强战斗实力。</t>
    <phoneticPr fontId="18" type="noConversion"/>
  </si>
  <si>
    <t>复活点·物资箱·已刷新</t>
    <phoneticPr fontId="18" type="noConversion"/>
  </si>
  <si>
    <t>{nClass=14,nIcon=13,nFrame=0,szName="进攻方·速战速决·未达成",nTime=10,nRefresh=99999,key="速战速决",},</t>
    <phoneticPr fontId="18" type="noConversion"/>
  </si>
  <si>
    <t>{nClass=14,nIcon=10450,nFrame=4,szName="恶人谷·营地物资·刷新",nTime="10,恶人谷·营地物资·刷新;300,恶人谷·营地物资·拾取剩余;305,恶人谷·营地物资·已消失",nRefresh=0,key="恶人·物资车·运达",},</t>
    <phoneticPr fontId="18" type="noConversion"/>
  </si>
  <si>
    <t>{nClass=14,nIcon=10449,nFrame=4,szName="浩气盟·内城物资·刷新",nTime="10,浩气盟·内城物资·刷新;300,浩气盟·内城物资·拾取剩余;305,浩气盟·内城物资·已消失",nRefresh=0,key="浩气·物资车·运达",},</t>
    <phoneticPr fontId="18" type="noConversion"/>
  </si>
  <si>
    <t>军情速递！恶人谷物资官传来消息，现有一批新物资运至各复活点，望恶人侠士们前来领取，以便增强战斗实力。</t>
    <phoneticPr fontId="18" type="noConversion"/>
  </si>
  <si>
    <t>{nClass=14,nIcon=10450,nFrame=4,szName="恶人谷·内城物资·刷新",nTime="10,恶人谷·内城物资·刷新;300,恶人谷·内城物资·拾取剩余;305,恶人谷·内城物资·已消失",nRefresh=0,key="恶人·物资车·运达",},</t>
    <phoneticPr fontId="18" type="noConversion"/>
  </si>
  <si>
    <t>{nClass=14,nIcon=10449,nFrame=4,szName="浩气盟·营地物资·刷新",nTime="10,浩气盟·营地物资·刷新;300,浩气盟·营地物资·拾取剩余;305,浩气盟·营地物资·已消失",nRefresh=0,key="浩气·物资车·运达",},</t>
    <phoneticPr fontId="18" type="noConversion"/>
  </si>
  <si>
    <t>军情速递！浩气盟物资车已从复活点出发，物资车内装有大量物资，望浩气侠士们前来护送，以防不法之徒前来抢夺。</t>
    <phoneticPr fontId="18" type="noConversion"/>
  </si>
  <si>
    <t>军情速递！恶人谷物资车已从复活点出发，物资车内装有大量物资，望恶人侠士们前来护送，以防不法之徒前来抢夺。</t>
    <phoneticPr fontId="18" type="noConversion"/>
  </si>
  <si>
    <t>{nClass=14,nIcon=3101,nFrame=7,szName="浩气盟·物资车·正在出发",nTime=10,nRefresh=1,key="浩气·物资车·护送",},</t>
    <phoneticPr fontId="18" type="noConversion"/>
  </si>
  <si>
    <t>{nClass=14,nIcon=3103,nFrame=3,szName="恶人谷·物资车·正在出发",nTime=10,nRefresh=1,key="恶人·物资车·护送",},</t>
    <phoneticPr fontId="18" type="noConversion"/>
  </si>
  <si>
    <t>{nClass=14,nIcon=589,nFrame=7,szName="赵新宇",nTime=0,key="赵新宇",},</t>
  </si>
  <si>
    <t>{nClass=14,nIcon=589,nFrame=7,szName="赵新宇",nTime="60,赵新宇的信物;302,赵新宇·刷新剩余;304,赵新宇·即将刷新;310,赵新宇·延迟刷新",nRefresh=60,key="赵新宇",},</t>
  </si>
  <si>
    <t>{nClass=14,nIcon=308,nFrame=3,szName="方超",nTime=0,key="方超",},</t>
  </si>
  <si>
    <t>{nClass=14,nIcon=308,nFrame=3,szName="方超",nTime="60,方超的信物;302,方超·刷新剩余;304,方超·即将刷新;310,方超·延迟刷新",nRefresh=60,key="方超",},</t>
  </si>
  <si>
    <t>{nClass=14,nIcon=2864,nFrame=7,szName="霸图",nTime=0,key="霸图",},</t>
  </si>
  <si>
    <t>{nClass=14,nIcon=2864,nFrame=7,szName="霸图",nTime="60,霸图的信物;302,霸图·刷新剩余;304,霸图·即将刷新;310,霸图·延迟刷新",nRefresh=60,key="霸图",},</t>
  </si>
  <si>
    <t>{nClass=14,nIcon=845,nFrame=3,szName="孙永恒",nTime=0,key="孙永恒",},</t>
  </si>
  <si>
    <t>{nClass=14,nIcon=845,nFrame=3,szName="孙永恒",nTime="60,孙永恒的信物;302,孙永恒·刷新剩余;304,孙永恒·即将刷新;310,孙永恒·延迟刷新",nRefresh=60,key="孙永恒",},</t>
  </si>
  <si>
    <t>{nClass=14,nIcon=589,nFrame=7,szName="赵新宇",nTime="60,赵新宇的信物;302,赵新宇·刷新剩余;304,赵新宇·即将刷新",nRefresh=60,key="赵新宇",},</t>
  </si>
  <si>
    <t>{nClass=14,nIcon=308,nFrame=3,szName="方超",nTime="60,方超的信物;302,方超·刷新剩余;304,方超·即将刷新",nRefresh=60,key="方超",},</t>
  </si>
  <si>
    <t>{nClass=14,nIcon=2864,nFrame=7,szName="霸图",nTime="60,霸图的信物;302,霸图·刷新剩余;304,霸图·即将刷新",nRefresh=60,key="霸图",},</t>
  </si>
  <si>
    <t>{nClass=14,nIcon=845,nFrame=3,szName="孙永恒",nTime="60,孙永恒的信物;302,孙永恒·刷新剩余;304,孙永恒·即将刷新",nRefresh=60,key="孙永恒",},</t>
  </si>
  <si>
    <t>赵新宇死亡时，从他身上遗落一把短笛，貌似是他的随身信物。</t>
  </si>
  <si>
    <t>随着方超的死亡，一把短笛掉了出来，貌似是他的随身信物。</t>
  </si>
  <si>
    <t>随着霸图的死亡，一柄钢刀从他身上滑落，似乎是他的随身信物。</t>
  </si>
  <si>
    <t>随着孙永恒的死亡，一柄短剑从他身上滑落，似乎是他的随身信物。</t>
  </si>
  <si>
    <t>{nClass=14,nIcon=13,nFrame=7,szName="浩气·{$2}·助战",nTime=0,key="浩气·{$2}·助战",},</t>
  </si>
  <si>
    <t>{nClass=14,nIcon=13,nFrame=3,szName="恶人·{$2}·助战",nTime=0,key="恶人·{$2}·助战",},</t>
  </si>
  <si>
    <t>{nClass=14,nIcon=16834,nFrame=8,szName="{$2}·助战胜利·已回营",nTime=10,key="{$2}·助战",},</t>
  </si>
  <si>
    <t>{nClass=14,nIcon=13,nFrame=7,szName="浩气·{$1}·助战",nTime=0,key="浩气·{$1}·助战",},</t>
  </si>
  <si>
    <t>{nClass=14,nIcon=13,nFrame=3,szName="恶人·{$1}·助战",nTime=0,key="恶人·{$1}·助战",},</t>
  </si>
  <si>
    <t>{nClass=14,nIcon=4562,nFrame=3,szName="恶人·截车奖励",nTime=10,nRefresh=1,key="浩气·物资车·护送",},</t>
    <phoneticPr fontId="18" type="noConversion"/>
  </si>
  <si>
    <t>{nClass=14,nIcon=4561,nFrame=7,szName="浩气·截车奖励",nTime=10,nRefresh=1,key="恶人·物资车·护送",},</t>
    <phoneticPr fontId="18" type="noConversion"/>
  </si>
  <si>
    <t>{nClass=14,nIcon=4839,nFrame=1,szName="关闭·{$3}·城门",nTime=10,key="打开·{$3}·城门",},</t>
    <phoneticPr fontId="18" type="noConversion"/>
  </si>
  <si>
    <t>{nClass=14,nIcon=2310,nFrame=1,szName="打开·{$3}·城门",nTime=10,key="关闭·{$3}·城门",},</t>
    <phoneticPr fontId="18" type="noConversion"/>
  </si>
  <si>
    <t>{nClass=14,nIcon=13,nFrame=-1,szName="{$2}·{$3}·城门",nTime=-1,key="{$2}·{$3}·城门",},</t>
    <phoneticPr fontId="18" type="noConversion"/>
  </si>
  <si>
    <t>{nClass=14,nIcon=13,szName="诛恶事件",nTime=-2,key="诛恶事件",},{nClass=14,nIcon=13,szName="通用事件",nTime=-2,key="通用事件",},</t>
  </si>
  <si>
    <t>{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t>
  </si>
  <si>
    <t>禁捡旗</t>
    <phoneticPr fontId="18" type="noConversion"/>
  </si>
  <si>
    <t>追踪·减速50%</t>
    <phoneticPr fontId="18" type="noConversion"/>
  </si>
  <si>
    <t>{nClass=20,nIcon=1465,nFrame=-1,bHold=true,szName="据点攻防·消失模式",nTime=1799.795,key="阵营活动",},</t>
    <phoneticPr fontId="18" type="noConversion"/>
  </si>
  <si>
    <t>{nClass=20,nIcon=1465,nFrame=-1,bHold=true,szName="阵营攻防·恶人谷·18:30",nTime=599.795,key="阵营活动",},</t>
    <phoneticPr fontId="18" type="noConversion"/>
  </si>
  <si>
    <t>{nClass=20,nIcon=1465,nFrame=-1,bHold=true,szName="阵营攻防·恶人谷·12:30",nTime=599.795,key="阵营活动",},</t>
    <phoneticPr fontId="18" type="noConversion"/>
  </si>
  <si>
    <t>{nClass=20,nIcon=1465,nFrame=-1,bHold=true,szName="阵营攻防·浩气盟·18:30",nTime=599.795,key="阵营活动",},</t>
    <phoneticPr fontId="18" type="noConversion"/>
  </si>
  <si>
    <t>{nClass=20,nIcon=1465,nFrame=-1,bHold=true,szName="阵营攻防·浩气盟·12:30",nTime=599.795,key="阵营活动",},</t>
    <phoneticPr fontId="18" type="noConversion"/>
  </si>
  <si>
    <t>{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</si>
  <si>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</si>
  <si>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phoneticPr fontId="18" type="noConversion"/>
  </si>
  <si>
    <t>{nClass=20,nIcon=13,szName="诛恶事件",nTime=-2,key="诛恶事件",},{nClass=20,nIcon=13,szName="通用事件",nTime=-2,key="通用事件",},</t>
  </si>
  <si>
    <t>{nClass=20,nIcon=13,szName="诛恶事件",nTime=-2,key="诛恶事件",},{nClass=20,nIcon=13,szName="通用事件",nTime=-2,key="通用事件",},</t>
    <phoneticPr fontId="18" type="noConversion"/>
  </si>
  <si>
    <t>{nClass=2,nIcon=13,szName="诛恶事件",nTime=-2,key="诛恶事件",},{nClass=2,nIcon=13,szName="通用事件",nTime=-2,key="通用事件",},</t>
    <phoneticPr fontId="18" type="noConversion"/>
  </si>
  <si>
    <t>{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t>
  </si>
  <si>
    <t>{nClass=2,nTime=-1,szName="拾取大旗",nIcon=592,key="拾取大旗·{$receiver}",},</t>
    <phoneticPr fontId="18" type="noConversion"/>
  </si>
  <si>
    <t>{nClass=1,nTime=30,szName="【{$receiver}】·拾取大旗",nFrame=8,nIcon=592,key="拾取大旗·{$receiver}",},</t>
    <phoneticPr fontId="18" type="noConversion"/>
  </si>
  <si>
    <t>捡</t>
    <phoneticPr fontId="18" type="noConversion"/>
  </si>
  <si>
    <t>奇袭场战阶达到2000后，战阶换算贡献比例降低为2:1</t>
    <phoneticPr fontId="18" type="noConversion"/>
  </si>
  <si>
    <t>^本周累计从(.-)奖励堆获得战阶：(%d-)/(%d+)</t>
    <phoneticPr fontId="18" type="noConversion"/>
  </si>
  <si>
    <t>{$1}·累计奖励堆·[{$2}/{$3}]</t>
    <phoneticPr fontId="18" type="noConversion"/>
  </si>
  <si>
    <t>奇袭场战阶达到4000后，战阶换算贡献比例降低为10:1</t>
    <phoneticPr fontId="18" type="noConversion"/>
  </si>
  <si>
    <t>本周累计从奇袭场奖励堆获得战阶：20000/20000</t>
    <phoneticPr fontId="18" type="noConversion"/>
  </si>
  <si>
    <t>奇袭场·奖励堆·战阶已上限</t>
    <phoneticPr fontId="18" type="noConversion"/>
  </si>
  <si>
    <t>据点内</t>
    <phoneticPr fontId="18" type="noConversion"/>
  </si>
  <si>
    <t>80,231,236,</t>
    <phoneticPr fontId="18" type="noConversion"/>
  </si>
  <si>
    <t>判断是否在大旗附近</t>
    <phoneticPr fontId="18" type="noConversion"/>
  </si>
  <si>
    <t>您因消极怠战,扰乱阵营秩序，被阵营督查官请离当前地图，但同时给予250点贡献积分！</t>
  </si>
  <si>
    <t>阵营督查官·请离据点攻防</t>
  </si>
  <si>
    <t>{nClass=14,nIcon=13,nFrame=1,bHold=true,nTime=30,szName="阵营督查·请离据点攻防",key="挂机检测",},</t>
    <phoneticPr fontId="18" type="noConversion"/>
  </si>
  <si>
    <t>因侠士近来行为异常，逐鹿中原期间，禁止参与，你即将被传送到百溪！</t>
  </si>
  <si>
    <t>据点攻防·禁止参与</t>
  </si>
  <si>
    <t>{nClass=14,nIcon=13,nFrame=1,bHold=true,nTime=30,szName="据点攻防·禁止参与本场",key="挂机检测",},</t>
    <phoneticPr fontId="18" type="noConversion"/>
  </si>
  <si>
    <t>(.-)【(.-)】帮会的(.-)大侠成功护送祭祀物资到达(.-)据点，该据点将士备受鼓舞，战意高昂，战时必将固若金汤！</t>
    <phoneticPr fontId="18" type="noConversion"/>
  </si>
  <si>
    <t>祭天·{$1}·[{$2}]·{$4}</t>
    <phoneticPr fontId="18" type="noConversion"/>
  </si>
  <si>
    <t>{nClass=20,nIcon=8838,nFrame=1,szName="{$1}祭天·[{$2}]·{$4}",nTime=30,key="通用事件",},</t>
    <phoneticPr fontId="18" type="noConversion"/>
  </si>
  <si>
    <t>^%[逐鹿中原%]%[(.-)%]：正在(.-)城门！</t>
  </si>
  <si>
    <t>[{$1}]·{$2}·城门</t>
  </si>
  <si>
    <t>{nClass=14,nIcon=1465,nFrame=5,nTime=-2,szName="打开·城门",nRefresh=10,key="打开·城门",},</t>
  </si>
  <si>
    <t>{nClass=14,nIcon=1465,nFrame=5,nTime=-2,szName="关闭·城门",nRefresh=10,key="关闭·城门",},</t>
  </si>
  <si>
    <t>{nClass=14,nIcon=13,nFrame=5,nTime=-2,szName="{$2}·城门",key="{$2}·城门",},</t>
  </si>
  <si>
    <t>{nClass=14,nIcon=2310,nFrame=1,nTime=10,szName="城门·打开·[{$1}]",nRefresh=10,key="打开·城门",},</t>
  </si>
  <si>
    <t>{nClass=14,nIcon=4839,nFrame=1,nTime=10,szName="城门·关闭·[{$1}]",nRefresh=10,key="关闭·城门",},</t>
  </si>
  <si>
    <t>主场·浩气·小七（穆玄英）·兰亭书院</t>
    <phoneticPr fontId="18" type="noConversion"/>
  </si>
  <si>
    <t>奇袭·恶人·毕罗巴（白某）·断肠居</t>
  </si>
  <si>
    <t>奇袭·恶人·毕罗巴（白某）·断肠居</t>
    <phoneticPr fontId="18" type="noConversion"/>
  </si>
  <si>
    <t>谢铃儿</t>
    <phoneticPr fontId="18" type="noConversion"/>
  </si>
  <si>
    <t>穆玄英已经尽力，请暂且退回疗伤。</t>
    <phoneticPr fontId="18" type="noConversion"/>
  </si>
  <si>
    <t>浩气·穆玄英·败退</t>
    <phoneticPr fontId="18" type="noConversion"/>
  </si>
  <si>
    <t>莫雨已经尽力，请暂且退回疗伤。</t>
    <phoneticPr fontId="18" type="noConversion"/>
  </si>
  <si>
    <t>恶人·莫雨·败退</t>
    <phoneticPr fontId="18" type="noConversion"/>
  </si>
  <si>
    <t>莫雨</t>
    <phoneticPr fontId="18" type="noConversion"/>
  </si>
  <si>
    <t>万兽王</t>
    <phoneticPr fontId="18" type="noConversion"/>
  </si>
  <si>
    <t>恶人·万兽王·败退</t>
    <phoneticPr fontId="18" type="noConversion"/>
  </si>
  <si>
    <t>万兽王已经尽力，请暂且退回疗伤。</t>
    <phoneticPr fontId="18" type="noConversion"/>
  </si>
  <si>
    <t>主场·恶人·司徒一一（万兽王）烬烟堂</t>
    <phoneticPr fontId="18" type="noConversion"/>
  </si>
  <si>
    <t>主场·恶人·白某（莫雨）小少林</t>
    <phoneticPr fontId="18" type="noConversion"/>
  </si>
  <si>
    <t>主场·浩气·小七（穆玄英）酒池峡</t>
    <phoneticPr fontId="18" type="noConversion"/>
  </si>
  <si>
    <t>主场·恶人·米丽古丽（周日恶人谷）</t>
    <phoneticPr fontId="18" type="noConversion"/>
  </si>
  <si>
    <t>奇袭·浩气·穆玄英（谢铃儿）望影台</t>
    <phoneticPr fontId="18" type="noConversion"/>
  </si>
  <si>
    <t>奇袭·浩气·韩非池（小七）落雁城</t>
    <phoneticPr fontId="18" type="noConversion"/>
  </si>
  <si>
    <t>{nClass=20,nIcon=3536,nFrame=0,szName="据点攻防·正式开始",nTime=10,key="阵营活动",},</t>
    <phoneticPr fontId="18" type="noConversion"/>
  </si>
  <si>
    <t>{nClass=14,nIcon=3536,nFrame=0,szName="据点攻防·正式开始",nTime="2,据点攻防·正式开始;10,建议关闭·江湖身份",nRefresh=2,key="阵营活动",},</t>
    <phoneticPr fontId="18" type="noConversion"/>
  </si>
  <si>
    <t>{nClass=1,nIcon=13,nTime=-1,szName="屹立不倒",nRefresh=14400,key="屹立不倒",},</t>
    <phoneticPr fontId="18" type="noConversion"/>
  </si>
  <si>
    <t>{nClass=1,nIcon=13,nTime=-2,szName="屹立不倒",key="屹立不倒",},</t>
    <phoneticPr fontId="18" type="noConversion"/>
  </si>
  <si>
    <t>{nClass=20,nIcon=13,nTime=-2,szName="屹立不倒",key="屹立不倒",},</t>
    <phoneticPr fontId="18" type="noConversion"/>
  </si>
  <si>
    <t>{nClass=14,nIcon=13,nTime=-1,szName="屹立不倒",nRefresh=14400,key="屹立不倒",},</t>
    <phoneticPr fontId="18" type="noConversion"/>
  </si>
  <si>
    <t>驿马快报！本周浩气盟和恶人谷最终战为平手，未分胜负！\n</t>
    <phoneticPr fontId="18" type="noConversion"/>
  </si>
  <si>
    <t>阵营事件·本周战平</t>
    <phoneticPr fontId="18" type="noConversion"/>
  </si>
  <si>
    <t>{nClass=20,nIcon=13354,nFrame=4,szName="阵营事件·本周战平",nTime=60,key="阵营活动",},</t>
    <phoneticPr fontId="18" type="noConversion"/>
  </si>
  <si>
    <t>{nClass=14,nIcon=13,szName="谢渊·{$sender}·减伤",nTime=-2,key="谢渊·{$sender}·减伤",},</t>
    <phoneticPr fontId="18" type="noConversion"/>
  </si>
  <si>
    <t>{nClass=14,nIcon=13,szName="王遗风·{$sender}·减伤",nTime=-2,key="王遗风·{$sender}·减伤",},</t>
    <phoneticPr fontId="18" type="noConversion"/>
  </si>
  <si>
    <t>0,255,0,</t>
    <phoneticPr fontId="18" type="noConversion"/>
  </si>
  <si>
    <t>守据点</t>
    <phoneticPr fontId="18" type="noConversion"/>
  </si>
  <si>
    <t>占据点</t>
    <phoneticPr fontId="18" type="noConversion"/>
  </si>
  <si>
    <t>#00FFFF00</t>
    <phoneticPr fontId="18" type="noConversion"/>
  </si>
  <si>
    <t>255,100,31,</t>
    <phoneticPr fontId="18" type="noConversion"/>
  </si>
  <si>
    <t>200,60,40,</t>
    <phoneticPr fontId="18" type="noConversion"/>
  </si>
  <si>
    <t>180,60,40,</t>
    <phoneticPr fontId="18" type="noConversion"/>
  </si>
  <si>
    <t>235,80,50,</t>
    <phoneticPr fontId="18" type="noConversion"/>
  </si>
  <si>
    <t>31,230,255,</t>
    <phoneticPr fontId="18" type="noConversion"/>
  </si>
  <si>
    <t>255,120,31,</t>
    <phoneticPr fontId="18" type="noConversion"/>
  </si>
  <si>
    <t>神机台·无人状态</t>
    <phoneticPr fontId="18" type="noConversion"/>
  </si>
  <si>
    <t>{nClass=14,nIcon=3557,nFrame=6,szName="复活点·物资箱·已经刷新",nTime=10.1,nRefresh=5,key="复活点·物资箱",},</t>
    <phoneticPr fontId="18" type="noConversion"/>
  </si>
  <si>
    <t>{nClass=14,nIcon=13564,nFrame=1,szName="拾取间隔",nTime="300,助战堆·拾取物资·间隔剩余;310,助战堆·可以拾取物资了",nRefresh=1,key="首领拾取间隔",},</t>
    <phoneticPr fontId="18" type="noConversion"/>
  </si>
  <si>
    <t>{nClass=-1,nIcon=3556,nFrame=1,szName="狼牙先锋首领·拾取掉落",nTime="10,狼牙先锋首领·已击退;300,狼牙先锋首领·拾取剩余;600,狼牙先锋首领·刷新剩余;620,狼牙先锋首领·即将刷新;627,狼牙先锋首领·延迟刷新",nRefresh=2,key="狼牙先锋首领",},</t>
    <phoneticPr fontId="18" type="noConversion"/>
  </si>
  <si>
    <t>{nClass=14,nIcon=13,nFrame=7,szName="浩气盟·拾取首领掉落",nTime="300,浩气盟·拾取首领掉落;600,狼牙先锋首领·刷新剩余;620,狼牙先锋首领·即将刷新;627,狼牙先锋首领·延迟刷新",nRefresh=5,key="狼牙先锋首领",},</t>
    <phoneticPr fontId="18" type="noConversion"/>
  </si>
  <si>
    <t>{nClass=14,nIcon=13,nFrame=3,szName="恶人谷·拾取首领掉落",nTime="300,恶人谷·拾取首领掉落;600,狼牙先锋首领·刷新剩余;620,狼牙先锋首领·即将刷新;627,狼牙先锋首领·延迟刷新",nRefresh=5,key="狼牙先锋首领",},</t>
    <phoneticPr fontId="18" type="noConversion"/>
  </si>
  <si>
    <t>{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t>
    <phoneticPr fontId="18" type="noConversion"/>
  </si>
  <si>
    <t>{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t>
    <phoneticPr fontId="18" type="noConversion"/>
  </si>
  <si>
    <t>{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t>
    <phoneticPr fontId="18" type="noConversion"/>
  </si>
  <si>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</si>
  <si>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</si>
  <si>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</si>
  <si>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</si>
  <si>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</si>
  <si>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</si>
  <si>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</si>
  <si>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</si>
  <si>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</si>
  <si>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</si>
  <si>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</si>
  <si>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阵营地图的数据</t>
  </si>
  <si>
    <t>100,255,100,</t>
  </si>
  <si>
    <t>{dwMapID=-1,szDisplay="物资堆·物资车",nMaxDistance=60,tRelation={bAll=true,bEnemy=false,bAlly=false,},tLife={bEnable=false,szOperator="&gt;",nValue=0,},},</t>
  </si>
  <si>
    <t>物资堆·助战掉落</t>
  </si>
  <si>
    <t>{dwMapID=-1,szDisplay="物资堆·助战掉落",nMaxDistance=0,tRelation={bAll=true,bEnemy=false,bAlly=false,},tLife={bEnable=false,szOperator="&gt;",nValue=0,},},</t>
  </si>
  <si>
    <t>物资堆·首领掉落</t>
  </si>
  <si>
    <t>{dwMapID=-1,szDisplay="物资堆·首领掉落",nMaxDistance=0,tRelation={bAll=true,bEnemy=false,bAlly=false,},tLife={bEnable=false,szOperator="&gt;",nValue=0,},},</t>
  </si>
  <si>
    <t>{dwMapID=-1,nMaxDistance=60,tRelation={bAll=true,bEnemy=false,bAlly=false,},tLife={bEnable=false,szOperator="&gt;",nValue=0,},},</t>
  </si>
  <si>
    <t>方超的信物</t>
  </si>
  <si>
    <t>赵新宇的信物</t>
  </si>
  <si>
    <t>河底的沙石</t>
  </si>
  <si>
    <t>护送奖赏</t>
  </si>
  <si>
    <t>拦截奖赏</t>
  </si>
  <si>
    <t>孙永恒的信物</t>
  </si>
  <si>
    <t>霸图的信物</t>
  </si>
  <si>
    <t>散落的冰魂货箱</t>
  </si>
  <si>
    <t>冰魂</t>
  </si>
  <si>
    <t>热血沸腾</t>
    <phoneticPr fontId="18" type="noConversion"/>
  </si>
  <si>
    <t>指挥车</t>
    <phoneticPr fontId="18" type="noConversion"/>
  </si>
  <si>
    <t>气力</t>
    <phoneticPr fontId="18" type="noConversion"/>
  </si>
  <si>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</si>
  <si>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phoneticPr fontId="18" type="noConversion"/>
  </si>
  <si>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t>
  </si>
  <si>
    <t>据点地图</t>
    <phoneticPr fontId="18" type="noConversion"/>
  </si>
  <si>
    <t>据点攻防·5分钟·开启分线</t>
    <phoneticPr fontId="18" type="noConversion"/>
  </si>
  <si>
    <t>防冲突禁用·击退·狼牙先锋首领</t>
    <phoneticPr fontId="18" type="noConversion"/>
  </si>
  <si>
    <t>狼牙先锋首领</t>
  </si>
  <si>
    <t>{dwMapID=-1,nMaxDistance=90,tRelation={bAll=false,bEnemy=true,bAlly=false,},tLife={bEnable=false,szOperator="&gt;",nValue=0,},},</t>
    <phoneticPr fontId="18" type="noConversion"/>
  </si>
  <si>
    <t>门派地图</t>
    <phoneticPr fontId="18" type="noConversion"/>
  </si>
  <si>
    <t>{nClass=14,nIcon=16834,nFrame=8,szName="{$2}·助战退场·易伤30%",nTime=10,key="{$2}·助战",},</t>
  </si>
  <si>
    <t>{nClass=14,nIcon=16834,nFrame=8,szName="{$1}·助战失利·易伤30%",nTime=10,key="{$1}·助战",},</t>
  </si>
  <si>
    <t>{nClass=14,nIcon=16834,nFrame=8,szName="{$1}·助战结束·易伤30%",nTime=10,key="{$1}·助战",},</t>
  </si>
  <si>
    <t>{nClass=14,nIcon=18829,nFrame=7,szName="浩气·{$1}·败退·易伤30%",nTime=10,nRefresh=5,key="谢渊·{$1}·减伤",},</t>
  </si>
  <si>
    <t>{nClass=14,nIcon=18830,nFrame=3,szName="恶人·{$1}·败退·易伤30%",nTime=10,nRefresh=5,key="王遗风·{$1}·减伤",},</t>
  </si>
  <si>
    <t>旗帜受损</t>
    <phoneticPr fontId="18" type="noConversion"/>
  </si>
  <si>
    <t>损</t>
    <phoneticPr fontId="18" type="noConversion"/>
  </si>
  <si>
    <t>255,153,204,</t>
    <phoneticPr fontId="18" type="noConversion"/>
  </si>
  <si>
    <t>#FF99CCFF</t>
    <phoneticPr fontId="18" type="noConversion"/>
  </si>
  <si>
    <t>#FF99CC</t>
  </si>
  <si>
    <t>旗易伤</t>
    <phoneticPr fontId="18" type="noConversion"/>
  </si>
  <si>
    <t>损CD</t>
    <phoneticPr fontId="18" type="noConversion"/>
  </si>
  <si>
    <t>据点大旗赛点CD</t>
    <phoneticPr fontId="18" type="noConversion"/>
  </si>
  <si>
    <t>255,50,50,</t>
    <phoneticPr fontId="18" type="noConversion"/>
  </si>
  <si>
    <t>{nClass=1,nIcon=16834,nFrame=1,szName="大旗赛点·CD",nTime="60,大旗赛点·触发冷却;62,大旗赛点·解除冷却",nRefresh=1,key="大旗赛点·CD",},</t>
    <phoneticPr fontId="18" type="noConversion"/>
  </si>
  <si>
    <t>身负据点大旗，当心被夺！</t>
    <phoneticPr fontId="18" type="noConversion"/>
  </si>
  <si>
    <t>{nClass=1,nIcon=16834,nFrame=1,szName="大旗赛点·CD",nTime="60,大旗赛点·触发冷却;62,大旗赛点·解除冷却",nRefresh=0,key="大旗赛点·CD",},</t>
    <phoneticPr fontId="18" type="noConversion"/>
  </si>
  <si>
    <t>[{$me}]·扛起大旗</t>
    <phoneticPr fontId="18" type="noConversion"/>
  </si>
  <si>
    <t>^本场攻防“(.-)”“(.-)·(.-)”已结束，(.-)存活首领及拥有据点数为(%d-)，获得(%d-)分；(.-)存活首领及拥有据点数为(%d-)，获得(%d-)分。请再接再厉！</t>
    <phoneticPr fontId="18" type="noConversion"/>
  </si>
  <si>
    <t>{nClass=14,nIcon=2401,nFrame=-1,nTime=0,szName="阵营活动",key="阵营活动",},</t>
    <phoneticPr fontId="18" type="noConversion"/>
  </si>
  <si>
    <t>{nClass=14,nIcon=2398,nFrame=-1,nTime=-1,szName="破阵点将·二",nRefresh=2,key="破阵点将·二",},</t>
    <phoneticPr fontId="18" type="noConversion"/>
  </si>
  <si>
    <t>{nClass=14,nIcon=2396,nFrame=-1,nTime=-2,szName="{$2}·{$3}",key="{$2}·{$3}",},</t>
    <phoneticPr fontId="18" type="noConversion"/>
  </si>
  <si>
    <t>{nClass=14,nIcon=2397,nFrame=-1,nTime=-1,szName="破阵点将·一",nRefresh=2,key="破阵点将·一",},</t>
    <phoneticPr fontId="18" type="noConversion"/>
  </si>
  <si>
    <t>{$2}·{$3}·[{$4}·{$6}]:[{$7}·{$9}]</t>
    <phoneticPr fontId="18" type="noConversion"/>
  </si>
  <si>
    <t>{nClass=20,nIcon=13,nFrame=-1,nTime=0,szName="破阵点将·一",key="破阵点将·一",},</t>
    <phoneticPr fontId="18" type="noConversion"/>
  </si>
  <si>
    <t>{nClass=20,nIcon=13,nFrame=-1,nTime=0,szName="破阵点将·二",key="破阵点将·二",},</t>
    <phoneticPr fontId="18" type="noConversion"/>
  </si>
  <si>
    <t>{nClass=20,nIcon=13,nFrame=-1,nTime=0,szName="阵营活动",key="阵营活动",},</t>
    <phoneticPr fontId="18" type="noConversion"/>
  </si>
  <si>
    <t>{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2702,阶段·破阵点将1·正在结算;3540,阶段·物资车2·出发剩余;3550,阶段·物资车2·正在出发;3600,阶段·首领出战·助战剩余;3605,阶段·首领出战·助战结束;5400,阶段·破阵点将2·结算剩余;5402,阶段·破阵点将2·正在结算;5410,阶段·物资车3·正在出发;7200,阶段·本场攻防·结束剩余;7205,阶段·本场攻防·已经结束",nRefresh=10,key="阵营活动",},</t>
    <phoneticPr fontId="18" type="noConversion"/>
  </si>
  <si>
    <t>{nClass=14,nIcon=2401,nFrame=-1,nTime="60,{$4}·{$6}分·{$7}·{$9}分;840,阶段·物资车2·出发剩余;850,阶段·物资车2·正在出发;900,阶段·首领出战·助战剩余;905,阶段·首领出战·助战结束;2700,阶段·破阵点将2·结算剩余;2702,阶段·破阵点将2·正在结算;2710,阶段·物资车3·正在出发;4500,阶段·本场攻防·结束剩余;4505,阶段·本场攻防·已经结束",szName="{$4}·{$6}分·{$7}·{$9}分",nRefresh=1,key="破阵点将·一",},</t>
    <phoneticPr fontId="18" type="noConversion"/>
  </si>
  <si>
    <t>{nClass=14,nIcon=2401,nFrame=-1,nTime="60,{$4}·{$6}分·{$7}·{$9}分;1800,阶段·本场攻防·结束剩余;1805,阶段·本场攻防·已经结束",szName="{$4}·{$6}分·{$7}·{$9}分",nRefresh=1,key="破阵点将·二",},</t>
    <phoneticPr fontId="18" type="noConversion"/>
  </si>
  <si>
    <t>{nClass=1,nIcon=22928,nFrame=2,szName="【{$receiver}】·禁止捡旗",nTime="30,【{$receiver}】·禁止捡旗;32,【{$receiver}】·可以捡旗",nRefresh=1,key="经脉逆行·{$receiver}",},</t>
    <phoneticPr fontId="18" type="noConversion"/>
  </si>
  <si>
    <t>{nClass=2,nIcon=22928,nFrame=2,szName="【{$receiver}】·可以捡旗",nTime=5,key="经脉逆行·{$receiver}",},</t>
    <phoneticPr fontId="18" type="noConversion"/>
  </si>
  <si>
    <t>{nClass=14,nIcon=592,nFrame=2,szName="据点大旗·重置剩余",nTime=10,key="据点大旗·旗手提示",},</t>
    <phoneticPr fontId="18" type="noConversion"/>
  </si>
  <si>
    <t>{nClass=1,nIcon=1272,nFrame=2,szName="据点大旗·旗手提示",nTime=-1,key="据点大旗·旗手提示",},</t>
    <phoneticPr fontId="18" type="noConversion"/>
  </si>
  <si>
    <t>{nClass=-1,nIcon=2864,nFrame=7,szName="霸图·已刷新",nTime=2,nRefresh=600,key="霸图",},</t>
    <phoneticPr fontId="18" type="noConversion"/>
  </si>
  <si>
    <t>{nClass=-1,nIcon=845,nFrame=3,szName="孙永恒·已刷新",nTime=2,nRefresh=600,key="孙永恒",},</t>
    <phoneticPr fontId="18" type="noConversion"/>
  </si>
  <si>
    <t>{nClass=-1,nIcon=589,nFrame=7,szName="赵新宇·已刷新",nTime=2,nRefresh=600,key="赵新宇",},</t>
    <phoneticPr fontId="18" type="noConversion"/>
  </si>
  <si>
    <t>{nClass=-1,nIcon=308,nFrame=3,szName="方超·已刷新",nTime=2,nRefresh=600,key="方超",},</t>
    <phoneticPr fontId="18" type="noConversion"/>
  </si>
  <si>
    <t>{nClass=14,nIcon=592,nFrame=8,szName="【{$me}】·拾取大旗",nTime=30,key="拾取大旗·{$me}",},</t>
    <phoneticPr fontId="18" type="noConversion"/>
  </si>
  <si>
    <t>{nClass=8,nIcon=1537,nFrame=0,nTime="1,屹立不倒·{$sender}·正在释放;9.5,屹立不倒·{$sender}·50减伤;32.5,屹立不倒·{$sender}·释放剩余;40.5,屹立不倒·{$sender}·释放延迟",szName="屹立不倒",nRefresh=0,key="屹立不倒",},</t>
    <phoneticPr fontId="18" type="noConversion"/>
  </si>
  <si>
    <t>{nClass=9,nIcon=1537,nFrame=0,nTime="9,屹立不倒·{$sender}·50减伤;31.5,屹立不倒·{$sender}·释放剩余;40,屹立不倒·{$sender}·释放延迟",szName="屹立不倒",nRefresh=1,key="屹立不倒",},</t>
    <phoneticPr fontId="18" type="noConversion"/>
  </si>
  <si>
    <t>{nClass=4,nIcon=13,nTime=-1,szName="屹立不倒",key="屹立不倒",},</t>
    <phoneticPr fontId="18" type="noConversion"/>
  </si>
  <si>
    <t>{nClass=7,nIcon=1537,nFrame=0,nTime=32.5,szName="屹立不倒·{$receiver}·释放剩余",key="屹立不倒",},</t>
    <phoneticPr fontId="18" type="noConversion"/>
  </si>
</sst>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宋体"/>
      <family val="2"/>
      <charset val="134"/>
    </font>
    <font>
      <sz val="11"/>
      <color theme="1"/>
      <name val="宋体"/>
      <family val="2"/>
      <charset val="134"/>
    </font>
    <font>
      <sz val="18"/>
      <color theme="3"/>
      <name val="等线 Light"/>
      <family val="2"/>
      <charset val="134"/>
      <scheme val="major"/>
    </font>
    <font>
      <b/>
      <sz val="15"/>
      <color theme="3"/>
      <name val="宋体"/>
      <family val="2"/>
      <charset val="134"/>
    </font>
    <font>
      <b/>
      <sz val="13"/>
      <color theme="3"/>
      <name val="宋体"/>
      <family val="2"/>
      <charset val="134"/>
    </font>
    <font>
      <b/>
      <sz val="11"/>
      <color theme="3"/>
      <name val="宋体"/>
      <family val="2"/>
      <charset val="134"/>
    </font>
    <font>
      <sz val="11"/>
      <color rgb="FF006100"/>
      <name val="宋体"/>
      <family val="2"/>
      <charset val="134"/>
    </font>
    <font>
      <sz val="11"/>
      <color rgb="FF9C0006"/>
      <name val="宋体"/>
      <family val="2"/>
      <charset val="134"/>
    </font>
    <font>
      <sz val="11"/>
      <color rgb="FF9C5700"/>
      <name val="宋体"/>
      <family val="2"/>
      <charset val="134"/>
    </font>
    <font>
      <sz val="11"/>
      <color rgb="FF3F3F76"/>
      <name val="宋体"/>
      <family val="2"/>
      <charset val="134"/>
    </font>
    <font>
      <b/>
      <sz val="11"/>
      <color rgb="FF3F3F3F"/>
      <name val="宋体"/>
      <family val="2"/>
      <charset val="134"/>
    </font>
    <font>
      <b/>
      <sz val="11"/>
      <color rgb="FFFA7D00"/>
      <name val="宋体"/>
      <family val="2"/>
      <charset val="134"/>
    </font>
    <font>
      <sz val="11"/>
      <color rgb="FFFA7D00"/>
      <name val="宋体"/>
      <family val="2"/>
      <charset val="134"/>
    </font>
    <font>
      <b/>
      <sz val="11"/>
      <color theme="0"/>
      <name val="宋体"/>
      <family val="2"/>
      <charset val="134"/>
    </font>
    <font>
      <sz val="11"/>
      <color rgb="FFFF0000"/>
      <name val="宋体"/>
      <family val="2"/>
      <charset val="134"/>
    </font>
    <font>
      <i/>
      <sz val="11"/>
      <color rgb="FF7F7F7F"/>
      <name val="宋体"/>
      <family val="2"/>
      <charset val="134"/>
    </font>
    <font>
      <b/>
      <sz val="11"/>
      <color theme="1"/>
      <name val="宋体"/>
      <family val="2"/>
      <charset val="134"/>
    </font>
    <font>
      <sz val="11"/>
      <color theme="0"/>
      <name val="宋体"/>
      <family val="2"/>
      <charset val="134"/>
    </font>
    <font>
      <sz val="9"/>
      <name val="宋体"/>
      <family val="2"/>
      <charset val="134"/>
    </font>
    <font>
      <u/>
      <sz val="11"/>
      <color theme="10"/>
      <name val="宋体"/>
      <family val="2"/>
      <charset val="134"/>
    </font>
    <font>
      <b/>
      <sz val="11"/>
      <color rgb="FFFF0000"/>
      <name val="宋体"/>
      <family val="3"/>
      <charset val="134"/>
    </font>
    <font>
      <b/>
      <sz val="11"/>
      <color theme="1"/>
      <name val="宋体"/>
      <family val="3"/>
      <charset val="134"/>
    </font>
  </fonts>
  <fills count="4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rgb="FF00B0F0"/>
        <bgColor indexed="64"/>
      </patternFill>
    </fill>
    <fill>
      <patternFill patternType="solid">
        <fgColor rgb="FF92D050"/>
        <bgColor indexed="64"/>
      </patternFill>
    </fill>
    <fill>
      <patternFill patternType="solid">
        <fgColor rgb="FFFFC000"/>
        <bgColor indexed="64"/>
      </patternFill>
    </fill>
    <fill>
      <patternFill patternType="solid">
        <fgColor theme="0" tint="-0.249977111117893"/>
        <bgColor indexed="64"/>
      </patternFill>
    </fill>
    <fill>
      <patternFill patternType="solid">
        <fgColor rgb="FF00B050"/>
        <bgColor indexed="64"/>
      </patternFill>
    </fill>
    <fill>
      <patternFill patternType="solid">
        <fgColor rgb="FFFF641F"/>
        <bgColor indexed="64"/>
      </patternFill>
    </fill>
    <fill>
      <patternFill patternType="solid">
        <fgColor rgb="FFC83C28"/>
        <bgColor indexed="64"/>
      </patternFill>
    </fill>
    <fill>
      <patternFill patternType="solid">
        <fgColor rgb="FFB43C28"/>
        <bgColor indexed="64"/>
      </patternFill>
    </fill>
    <fill>
      <patternFill patternType="solid">
        <fgColor rgb="FFEB5032"/>
        <bgColor indexed="64"/>
      </patternFill>
    </fill>
    <fill>
      <patternFill patternType="solid">
        <fgColor rgb="FF1FF0FF"/>
        <bgColor indexed="64"/>
      </patternFill>
    </fill>
    <fill>
      <patternFill patternType="solid">
        <fgColor rgb="FFFF781F"/>
        <bgColor indexed="64"/>
      </patternFill>
    </fill>
    <fill>
      <patternFill patternType="solid">
        <fgColor theme="5" tint="0.39997558519241921"/>
        <bgColor indexed="64"/>
      </patternFill>
    </fill>
  </fills>
  <borders count="18">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
      <start style="thin">
        <color indexed="64"/>
      </start>
      <end style="thin">
        <color indexed="64"/>
      </end>
      <top style="thin">
        <color indexed="64"/>
      </top>
      <bottom style="thin">
        <color indexed="64"/>
      </bottom>
      <diagonal/>
    </border>
    <border>
      <start style="thin">
        <color indexed="64"/>
      </start>
      <end/>
      <top style="thin">
        <color indexed="64"/>
      </top>
      <bottom style="thin">
        <color indexed="64"/>
      </bottom>
      <diagonal/>
    </border>
    <border>
      <start/>
      <end style="thin">
        <color indexed="64"/>
      </end>
      <top style="thin">
        <color indexed="64"/>
      </top>
      <bottom style="thin">
        <color indexed="64"/>
      </bottom>
      <diagonal/>
    </border>
    <border>
      <start style="thin">
        <color indexed="64"/>
      </start>
      <end style="thin">
        <color indexed="64"/>
      </end>
      <top style="thin">
        <color indexed="64"/>
      </top>
      <bottom/>
      <diagonal/>
    </border>
    <border>
      <start style="thin">
        <color indexed="64"/>
      </start>
      <end/>
      <top style="thin">
        <color indexed="64"/>
      </top>
      <bottom/>
      <diagonal/>
    </border>
    <border>
      <start style="thin">
        <color indexed="64"/>
      </start>
      <end/>
      <top/>
      <bottom/>
      <diagonal/>
    </border>
    <border>
      <start/>
      <end style="thin">
        <color indexed="64"/>
      </end>
      <top/>
      <bottom/>
      <diagonal/>
    </border>
    <border>
      <start/>
      <end/>
      <top style="thin">
        <color indexed="64"/>
      </top>
      <bottom/>
      <diagonal/>
    </border>
  </borders>
  <cellStyleXfs count="43">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32" borderId="0" applyNumberFormat="0" applyBorder="0" applyAlignment="0" applyProtection="0">
      <alignment vertical="center"/>
    </xf>
    <xf numFmtId="0" fontId="19" fillId="0" borderId="0" applyNumberFormat="0" applyFill="0" applyBorder="0" applyAlignment="0" applyProtection="0">
      <alignment vertical="center"/>
    </xf>
  </cellStyleXfs>
  <cellXfs count="56">
    <xf numFmtId="0" fontId="0" fillId="0" borderId="0" xfId="0">
      <alignment vertical="center"/>
    </xf>
    <xf numFmtId="0" fontId="0" fillId="0" borderId="10" xfId="0" applyBorder="1">
      <alignment vertical="center"/>
    </xf>
    <xf numFmtId="0" fontId="0" fillId="0" borderId="0" xfId="0"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13" xfId="0" applyBorder="1" applyAlignment="1">
      <alignment horizontal="center" vertical="center"/>
    </xf>
    <xf numFmtId="0" fontId="0" fillId="0" borderId="14" xfId="0" applyBorder="1" applyAlignment="1">
      <alignment horizontal="center" vertical="center"/>
    </xf>
    <xf numFmtId="0" fontId="0" fillId="0" borderId="15" xfId="0" applyBorder="1" applyAlignment="1">
      <alignment horizontal="center" vertical="center"/>
    </xf>
    <xf numFmtId="0" fontId="0" fillId="0" borderId="16" xfId="0" applyBorder="1" applyAlignment="1">
      <alignment horizontal="center" vertical="center"/>
    </xf>
    <xf numFmtId="0" fontId="0" fillId="0" borderId="15" xfId="0" applyBorder="1">
      <alignment vertical="center"/>
    </xf>
    <xf numFmtId="0" fontId="0" fillId="0" borderId="0" xfId="0" applyBorder="1" applyAlignment="1">
      <alignment horizontal="center" vertical="center"/>
    </xf>
    <xf numFmtId="0" fontId="0" fillId="0" borderId="17" xfId="0" applyBorder="1" applyAlignment="1">
      <alignment horizontal="center" vertical="center"/>
    </xf>
    <xf numFmtId="0" fontId="0" fillId="0" borderId="0" xfId="0" applyBorder="1">
      <alignment vertical="center"/>
    </xf>
    <xf numFmtId="0" fontId="0" fillId="0" borderId="0" xfId="0" applyAlignment="1">
      <alignment vertical="center"/>
    </xf>
    <xf numFmtId="3" fontId="0" fillId="0" borderId="10" xfId="0" quotePrefix="1" applyNumberFormat="1" applyBorder="1" applyAlignment="1">
      <alignment horizontal="center" vertical="center"/>
    </xf>
    <xf numFmtId="0" fontId="7" fillId="3" borderId="10" xfId="7" applyBorder="1" applyAlignment="1">
      <alignment horizontal="center" vertical="center"/>
    </xf>
    <xf numFmtId="0" fontId="7" fillId="3" borderId="12" xfId="7" applyBorder="1" applyAlignment="1">
      <alignment horizontal="center" vertical="center"/>
    </xf>
    <xf numFmtId="0" fontId="0" fillId="0" borderId="10" xfId="0" applyBorder="1" applyAlignment="1">
      <alignment vertical="center"/>
    </xf>
    <xf numFmtId="0" fontId="0" fillId="0" borderId="10" xfId="0" applyFill="1" applyBorder="1" applyAlignment="1">
      <alignment vertical="center"/>
    </xf>
    <xf numFmtId="0" fontId="0" fillId="0" borderId="10" xfId="0" applyBorder="1" applyAlignment="1">
      <alignment horizontal="left" vertical="center"/>
    </xf>
    <xf numFmtId="0" fontId="0" fillId="33" borderId="10" xfId="0" applyFill="1" applyBorder="1">
      <alignment vertical="center"/>
    </xf>
    <xf numFmtId="0" fontId="6" fillId="2" borderId="10" xfId="6" applyBorder="1">
      <alignment vertical="center"/>
    </xf>
    <xf numFmtId="3" fontId="0" fillId="0" borderId="0" xfId="0" quotePrefix="1" applyNumberFormat="1" applyBorder="1" applyAlignment="1">
      <alignment horizontal="center" vertical="center"/>
    </xf>
    <xf numFmtId="0" fontId="7" fillId="3" borderId="10" xfId="7" applyBorder="1" applyAlignment="1">
      <alignment horizontal="center" vertical="center"/>
    </xf>
    <xf numFmtId="0" fontId="0" fillId="33" borderId="10" xfId="0" applyFill="1" applyBorder="1" applyAlignment="1">
      <alignment vertical="center"/>
    </xf>
    <xf numFmtId="0" fontId="0" fillId="33" borderId="11" xfId="0" applyFill="1" applyBorder="1" applyAlignment="1">
      <alignment vertical="center"/>
    </xf>
    <xf numFmtId="0" fontId="21" fillId="33" borderId="10" xfId="0" applyFont="1" applyFill="1" applyBorder="1" applyAlignment="1">
      <alignment vertical="center"/>
    </xf>
    <xf numFmtId="0" fontId="0" fillId="33" borderId="10" xfId="0" applyFill="1" applyBorder="1" applyAlignment="1">
      <alignment horizontal="left" vertical="center"/>
    </xf>
    <xf numFmtId="0" fontId="20" fillId="33" borderId="0" xfId="0" applyFont="1" applyFill="1" applyAlignment="1">
      <alignment horizontal="center" vertical="center"/>
    </xf>
    <xf numFmtId="0" fontId="20" fillId="33" borderId="10" xfId="0" applyFont="1" applyFill="1" applyBorder="1">
      <alignment vertical="center"/>
    </xf>
    <xf numFmtId="0" fontId="19" fillId="0" borderId="0" xfId="42">
      <alignment vertical="center"/>
    </xf>
    <xf numFmtId="0" fontId="0" fillId="0" borderId="0" xfId="0">
      <alignment vertical="center"/>
    </xf>
    <xf numFmtId="0" fontId="0" fillId="0" borderId="0" xfId="0">
      <alignment vertical="center"/>
    </xf>
    <xf numFmtId="0" fontId="0" fillId="0" borderId="0" xfId="0">
      <alignment vertical="center"/>
    </xf>
    <xf numFmtId="0" fontId="0" fillId="0" borderId="0" xfId="0">
      <alignment vertical="center"/>
    </xf>
    <xf numFmtId="0" fontId="0" fillId="0" borderId="0" xfId="0">
      <alignment vertical="center"/>
    </xf>
    <xf numFmtId="0" fontId="0" fillId="0" borderId="0" xfId="0">
      <alignment vertical="center"/>
    </xf>
    <xf numFmtId="0" fontId="0" fillId="34" borderId="10" xfId="0" applyFill="1" applyBorder="1" applyAlignment="1">
      <alignment vertical="center"/>
    </xf>
    <xf numFmtId="0" fontId="0" fillId="35" borderId="0" xfId="0" applyFill="1">
      <alignment vertical="center"/>
    </xf>
    <xf numFmtId="0" fontId="0" fillId="0" borderId="0" xfId="0" applyFill="1">
      <alignment vertical="center"/>
    </xf>
    <xf numFmtId="0" fontId="0" fillId="33" borderId="0" xfId="0" applyFill="1">
      <alignment vertical="center"/>
    </xf>
    <xf numFmtId="0" fontId="0" fillId="36" borderId="0" xfId="0" applyFill="1">
      <alignment vertical="center"/>
    </xf>
    <xf numFmtId="0" fontId="0" fillId="37" borderId="0" xfId="0" applyFill="1">
      <alignment vertical="center"/>
    </xf>
    <xf numFmtId="0" fontId="0" fillId="38" borderId="0" xfId="0" applyFill="1">
      <alignment vertical="center"/>
    </xf>
    <xf numFmtId="0" fontId="0" fillId="39" borderId="0" xfId="0" applyFill="1" applyAlignment="1">
      <alignment horizontal="center" vertical="center"/>
    </xf>
    <xf numFmtId="0" fontId="0" fillId="40" borderId="0" xfId="0" applyFill="1" applyAlignment="1">
      <alignment horizontal="center" vertical="center"/>
    </xf>
    <xf numFmtId="0" fontId="0" fillId="41" borderId="0" xfId="0" applyFill="1" applyAlignment="1">
      <alignment horizontal="center" vertical="center"/>
    </xf>
    <xf numFmtId="0" fontId="0" fillId="42" borderId="0" xfId="0" applyFill="1" applyAlignment="1">
      <alignment horizontal="center" vertical="center"/>
    </xf>
    <xf numFmtId="0" fontId="0" fillId="43" borderId="0" xfId="0" applyFill="1" applyAlignment="1">
      <alignment horizontal="center" vertical="center"/>
    </xf>
    <xf numFmtId="0" fontId="0" fillId="44" borderId="0" xfId="0" applyFill="1" applyAlignment="1">
      <alignment horizontal="center" vertical="center"/>
    </xf>
    <xf numFmtId="0" fontId="0" fillId="43" borderId="0" xfId="0" applyFill="1" applyAlignment="1">
      <alignment horizontal="left" vertical="center"/>
    </xf>
    <xf numFmtId="0" fontId="0" fillId="44" borderId="0" xfId="0" applyFill="1" applyAlignment="1">
      <alignment horizontal="left" vertical="center"/>
    </xf>
    <xf numFmtId="0" fontId="0" fillId="45" borderId="0" xfId="0" applyFill="1">
      <alignment vertical="center"/>
    </xf>
    <xf numFmtId="0" fontId="7" fillId="3" borderId="10" xfId="7" applyBorder="1" applyAlignment="1">
      <alignment horizontal="center" vertical="center"/>
    </xf>
    <xf numFmtId="0" fontId="7" fillId="3" borderId="11" xfId="7" applyBorder="1" applyAlignment="1">
      <alignment horizontal="center" vertical="center"/>
    </xf>
    <xf numFmtId="0" fontId="7" fillId="3" borderId="12" xfId="7" applyBorder="1" applyAlignment="1">
      <alignment horizontal="center" vertical="center"/>
    </xf>
  </cellXfs>
  <cellStyles count="43">
    <cellStyle name="20% - 着色 1" xfId="19" builtinId="30" customBuiltin="1"/>
    <cellStyle name="20% - 着色 2" xfId="23" builtinId="34" customBuiltin="1"/>
    <cellStyle name="20% - 着色 3" xfId="27" builtinId="38" customBuiltin="1"/>
    <cellStyle name="20% - 着色 4" xfId="31" builtinId="42" customBuiltin="1"/>
    <cellStyle name="20% - 着色 5" xfId="35" builtinId="46" customBuiltin="1"/>
    <cellStyle name="20% - 着色 6" xfId="39" builtinId="50" customBuiltin="1"/>
    <cellStyle name="40% - 着色 1" xfId="20" builtinId="31" customBuiltin="1"/>
    <cellStyle name="40% - 着色 2" xfId="24" builtinId="35" customBuiltin="1"/>
    <cellStyle name="40% - 着色 3" xfId="28" builtinId="39" customBuiltin="1"/>
    <cellStyle name="40% - 着色 4" xfId="32" builtinId="43" customBuiltin="1"/>
    <cellStyle name="40% - 着色 5" xfId="36" builtinId="47" customBuiltin="1"/>
    <cellStyle name="40% - 着色 6" xfId="40" builtinId="51" customBuiltin="1"/>
    <cellStyle name="60% - 着色 1" xfId="21" builtinId="32" customBuiltin="1"/>
    <cellStyle name="60% - 着色 2" xfId="25" builtinId="36" customBuiltin="1"/>
    <cellStyle name="60% - 着色 3" xfId="29" builtinId="40" customBuiltin="1"/>
    <cellStyle name="60% - 着色 4" xfId="33" builtinId="44" customBuiltin="1"/>
    <cellStyle name="60% - 着色 5" xfId="37" builtinId="48" customBuiltin="1"/>
    <cellStyle name="60% - 着色 6" xfId="41" builtinId="52" customBuiltin="1"/>
    <cellStyle name="标题" xfId="1" builtinId="15" customBuiltin="1"/>
    <cellStyle name="标题 1" xfId="2" builtinId="16" customBuiltin="1"/>
    <cellStyle name="标题 2" xfId="3" builtinId="17" customBuiltin="1"/>
    <cellStyle name="标题 3" xfId="4" builtinId="18" customBuiltin="1"/>
    <cellStyle name="标题 4" xfId="5" builtinId="19" customBuiltin="1"/>
    <cellStyle name="差" xfId="7" builtinId="27" customBuiltin="1"/>
    <cellStyle name="常规" xfId="0" builtinId="0"/>
    <cellStyle name="超链接" xfId="42" builtinId="8"/>
    <cellStyle name="好" xfId="6" builtinId="26" customBuiltin="1"/>
    <cellStyle name="汇总" xfId="17" builtinId="25" customBuiltin="1"/>
    <cellStyle name="计算" xfId="11" builtinId="22" customBuiltin="1"/>
    <cellStyle name="检查单元格" xfId="13" builtinId="23" customBuiltin="1"/>
    <cellStyle name="解释性文本" xfId="16" builtinId="53" customBuiltin="1"/>
    <cellStyle name="警告文本" xfId="14" builtinId="11" customBuiltin="1"/>
    <cellStyle name="链接单元格" xfId="12" builtinId="24" customBuiltin="1"/>
    <cellStyle name="适中" xfId="8" builtinId="28" customBuiltin="1"/>
    <cellStyle name="输出" xfId="10" builtinId="21" customBuiltin="1"/>
    <cellStyle name="输入" xfId="9" builtinId="20" customBuiltin="1"/>
    <cellStyle name="着色 1" xfId="18" builtinId="29" customBuiltin="1"/>
    <cellStyle name="着色 2" xfId="22" builtinId="33" customBuiltin="1"/>
    <cellStyle name="着色 3" xfId="26" builtinId="37" customBuiltin="1"/>
    <cellStyle name="着色 4" xfId="30" builtinId="41" customBuiltin="1"/>
    <cellStyle name="着色 5" xfId="34" builtinId="45" customBuiltin="1"/>
    <cellStyle name="着色 6" xfId="38" builtinId="49" customBuiltin="1"/>
    <cellStyle name="注释" xfId="15" builtinId="10" customBuiltin="1"/>
  </cellStyles>
  <dxfs count="0"/>
  <tableStyles count="0" defaultTableStyle="TableStyleMedium2" defaultPivotStyle="PivotStyleLight16"/>
  <colors>
    <mruColors>
      <color rgb="FFFF781F"/>
      <color rgb="FF1FF0FF"/>
      <color rgb="FF00E6FF"/>
      <color rgb="FF1FE6FF"/>
      <color rgb="FF50A0F0"/>
      <color rgb="FFEB5032"/>
      <color rgb="FFB43C28"/>
      <color rgb="FFC83C28"/>
      <color rgb="FFFF641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purl.oclc.org/ooxml/officeDocument/relationships/worksheet" Target="worksheets/sheet8.xml"/><Relationship Id="rId13" Type="http://purl.oclc.org/ooxml/officeDocument/relationships/calcChain" Target="calcChain.xml"/><Relationship Id="rId3" Type="http://purl.oclc.org/ooxml/officeDocument/relationships/worksheet" Target="worksheets/sheet3.xml"/><Relationship Id="rId7" Type="http://purl.oclc.org/ooxml/officeDocument/relationships/worksheet" Target="worksheets/sheet7.xml"/><Relationship Id="rId12" Type="http://purl.oclc.org/ooxml/officeDocument/relationships/sharedStrings" Target="sharedStrings.xml"/><Relationship Id="rId2" Type="http://purl.oclc.org/ooxml/officeDocument/relationships/worksheet" Target="worksheets/sheet2.xml"/><Relationship Id="rId1" Type="http://purl.oclc.org/ooxml/officeDocument/relationships/worksheet" Target="worksheets/sheet1.xml"/><Relationship Id="rId6" Type="http://purl.oclc.org/ooxml/officeDocument/relationships/worksheet" Target="worksheets/sheet6.xml"/><Relationship Id="rId11" Type="http://purl.oclc.org/ooxml/officeDocument/relationships/styles" Target="styles.xml"/><Relationship Id="rId5" Type="http://purl.oclc.org/ooxml/officeDocument/relationships/worksheet" Target="worksheets/sheet5.xml"/><Relationship Id="rId10" Type="http://purl.oclc.org/ooxml/officeDocument/relationships/theme" Target="theme/theme1.xml"/><Relationship Id="rId4" Type="http://purl.oclc.org/ooxml/officeDocument/relationships/worksheet" Target="worksheets/sheet4.xml"/><Relationship Id="rId9" Type="http://purl.oclc.org/ooxml/officeDocument/relationships/worksheet" Target="worksheets/sheet9.xml"/></Relationships>
</file>

<file path=xl/theme/theme1.xml><?xml version="1.0" encoding="utf-8"?>
<a:theme xmlns:a="http://purl.oclc.org/ooxml/drawingml/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6350" cap="flat" cmpd="sng" algn="ctr">
          <a:solidFill>
            <a:schemeClr val="phClr"/>
          </a:solidFill>
          <a:prstDash val="solid"/>
          <a:miter lim="800%"/>
        </a:ln>
        <a:ln w="12700" cap="flat" cmpd="sng" algn="ctr">
          <a:solidFill>
            <a:schemeClr val="phClr"/>
          </a:solidFill>
          <a:prstDash val="solid"/>
          <a:miter lim="800%"/>
        </a:ln>
        <a:ln w="1905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purl.oclc.org/ooxml/officeDocument/relationships/hyperlink" Target="https://www.jx3box.com/tool/60356" TargetMode="External"/><Relationship Id="rId2" Type="http://purl.oclc.org/ooxml/officeDocument/relationships/hyperlink" Target="https://www.jx3box.com/tool/74098" TargetMode="External"/><Relationship Id="rId1" Type="http://purl.oclc.org/ooxml/officeDocument/relationships/hyperlink" Target="https://www.jx3box.com/tool/17349" TargetMode="External"/><Relationship Id="rId4" Type="http://purl.oclc.org/ooxml/officeDocument/relationships/printerSettings" Target="../printerSettings/printerSettings1.bin"/></Relationships>
</file>

<file path=xl/worksheets/_rels/sheet2.xml.rels><?xml version="1.0" encoding="UTF-8" standalone="yes"?>
<Relationships xmlns="http://schemas.openxmlformats.org/package/2006/relationships"><Relationship Id="rId1" Type="http://purl.oclc.org/ooxml/officeDocument/relationships/printerSettings" Target="../printerSettings/printerSettings2.bin"/></Relationships>
</file>

<file path=xl/worksheets/_rels/sheet3.xml.rels><?xml version="1.0" encoding="UTF-8" standalone="yes"?>
<Relationships xmlns="http://schemas.openxmlformats.org/package/2006/relationships"><Relationship Id="rId1" Type="http://purl.oclc.org/ooxml/officeDocument/relationships/printerSettings" Target="../printerSettings/printerSettings3.bin"/></Relationships>
</file>

<file path=xl/worksheets/_rels/sheet4.xml.rels><?xml version="1.0" encoding="UTF-8" standalone="yes"?>
<Relationships xmlns="http://schemas.openxmlformats.org/package/2006/relationships"><Relationship Id="rId1" Type="http://purl.oclc.org/ooxml/officeDocument/relationships/printerSettings" Target="../printerSettings/printerSettings4.bin"/></Relationships>
</file>

<file path=xl/worksheets/_rels/sheet5.xml.rels><?xml version="1.0" encoding="UTF-8" standalone="yes"?>
<Relationships xmlns="http://schemas.openxmlformats.org/package/2006/relationships"><Relationship Id="rId1" Type="http://purl.oclc.org/ooxml/officeDocument/relationships/printerSettings" Target="../printerSettings/printerSettings5.bin"/></Relationships>
</file>

<file path=xl/worksheets/_rels/sheet6.xml.rels><?xml version="1.0" encoding="UTF-8" standalone="yes"?>
<Relationships xmlns="http://schemas.openxmlformats.org/package/2006/relationships"><Relationship Id="rId1" Type="http://purl.oclc.org/ooxml/officeDocument/relationships/printerSettings" Target="../printerSettings/printerSettings6.bin"/></Relationships>
</file>

<file path=xl/worksheets/_rels/sheet7.xml.rels><?xml version="1.0" encoding="UTF-8" standalone="yes"?>
<Relationships xmlns="http://schemas.openxmlformats.org/package/2006/relationships"><Relationship Id="rId1" Type="http://purl.oclc.org/ooxml/officeDocument/relationships/printerSettings" Target="../printerSettings/printerSettings7.bin"/></Relationships>
</file>

<file path=xl/worksheets/_rels/sheet8.xml.rels><?xml version="1.0" encoding="UTF-8" standalone="yes"?>
<Relationships xmlns="http://schemas.openxmlformats.org/package/2006/relationships"><Relationship Id="rId1" Type="http://purl.oclc.org/ooxml/officeDocument/relationships/printerSettings" Target="../printerSettings/printerSettings8.bin"/></Relationships>
</file>

<file path=xl/worksheets/_rels/sheet9.xml.rels><?xml version="1.0" encoding="UTF-8" standalone="yes"?>
<Relationships xmlns="http://schemas.openxmlformats.org/package/2006/relationships"><Relationship Id="rId1" Type="http://purl.oclc.org/ooxml/officeDocument/relationships/printerSettings" Target="../printerSettings/printerSettings9.bin"/></Relationships>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D2665-9A55-4092-B9FA-950D5A6A50BE}">
  <dimension ref="A1:G118"/>
  <sheetViews>
    <sheetView topLeftCell="A85" zoomScale="90" zoomScaleNormal="90" workbookViewId="0">
      <selection activeCell="C109" sqref="C109"/>
    </sheetView>
  </sheetViews>
  <sheetFormatPr defaultRowHeight="13.5" x14ac:dyDescent="0.15"/>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x14ac:dyDescent="0.15">
      <c r="A1" s="21" t="s">
        <v>38</v>
      </c>
      <c r="B1" s="20" t="s">
        <v>1410</v>
      </c>
      <c r="C1" s="28" t="s">
        <v>1402</v>
      </c>
      <c r="D1" t="s">
        <v>1416</v>
      </c>
      <c r="E1" s="30" t="s">
        <v>1419</v>
      </c>
    </row>
    <row r="2" spans="1:7" x14ac:dyDescent="0.15">
      <c r="A2" s="21" t="s">
        <v>31</v>
      </c>
      <c r="B2" s="1" t="s">
        <v>32</v>
      </c>
      <c r="C2" s="28" t="s">
        <v>1402</v>
      </c>
      <c r="D2" t="s">
        <v>1417</v>
      </c>
      <c r="E2" s="30" t="s">
        <v>1418</v>
      </c>
    </row>
    <row r="3" spans="1:7" x14ac:dyDescent="0.15">
      <c r="A3" s="21" t="s">
        <v>1615</v>
      </c>
      <c r="B3" s="1" t="s">
        <v>33</v>
      </c>
      <c r="C3" s="28" t="s">
        <v>1402</v>
      </c>
    </row>
    <row r="4" spans="1:7" x14ac:dyDescent="0.15">
      <c r="A4" s="21" t="str">
        <f ca="1">"nTimeStamp = "&amp;((NOW()-70*365-19)*86400-8*3600)*1000&amp;","</f>
        <v>nTimeStamp = 1775973048860,</v>
      </c>
      <c r="B4" s="1" t="s">
        <v>34</v>
      </c>
      <c r="C4" s="28" t="s">
        <v>1402</v>
      </c>
    </row>
    <row r="5" spans="1:7" x14ac:dyDescent="0.15">
      <c r="A5" s="21" t="s">
        <v>1616</v>
      </c>
      <c r="B5" s="1" t="s">
        <v>35</v>
      </c>
      <c r="C5" s="28" t="s">
        <v>1402</v>
      </c>
    </row>
    <row r="6" spans="1:7" x14ac:dyDescent="0.15">
      <c r="A6" s="21" t="s">
        <v>953</v>
      </c>
      <c r="B6" s="1" t="s">
        <v>36</v>
      </c>
      <c r="C6" s="28" t="s">
        <v>1402</v>
      </c>
    </row>
    <row r="7" spans="1:7" x14ac:dyDescent="0.15">
      <c r="A7" s="21" t="s">
        <v>954</v>
      </c>
      <c r="B7" s="1" t="s">
        <v>37</v>
      </c>
      <c r="C7" s="28" t="s">
        <v>1402</v>
      </c>
    </row>
    <row r="8" spans="1:7" x14ac:dyDescent="0.15">
      <c r="A8" s="21" t="s">
        <v>39</v>
      </c>
      <c r="B8" s="1"/>
      <c r="C8" s="28" t="s">
        <v>1402</v>
      </c>
    </row>
    <row r="9" spans="1:7" x14ac:dyDescent="0.15">
      <c r="C9" s="28" t="s">
        <v>1402</v>
      </c>
    </row>
    <row r="10" spans="1:7" x14ac:dyDescent="0.15">
      <c r="A10" s="1" t="s">
        <v>955</v>
      </c>
      <c r="B10" s="1"/>
      <c r="C10" s="28" t="s">
        <v>1402</v>
      </c>
      <c r="D10" s="1"/>
    </row>
    <row r="11" spans="1:7" x14ac:dyDescent="0.15">
      <c r="A11" s="17" t="s">
        <v>693</v>
      </c>
      <c r="B11" s="17" t="s">
        <v>694</v>
      </c>
      <c r="C11" s="28" t="s">
        <v>1402</v>
      </c>
      <c r="D11" s="17" t="s">
        <v>693</v>
      </c>
      <c r="E11" s="13"/>
      <c r="F11" s="13"/>
      <c r="G11" s="13"/>
    </row>
    <row r="12" spans="1:7" x14ac:dyDescent="0.15">
      <c r="A12" s="17" t="s">
        <v>41</v>
      </c>
      <c r="B12" s="17" t="s">
        <v>700</v>
      </c>
      <c r="C12" s="28" t="s">
        <v>1402</v>
      </c>
      <c r="D12" s="17" t="s">
        <v>41</v>
      </c>
      <c r="E12" s="13"/>
      <c r="F12" s="13"/>
      <c r="G12" s="13"/>
    </row>
    <row r="13" spans="1:7" x14ac:dyDescent="0.15">
      <c r="A13" s="17" t="s">
        <v>695</v>
      </c>
      <c r="B13" s="17" t="s">
        <v>701</v>
      </c>
      <c r="C13" s="28" t="s">
        <v>1402</v>
      </c>
      <c r="D13" s="17" t="s">
        <v>695</v>
      </c>
      <c r="E13" s="13"/>
      <c r="F13" s="13"/>
      <c r="G13" s="13"/>
    </row>
    <row r="14" spans="1:7" x14ac:dyDescent="0.15">
      <c r="A14" s="17" t="s">
        <v>696</v>
      </c>
      <c r="B14" s="17" t="s">
        <v>702</v>
      </c>
      <c r="C14" s="28" t="s">
        <v>1402</v>
      </c>
      <c r="D14" s="17" t="s">
        <v>696</v>
      </c>
      <c r="E14" s="13"/>
      <c r="F14" s="13"/>
      <c r="G14" s="13"/>
    </row>
    <row r="15" spans="1:7" x14ac:dyDescent="0.15">
      <c r="A15" s="17" t="s">
        <v>697</v>
      </c>
      <c r="B15" s="17" t="s">
        <v>703</v>
      </c>
      <c r="C15" s="28" t="s">
        <v>1402</v>
      </c>
      <c r="D15" s="17" t="s">
        <v>697</v>
      </c>
      <c r="E15" s="13"/>
      <c r="F15" s="13"/>
      <c r="G15" s="13"/>
    </row>
    <row r="16" spans="1:7" x14ac:dyDescent="0.15">
      <c r="A16" s="17" t="s">
        <v>698</v>
      </c>
      <c r="B16" s="17" t="s">
        <v>704</v>
      </c>
      <c r="C16" s="28" t="s">
        <v>1402</v>
      </c>
      <c r="D16" s="17" t="s">
        <v>698</v>
      </c>
      <c r="E16" s="13"/>
      <c r="F16" s="13"/>
      <c r="G16" s="13"/>
    </row>
    <row r="17" spans="1:7" x14ac:dyDescent="0.15">
      <c r="A17" s="17" t="s">
        <v>952</v>
      </c>
      <c r="B17" s="17" t="s">
        <v>705</v>
      </c>
      <c r="C17" s="28" t="s">
        <v>1402</v>
      </c>
      <c r="D17" s="17" t="s">
        <v>699</v>
      </c>
      <c r="E17" s="13"/>
      <c r="F17" s="13"/>
      <c r="G17" s="13"/>
    </row>
    <row r="18" spans="1:7" x14ac:dyDescent="0.15">
      <c r="A18" s="13"/>
      <c r="B18" s="13"/>
      <c r="C18" s="28" t="s">
        <v>1402</v>
      </c>
      <c r="D18" s="13"/>
      <c r="E18" s="13"/>
      <c r="F18" s="13"/>
      <c r="G18" s="13"/>
    </row>
    <row r="19" spans="1:7" x14ac:dyDescent="0.15">
      <c r="F19" s="13"/>
      <c r="G19" s="13"/>
    </row>
    <row r="20" spans="1:7" x14ac:dyDescent="0.15">
      <c r="A20" s="17" t="s">
        <v>854</v>
      </c>
      <c r="B20" s="17"/>
      <c r="C20" s="17"/>
      <c r="D20" s="17"/>
      <c r="E20" s="17"/>
      <c r="F20" s="17"/>
      <c r="G20" s="17"/>
    </row>
    <row r="21" spans="1:7" x14ac:dyDescent="0.15">
      <c r="A21" s="17" t="s">
        <v>791</v>
      </c>
      <c r="B21" s="17" t="s">
        <v>707</v>
      </c>
      <c r="C21" s="17" t="s">
        <v>708</v>
      </c>
      <c r="D21" s="17" t="s">
        <v>850</v>
      </c>
      <c r="E21" s="17" t="s">
        <v>793</v>
      </c>
      <c r="F21" s="17" t="s">
        <v>794</v>
      </c>
      <c r="G21" s="17" t="s">
        <v>974</v>
      </c>
    </row>
    <row r="22" spans="1:7" x14ac:dyDescent="0.15">
      <c r="A22" s="17" t="s">
        <v>795</v>
      </c>
      <c r="B22" s="17" t="s">
        <v>714</v>
      </c>
      <c r="C22" s="17" t="s">
        <v>3</v>
      </c>
      <c r="D22" s="17" t="s">
        <v>796</v>
      </c>
      <c r="E22" s="17" t="s">
        <v>797</v>
      </c>
      <c r="F22" s="17" t="s">
        <v>798</v>
      </c>
      <c r="G22" s="17" t="s">
        <v>799</v>
      </c>
    </row>
    <row r="23" spans="1:7" x14ac:dyDescent="0.15">
      <c r="A23" s="17" t="s">
        <v>800</v>
      </c>
      <c r="B23" s="17" t="s">
        <v>801</v>
      </c>
      <c r="C23" s="17" t="s">
        <v>802</v>
      </c>
      <c r="D23" s="18" t="s">
        <v>853</v>
      </c>
      <c r="E23" s="17" t="s">
        <v>797</v>
      </c>
      <c r="F23" s="17" t="s">
        <v>798</v>
      </c>
      <c r="G23" s="17" t="s">
        <v>799</v>
      </c>
    </row>
    <row r="24" spans="1:7" x14ac:dyDescent="0.15">
      <c r="A24" s="17" t="s">
        <v>729</v>
      </c>
      <c r="B24" s="17" t="s">
        <v>801</v>
      </c>
      <c r="C24" s="17" t="s">
        <v>803</v>
      </c>
      <c r="D24" s="17" t="s">
        <v>804</v>
      </c>
      <c r="E24" s="17" t="s">
        <v>797</v>
      </c>
      <c r="F24" s="17" t="s">
        <v>798</v>
      </c>
      <c r="G24" s="17" t="s">
        <v>799</v>
      </c>
    </row>
    <row r="25" spans="1:7" x14ac:dyDescent="0.15">
      <c r="A25" s="17" t="s">
        <v>805</v>
      </c>
      <c r="B25" s="17"/>
      <c r="C25" s="17"/>
      <c r="D25" s="17"/>
      <c r="E25" s="17"/>
      <c r="F25" s="17"/>
      <c r="G25" s="17"/>
    </row>
    <row r="26" spans="1:7" x14ac:dyDescent="0.15">
      <c r="A26" s="17" t="s">
        <v>791</v>
      </c>
      <c r="B26" s="17" t="s">
        <v>707</v>
      </c>
      <c r="C26" s="17" t="s">
        <v>708</v>
      </c>
      <c r="D26" s="17" t="s">
        <v>792</v>
      </c>
      <c r="E26" s="17" t="s">
        <v>793</v>
      </c>
      <c r="F26" s="17" t="s">
        <v>794</v>
      </c>
      <c r="G26" s="17" t="s">
        <v>974</v>
      </c>
    </row>
    <row r="27" spans="1:7" x14ac:dyDescent="0.15">
      <c r="A27" s="17" t="s">
        <v>1</v>
      </c>
      <c r="B27" s="17" t="s">
        <v>710</v>
      </c>
      <c r="C27" s="17" t="s">
        <v>806</v>
      </c>
      <c r="D27" s="17" t="s">
        <v>807</v>
      </c>
      <c r="E27" s="17" t="s">
        <v>808</v>
      </c>
      <c r="F27" s="17" t="s">
        <v>799</v>
      </c>
      <c r="G27" s="17" t="s">
        <v>798</v>
      </c>
    </row>
    <row r="28" spans="1:7" x14ac:dyDescent="0.15">
      <c r="A28" s="17" t="s">
        <v>809</v>
      </c>
      <c r="B28" s="17" t="s">
        <v>710</v>
      </c>
      <c r="C28" s="17" t="s">
        <v>2</v>
      </c>
      <c r="D28" s="17" t="s">
        <v>810</v>
      </c>
      <c r="E28" s="17" t="s">
        <v>811</v>
      </c>
      <c r="F28" s="17" t="s">
        <v>799</v>
      </c>
      <c r="G28" s="17" t="s">
        <v>798</v>
      </c>
    </row>
    <row r="29" spans="1:7" x14ac:dyDescent="0.15">
      <c r="A29" s="17" t="s">
        <v>896</v>
      </c>
      <c r="B29" s="17" t="s">
        <v>717</v>
      </c>
      <c r="C29" s="17" t="s">
        <v>812</v>
      </c>
      <c r="D29" s="17" t="s">
        <v>813</v>
      </c>
      <c r="E29" s="17" t="s">
        <v>811</v>
      </c>
      <c r="F29" s="17" t="s">
        <v>798</v>
      </c>
      <c r="G29" s="17" t="s">
        <v>799</v>
      </c>
    </row>
    <row r="30" spans="1:7" x14ac:dyDescent="0.15">
      <c r="A30" s="17" t="s">
        <v>814</v>
      </c>
      <c r="B30" s="17" t="s">
        <v>710</v>
      </c>
      <c r="C30" s="17" t="s">
        <v>815</v>
      </c>
      <c r="D30" s="17" t="s">
        <v>816</v>
      </c>
      <c r="E30" s="17" t="s">
        <v>817</v>
      </c>
      <c r="F30" s="17" t="s">
        <v>798</v>
      </c>
      <c r="G30" s="17" t="s">
        <v>799</v>
      </c>
    </row>
    <row r="31" spans="1:7" x14ac:dyDescent="0.15">
      <c r="A31" s="17" t="s">
        <v>773</v>
      </c>
      <c r="B31" s="17" t="s">
        <v>714</v>
      </c>
      <c r="C31" s="17" t="s">
        <v>818</v>
      </c>
      <c r="D31" s="17" t="s">
        <v>819</v>
      </c>
      <c r="E31" s="17" t="s">
        <v>808</v>
      </c>
      <c r="F31" s="17" t="s">
        <v>798</v>
      </c>
      <c r="G31" s="17" t="s">
        <v>799</v>
      </c>
    </row>
    <row r="32" spans="1:7" x14ac:dyDescent="0.15">
      <c r="A32" s="17" t="s">
        <v>764</v>
      </c>
      <c r="B32" s="17" t="s">
        <v>710</v>
      </c>
      <c r="C32" s="17" t="s">
        <v>820</v>
      </c>
      <c r="D32" s="17" t="s">
        <v>821</v>
      </c>
      <c r="E32" s="17" t="s">
        <v>808</v>
      </c>
      <c r="F32" s="17" t="s">
        <v>798</v>
      </c>
      <c r="G32" s="17" t="s">
        <v>799</v>
      </c>
    </row>
    <row r="33" spans="1:7" x14ac:dyDescent="0.15">
      <c r="A33" s="17" t="s">
        <v>897</v>
      </c>
      <c r="B33" s="17" t="s">
        <v>710</v>
      </c>
      <c r="C33" s="17" t="s">
        <v>822</v>
      </c>
      <c r="D33" s="17" t="s">
        <v>823</v>
      </c>
      <c r="E33" s="17" t="s">
        <v>811</v>
      </c>
      <c r="F33" s="17" t="s">
        <v>798</v>
      </c>
      <c r="G33" s="17" t="s">
        <v>799</v>
      </c>
    </row>
    <row r="34" spans="1:7" x14ac:dyDescent="0.15">
      <c r="A34" s="17" t="s">
        <v>898</v>
      </c>
      <c r="B34" s="17" t="s">
        <v>745</v>
      </c>
      <c r="C34" s="17" t="s">
        <v>852</v>
      </c>
      <c r="D34" s="17" t="s">
        <v>976</v>
      </c>
      <c r="E34" s="17" t="s">
        <v>808</v>
      </c>
      <c r="F34" s="17" t="s">
        <v>798</v>
      </c>
      <c r="G34" s="17" t="s">
        <v>799</v>
      </c>
    </row>
    <row r="35" spans="1:7" x14ac:dyDescent="0.15">
      <c r="A35" s="17" t="s">
        <v>824</v>
      </c>
      <c r="B35" s="17" t="s">
        <v>801</v>
      </c>
      <c r="C35" s="17" t="s">
        <v>825</v>
      </c>
      <c r="D35" s="17" t="s">
        <v>851</v>
      </c>
      <c r="E35" s="17" t="s">
        <v>826</v>
      </c>
      <c r="F35" s="17" t="s">
        <v>798</v>
      </c>
      <c r="G35" s="17" t="s">
        <v>799</v>
      </c>
    </row>
    <row r="36" spans="1:7" x14ac:dyDescent="0.15">
      <c r="A36" s="17" t="s">
        <v>827</v>
      </c>
      <c r="B36" s="17" t="s">
        <v>717</v>
      </c>
      <c r="C36" s="17" t="s">
        <v>828</v>
      </c>
      <c r="D36" s="17" t="s">
        <v>829</v>
      </c>
      <c r="E36" s="17" t="s">
        <v>695</v>
      </c>
      <c r="F36" s="17" t="s">
        <v>798</v>
      </c>
      <c r="G36" s="17" t="s">
        <v>799</v>
      </c>
    </row>
    <row r="37" spans="1:7" x14ac:dyDescent="0.15">
      <c r="A37" s="17" t="s">
        <v>767</v>
      </c>
      <c r="B37" s="17" t="s">
        <v>710</v>
      </c>
      <c r="C37" s="17" t="s">
        <v>830</v>
      </c>
      <c r="D37" s="17" t="s">
        <v>831</v>
      </c>
      <c r="E37" s="17" t="s">
        <v>696</v>
      </c>
      <c r="F37" s="17" t="s">
        <v>799</v>
      </c>
      <c r="G37" s="17" t="s">
        <v>798</v>
      </c>
    </row>
    <row r="38" spans="1:7" x14ac:dyDescent="0.15">
      <c r="A38" s="17" t="s">
        <v>832</v>
      </c>
      <c r="B38" s="17" t="s">
        <v>717</v>
      </c>
      <c r="C38" s="17" t="s">
        <v>833</v>
      </c>
      <c r="D38" s="17" t="s">
        <v>834</v>
      </c>
      <c r="E38" s="17" t="s">
        <v>835</v>
      </c>
      <c r="F38" s="17" t="s">
        <v>798</v>
      </c>
      <c r="G38" s="17" t="s">
        <v>799</v>
      </c>
    </row>
    <row r="39" spans="1:7" x14ac:dyDescent="0.15">
      <c r="A39" s="17" t="s">
        <v>836</v>
      </c>
      <c r="B39" s="17" t="s">
        <v>801</v>
      </c>
      <c r="C39" s="17" t="s">
        <v>837</v>
      </c>
      <c r="D39" s="17" t="s">
        <v>747</v>
      </c>
      <c r="E39" s="17" t="s">
        <v>835</v>
      </c>
      <c r="F39" s="17" t="s">
        <v>798</v>
      </c>
      <c r="G39" s="17" t="s">
        <v>799</v>
      </c>
    </row>
    <row r="40" spans="1:7" x14ac:dyDescent="0.15">
      <c r="A40" s="17" t="s">
        <v>838</v>
      </c>
      <c r="B40" s="17" t="s">
        <v>714</v>
      </c>
      <c r="C40" s="17" t="s">
        <v>839</v>
      </c>
      <c r="D40" s="17" t="s">
        <v>840</v>
      </c>
      <c r="E40" s="17" t="s">
        <v>698</v>
      </c>
      <c r="F40" s="17" t="s">
        <v>798</v>
      </c>
      <c r="G40" s="17" t="s">
        <v>799</v>
      </c>
    </row>
    <row r="41" spans="1:7" x14ac:dyDescent="0.15">
      <c r="A41" s="24" t="s">
        <v>841</v>
      </c>
      <c r="B41" s="24" t="s">
        <v>714</v>
      </c>
      <c r="C41" s="24" t="s">
        <v>975</v>
      </c>
      <c r="D41" s="24" t="s">
        <v>842</v>
      </c>
      <c r="E41" s="26" t="s">
        <v>1411</v>
      </c>
      <c r="F41" s="24" t="s">
        <v>798</v>
      </c>
      <c r="G41" s="24" t="s">
        <v>799</v>
      </c>
    </row>
    <row r="42" spans="1:7" x14ac:dyDescent="0.15">
      <c r="A42" s="17" t="s">
        <v>843</v>
      </c>
      <c r="B42" s="17" t="s">
        <v>717</v>
      </c>
      <c r="C42" s="17" t="s">
        <v>844</v>
      </c>
      <c r="D42" s="17" t="s">
        <v>845</v>
      </c>
      <c r="E42" s="17" t="s">
        <v>846</v>
      </c>
      <c r="F42" s="17" t="s">
        <v>798</v>
      </c>
      <c r="G42" s="17" t="s">
        <v>798</v>
      </c>
    </row>
    <row r="43" spans="1:7" x14ac:dyDescent="0.15">
      <c r="A43" s="17" t="s">
        <v>847</v>
      </c>
      <c r="B43" s="17" t="s">
        <v>717</v>
      </c>
      <c r="C43" s="17" t="s">
        <v>848</v>
      </c>
      <c r="D43" s="17" t="s">
        <v>849</v>
      </c>
      <c r="E43" s="17" t="s">
        <v>846</v>
      </c>
      <c r="F43" s="17" t="s">
        <v>798</v>
      </c>
      <c r="G43" s="17" t="s">
        <v>798</v>
      </c>
    </row>
    <row r="45" spans="1:7" x14ac:dyDescent="0.15">
      <c r="A45" s="19" t="s">
        <v>895</v>
      </c>
      <c r="B45" s="19"/>
      <c r="C45" s="19"/>
      <c r="D45" s="1"/>
      <c r="E45" s="1"/>
      <c r="F45" s="1"/>
      <c r="G45" s="1"/>
    </row>
    <row r="46" spans="1:7" x14ac:dyDescent="0.15">
      <c r="A46" s="17" t="s">
        <v>899</v>
      </c>
      <c r="B46" s="17" t="s">
        <v>707</v>
      </c>
      <c r="C46" s="17" t="s">
        <v>708</v>
      </c>
      <c r="D46" s="17" t="s">
        <v>900</v>
      </c>
      <c r="E46" s="17" t="s">
        <v>793</v>
      </c>
      <c r="F46" s="17"/>
      <c r="G46" s="17"/>
    </row>
    <row r="47" spans="1:7" x14ac:dyDescent="0.15">
      <c r="A47" s="17" t="s">
        <v>901</v>
      </c>
      <c r="B47" s="17" t="s">
        <v>801</v>
      </c>
      <c r="C47" s="17" t="s">
        <v>45</v>
      </c>
      <c r="D47" s="17" t="s">
        <v>902</v>
      </c>
      <c r="E47" s="17" t="s">
        <v>811</v>
      </c>
      <c r="F47" s="17"/>
      <c r="G47" s="17"/>
    </row>
    <row r="48" spans="1:7" x14ac:dyDescent="0.15">
      <c r="A48" s="17" t="s">
        <v>776</v>
      </c>
      <c r="B48" s="17" t="s">
        <v>717</v>
      </c>
      <c r="C48" s="17" t="s">
        <v>903</v>
      </c>
      <c r="D48" s="17" t="s">
        <v>778</v>
      </c>
      <c r="E48" s="17" t="s">
        <v>797</v>
      </c>
      <c r="F48" s="17"/>
      <c r="G48" s="17"/>
    </row>
    <row r="49" spans="1:7" x14ac:dyDescent="0.15">
      <c r="A49" s="17" t="s">
        <v>904</v>
      </c>
      <c r="B49" s="17" t="s">
        <v>717</v>
      </c>
      <c r="C49" s="17" t="s">
        <v>905</v>
      </c>
      <c r="D49" s="17" t="s">
        <v>906</v>
      </c>
      <c r="E49" s="17" t="s">
        <v>797</v>
      </c>
      <c r="F49" s="17"/>
      <c r="G49" s="17"/>
    </row>
    <row r="50" spans="1:7" x14ac:dyDescent="0.15">
      <c r="A50" s="17" t="s">
        <v>907</v>
      </c>
      <c r="B50" s="17" t="s">
        <v>717</v>
      </c>
      <c r="C50" s="17" t="s">
        <v>908</v>
      </c>
      <c r="D50" s="17" t="s">
        <v>909</v>
      </c>
      <c r="E50" s="17" t="s">
        <v>797</v>
      </c>
      <c r="F50" s="17"/>
      <c r="G50" s="17"/>
    </row>
    <row r="51" spans="1:7" x14ac:dyDescent="0.15">
      <c r="A51" s="17" t="s">
        <v>737</v>
      </c>
      <c r="B51" s="17" t="s">
        <v>717</v>
      </c>
      <c r="C51" s="17" t="s">
        <v>910</v>
      </c>
      <c r="D51" s="17" t="s">
        <v>739</v>
      </c>
      <c r="E51" s="17" t="s">
        <v>911</v>
      </c>
      <c r="F51" s="17"/>
      <c r="G51" s="17"/>
    </row>
    <row r="52" spans="1:7" x14ac:dyDescent="0.15">
      <c r="A52" s="17" t="s">
        <v>912</v>
      </c>
      <c r="B52" s="17" t="s">
        <v>717</v>
      </c>
      <c r="C52" s="17" t="s">
        <v>913</v>
      </c>
      <c r="D52" s="17" t="s">
        <v>914</v>
      </c>
      <c r="E52" s="17" t="s">
        <v>826</v>
      </c>
      <c r="F52" s="17"/>
      <c r="G52" s="17"/>
    </row>
    <row r="53" spans="1:7" x14ac:dyDescent="0.15">
      <c r="A53" s="17" t="s">
        <v>915</v>
      </c>
      <c r="B53" s="17" t="s">
        <v>717</v>
      </c>
      <c r="C53" s="17" t="s">
        <v>916</v>
      </c>
      <c r="D53" s="17" t="s">
        <v>917</v>
      </c>
      <c r="E53" s="17" t="s">
        <v>826</v>
      </c>
      <c r="F53" s="17"/>
      <c r="G53" s="17"/>
    </row>
    <row r="54" spans="1:7" x14ac:dyDescent="0.15">
      <c r="A54" s="17" t="s">
        <v>918</v>
      </c>
      <c r="B54" s="17" t="s">
        <v>717</v>
      </c>
      <c r="C54" s="17" t="s">
        <v>919</v>
      </c>
      <c r="D54" s="17" t="s">
        <v>920</v>
      </c>
      <c r="E54" s="17" t="s">
        <v>826</v>
      </c>
      <c r="F54" s="17"/>
      <c r="G54" s="17"/>
    </row>
    <row r="55" spans="1:7" x14ac:dyDescent="0.15">
      <c r="A55" s="17" t="s">
        <v>945</v>
      </c>
      <c r="B55" s="17" t="s">
        <v>717</v>
      </c>
      <c r="C55" s="17" t="s">
        <v>921</v>
      </c>
      <c r="D55" s="17" t="s">
        <v>922</v>
      </c>
      <c r="E55" s="17" t="s">
        <v>826</v>
      </c>
      <c r="F55" s="17"/>
      <c r="G55" s="17"/>
    </row>
    <row r="56" spans="1:7" x14ac:dyDescent="0.15">
      <c r="A56" s="17" t="s">
        <v>923</v>
      </c>
      <c r="B56" s="17" t="s">
        <v>714</v>
      </c>
      <c r="C56" s="17" t="s">
        <v>924</v>
      </c>
      <c r="D56" s="17" t="s">
        <v>925</v>
      </c>
      <c r="E56" s="17" t="s">
        <v>811</v>
      </c>
      <c r="F56" s="17" t="s">
        <v>798</v>
      </c>
      <c r="G56" s="17" t="s">
        <v>799</v>
      </c>
    </row>
    <row r="57" spans="1:7" x14ac:dyDescent="0.15">
      <c r="A57" s="17" t="s">
        <v>926</v>
      </c>
      <c r="B57" s="17" t="s">
        <v>717</v>
      </c>
      <c r="C57" s="17" t="s">
        <v>930</v>
      </c>
      <c r="D57" s="17" t="s">
        <v>928</v>
      </c>
      <c r="E57" s="17" t="s">
        <v>811</v>
      </c>
      <c r="F57" s="17" t="s">
        <v>798</v>
      </c>
      <c r="G57" s="17" t="s">
        <v>799</v>
      </c>
    </row>
    <row r="58" spans="1:7" x14ac:dyDescent="0.15">
      <c r="A58" s="17" t="s">
        <v>929</v>
      </c>
      <c r="B58" s="17" t="s">
        <v>717</v>
      </c>
      <c r="C58" s="17" t="s">
        <v>927</v>
      </c>
      <c r="D58" s="17" t="s">
        <v>931</v>
      </c>
      <c r="E58" s="17" t="s">
        <v>811</v>
      </c>
      <c r="F58" s="17" t="s">
        <v>798</v>
      </c>
      <c r="G58" s="17" t="s">
        <v>799</v>
      </c>
    </row>
    <row r="61" spans="1:7" x14ac:dyDescent="0.15">
      <c r="A61" s="19" t="s">
        <v>973</v>
      </c>
      <c r="B61" s="19" t="s">
        <v>791</v>
      </c>
      <c r="C61" s="19" t="s">
        <v>708</v>
      </c>
    </row>
    <row r="62" spans="1:7" x14ac:dyDescent="0.15">
      <c r="A62" s="27">
        <v>0</v>
      </c>
      <c r="B62" s="27" t="s">
        <v>855</v>
      </c>
      <c r="C62" s="27" t="s">
        <v>1412</v>
      </c>
    </row>
    <row r="63" spans="1:7" x14ac:dyDescent="0.15">
      <c r="A63" s="19">
        <v>1</v>
      </c>
      <c r="B63" s="19" t="s">
        <v>856</v>
      </c>
      <c r="C63" s="19" t="s">
        <v>857</v>
      </c>
    </row>
    <row r="64" spans="1:7" x14ac:dyDescent="0.15">
      <c r="A64" s="19">
        <v>2</v>
      </c>
      <c r="B64" s="19" t="s">
        <v>858</v>
      </c>
      <c r="C64" s="19" t="s">
        <v>859</v>
      </c>
    </row>
    <row r="65" spans="1:3" x14ac:dyDescent="0.15">
      <c r="A65" s="19">
        <v>3</v>
      </c>
      <c r="B65" s="19" t="s">
        <v>860</v>
      </c>
      <c r="C65" s="19" t="s">
        <v>861</v>
      </c>
    </row>
    <row r="66" spans="1:3" ht="15" customHeight="1" x14ac:dyDescent="0.15">
      <c r="A66" s="19">
        <v>4</v>
      </c>
      <c r="B66" s="19" t="s">
        <v>862</v>
      </c>
      <c r="C66" s="19" t="s">
        <v>863</v>
      </c>
    </row>
    <row r="67" spans="1:3" x14ac:dyDescent="0.15">
      <c r="A67" s="19">
        <v>5</v>
      </c>
      <c r="B67" s="19" t="s">
        <v>864</v>
      </c>
      <c r="C67" s="19" t="s">
        <v>865</v>
      </c>
    </row>
    <row r="68" spans="1:3" x14ac:dyDescent="0.15">
      <c r="A68" s="19">
        <v>6</v>
      </c>
      <c r="B68" s="19" t="s">
        <v>866</v>
      </c>
      <c r="C68" s="19" t="s">
        <v>867</v>
      </c>
    </row>
    <row r="69" spans="1:3" x14ac:dyDescent="0.15">
      <c r="A69" s="19">
        <v>7</v>
      </c>
      <c r="B69" s="19" t="s">
        <v>868</v>
      </c>
      <c r="C69" s="19" t="s">
        <v>869</v>
      </c>
    </row>
    <row r="70" spans="1:3" x14ac:dyDescent="0.15">
      <c r="A70" s="19">
        <v>8</v>
      </c>
      <c r="B70" s="19" t="s">
        <v>870</v>
      </c>
      <c r="C70" s="19" t="s">
        <v>871</v>
      </c>
    </row>
    <row r="71" spans="1:3" x14ac:dyDescent="0.15">
      <c r="A71" s="19">
        <v>9</v>
      </c>
      <c r="B71" s="19" t="s">
        <v>872</v>
      </c>
      <c r="C71" s="19" t="s">
        <v>873</v>
      </c>
    </row>
    <row r="72" spans="1:3" x14ac:dyDescent="0.15">
      <c r="A72" s="19">
        <v>10</v>
      </c>
      <c r="B72" s="19" t="s">
        <v>874</v>
      </c>
      <c r="C72" s="19" t="s">
        <v>875</v>
      </c>
    </row>
    <row r="73" spans="1:3" x14ac:dyDescent="0.15">
      <c r="A73" s="19">
        <v>11</v>
      </c>
      <c r="B73" s="19" t="s">
        <v>876</v>
      </c>
      <c r="C73" s="19" t="s">
        <v>877</v>
      </c>
    </row>
    <row r="74" spans="1:3" x14ac:dyDescent="0.15">
      <c r="A74" s="19">
        <v>12</v>
      </c>
      <c r="B74" s="19" t="s">
        <v>878</v>
      </c>
      <c r="C74" s="19" t="s">
        <v>879</v>
      </c>
    </row>
    <row r="75" spans="1:3" x14ac:dyDescent="0.15">
      <c r="A75" s="19">
        <v>13</v>
      </c>
      <c r="B75" s="19" t="s">
        <v>880</v>
      </c>
      <c r="C75" s="19" t="s">
        <v>881</v>
      </c>
    </row>
    <row r="76" spans="1:3" x14ac:dyDescent="0.15">
      <c r="A76" s="19">
        <v>14</v>
      </c>
      <c r="B76" s="19" t="s">
        <v>882</v>
      </c>
      <c r="C76" s="19" t="s">
        <v>883</v>
      </c>
    </row>
    <row r="77" spans="1:3" x14ac:dyDescent="0.15">
      <c r="A77" s="19">
        <v>15</v>
      </c>
      <c r="B77" s="19" t="s">
        <v>884</v>
      </c>
      <c r="C77" s="19"/>
    </row>
    <row r="78" spans="1:3" x14ac:dyDescent="0.15">
      <c r="A78" s="19">
        <v>16</v>
      </c>
      <c r="B78" s="19" t="s">
        <v>885</v>
      </c>
      <c r="C78" s="19" t="s">
        <v>886</v>
      </c>
    </row>
    <row r="79" spans="1:3" x14ac:dyDescent="0.15">
      <c r="A79" s="19">
        <v>17</v>
      </c>
      <c r="B79" s="19" t="s">
        <v>887</v>
      </c>
      <c r="C79" s="19" t="s">
        <v>888</v>
      </c>
    </row>
    <row r="80" spans="1:3" x14ac:dyDescent="0.15">
      <c r="A80" s="19">
        <v>18</v>
      </c>
      <c r="B80" s="19" t="s">
        <v>889</v>
      </c>
      <c r="C80" s="19" t="s">
        <v>890</v>
      </c>
    </row>
    <row r="81" spans="1:5" x14ac:dyDescent="0.15">
      <c r="A81" s="19">
        <v>19</v>
      </c>
      <c r="B81" s="19" t="s">
        <v>891</v>
      </c>
      <c r="C81" s="19" t="s">
        <v>892</v>
      </c>
    </row>
    <row r="82" spans="1:5" x14ac:dyDescent="0.15">
      <c r="A82" s="19">
        <v>20</v>
      </c>
      <c r="B82" s="19" t="s">
        <v>893</v>
      </c>
      <c r="C82" s="19" t="s">
        <v>894</v>
      </c>
    </row>
    <row r="84" spans="1:5" x14ac:dyDescent="0.15">
      <c r="A84" s="17" t="s">
        <v>791</v>
      </c>
      <c r="B84" s="17" t="s">
        <v>707</v>
      </c>
      <c r="C84" s="17" t="s">
        <v>708</v>
      </c>
      <c r="D84" s="17" t="s">
        <v>850</v>
      </c>
      <c r="E84" s="17"/>
    </row>
    <row r="85" spans="1:5" x14ac:dyDescent="0.15">
      <c r="A85" s="24" t="s">
        <v>706</v>
      </c>
      <c r="B85" s="24"/>
      <c r="C85" s="24"/>
      <c r="D85" s="24"/>
      <c r="E85" s="24" t="s">
        <v>1404</v>
      </c>
    </row>
    <row r="86" spans="1:5" ht="13.5" customHeight="1" x14ac:dyDescent="0.15">
      <c r="A86" s="17" t="s">
        <v>709</v>
      </c>
      <c r="B86" s="17" t="s">
        <v>710</v>
      </c>
      <c r="C86" s="17" t="s">
        <v>711</v>
      </c>
      <c r="D86" s="17" t="s">
        <v>712</v>
      </c>
      <c r="E86" s="17" t="s">
        <v>1405</v>
      </c>
    </row>
    <row r="87" spans="1:5" ht="13.5" customHeight="1" x14ac:dyDescent="0.15">
      <c r="A87" s="17" t="s">
        <v>713</v>
      </c>
      <c r="B87" s="17" t="s">
        <v>714</v>
      </c>
      <c r="C87" s="17" t="s">
        <v>715</v>
      </c>
      <c r="D87" s="17" t="s">
        <v>716</v>
      </c>
      <c r="E87" s="17"/>
    </row>
    <row r="88" spans="1:5" ht="13.5" customHeight="1" x14ac:dyDescent="0.15">
      <c r="A88" s="17" t="s">
        <v>946</v>
      </c>
      <c r="B88" s="17" t="s">
        <v>717</v>
      </c>
      <c r="C88" s="17" t="s">
        <v>718</v>
      </c>
      <c r="D88" s="17" t="s">
        <v>719</v>
      </c>
      <c r="E88" s="17" t="s">
        <v>1409</v>
      </c>
    </row>
    <row r="89" spans="1:5" ht="13.5" customHeight="1" x14ac:dyDescent="0.15">
      <c r="A89" s="17" t="s">
        <v>720</v>
      </c>
      <c r="B89" s="17" t="s">
        <v>717</v>
      </c>
      <c r="C89" s="17" t="s">
        <v>721</v>
      </c>
      <c r="D89" s="17" t="s">
        <v>722</v>
      </c>
      <c r="E89" s="17"/>
    </row>
    <row r="90" spans="1:5" ht="13.5" customHeight="1" x14ac:dyDescent="0.15">
      <c r="A90" s="17" t="s">
        <v>723</v>
      </c>
      <c r="B90" s="17" t="s">
        <v>714</v>
      </c>
      <c r="C90" s="17" t="s">
        <v>724</v>
      </c>
      <c r="D90" s="17" t="s">
        <v>725</v>
      </c>
      <c r="E90" s="17" t="s">
        <v>1408</v>
      </c>
    </row>
    <row r="91" spans="1:5" ht="13.5" customHeight="1" x14ac:dyDescent="0.15">
      <c r="A91" s="24" t="s">
        <v>726</v>
      </c>
      <c r="B91" s="24" t="s">
        <v>710</v>
      </c>
      <c r="C91" s="24" t="s">
        <v>727</v>
      </c>
      <c r="D91" s="24" t="s">
        <v>728</v>
      </c>
      <c r="E91" s="24" t="s">
        <v>956</v>
      </c>
    </row>
    <row r="92" spans="1:5" x14ac:dyDescent="0.15">
      <c r="A92" s="17" t="s">
        <v>729</v>
      </c>
      <c r="B92" s="17" t="s">
        <v>714</v>
      </c>
      <c r="C92" s="17" t="s">
        <v>730</v>
      </c>
      <c r="D92" s="17" t="s">
        <v>731</v>
      </c>
      <c r="E92" s="17"/>
    </row>
    <row r="93" spans="1:5" x14ac:dyDescent="0.15">
      <c r="A93" s="17" t="s">
        <v>948</v>
      </c>
      <c r="B93" s="17" t="s">
        <v>732</v>
      </c>
      <c r="C93" s="17" t="s">
        <v>733</v>
      </c>
      <c r="D93" s="17" t="s">
        <v>734</v>
      </c>
      <c r="E93" s="17"/>
    </row>
    <row r="94" spans="1:5" x14ac:dyDescent="0.15">
      <c r="A94" s="17" t="s">
        <v>949</v>
      </c>
      <c r="B94" s="17" t="s">
        <v>717</v>
      </c>
      <c r="C94" s="17" t="s">
        <v>735</v>
      </c>
      <c r="D94" s="17" t="s">
        <v>736</v>
      </c>
      <c r="E94" s="17"/>
    </row>
    <row r="95" spans="1:5" x14ac:dyDescent="0.15">
      <c r="A95" s="17" t="s">
        <v>950</v>
      </c>
      <c r="B95" s="17" t="s">
        <v>717</v>
      </c>
      <c r="C95" s="17" t="s">
        <v>738</v>
      </c>
      <c r="D95" s="17" t="s">
        <v>739</v>
      </c>
      <c r="E95" s="17"/>
    </row>
    <row r="96" spans="1:5" x14ac:dyDescent="0.15">
      <c r="A96" s="17" t="s">
        <v>947</v>
      </c>
      <c r="B96" s="17" t="s">
        <v>714</v>
      </c>
      <c r="C96" s="17" t="s">
        <v>740</v>
      </c>
      <c r="D96" s="17" t="s">
        <v>741</v>
      </c>
      <c r="E96" s="17"/>
    </row>
    <row r="97" spans="1:5" x14ac:dyDescent="0.15">
      <c r="A97" s="17" t="s">
        <v>951</v>
      </c>
      <c r="B97" s="17" t="s">
        <v>717</v>
      </c>
      <c r="C97" s="17" t="s">
        <v>742</v>
      </c>
      <c r="D97" s="17" t="s">
        <v>743</v>
      </c>
      <c r="E97" s="17"/>
    </row>
    <row r="98" spans="1:5" x14ac:dyDescent="0.15">
      <c r="A98" s="13"/>
      <c r="B98" s="13"/>
      <c r="C98" s="13"/>
      <c r="D98" s="13"/>
      <c r="E98" s="13"/>
    </row>
    <row r="99" spans="1:5" x14ac:dyDescent="0.15">
      <c r="A99" s="24" t="s">
        <v>789</v>
      </c>
      <c r="B99" s="24"/>
      <c r="C99" s="24"/>
      <c r="D99" s="24"/>
      <c r="E99" s="24" t="s">
        <v>1403</v>
      </c>
    </row>
    <row r="100" spans="1:5" x14ac:dyDescent="0.15">
      <c r="A100" s="17" t="s">
        <v>744</v>
      </c>
      <c r="B100" s="17" t="s">
        <v>745</v>
      </c>
      <c r="C100" s="17" t="s">
        <v>746</v>
      </c>
      <c r="D100" s="17" t="s">
        <v>760</v>
      </c>
      <c r="E100" s="17" t="s">
        <v>1406</v>
      </c>
    </row>
    <row r="101" spans="1:5" x14ac:dyDescent="0.15">
      <c r="A101" s="17" t="s">
        <v>748</v>
      </c>
      <c r="B101" s="17" t="s">
        <v>745</v>
      </c>
      <c r="C101" s="17" t="s">
        <v>749</v>
      </c>
      <c r="D101" s="17" t="s">
        <v>761</v>
      </c>
      <c r="E101" s="17"/>
    </row>
    <row r="102" spans="1:5" x14ac:dyDescent="0.15">
      <c r="A102" s="17" t="s">
        <v>750</v>
      </c>
      <c r="B102" s="17" t="s">
        <v>751</v>
      </c>
      <c r="C102" s="17" t="s">
        <v>752</v>
      </c>
      <c r="D102" s="17" t="s">
        <v>753</v>
      </c>
      <c r="E102" s="17"/>
    </row>
    <row r="103" spans="1:5" x14ac:dyDescent="0.15">
      <c r="A103" s="17" t="s">
        <v>754</v>
      </c>
      <c r="B103" s="17" t="s">
        <v>714</v>
      </c>
      <c r="C103" s="17" t="s">
        <v>755</v>
      </c>
      <c r="D103" s="17" t="s">
        <v>756</v>
      </c>
      <c r="E103" s="17"/>
    </row>
    <row r="104" spans="1:5" x14ac:dyDescent="0.15">
      <c r="A104" s="17" t="s">
        <v>757</v>
      </c>
      <c r="B104" s="17" t="s">
        <v>710</v>
      </c>
      <c r="C104" s="17" t="s">
        <v>758</v>
      </c>
      <c r="D104" s="17" t="s">
        <v>759</v>
      </c>
      <c r="E104" s="17"/>
    </row>
    <row r="105" spans="1:5" x14ac:dyDescent="0.15">
      <c r="A105" s="13"/>
      <c r="B105" s="13"/>
      <c r="C105" s="13"/>
      <c r="D105" s="13"/>
      <c r="E105" s="13"/>
    </row>
    <row r="106" spans="1:5" x14ac:dyDescent="0.15">
      <c r="A106" s="17" t="s">
        <v>790</v>
      </c>
      <c r="B106" s="17"/>
      <c r="C106" s="17"/>
      <c r="D106" s="17"/>
      <c r="E106" s="17"/>
    </row>
    <row r="107" spans="1:5" x14ac:dyDescent="0.15">
      <c r="A107" s="17" t="s">
        <v>762</v>
      </c>
      <c r="B107" s="17" t="s">
        <v>710</v>
      </c>
      <c r="C107" s="17" t="s">
        <v>788</v>
      </c>
      <c r="D107" s="17" t="s">
        <v>763</v>
      </c>
      <c r="E107" s="17"/>
    </row>
    <row r="108" spans="1:5" x14ac:dyDescent="0.15">
      <c r="A108" s="17" t="s">
        <v>764</v>
      </c>
      <c r="B108" s="17" t="s">
        <v>710</v>
      </c>
      <c r="C108" s="17" t="s">
        <v>765</v>
      </c>
      <c r="D108" s="17" t="s">
        <v>766</v>
      </c>
      <c r="E108" s="17"/>
    </row>
    <row r="109" spans="1:5" x14ac:dyDescent="0.15">
      <c r="A109" s="24" t="s">
        <v>767</v>
      </c>
      <c r="B109" s="24" t="s">
        <v>710</v>
      </c>
      <c r="C109" s="37" t="s">
        <v>768</v>
      </c>
      <c r="D109" s="24" t="s">
        <v>769</v>
      </c>
      <c r="E109" s="24" t="s">
        <v>957</v>
      </c>
    </row>
    <row r="110" spans="1:5" x14ac:dyDescent="0.15">
      <c r="A110" s="17" t="s">
        <v>770</v>
      </c>
      <c r="B110" s="17" t="s">
        <v>717</v>
      </c>
      <c r="C110" s="17" t="s">
        <v>771</v>
      </c>
      <c r="D110" s="17" t="s">
        <v>772</v>
      </c>
      <c r="E110" s="17"/>
    </row>
    <row r="111" spans="1:5" x14ac:dyDescent="0.15">
      <c r="A111" s="17" t="s">
        <v>773</v>
      </c>
      <c r="B111" s="17" t="s">
        <v>714</v>
      </c>
      <c r="C111" s="17" t="s">
        <v>774</v>
      </c>
      <c r="D111" s="17" t="s">
        <v>775</v>
      </c>
      <c r="E111" s="17"/>
    </row>
    <row r="112" spans="1:5" x14ac:dyDescent="0.15">
      <c r="A112" s="17" t="s">
        <v>776</v>
      </c>
      <c r="B112" s="17" t="s">
        <v>717</v>
      </c>
      <c r="C112" s="17" t="s">
        <v>777</v>
      </c>
      <c r="D112" s="17" t="s">
        <v>778</v>
      </c>
      <c r="E112" s="17"/>
    </row>
    <row r="113" spans="1:5" x14ac:dyDescent="0.15">
      <c r="A113" s="17" t="s">
        <v>779</v>
      </c>
      <c r="B113" s="17" t="s">
        <v>780</v>
      </c>
      <c r="C113" s="17" t="s">
        <v>1804</v>
      </c>
      <c r="D113" s="17" t="s">
        <v>781</v>
      </c>
      <c r="E113" s="17"/>
    </row>
    <row r="114" spans="1:5" x14ac:dyDescent="0.15">
      <c r="A114" s="17" t="s">
        <v>782</v>
      </c>
      <c r="B114" s="17" t="s">
        <v>751</v>
      </c>
      <c r="C114" s="17" t="s">
        <v>783</v>
      </c>
      <c r="D114" s="17" t="s">
        <v>784</v>
      </c>
      <c r="E114" s="17"/>
    </row>
    <row r="115" spans="1:5" x14ac:dyDescent="0.15">
      <c r="A115" s="24" t="s">
        <v>785</v>
      </c>
      <c r="B115" s="24" t="s">
        <v>714</v>
      </c>
      <c r="C115" s="24" t="s">
        <v>786</v>
      </c>
      <c r="D115" s="25" t="s">
        <v>787</v>
      </c>
      <c r="E115" s="26" t="s">
        <v>1414</v>
      </c>
    </row>
    <row r="116" spans="1:5" x14ac:dyDescent="0.15">
      <c r="E116" s="29" t="s">
        <v>1413</v>
      </c>
    </row>
    <row r="117" spans="1:5" x14ac:dyDescent="0.15">
      <c r="E117" s="29" t="s">
        <v>1415</v>
      </c>
    </row>
    <row r="118" spans="1:5" x14ac:dyDescent="0.15">
      <c r="E118" s="29" t="s">
        <v>1407</v>
      </c>
    </row>
  </sheetData>
  <phoneticPr fontId="18" type="noConversion"/>
  <hyperlinks>
    <hyperlink ref="C107" r:id="rId1" display="https://www.jx3box.com/tool/17349" xr:uid="{DF1F1DD7-5BF8-465E-8363-D9A13201D8DE}"/>
    <hyperlink ref="E2" r:id="rId2" xr:uid="{DD9471A8-4A2C-489C-B88B-A1490E949694}"/>
    <hyperlink ref="E1" r:id="rId3" xr:uid="{3C9C8690-54A5-4C9D-B350-B4ACC40FFB31}"/>
  </hyperlinks>
  <pageMargins left="0.7" right="0.7" top="0.75" bottom="0.75" header="0.3" footer="0.3"/>
  <pageSetup paperSize="9" orientation="portrait" horizontalDpi="1200" verticalDpi="1200" r:id="rId4"/>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EF5C0-9FAC-4269-A65A-FB3E6B24BE74}">
  <dimension ref="A1:AC579"/>
  <sheetViews>
    <sheetView topLeftCell="C16" zoomScaleNormal="100" workbookViewId="0">
      <selection activeCell="K33" sqref="K33"/>
    </sheetView>
  </sheetViews>
  <sheetFormatPr defaultRowHeight="13.5" x14ac:dyDescent="0.15"/>
  <cols>
    <col min="1" max="2" width="24.625" style="10" customWidth="1"/>
    <col min="3" max="5" width="6.625" style="2" customWidth="1"/>
    <col min="6" max="9" width="10.625" style="2" customWidth="1"/>
    <col min="10" max="10" width="9" style="2"/>
    <col min="11" max="12" width="12.625" style="2" customWidth="1"/>
    <col min="13" max="15" width="18.625" customWidth="1"/>
    <col min="16" max="17" width="9" style="2"/>
    <col min="18" max="19" width="6.625" style="2" customWidth="1"/>
    <col min="20" max="20" width="10.625" style="2" customWidth="1"/>
    <col min="21" max="25" width="10.625" customWidth="1"/>
    <col min="26" max="27" width="6.625" customWidth="1"/>
  </cols>
  <sheetData>
    <row r="1" spans="1:29" x14ac:dyDescent="0.15">
      <c r="A1" s="15" t="s">
        <v>981</v>
      </c>
      <c r="B1" s="15" t="s">
        <v>982</v>
      </c>
      <c r="C1" s="15" t="s">
        <v>979</v>
      </c>
      <c r="D1" s="15" t="s">
        <v>978</v>
      </c>
      <c r="E1" s="15" t="s">
        <v>980</v>
      </c>
      <c r="F1" s="16" t="s">
        <v>691</v>
      </c>
      <c r="G1" s="16" t="s">
        <v>983</v>
      </c>
      <c r="H1" s="16" t="s">
        <v>1023</v>
      </c>
      <c r="I1" s="16" t="s">
        <v>984</v>
      </c>
      <c r="J1" s="15" t="s">
        <v>1024</v>
      </c>
      <c r="K1" s="15" t="s">
        <v>1025</v>
      </c>
      <c r="L1" s="15" t="s">
        <v>1026</v>
      </c>
      <c r="M1" s="23" t="s">
        <v>1027</v>
      </c>
      <c r="N1" s="23" t="s">
        <v>1399</v>
      </c>
      <c r="O1" s="23" t="s">
        <v>1400</v>
      </c>
      <c r="P1" s="53" t="s">
        <v>52</v>
      </c>
      <c r="Q1" s="53"/>
      <c r="R1" s="53" t="s">
        <v>980</v>
      </c>
      <c r="S1" s="53" t="s">
        <v>47</v>
      </c>
      <c r="T1" s="53" t="s">
        <v>48</v>
      </c>
      <c r="U1" s="53"/>
      <c r="V1" s="53" t="s">
        <v>49</v>
      </c>
      <c r="W1" s="53"/>
      <c r="X1" s="54" t="s">
        <v>50</v>
      </c>
      <c r="Y1" s="55"/>
      <c r="Z1" s="54" t="s">
        <v>51</v>
      </c>
      <c r="AA1" s="55"/>
    </row>
    <row r="2" spans="1:29" x14ac:dyDescent="0.15">
      <c r="A2" s="3">
        <v>-31</v>
      </c>
      <c r="B2" s="3"/>
      <c r="C2" s="3" t="s">
        <v>977</v>
      </c>
      <c r="D2" s="3">
        <v>0</v>
      </c>
      <c r="E2" s="3">
        <v>0</v>
      </c>
      <c r="F2" s="3" t="s">
        <v>977</v>
      </c>
      <c r="G2" s="3">
        <v>0</v>
      </c>
      <c r="H2" s="3" t="s">
        <v>985</v>
      </c>
      <c r="I2" s="3" t="s">
        <v>986</v>
      </c>
      <c r="J2" s="3" t="s">
        <v>619</v>
      </c>
      <c r="K2" s="14" t="s">
        <v>934</v>
      </c>
      <c r="L2" s="14"/>
      <c r="M2" s="3" t="s">
        <v>1028</v>
      </c>
      <c r="N2" s="3" t="s">
        <v>1029</v>
      </c>
      <c r="O2" s="3" t="s">
        <v>1030</v>
      </c>
      <c r="P2" s="3" t="s">
        <v>59</v>
      </c>
      <c r="Q2" s="3" t="s">
        <v>60</v>
      </c>
      <c r="R2" s="3">
        <v>0</v>
      </c>
      <c r="S2" s="3" t="str">
        <f>""</f>
        <v/>
      </c>
      <c r="T2" s="3">
        <v>0</v>
      </c>
      <c r="U2" s="3" t="str">
        <f>""</f>
        <v/>
      </c>
      <c r="V2" s="3" t="s">
        <v>53</v>
      </c>
      <c r="W2" s="4" t="s">
        <v>54</v>
      </c>
      <c r="X2" s="3" t="s">
        <v>55</v>
      </c>
      <c r="Y2" s="3" t="s">
        <v>56</v>
      </c>
      <c r="Z2" s="3" t="s">
        <v>57</v>
      </c>
      <c r="AA2" s="3" t="s">
        <v>58</v>
      </c>
    </row>
    <row r="3" spans="1:29" x14ac:dyDescent="0.15">
      <c r="A3" s="3">
        <v>-30</v>
      </c>
      <c r="B3" s="3"/>
      <c r="C3" s="3" t="s">
        <v>111</v>
      </c>
      <c r="D3" s="3">
        <v>1</v>
      </c>
      <c r="E3" s="3">
        <v>3</v>
      </c>
      <c r="F3" s="3" t="s">
        <v>43</v>
      </c>
      <c r="G3" s="3">
        <v>10003</v>
      </c>
      <c r="H3" s="3" t="s">
        <v>987</v>
      </c>
      <c r="I3" s="3" t="s">
        <v>988</v>
      </c>
      <c r="J3" s="3" t="s">
        <v>620</v>
      </c>
      <c r="K3" s="3" t="s">
        <v>628</v>
      </c>
      <c r="L3" s="3"/>
      <c r="M3" s="3" t="s">
        <v>1031</v>
      </c>
      <c r="N3" s="3" t="s">
        <v>1032</v>
      </c>
      <c r="O3" s="3" t="s">
        <v>1033</v>
      </c>
      <c r="P3" s="3" t="s">
        <v>66</v>
      </c>
      <c r="Q3" s="3" t="s">
        <v>67</v>
      </c>
      <c r="R3" s="3">
        <v>1</v>
      </c>
      <c r="S3" s="3" t="s">
        <v>61</v>
      </c>
      <c r="T3" s="3">
        <v>1</v>
      </c>
      <c r="U3" s="3" t="s">
        <v>62</v>
      </c>
      <c r="V3" s="3" t="s">
        <v>63</v>
      </c>
      <c r="W3" s="4" t="s">
        <v>56</v>
      </c>
      <c r="X3" s="3" t="s">
        <v>61</v>
      </c>
      <c r="Y3" s="3" t="s">
        <v>54</v>
      </c>
      <c r="Z3" s="3" t="s">
        <v>64</v>
      </c>
      <c r="AA3" s="3" t="s">
        <v>58</v>
      </c>
    </row>
    <row r="4" spans="1:29" x14ac:dyDescent="0.15">
      <c r="A4" s="3">
        <v>-29</v>
      </c>
      <c r="B4" s="3"/>
      <c r="C4" s="3" t="s">
        <v>5</v>
      </c>
      <c r="D4" s="3">
        <v>2</v>
      </c>
      <c r="E4" s="3">
        <v>2</v>
      </c>
      <c r="F4" s="3" t="s">
        <v>42</v>
      </c>
      <c r="G4" s="3">
        <v>10002</v>
      </c>
      <c r="H4" s="3" t="s">
        <v>987</v>
      </c>
      <c r="I4" s="3" t="s">
        <v>988</v>
      </c>
      <c r="J4" s="3" t="s">
        <v>85</v>
      </c>
      <c r="K4" s="3" t="s">
        <v>629</v>
      </c>
      <c r="L4" s="3"/>
      <c r="M4" s="3" t="s">
        <v>1034</v>
      </c>
      <c r="N4" s="3" t="s">
        <v>1035</v>
      </c>
      <c r="O4" s="3" t="s">
        <v>1036</v>
      </c>
      <c r="P4" s="3" t="s">
        <v>73</v>
      </c>
      <c r="Q4" s="3" t="s">
        <v>67</v>
      </c>
      <c r="R4" s="3">
        <v>2</v>
      </c>
      <c r="S4" s="3" t="s">
        <v>55</v>
      </c>
      <c r="T4" s="3">
        <v>2</v>
      </c>
      <c r="U4" s="3" t="s">
        <v>68</v>
      </c>
      <c r="V4" s="3" t="s">
        <v>69</v>
      </c>
      <c r="W4" s="4" t="s">
        <v>70</v>
      </c>
      <c r="X4" s="3" t="s">
        <v>58</v>
      </c>
      <c r="Y4" s="3" t="s">
        <v>71</v>
      </c>
      <c r="Z4" s="3" t="s">
        <v>72</v>
      </c>
      <c r="AA4" s="3" t="s">
        <v>58</v>
      </c>
    </row>
    <row r="5" spans="1:29" x14ac:dyDescent="0.15">
      <c r="A5" s="3">
        <v>-28</v>
      </c>
      <c r="B5" s="3"/>
      <c r="C5" s="3" t="s">
        <v>95</v>
      </c>
      <c r="D5" s="3">
        <v>3</v>
      </c>
      <c r="E5" s="3">
        <v>4</v>
      </c>
      <c r="F5" s="3" t="s">
        <v>665</v>
      </c>
      <c r="G5" s="3">
        <v>10015</v>
      </c>
      <c r="H5" s="3" t="s">
        <v>989</v>
      </c>
      <c r="I5" s="3" t="s">
        <v>990</v>
      </c>
      <c r="J5" s="3" t="s">
        <v>5</v>
      </c>
      <c r="K5" s="14" t="s">
        <v>935</v>
      </c>
      <c r="L5" s="14"/>
      <c r="M5" s="3" t="s">
        <v>1037</v>
      </c>
      <c r="N5" s="3" t="s">
        <v>1038</v>
      </c>
      <c r="O5" s="3" t="s">
        <v>1037</v>
      </c>
      <c r="P5" s="3" t="s">
        <v>79</v>
      </c>
      <c r="Q5" s="3" t="s">
        <v>67</v>
      </c>
      <c r="R5" s="3">
        <v>3</v>
      </c>
      <c r="S5" s="3" t="s">
        <v>74</v>
      </c>
      <c r="T5" s="3">
        <v>3</v>
      </c>
      <c r="U5" s="3" t="s">
        <v>75</v>
      </c>
      <c r="V5" s="3" t="s">
        <v>76</v>
      </c>
      <c r="W5" s="4" t="s">
        <v>76</v>
      </c>
      <c r="X5" s="3" t="s">
        <v>77</v>
      </c>
      <c r="Y5" s="4" t="s">
        <v>70</v>
      </c>
      <c r="Z5" s="6"/>
      <c r="AA5" s="11"/>
      <c r="AB5" s="12"/>
      <c r="AC5" s="12"/>
    </row>
    <row r="6" spans="1:29" x14ac:dyDescent="0.15">
      <c r="A6" s="3">
        <v>-27</v>
      </c>
      <c r="B6" s="3"/>
      <c r="C6" s="3" t="s">
        <v>6</v>
      </c>
      <c r="D6" s="3">
        <v>4</v>
      </c>
      <c r="E6" s="3">
        <v>5</v>
      </c>
      <c r="F6" s="3" t="s">
        <v>40</v>
      </c>
      <c r="G6" s="3">
        <v>10014</v>
      </c>
      <c r="H6" s="3" t="s">
        <v>989</v>
      </c>
      <c r="I6" s="3" t="s">
        <v>990</v>
      </c>
      <c r="J6" s="3" t="s">
        <v>111</v>
      </c>
      <c r="K6" s="3" t="s">
        <v>630</v>
      </c>
      <c r="L6" s="3"/>
      <c r="M6" s="3" t="s">
        <v>1039</v>
      </c>
      <c r="N6" s="3" t="s">
        <v>1040</v>
      </c>
      <c r="O6" s="3" t="s">
        <v>1041</v>
      </c>
      <c r="P6" s="3" t="s">
        <v>86</v>
      </c>
      <c r="Q6" s="3" t="s">
        <v>67</v>
      </c>
      <c r="R6" s="3">
        <v>4</v>
      </c>
      <c r="S6" s="3" t="s">
        <v>80</v>
      </c>
      <c r="T6" s="3">
        <v>4</v>
      </c>
      <c r="U6" s="3" t="s">
        <v>81</v>
      </c>
      <c r="V6" s="3" t="s">
        <v>82</v>
      </c>
      <c r="W6" s="4" t="s">
        <v>83</v>
      </c>
      <c r="X6" s="3" t="s">
        <v>84</v>
      </c>
      <c r="Y6" s="4" t="s">
        <v>70</v>
      </c>
      <c r="Z6" s="7"/>
      <c r="AA6" s="10"/>
      <c r="AB6" s="12"/>
      <c r="AC6" s="12"/>
    </row>
    <row r="7" spans="1:29" x14ac:dyDescent="0.15">
      <c r="A7" s="3">
        <v>-26</v>
      </c>
      <c r="B7" s="3"/>
      <c r="C7" s="3" t="s">
        <v>85</v>
      </c>
      <c r="D7" s="3">
        <v>5</v>
      </c>
      <c r="E7" s="3">
        <v>1</v>
      </c>
      <c r="F7" s="3" t="s">
        <v>666</v>
      </c>
      <c r="G7" s="3">
        <v>10021</v>
      </c>
      <c r="H7" s="3" t="s">
        <v>991</v>
      </c>
      <c r="I7" s="3" t="s">
        <v>992</v>
      </c>
      <c r="J7" s="3" t="s">
        <v>95</v>
      </c>
      <c r="K7" s="14" t="s">
        <v>936</v>
      </c>
      <c r="L7" s="14"/>
      <c r="M7" s="3" t="s">
        <v>1042</v>
      </c>
      <c r="N7" s="3" t="s">
        <v>1043</v>
      </c>
      <c r="O7" s="3" t="s">
        <v>1042</v>
      </c>
      <c r="P7" s="3" t="s">
        <v>92</v>
      </c>
      <c r="Q7" s="3" t="s">
        <v>67</v>
      </c>
      <c r="T7" s="3">
        <v>5</v>
      </c>
      <c r="U7" s="3" t="s">
        <v>87</v>
      </c>
      <c r="V7" s="5" t="s">
        <v>88</v>
      </c>
      <c r="W7" s="6" t="s">
        <v>89</v>
      </c>
      <c r="X7" s="3" t="s">
        <v>90</v>
      </c>
      <c r="Y7" s="4" t="s">
        <v>83</v>
      </c>
      <c r="Z7" s="7"/>
      <c r="AA7" s="10"/>
      <c r="AB7" s="12"/>
      <c r="AC7" s="12"/>
    </row>
    <row r="8" spans="1:29" x14ac:dyDescent="0.15">
      <c r="A8" s="3">
        <v>-25</v>
      </c>
      <c r="B8" s="3"/>
      <c r="C8" s="3" t="s">
        <v>621</v>
      </c>
      <c r="D8" s="3">
        <v>6</v>
      </c>
      <c r="E8" s="3">
        <v>8</v>
      </c>
      <c r="F8" s="3" t="s">
        <v>667</v>
      </c>
      <c r="G8" s="3">
        <v>10028</v>
      </c>
      <c r="H8" s="3" t="s">
        <v>991</v>
      </c>
      <c r="I8" s="3" t="s">
        <v>992</v>
      </c>
      <c r="J8" s="3" t="s">
        <v>6</v>
      </c>
      <c r="K8" s="14" t="s">
        <v>937</v>
      </c>
      <c r="L8" s="14"/>
      <c r="M8" s="3" t="s">
        <v>1044</v>
      </c>
      <c r="N8" s="3" t="s">
        <v>1045</v>
      </c>
      <c r="O8" s="3" t="s">
        <v>1044</v>
      </c>
      <c r="P8" s="3" t="s">
        <v>96</v>
      </c>
      <c r="Q8" s="3" t="s">
        <v>67</v>
      </c>
      <c r="T8" s="3">
        <v>6</v>
      </c>
      <c r="U8" s="4" t="s">
        <v>93</v>
      </c>
      <c r="V8" s="3" t="s">
        <v>94</v>
      </c>
      <c r="W8" s="3" t="s">
        <v>71</v>
      </c>
      <c r="X8" s="3" t="s">
        <v>80</v>
      </c>
      <c r="Y8" s="4" t="s">
        <v>76</v>
      </c>
      <c r="Z8" s="7"/>
      <c r="AA8" s="10"/>
      <c r="AB8" s="12"/>
      <c r="AC8" s="12"/>
    </row>
    <row r="9" spans="1:29" x14ac:dyDescent="0.15">
      <c r="A9" s="3">
        <v>-24</v>
      </c>
      <c r="B9" s="3"/>
      <c r="C9" s="3" t="s">
        <v>14</v>
      </c>
      <c r="D9" s="3">
        <v>7</v>
      </c>
      <c r="E9" s="3">
        <v>9</v>
      </c>
      <c r="F9" s="3" t="s">
        <v>668</v>
      </c>
      <c r="G9" s="3">
        <v>10026</v>
      </c>
      <c r="H9" s="3" t="s">
        <v>993</v>
      </c>
      <c r="I9" s="3" t="s">
        <v>994</v>
      </c>
      <c r="J9" s="3" t="s">
        <v>180</v>
      </c>
      <c r="K9" s="14" t="s">
        <v>938</v>
      </c>
      <c r="L9" s="14"/>
      <c r="M9" s="3" t="s">
        <v>1046</v>
      </c>
      <c r="N9" s="3" t="s">
        <v>1047</v>
      </c>
      <c r="O9" s="3" t="s">
        <v>1048</v>
      </c>
      <c r="P9" s="3" t="s">
        <v>100</v>
      </c>
      <c r="Q9" s="3" t="s">
        <v>67</v>
      </c>
      <c r="T9" s="3">
        <v>7</v>
      </c>
      <c r="U9" s="4" t="s">
        <v>97</v>
      </c>
      <c r="V9" s="7"/>
      <c r="W9" s="8"/>
      <c r="X9" s="3" t="s">
        <v>98</v>
      </c>
      <c r="Y9" s="3" t="s">
        <v>89</v>
      </c>
      <c r="Z9" s="2"/>
      <c r="AA9" s="10"/>
      <c r="AB9" s="12"/>
      <c r="AC9" s="12"/>
    </row>
    <row r="10" spans="1:29" x14ac:dyDescent="0.15">
      <c r="A10" s="3">
        <v>-23</v>
      </c>
      <c r="B10" s="3"/>
      <c r="C10" s="3" t="s">
        <v>13</v>
      </c>
      <c r="D10" s="3">
        <v>8</v>
      </c>
      <c r="E10" s="3">
        <v>10</v>
      </c>
      <c r="F10" s="3" t="s">
        <v>669</v>
      </c>
      <c r="G10" s="3">
        <v>10062</v>
      </c>
      <c r="H10" s="3" t="s">
        <v>993</v>
      </c>
      <c r="I10" s="3" t="s">
        <v>994</v>
      </c>
      <c r="J10" s="3" t="s">
        <v>12</v>
      </c>
      <c r="K10" s="3" t="s">
        <v>631</v>
      </c>
      <c r="L10" s="3"/>
      <c r="M10" s="3" t="s">
        <v>1049</v>
      </c>
      <c r="N10" s="3" t="s">
        <v>1050</v>
      </c>
      <c r="O10" s="3" t="s">
        <v>1051</v>
      </c>
      <c r="P10" s="3" t="s">
        <v>105</v>
      </c>
      <c r="Q10" s="3" t="s">
        <v>67</v>
      </c>
      <c r="T10" s="3">
        <v>8</v>
      </c>
      <c r="U10" s="4" t="s">
        <v>101</v>
      </c>
      <c r="V10" s="7"/>
      <c r="W10" s="8"/>
      <c r="X10" s="3" t="s">
        <v>102</v>
      </c>
      <c r="Y10" s="3" t="s">
        <v>103</v>
      </c>
      <c r="Z10" s="2"/>
      <c r="AA10" s="2"/>
      <c r="AB10" s="12"/>
      <c r="AC10" s="12"/>
    </row>
    <row r="11" spans="1:29" x14ac:dyDescent="0.15">
      <c r="A11" s="3">
        <v>-22</v>
      </c>
      <c r="B11" s="3"/>
      <c r="C11" s="3" t="s">
        <v>180</v>
      </c>
      <c r="D11" s="3">
        <v>9</v>
      </c>
      <c r="E11" s="3">
        <v>6</v>
      </c>
      <c r="F11" s="3" t="s">
        <v>670</v>
      </c>
      <c r="G11" s="3">
        <v>10081</v>
      </c>
      <c r="H11" s="3" t="s">
        <v>995</v>
      </c>
      <c r="I11" s="3" t="s">
        <v>996</v>
      </c>
      <c r="J11" s="3" t="s">
        <v>621</v>
      </c>
      <c r="K11" s="3" t="s">
        <v>632</v>
      </c>
      <c r="L11" s="3"/>
      <c r="M11" s="3" t="s">
        <v>1052</v>
      </c>
      <c r="N11" s="3" t="s">
        <v>1053</v>
      </c>
      <c r="O11" s="3" t="s">
        <v>1054</v>
      </c>
      <c r="P11" s="3" t="s">
        <v>108</v>
      </c>
      <c r="Q11" s="3" t="s">
        <v>109</v>
      </c>
      <c r="T11" s="3">
        <v>9</v>
      </c>
      <c r="U11" s="4" t="s">
        <v>106</v>
      </c>
      <c r="V11" s="7"/>
      <c r="W11" s="2"/>
      <c r="X11" s="2"/>
      <c r="Y11" s="2"/>
      <c r="Z11" s="2"/>
      <c r="AA11" s="2"/>
      <c r="AB11" s="12"/>
      <c r="AC11" s="12"/>
    </row>
    <row r="12" spans="1:29" x14ac:dyDescent="0.15">
      <c r="A12" s="3">
        <v>-21</v>
      </c>
      <c r="B12" s="3"/>
      <c r="C12" s="3" t="s">
        <v>12</v>
      </c>
      <c r="D12" s="3">
        <v>10</v>
      </c>
      <c r="E12" s="3">
        <v>7</v>
      </c>
      <c r="F12" s="3" t="s">
        <v>671</v>
      </c>
      <c r="G12" s="3">
        <v>10080</v>
      </c>
      <c r="H12" s="3" t="s">
        <v>995</v>
      </c>
      <c r="I12" s="3" t="s">
        <v>996</v>
      </c>
      <c r="J12" s="3" t="s">
        <v>14</v>
      </c>
      <c r="K12" s="3" t="s">
        <v>633</v>
      </c>
      <c r="L12" s="3"/>
      <c r="M12" s="3" t="s">
        <v>1055</v>
      </c>
      <c r="N12" s="3" t="s">
        <v>1056</v>
      </c>
      <c r="O12" s="3" t="s">
        <v>1057</v>
      </c>
      <c r="P12" s="3" t="s">
        <v>112</v>
      </c>
      <c r="Q12" s="3" t="s">
        <v>113</v>
      </c>
      <c r="T12" s="3">
        <v>10</v>
      </c>
      <c r="U12" s="4" t="s">
        <v>110</v>
      </c>
      <c r="V12" s="7"/>
      <c r="W12" s="2"/>
      <c r="X12" s="2"/>
      <c r="AA12" s="2"/>
    </row>
    <row r="13" spans="1:29" x14ac:dyDescent="0.15">
      <c r="A13" s="3">
        <v>-20</v>
      </c>
      <c r="B13" s="3"/>
      <c r="C13" s="3" t="s">
        <v>253</v>
      </c>
      <c r="D13" s="3">
        <v>18</v>
      </c>
      <c r="E13" s="3">
        <v>21</v>
      </c>
      <c r="F13" s="3" t="s">
        <v>672</v>
      </c>
      <c r="G13" s="3">
        <v>10175</v>
      </c>
      <c r="H13" s="3" t="s">
        <v>997</v>
      </c>
      <c r="I13" s="3" t="s">
        <v>998</v>
      </c>
      <c r="J13" s="3" t="s">
        <v>13</v>
      </c>
      <c r="K13" s="3" t="s">
        <v>634</v>
      </c>
      <c r="L13" s="3"/>
      <c r="M13" s="3" t="s">
        <v>1058</v>
      </c>
      <c r="N13" s="3" t="s">
        <v>1059</v>
      </c>
      <c r="O13" s="3" t="s">
        <v>1058</v>
      </c>
      <c r="P13" s="3" t="s">
        <v>116</v>
      </c>
      <c r="Q13" s="3" t="s">
        <v>113</v>
      </c>
      <c r="T13" s="3">
        <v>11</v>
      </c>
      <c r="U13" s="4" t="s">
        <v>114</v>
      </c>
      <c r="V13" s="9"/>
    </row>
    <row r="14" spans="1:29" x14ac:dyDescent="0.15">
      <c r="A14" s="3">
        <v>-19</v>
      </c>
      <c r="B14" s="3"/>
      <c r="C14" s="3" t="s">
        <v>622</v>
      </c>
      <c r="D14" s="3">
        <v>19</v>
      </c>
      <c r="E14" s="3">
        <v>22</v>
      </c>
      <c r="F14" s="3" t="s">
        <v>673</v>
      </c>
      <c r="G14" s="3">
        <v>10176</v>
      </c>
      <c r="H14" s="3" t="s">
        <v>997</v>
      </c>
      <c r="I14" s="3" t="s">
        <v>998</v>
      </c>
      <c r="J14" s="3" t="s">
        <v>253</v>
      </c>
      <c r="K14" s="3" t="s">
        <v>635</v>
      </c>
      <c r="L14" s="3"/>
      <c r="M14" s="3" t="s">
        <v>1060</v>
      </c>
      <c r="N14" s="3" t="s">
        <v>1061</v>
      </c>
      <c r="O14" s="3" t="s">
        <v>1060</v>
      </c>
      <c r="P14" s="3" t="s">
        <v>118</v>
      </c>
      <c r="Q14" s="3" t="s">
        <v>119</v>
      </c>
    </row>
    <row r="15" spans="1:29" x14ac:dyDescent="0.15">
      <c r="A15" s="3">
        <v>-18</v>
      </c>
      <c r="B15" s="3"/>
      <c r="C15" s="3" t="s">
        <v>623</v>
      </c>
      <c r="D15" s="3">
        <v>20</v>
      </c>
      <c r="E15" s="3">
        <v>23</v>
      </c>
      <c r="F15" s="3" t="s">
        <v>674</v>
      </c>
      <c r="G15" s="3">
        <v>10224</v>
      </c>
      <c r="H15" s="3" t="s">
        <v>999</v>
      </c>
      <c r="I15" s="3" t="s">
        <v>1000</v>
      </c>
      <c r="J15" s="3" t="s">
        <v>622</v>
      </c>
      <c r="K15" s="14" t="s">
        <v>939</v>
      </c>
      <c r="L15" s="14"/>
      <c r="M15" s="3" t="s">
        <v>1062</v>
      </c>
      <c r="N15" s="3" t="s">
        <v>1063</v>
      </c>
      <c r="O15" s="3" t="s">
        <v>1064</v>
      </c>
      <c r="P15" s="3" t="s">
        <v>121</v>
      </c>
      <c r="Q15" s="3" t="s">
        <v>119</v>
      </c>
    </row>
    <row r="16" spans="1:29" x14ac:dyDescent="0.15">
      <c r="A16" s="3">
        <v>-17</v>
      </c>
      <c r="B16" s="3"/>
      <c r="C16" s="3" t="s">
        <v>362</v>
      </c>
      <c r="D16" s="3">
        <v>21</v>
      </c>
      <c r="E16" s="3">
        <v>24</v>
      </c>
      <c r="F16" s="3" t="s">
        <v>675</v>
      </c>
      <c r="G16" s="3">
        <v>10225</v>
      </c>
      <c r="H16" s="3" t="s">
        <v>999</v>
      </c>
      <c r="I16" s="3" t="s">
        <v>1000</v>
      </c>
      <c r="J16" s="3" t="s">
        <v>623</v>
      </c>
      <c r="K16" s="14" t="s">
        <v>940</v>
      </c>
      <c r="L16" s="14"/>
      <c r="M16" s="3" t="s">
        <v>1065</v>
      </c>
      <c r="N16" s="3" t="s">
        <v>1066</v>
      </c>
      <c r="O16" s="3" t="s">
        <v>1065</v>
      </c>
      <c r="P16" s="3" t="s">
        <v>123</v>
      </c>
      <c r="Q16" s="3" t="s">
        <v>119</v>
      </c>
    </row>
    <row r="17" spans="1:17" x14ac:dyDescent="0.15">
      <c r="A17" s="3">
        <v>-16</v>
      </c>
      <c r="B17" s="3" t="s">
        <v>972</v>
      </c>
      <c r="C17" s="3" t="s">
        <v>624</v>
      </c>
      <c r="D17" s="3">
        <v>22</v>
      </c>
      <c r="E17" s="3">
        <v>25</v>
      </c>
      <c r="F17" s="3" t="s">
        <v>676</v>
      </c>
      <c r="G17" s="3">
        <v>10144</v>
      </c>
      <c r="H17" s="3" t="s">
        <v>1001</v>
      </c>
      <c r="I17" s="3" t="s">
        <v>1002</v>
      </c>
      <c r="J17" s="3" t="s">
        <v>362</v>
      </c>
      <c r="K17" s="14" t="s">
        <v>941</v>
      </c>
      <c r="L17" s="14"/>
      <c r="M17" s="3" t="s">
        <v>1067</v>
      </c>
      <c r="N17" s="3" t="s">
        <v>1068</v>
      </c>
      <c r="O17" s="3" t="s">
        <v>1067</v>
      </c>
      <c r="P17" s="3" t="s">
        <v>124</v>
      </c>
      <c r="Q17" s="3" t="s">
        <v>125</v>
      </c>
    </row>
    <row r="18" spans="1:17" x14ac:dyDescent="0.15">
      <c r="A18" s="3">
        <v>-15</v>
      </c>
      <c r="B18" s="3" t="s">
        <v>971</v>
      </c>
      <c r="C18" s="3" t="s">
        <v>625</v>
      </c>
      <c r="D18" s="3">
        <v>23</v>
      </c>
      <c r="E18" s="3">
        <v>211</v>
      </c>
      <c r="F18" s="3" t="s">
        <v>677</v>
      </c>
      <c r="G18" s="3">
        <v>10145</v>
      </c>
      <c r="H18" s="3" t="s">
        <v>1001</v>
      </c>
      <c r="I18" s="3" t="s">
        <v>1002</v>
      </c>
      <c r="J18" s="3" t="s">
        <v>624</v>
      </c>
      <c r="K18" s="3" t="s">
        <v>636</v>
      </c>
      <c r="L18" s="3"/>
      <c r="M18" s="3" t="s">
        <v>1069</v>
      </c>
      <c r="N18" s="3" t="s">
        <v>1070</v>
      </c>
      <c r="O18" s="3" t="s">
        <v>1071</v>
      </c>
      <c r="P18" s="3" t="s">
        <v>127</v>
      </c>
      <c r="Q18" s="3" t="s">
        <v>125</v>
      </c>
    </row>
    <row r="19" spans="1:17" x14ac:dyDescent="0.15">
      <c r="A19" s="3">
        <v>-14</v>
      </c>
      <c r="B19" s="3" t="s">
        <v>970</v>
      </c>
      <c r="C19" s="3" t="s">
        <v>626</v>
      </c>
      <c r="D19" s="3">
        <v>24</v>
      </c>
      <c r="E19" s="3">
        <v>212</v>
      </c>
      <c r="F19" s="3" t="s">
        <v>678</v>
      </c>
      <c r="G19" s="3">
        <v>10268</v>
      </c>
      <c r="H19" s="3" t="s">
        <v>1003</v>
      </c>
      <c r="I19" s="3" t="s">
        <v>1004</v>
      </c>
      <c r="J19" s="3" t="s">
        <v>625</v>
      </c>
      <c r="K19" s="3" t="s">
        <v>637</v>
      </c>
      <c r="L19" s="10"/>
      <c r="M19" s="3" t="s">
        <v>1072</v>
      </c>
      <c r="N19" s="3" t="s">
        <v>1073</v>
      </c>
      <c r="O19" s="3" t="s">
        <v>1074</v>
      </c>
    </row>
    <row r="20" spans="1:17" x14ac:dyDescent="0.15">
      <c r="A20" s="3">
        <v>-13</v>
      </c>
      <c r="B20" s="3" t="s">
        <v>969</v>
      </c>
      <c r="C20" s="3" t="s">
        <v>542</v>
      </c>
      <c r="D20" s="3">
        <v>26</v>
      </c>
      <c r="E20" s="3">
        <v>213</v>
      </c>
      <c r="F20" s="3" t="s">
        <v>679</v>
      </c>
      <c r="G20" s="3">
        <v>10242</v>
      </c>
      <c r="H20" s="3" t="s">
        <v>1005</v>
      </c>
      <c r="I20" s="3" t="s">
        <v>1006</v>
      </c>
      <c r="J20" s="3" t="s">
        <v>626</v>
      </c>
      <c r="K20" s="3" t="s">
        <v>638</v>
      </c>
      <c r="L20" s="10"/>
      <c r="M20" s="3" t="s">
        <v>1075</v>
      </c>
      <c r="N20" s="3" t="s">
        <v>1076</v>
      </c>
      <c r="O20" s="3" t="s">
        <v>1077</v>
      </c>
    </row>
    <row r="21" spans="1:17" x14ac:dyDescent="0.15">
      <c r="A21" s="3">
        <v>-12</v>
      </c>
      <c r="B21" s="3" t="s">
        <v>968</v>
      </c>
      <c r="F21" s="3" t="s">
        <v>680</v>
      </c>
      <c r="G21" s="3">
        <v>10243</v>
      </c>
      <c r="H21" s="3" t="s">
        <v>1005</v>
      </c>
      <c r="I21" s="3" t="s">
        <v>1006</v>
      </c>
      <c r="J21" s="3" t="s">
        <v>542</v>
      </c>
      <c r="K21" s="14" t="s">
        <v>942</v>
      </c>
      <c r="L21" s="22"/>
      <c r="M21" s="3" t="s">
        <v>1078</v>
      </c>
      <c r="N21" s="3" t="s">
        <v>1079</v>
      </c>
      <c r="O21" s="3" t="s">
        <v>1080</v>
      </c>
    </row>
    <row r="22" spans="1:17" x14ac:dyDescent="0.15">
      <c r="A22" s="3">
        <v>-11</v>
      </c>
      <c r="B22" s="3" t="s">
        <v>967</v>
      </c>
      <c r="F22" s="3" t="s">
        <v>681</v>
      </c>
      <c r="G22" s="3">
        <v>10389</v>
      </c>
      <c r="H22" s="3" t="s">
        <v>1007</v>
      </c>
      <c r="I22" s="3" t="s">
        <v>1008</v>
      </c>
      <c r="J22" s="3" t="s">
        <v>627</v>
      </c>
      <c r="K22" s="14" t="s">
        <v>943</v>
      </c>
      <c r="L22" s="22"/>
      <c r="M22" s="3" t="s">
        <v>1081</v>
      </c>
      <c r="N22" s="3" t="s">
        <v>1082</v>
      </c>
      <c r="O22" s="3" t="s">
        <v>1083</v>
      </c>
    </row>
    <row r="23" spans="1:17" x14ac:dyDescent="0.15">
      <c r="A23" s="3">
        <v>-10</v>
      </c>
      <c r="B23" s="3" t="s">
        <v>966</v>
      </c>
      <c r="F23" s="3" t="s">
        <v>682</v>
      </c>
      <c r="G23" s="3">
        <v>10390</v>
      </c>
      <c r="H23" s="3" t="s">
        <v>1007</v>
      </c>
      <c r="I23" s="3" t="s">
        <v>1008</v>
      </c>
      <c r="J23" s="3" t="s">
        <v>649</v>
      </c>
      <c r="K23" s="14" t="s">
        <v>944</v>
      </c>
      <c r="L23" s="22"/>
      <c r="M23" s="3" t="s">
        <v>1084</v>
      </c>
      <c r="N23" s="3" t="s">
        <v>1085</v>
      </c>
      <c r="O23" s="3" t="s">
        <v>1086</v>
      </c>
    </row>
    <row r="24" spans="1:17" x14ac:dyDescent="0.15">
      <c r="A24" s="3">
        <v>-9</v>
      </c>
      <c r="B24" s="3" t="s">
        <v>965</v>
      </c>
      <c r="F24" s="3" t="s">
        <v>683</v>
      </c>
      <c r="G24" s="3">
        <v>10447</v>
      </c>
      <c r="H24" s="3" t="s">
        <v>1009</v>
      </c>
      <c r="I24" s="3" t="s">
        <v>1010</v>
      </c>
      <c r="J24" s="3" t="s">
        <v>647</v>
      </c>
      <c r="K24" s="3" t="s">
        <v>639</v>
      </c>
      <c r="L24" s="10"/>
      <c r="M24" s="23" t="s">
        <v>1087</v>
      </c>
      <c r="N24" s="23" t="s">
        <v>1399</v>
      </c>
      <c r="O24" s="23" t="s">
        <v>1400</v>
      </c>
    </row>
    <row r="25" spans="1:17" x14ac:dyDescent="0.15">
      <c r="A25" s="3">
        <v>-8</v>
      </c>
      <c r="B25" s="3" t="s">
        <v>964</v>
      </c>
      <c r="F25" s="3" t="s">
        <v>684</v>
      </c>
      <c r="G25" s="3">
        <v>10448</v>
      </c>
      <c r="H25" s="3" t="s">
        <v>1009</v>
      </c>
      <c r="I25" s="3" t="s">
        <v>1010</v>
      </c>
      <c r="J25" s="3" t="s">
        <v>650</v>
      </c>
      <c r="K25" s="3" t="s">
        <v>651</v>
      </c>
      <c r="L25" s="10"/>
      <c r="M25" s="3" t="s">
        <v>1088</v>
      </c>
      <c r="N25" s="3" t="s">
        <v>1089</v>
      </c>
      <c r="O25" s="3" t="s">
        <v>1088</v>
      </c>
    </row>
    <row r="26" spans="1:17" x14ac:dyDescent="0.15">
      <c r="A26" s="3">
        <v>-7</v>
      </c>
      <c r="B26" s="3" t="s">
        <v>963</v>
      </c>
      <c r="F26" s="3" t="s">
        <v>685</v>
      </c>
      <c r="G26" s="3">
        <v>10464</v>
      </c>
      <c r="H26" s="3" t="s">
        <v>1011</v>
      </c>
      <c r="I26" s="3" t="s">
        <v>1012</v>
      </c>
      <c r="J26" s="3" t="s">
        <v>641</v>
      </c>
      <c r="K26" s="3" t="s">
        <v>642</v>
      </c>
      <c r="L26" s="10"/>
      <c r="M26" s="3" t="s">
        <v>1090</v>
      </c>
      <c r="N26" s="3" t="s">
        <v>1091</v>
      </c>
      <c r="O26" s="3" t="s">
        <v>1092</v>
      </c>
    </row>
    <row r="27" spans="1:17" x14ac:dyDescent="0.15">
      <c r="A27" s="3">
        <v>-6</v>
      </c>
      <c r="B27" s="3" t="s">
        <v>962</v>
      </c>
      <c r="F27" s="3" t="s">
        <v>686</v>
      </c>
      <c r="G27" s="3">
        <v>10533</v>
      </c>
      <c r="H27" s="3" t="s">
        <v>1013</v>
      </c>
      <c r="I27" s="3" t="s">
        <v>1014</v>
      </c>
      <c r="J27" s="3" t="s">
        <v>640</v>
      </c>
      <c r="K27" s="3" t="s">
        <v>4</v>
      </c>
      <c r="L27" s="10"/>
      <c r="M27" s="3" t="s">
        <v>1093</v>
      </c>
      <c r="N27" s="3" t="s">
        <v>1094</v>
      </c>
      <c r="O27" s="3" t="s">
        <v>1095</v>
      </c>
    </row>
    <row r="28" spans="1:17" x14ac:dyDescent="0.15">
      <c r="A28" s="3">
        <v>-5</v>
      </c>
      <c r="B28" s="3" t="s">
        <v>961</v>
      </c>
      <c r="F28" s="3" t="s">
        <v>687</v>
      </c>
      <c r="G28" s="3">
        <v>10585</v>
      </c>
      <c r="H28" s="3" t="s">
        <v>1015</v>
      </c>
      <c r="I28" s="3" t="s">
        <v>1016</v>
      </c>
      <c r="J28" s="3" t="s">
        <v>648</v>
      </c>
      <c r="K28" s="3" t="s">
        <v>652</v>
      </c>
      <c r="L28" s="10"/>
      <c r="M28" s="3" t="s">
        <v>1096</v>
      </c>
      <c r="N28" s="3" t="s">
        <v>1097</v>
      </c>
      <c r="O28" s="3" t="s">
        <v>1098</v>
      </c>
    </row>
    <row r="29" spans="1:17" x14ac:dyDescent="0.15">
      <c r="A29" s="3">
        <v>-4</v>
      </c>
      <c r="B29" s="3" t="s">
        <v>960</v>
      </c>
      <c r="F29" s="3" t="s">
        <v>688</v>
      </c>
      <c r="G29" s="3">
        <v>10615</v>
      </c>
      <c r="H29" s="3" t="s">
        <v>1017</v>
      </c>
      <c r="I29" s="3" t="s">
        <v>1018</v>
      </c>
      <c r="J29" s="3" t="s">
        <v>645</v>
      </c>
      <c r="K29" s="3" t="s">
        <v>646</v>
      </c>
      <c r="L29" s="10"/>
      <c r="M29" s="3" t="s">
        <v>1099</v>
      </c>
      <c r="N29" s="3" t="s">
        <v>1100</v>
      </c>
      <c r="O29" s="3" t="s">
        <v>1101</v>
      </c>
    </row>
    <row r="30" spans="1:17" x14ac:dyDescent="0.15">
      <c r="A30" s="3">
        <v>-3</v>
      </c>
      <c r="B30" s="3" t="s">
        <v>959</v>
      </c>
      <c r="F30" s="3" t="s">
        <v>689</v>
      </c>
      <c r="G30" s="3">
        <v>10626</v>
      </c>
      <c r="H30" s="3" t="s">
        <v>1019</v>
      </c>
      <c r="I30" s="3" t="s">
        <v>1020</v>
      </c>
      <c r="J30" s="3" t="s">
        <v>643</v>
      </c>
      <c r="K30" s="3" t="s">
        <v>644</v>
      </c>
      <c r="L30" s="10"/>
      <c r="M30" s="3" t="s">
        <v>1102</v>
      </c>
      <c r="N30" s="3" t="s">
        <v>1103</v>
      </c>
      <c r="O30" s="3" t="s">
        <v>1104</v>
      </c>
    </row>
    <row r="31" spans="1:17" x14ac:dyDescent="0.15">
      <c r="A31" s="3">
        <v>-2</v>
      </c>
      <c r="B31" s="3" t="s">
        <v>958</v>
      </c>
      <c r="F31" s="3" t="s">
        <v>690</v>
      </c>
      <c r="G31" s="3">
        <v>10627</v>
      </c>
      <c r="H31" s="3" t="s">
        <v>1019</v>
      </c>
      <c r="I31" s="3" t="s">
        <v>1020</v>
      </c>
      <c r="J31" s="3" t="s">
        <v>653</v>
      </c>
      <c r="K31" s="3" t="s">
        <v>654</v>
      </c>
      <c r="L31" s="10"/>
      <c r="M31" s="3" t="s">
        <v>1105</v>
      </c>
      <c r="N31" s="3" t="s">
        <v>1106</v>
      </c>
      <c r="O31" s="3" t="s">
        <v>1107</v>
      </c>
    </row>
    <row r="32" spans="1:17" x14ac:dyDescent="0.15">
      <c r="A32" s="3">
        <v>-1</v>
      </c>
      <c r="B32" s="3" t="s">
        <v>692</v>
      </c>
      <c r="F32" s="3" t="s">
        <v>542</v>
      </c>
      <c r="G32" s="3">
        <v>10698</v>
      </c>
      <c r="H32" s="3" t="s">
        <v>1021</v>
      </c>
      <c r="I32" s="3" t="s">
        <v>1022</v>
      </c>
      <c r="J32" s="3" t="s">
        <v>655</v>
      </c>
      <c r="K32" s="3" t="s">
        <v>656</v>
      </c>
      <c r="L32" s="10"/>
      <c r="M32" s="23" t="s">
        <v>1108</v>
      </c>
      <c r="N32" s="23" t="s">
        <v>1399</v>
      </c>
      <c r="O32" s="23" t="s">
        <v>1400</v>
      </c>
    </row>
    <row r="33" spans="1:15" x14ac:dyDescent="0.15">
      <c r="A33" s="3">
        <v>0</v>
      </c>
      <c r="B33" s="3" t="str">
        <f>""</f>
        <v/>
      </c>
      <c r="F33" s="3" t="s">
        <v>627</v>
      </c>
      <c r="G33" s="3">
        <v>10756</v>
      </c>
      <c r="J33" s="3" t="s">
        <v>657</v>
      </c>
      <c r="K33" s="14" t="s">
        <v>932</v>
      </c>
      <c r="L33" s="22"/>
      <c r="M33" s="3" t="s">
        <v>1109</v>
      </c>
      <c r="N33" s="3" t="s">
        <v>1110</v>
      </c>
      <c r="O33" s="3" t="s">
        <v>1109</v>
      </c>
    </row>
    <row r="34" spans="1:15" x14ac:dyDescent="0.15">
      <c r="A34" s="3">
        <v>1</v>
      </c>
      <c r="B34" s="3" t="s">
        <v>65</v>
      </c>
      <c r="J34" s="3" t="s">
        <v>658</v>
      </c>
      <c r="K34" s="14" t="s">
        <v>933</v>
      </c>
      <c r="L34" s="22"/>
      <c r="M34" s="3" t="s">
        <v>1111</v>
      </c>
      <c r="N34" s="3" t="s">
        <v>1112</v>
      </c>
      <c r="O34" s="3" t="s">
        <v>1113</v>
      </c>
    </row>
    <row r="35" spans="1:15" x14ac:dyDescent="0.15">
      <c r="A35" s="3">
        <v>2</v>
      </c>
      <c r="B35" s="3" t="s">
        <v>5</v>
      </c>
      <c r="J35" s="3" t="s">
        <v>659</v>
      </c>
      <c r="K35" s="3" t="s">
        <v>660</v>
      </c>
      <c r="L35" s="10"/>
      <c r="M35" s="3" t="s">
        <v>1114</v>
      </c>
      <c r="N35" s="3" t="s">
        <v>1115</v>
      </c>
      <c r="O35" s="3" t="s">
        <v>1114</v>
      </c>
    </row>
    <row r="36" spans="1:15" x14ac:dyDescent="0.15">
      <c r="A36" s="3">
        <v>3</v>
      </c>
      <c r="B36" s="3" t="s">
        <v>78</v>
      </c>
      <c r="J36" s="3" t="s">
        <v>661</v>
      </c>
      <c r="K36" s="3" t="s">
        <v>662</v>
      </c>
      <c r="L36" s="10"/>
      <c r="M36" s="3" t="s">
        <v>1116</v>
      </c>
      <c r="N36" s="3" t="s">
        <v>1117</v>
      </c>
      <c r="O36" s="3" t="s">
        <v>1116</v>
      </c>
    </row>
    <row r="37" spans="1:15" x14ac:dyDescent="0.15">
      <c r="A37" s="3">
        <v>5</v>
      </c>
      <c r="B37" s="3" t="s">
        <v>85</v>
      </c>
      <c r="J37" s="3" t="s">
        <v>663</v>
      </c>
      <c r="K37" s="3" t="s">
        <v>664</v>
      </c>
      <c r="L37" s="10"/>
      <c r="M37" s="3" t="s">
        <v>1118</v>
      </c>
      <c r="N37" s="3" t="s">
        <v>1119</v>
      </c>
      <c r="O37" s="3" t="s">
        <v>1118</v>
      </c>
    </row>
    <row r="38" spans="1:15" x14ac:dyDescent="0.15">
      <c r="A38" s="3">
        <v>6</v>
      </c>
      <c r="B38" s="3" t="s">
        <v>91</v>
      </c>
      <c r="J38" s="2" t="s">
        <v>2395</v>
      </c>
      <c r="K38" s="2" t="s">
        <v>2394</v>
      </c>
      <c r="M38" s="3" t="s">
        <v>1120</v>
      </c>
      <c r="N38" s="3" t="s">
        <v>1121</v>
      </c>
      <c r="O38" s="3" t="s">
        <v>1122</v>
      </c>
    </row>
    <row r="39" spans="1:15" x14ac:dyDescent="0.15">
      <c r="A39" s="3">
        <v>7</v>
      </c>
      <c r="B39" s="3" t="s">
        <v>95</v>
      </c>
      <c r="K39" s="44" t="s">
        <v>2636</v>
      </c>
      <c r="M39" s="3" t="s">
        <v>1123</v>
      </c>
      <c r="N39" s="3" t="s">
        <v>1124</v>
      </c>
      <c r="O39" s="3" t="s">
        <v>1123</v>
      </c>
    </row>
    <row r="40" spans="1:15" x14ac:dyDescent="0.15">
      <c r="A40" s="3">
        <v>8</v>
      </c>
      <c r="B40" s="3" t="s">
        <v>99</v>
      </c>
      <c r="K40" s="45" t="s">
        <v>2637</v>
      </c>
      <c r="M40" s="3" t="s">
        <v>1125</v>
      </c>
      <c r="N40" s="3" t="s">
        <v>1126</v>
      </c>
      <c r="O40" s="3" t="s">
        <v>1127</v>
      </c>
    </row>
    <row r="41" spans="1:15" x14ac:dyDescent="0.15">
      <c r="A41" s="3">
        <v>9</v>
      </c>
      <c r="B41" s="3" t="s">
        <v>104</v>
      </c>
      <c r="K41" s="46" t="s">
        <v>2638</v>
      </c>
      <c r="M41" s="3" t="s">
        <v>1128</v>
      </c>
      <c r="N41" s="3" t="s">
        <v>1129</v>
      </c>
      <c r="O41" s="3" t="s">
        <v>1130</v>
      </c>
    </row>
    <row r="42" spans="1:15" x14ac:dyDescent="0.15">
      <c r="A42" s="3">
        <v>10</v>
      </c>
      <c r="B42" s="3" t="s">
        <v>107</v>
      </c>
      <c r="K42" s="47" t="s">
        <v>2639</v>
      </c>
      <c r="M42" s="3" t="s">
        <v>1131</v>
      </c>
      <c r="N42" s="3" t="s">
        <v>1132</v>
      </c>
      <c r="O42" s="3" t="s">
        <v>1131</v>
      </c>
    </row>
    <row r="43" spans="1:15" x14ac:dyDescent="0.15">
      <c r="A43" s="3">
        <v>11</v>
      </c>
      <c r="B43" s="3" t="s">
        <v>111</v>
      </c>
      <c r="K43" s="49" t="s">
        <v>2641</v>
      </c>
      <c r="M43" s="3" t="s">
        <v>1133</v>
      </c>
      <c r="N43" s="3" t="s">
        <v>1134</v>
      </c>
      <c r="O43" s="3" t="s">
        <v>1135</v>
      </c>
    </row>
    <row r="44" spans="1:15" x14ac:dyDescent="0.15">
      <c r="A44" s="3">
        <v>12</v>
      </c>
      <c r="B44" s="3" t="s">
        <v>115</v>
      </c>
      <c r="K44" s="48" t="s">
        <v>2640</v>
      </c>
      <c r="M44" s="3" t="s">
        <v>1136</v>
      </c>
      <c r="N44" s="3" t="s">
        <v>1137</v>
      </c>
      <c r="O44" s="3" t="s">
        <v>1138</v>
      </c>
    </row>
    <row r="45" spans="1:15" x14ac:dyDescent="0.15">
      <c r="A45" s="3">
        <v>13</v>
      </c>
      <c r="B45" s="3" t="s">
        <v>117</v>
      </c>
      <c r="M45" s="3" t="s">
        <v>1139</v>
      </c>
      <c r="N45" s="3" t="s">
        <v>1140</v>
      </c>
      <c r="O45" s="3" t="s">
        <v>1141</v>
      </c>
    </row>
    <row r="46" spans="1:15" x14ac:dyDescent="0.15">
      <c r="A46" s="3">
        <v>14</v>
      </c>
      <c r="B46" s="3" t="s">
        <v>120</v>
      </c>
      <c r="M46" s="3" t="s">
        <v>1142</v>
      </c>
      <c r="N46" s="3" t="s">
        <v>1143</v>
      </c>
      <c r="O46" s="3" t="s">
        <v>1144</v>
      </c>
    </row>
    <row r="47" spans="1:15" x14ac:dyDescent="0.15">
      <c r="A47" s="3">
        <v>15</v>
      </c>
      <c r="B47" s="3" t="s">
        <v>122</v>
      </c>
      <c r="M47" s="3" t="s">
        <v>1145</v>
      </c>
      <c r="N47" s="3" t="s">
        <v>1146</v>
      </c>
      <c r="O47" s="3" t="s">
        <v>1147</v>
      </c>
    </row>
    <row r="48" spans="1:15" x14ac:dyDescent="0.15">
      <c r="A48" s="3">
        <v>16</v>
      </c>
      <c r="B48" s="3" t="s">
        <v>6</v>
      </c>
      <c r="M48" s="3" t="s">
        <v>1148</v>
      </c>
      <c r="N48" s="3" t="s">
        <v>1149</v>
      </c>
      <c r="O48" s="3" t="s">
        <v>1150</v>
      </c>
    </row>
    <row r="49" spans="1:15" x14ac:dyDescent="0.15">
      <c r="A49" s="3">
        <v>17</v>
      </c>
      <c r="B49" s="3" t="s">
        <v>126</v>
      </c>
      <c r="M49" s="3" t="s">
        <v>1151</v>
      </c>
      <c r="N49" s="3" t="s">
        <v>1152</v>
      </c>
      <c r="O49" s="3" t="s">
        <v>1151</v>
      </c>
    </row>
    <row r="50" spans="1:15" x14ac:dyDescent="0.15">
      <c r="A50" s="3">
        <v>18</v>
      </c>
      <c r="B50" s="3" t="s">
        <v>128</v>
      </c>
      <c r="M50" s="3" t="s">
        <v>1153</v>
      </c>
      <c r="N50" s="3" t="s">
        <v>1154</v>
      </c>
      <c r="O50" s="3" t="s">
        <v>1155</v>
      </c>
    </row>
    <row r="51" spans="1:15" x14ac:dyDescent="0.15">
      <c r="A51" s="3">
        <v>19</v>
      </c>
      <c r="B51" s="3" t="s">
        <v>129</v>
      </c>
      <c r="M51" s="3" t="s">
        <v>1156</v>
      </c>
      <c r="N51" s="3" t="s">
        <v>1157</v>
      </c>
      <c r="O51" s="3" t="s">
        <v>1158</v>
      </c>
    </row>
    <row r="52" spans="1:15" x14ac:dyDescent="0.15">
      <c r="A52" s="3">
        <v>20</v>
      </c>
      <c r="B52" s="3" t="s">
        <v>130</v>
      </c>
      <c r="M52" s="23" t="s">
        <v>1159</v>
      </c>
      <c r="N52" s="23" t="s">
        <v>1399</v>
      </c>
      <c r="O52" s="23" t="s">
        <v>1400</v>
      </c>
    </row>
    <row r="53" spans="1:15" x14ac:dyDescent="0.15">
      <c r="A53" s="3">
        <v>21</v>
      </c>
      <c r="B53" s="3" t="s">
        <v>131</v>
      </c>
      <c r="M53" s="3" t="s">
        <v>1160</v>
      </c>
      <c r="N53" s="3" t="s">
        <v>1161</v>
      </c>
      <c r="O53" s="3" t="s">
        <v>1160</v>
      </c>
    </row>
    <row r="54" spans="1:15" x14ac:dyDescent="0.15">
      <c r="A54" s="3">
        <v>22</v>
      </c>
      <c r="B54" s="3" t="s">
        <v>132</v>
      </c>
      <c r="M54" s="3" t="s">
        <v>1162</v>
      </c>
      <c r="N54" s="3" t="s">
        <v>1163</v>
      </c>
      <c r="O54" s="3" t="s">
        <v>1162</v>
      </c>
    </row>
    <row r="55" spans="1:15" x14ac:dyDescent="0.15">
      <c r="A55" s="3">
        <v>23</v>
      </c>
      <c r="B55" s="3" t="s">
        <v>7</v>
      </c>
      <c r="M55" s="3" t="s">
        <v>1164</v>
      </c>
      <c r="N55" s="3" t="s">
        <v>1165</v>
      </c>
      <c r="O55" s="3" t="s">
        <v>1166</v>
      </c>
    </row>
    <row r="56" spans="1:15" x14ac:dyDescent="0.15">
      <c r="A56" s="3">
        <v>25</v>
      </c>
      <c r="B56" s="3" t="s">
        <v>8</v>
      </c>
      <c r="M56" s="3" t="s">
        <v>1167</v>
      </c>
      <c r="N56" s="3" t="s">
        <v>1168</v>
      </c>
      <c r="O56" s="3" t="s">
        <v>1169</v>
      </c>
    </row>
    <row r="57" spans="1:15" x14ac:dyDescent="0.15">
      <c r="A57" s="3">
        <v>26</v>
      </c>
      <c r="B57" s="3" t="s">
        <v>133</v>
      </c>
      <c r="M57" s="3" t="s">
        <v>1170</v>
      </c>
      <c r="N57" s="3" t="s">
        <v>1171</v>
      </c>
      <c r="O57" s="3" t="s">
        <v>1172</v>
      </c>
    </row>
    <row r="58" spans="1:15" x14ac:dyDescent="0.15">
      <c r="A58" s="3">
        <v>27</v>
      </c>
      <c r="B58" s="3" t="s">
        <v>9</v>
      </c>
      <c r="M58" s="3" t="s">
        <v>1173</v>
      </c>
      <c r="N58" s="3" t="s">
        <v>1174</v>
      </c>
      <c r="O58" s="3" t="s">
        <v>1175</v>
      </c>
    </row>
    <row r="59" spans="1:15" x14ac:dyDescent="0.15">
      <c r="A59" s="3">
        <v>28</v>
      </c>
      <c r="B59" s="3" t="s">
        <v>134</v>
      </c>
      <c r="M59" s="3" t="s">
        <v>1176</v>
      </c>
      <c r="N59" s="3" t="s">
        <v>1177</v>
      </c>
      <c r="O59" s="3" t="s">
        <v>1178</v>
      </c>
    </row>
    <row r="60" spans="1:15" x14ac:dyDescent="0.15">
      <c r="A60" s="3">
        <v>29</v>
      </c>
      <c r="B60" s="3" t="s">
        <v>135</v>
      </c>
      <c r="M60" s="23" t="s">
        <v>1179</v>
      </c>
      <c r="N60" s="23" t="s">
        <v>1399</v>
      </c>
      <c r="O60" s="23" t="s">
        <v>1400</v>
      </c>
    </row>
    <row r="61" spans="1:15" x14ac:dyDescent="0.15">
      <c r="A61" s="3">
        <v>30</v>
      </c>
      <c r="B61" s="3" t="s">
        <v>136</v>
      </c>
      <c r="M61" s="3" t="s">
        <v>1180</v>
      </c>
      <c r="N61" s="3" t="s">
        <v>1181</v>
      </c>
      <c r="O61" s="3" t="s">
        <v>1180</v>
      </c>
    </row>
    <row r="62" spans="1:15" x14ac:dyDescent="0.15">
      <c r="A62" s="3">
        <v>31</v>
      </c>
      <c r="B62" s="3" t="s">
        <v>137</v>
      </c>
      <c r="M62" s="3" t="s">
        <v>1182</v>
      </c>
      <c r="N62" s="3" t="s">
        <v>1183</v>
      </c>
      <c r="O62" s="3" t="s">
        <v>1182</v>
      </c>
    </row>
    <row r="63" spans="1:15" x14ac:dyDescent="0.15">
      <c r="A63" s="3">
        <v>32</v>
      </c>
      <c r="B63" s="3" t="s">
        <v>138</v>
      </c>
      <c r="M63" s="3" t="s">
        <v>1184</v>
      </c>
      <c r="N63" s="3" t="s">
        <v>1185</v>
      </c>
      <c r="O63" s="3" t="s">
        <v>1186</v>
      </c>
    </row>
    <row r="64" spans="1:15" x14ac:dyDescent="0.15">
      <c r="A64" s="3">
        <v>33</v>
      </c>
      <c r="B64" s="3" t="s">
        <v>139</v>
      </c>
      <c r="M64" s="3" t="s">
        <v>1187</v>
      </c>
      <c r="N64" s="3" t="s">
        <v>1188</v>
      </c>
      <c r="O64" s="3" t="s">
        <v>1187</v>
      </c>
    </row>
    <row r="65" spans="1:15" x14ac:dyDescent="0.15">
      <c r="A65" s="3">
        <v>34</v>
      </c>
      <c r="B65" s="3" t="s">
        <v>140</v>
      </c>
      <c r="M65" s="23" t="s">
        <v>1189</v>
      </c>
      <c r="N65" s="23" t="s">
        <v>1399</v>
      </c>
      <c r="O65" s="23" t="s">
        <v>1400</v>
      </c>
    </row>
    <row r="66" spans="1:15" x14ac:dyDescent="0.15">
      <c r="A66" s="3">
        <v>35</v>
      </c>
      <c r="B66" s="3" t="s">
        <v>10</v>
      </c>
      <c r="M66" s="3" t="s">
        <v>1190</v>
      </c>
      <c r="N66" s="3" t="s">
        <v>1191</v>
      </c>
      <c r="O66" s="3" t="s">
        <v>1190</v>
      </c>
    </row>
    <row r="67" spans="1:15" x14ac:dyDescent="0.15">
      <c r="A67" s="3">
        <v>36</v>
      </c>
      <c r="B67" s="3" t="s">
        <v>141</v>
      </c>
      <c r="M67" s="3" t="s">
        <v>1192</v>
      </c>
      <c r="N67" s="3" t="s">
        <v>1193</v>
      </c>
      <c r="O67" s="3" t="s">
        <v>1192</v>
      </c>
    </row>
    <row r="68" spans="1:15" x14ac:dyDescent="0.15">
      <c r="A68" s="3">
        <v>37</v>
      </c>
      <c r="B68" s="3" t="s">
        <v>142</v>
      </c>
      <c r="M68" s="3" t="s">
        <v>1194</v>
      </c>
      <c r="N68" s="3" t="s">
        <v>1195</v>
      </c>
      <c r="O68" s="3" t="s">
        <v>1194</v>
      </c>
    </row>
    <row r="69" spans="1:15" x14ac:dyDescent="0.15">
      <c r="A69" s="3">
        <v>38</v>
      </c>
      <c r="B69" s="3" t="s">
        <v>143</v>
      </c>
      <c r="M69" s="3" t="s">
        <v>1196</v>
      </c>
      <c r="N69" s="3" t="s">
        <v>1197</v>
      </c>
      <c r="O69" s="3" t="s">
        <v>1196</v>
      </c>
    </row>
    <row r="70" spans="1:15" x14ac:dyDescent="0.15">
      <c r="A70" s="3">
        <v>39</v>
      </c>
      <c r="B70" s="3" t="s">
        <v>144</v>
      </c>
      <c r="M70" s="3" t="s">
        <v>1198</v>
      </c>
      <c r="N70" s="3" t="s">
        <v>1199</v>
      </c>
      <c r="O70" s="3" t="s">
        <v>1198</v>
      </c>
    </row>
    <row r="71" spans="1:15" x14ac:dyDescent="0.15">
      <c r="A71" s="3">
        <v>40</v>
      </c>
      <c r="B71" s="3" t="s">
        <v>145</v>
      </c>
      <c r="M71" s="3" t="s">
        <v>1200</v>
      </c>
      <c r="N71" s="3" t="s">
        <v>1201</v>
      </c>
      <c r="O71" s="3" t="s">
        <v>1200</v>
      </c>
    </row>
    <row r="72" spans="1:15" x14ac:dyDescent="0.15">
      <c r="A72" s="3">
        <v>41</v>
      </c>
      <c r="B72" s="3" t="s">
        <v>146</v>
      </c>
      <c r="M72" s="3" t="s">
        <v>1202</v>
      </c>
      <c r="N72" s="3" t="s">
        <v>1203</v>
      </c>
      <c r="O72" s="3" t="s">
        <v>1202</v>
      </c>
    </row>
    <row r="73" spans="1:15" x14ac:dyDescent="0.15">
      <c r="A73" s="3">
        <v>42</v>
      </c>
      <c r="B73" s="3" t="s">
        <v>147</v>
      </c>
      <c r="M73" s="3" t="s">
        <v>1204</v>
      </c>
      <c r="N73" s="3" t="s">
        <v>1205</v>
      </c>
      <c r="O73" s="3" t="s">
        <v>1204</v>
      </c>
    </row>
    <row r="74" spans="1:15" x14ac:dyDescent="0.15">
      <c r="A74" s="3">
        <v>43</v>
      </c>
      <c r="B74" s="3" t="s">
        <v>148</v>
      </c>
      <c r="M74" s="3" t="s">
        <v>1206</v>
      </c>
      <c r="N74" s="3" t="s">
        <v>1207</v>
      </c>
      <c r="O74" s="3" t="s">
        <v>1206</v>
      </c>
    </row>
    <row r="75" spans="1:15" x14ac:dyDescent="0.15">
      <c r="A75" s="3">
        <v>44</v>
      </c>
      <c r="B75" s="3" t="s">
        <v>149</v>
      </c>
      <c r="M75" s="3" t="s">
        <v>1208</v>
      </c>
      <c r="N75" s="3" t="s">
        <v>1209</v>
      </c>
      <c r="O75" s="3" t="s">
        <v>1210</v>
      </c>
    </row>
    <row r="76" spans="1:15" x14ac:dyDescent="0.15">
      <c r="A76" s="3">
        <v>45</v>
      </c>
      <c r="B76" s="3" t="s">
        <v>150</v>
      </c>
      <c r="M76" s="3" t="s">
        <v>1211</v>
      </c>
      <c r="N76" s="3" t="s">
        <v>1212</v>
      </c>
      <c r="O76" s="3" t="s">
        <v>1211</v>
      </c>
    </row>
    <row r="77" spans="1:15" x14ac:dyDescent="0.15">
      <c r="A77" s="3">
        <v>46</v>
      </c>
      <c r="B77" s="3" t="s">
        <v>151</v>
      </c>
      <c r="M77" s="3" t="s">
        <v>1213</v>
      </c>
      <c r="N77" s="3" t="s">
        <v>1214</v>
      </c>
      <c r="O77" s="3" t="s">
        <v>1213</v>
      </c>
    </row>
    <row r="78" spans="1:15" x14ac:dyDescent="0.15">
      <c r="A78" s="3">
        <v>47</v>
      </c>
      <c r="B78" s="3" t="s">
        <v>152</v>
      </c>
      <c r="M78" s="3" t="s">
        <v>1215</v>
      </c>
      <c r="N78" s="3" t="s">
        <v>1216</v>
      </c>
      <c r="O78" s="3" t="s">
        <v>1215</v>
      </c>
    </row>
    <row r="79" spans="1:15" x14ac:dyDescent="0.15">
      <c r="A79" s="3">
        <v>48</v>
      </c>
      <c r="B79" s="3" t="s">
        <v>153</v>
      </c>
      <c r="M79" s="3" t="s">
        <v>1217</v>
      </c>
      <c r="N79" s="3" t="s">
        <v>1218</v>
      </c>
      <c r="O79" s="3" t="s">
        <v>1217</v>
      </c>
    </row>
    <row r="80" spans="1:15" x14ac:dyDescent="0.15">
      <c r="A80" s="3">
        <v>49</v>
      </c>
      <c r="B80" s="3" t="s">
        <v>154</v>
      </c>
      <c r="M80" s="3" t="s">
        <v>1219</v>
      </c>
      <c r="N80" s="3" t="s">
        <v>1220</v>
      </c>
      <c r="O80" s="3" t="s">
        <v>1219</v>
      </c>
    </row>
    <row r="81" spans="1:15" x14ac:dyDescent="0.15">
      <c r="A81" s="3">
        <v>50</v>
      </c>
      <c r="B81" s="3" t="s">
        <v>155</v>
      </c>
      <c r="M81" s="3" t="s">
        <v>1221</v>
      </c>
      <c r="N81" s="3" t="s">
        <v>1222</v>
      </c>
      <c r="O81" s="3" t="s">
        <v>1221</v>
      </c>
    </row>
    <row r="82" spans="1:15" x14ac:dyDescent="0.15">
      <c r="A82" s="3">
        <v>51</v>
      </c>
      <c r="B82" s="3" t="s">
        <v>156</v>
      </c>
      <c r="M82" s="3" t="s">
        <v>1223</v>
      </c>
      <c r="N82" s="3" t="s">
        <v>1224</v>
      </c>
      <c r="O82" s="3" t="s">
        <v>1223</v>
      </c>
    </row>
    <row r="83" spans="1:15" x14ac:dyDescent="0.15">
      <c r="A83" s="3">
        <v>52</v>
      </c>
      <c r="B83" s="3" t="s">
        <v>11</v>
      </c>
      <c r="M83" s="3" t="s">
        <v>1225</v>
      </c>
      <c r="N83" s="3" t="s">
        <v>1226</v>
      </c>
      <c r="O83" s="3" t="s">
        <v>1225</v>
      </c>
    </row>
    <row r="84" spans="1:15" x14ac:dyDescent="0.15">
      <c r="A84" s="3">
        <v>53</v>
      </c>
      <c r="B84" s="3" t="s">
        <v>157</v>
      </c>
      <c r="M84" s="3" t="s">
        <v>1227</v>
      </c>
      <c r="N84" s="3" t="s">
        <v>1228</v>
      </c>
      <c r="O84" s="3" t="s">
        <v>1227</v>
      </c>
    </row>
    <row r="85" spans="1:15" x14ac:dyDescent="0.15">
      <c r="A85" s="3">
        <v>55</v>
      </c>
      <c r="B85" s="3" t="s">
        <v>158</v>
      </c>
      <c r="M85" s="3" t="s">
        <v>1229</v>
      </c>
      <c r="N85" s="3" t="s">
        <v>1230</v>
      </c>
      <c r="O85" s="3" t="s">
        <v>1229</v>
      </c>
    </row>
    <row r="86" spans="1:15" x14ac:dyDescent="0.15">
      <c r="A86" s="3">
        <v>56</v>
      </c>
      <c r="B86" s="3" t="s">
        <v>159</v>
      </c>
      <c r="M86" s="3" t="s">
        <v>1231</v>
      </c>
      <c r="N86" s="3" t="s">
        <v>1232</v>
      </c>
      <c r="O86" s="3" t="s">
        <v>1231</v>
      </c>
    </row>
    <row r="87" spans="1:15" x14ac:dyDescent="0.15">
      <c r="A87" s="3">
        <v>57</v>
      </c>
      <c r="B87" s="3" t="s">
        <v>160</v>
      </c>
      <c r="M87" s="3" t="s">
        <v>1233</v>
      </c>
      <c r="N87" s="3" t="s">
        <v>1234</v>
      </c>
      <c r="O87" s="3" t="s">
        <v>1233</v>
      </c>
    </row>
    <row r="88" spans="1:15" x14ac:dyDescent="0.15">
      <c r="A88" s="3">
        <v>58</v>
      </c>
      <c r="B88" s="3" t="s">
        <v>161</v>
      </c>
      <c r="M88" s="3" t="s">
        <v>1235</v>
      </c>
      <c r="N88" s="3" t="s">
        <v>1236</v>
      </c>
      <c r="O88" s="3" t="s">
        <v>1235</v>
      </c>
    </row>
    <row r="89" spans="1:15" x14ac:dyDescent="0.15">
      <c r="A89" s="3">
        <v>60</v>
      </c>
      <c r="B89" s="3" t="s">
        <v>162</v>
      </c>
      <c r="M89" s="3" t="s">
        <v>1237</v>
      </c>
      <c r="N89" s="3" t="s">
        <v>1238</v>
      </c>
      <c r="O89" s="3" t="s">
        <v>1237</v>
      </c>
    </row>
    <row r="90" spans="1:15" x14ac:dyDescent="0.15">
      <c r="A90" s="3">
        <v>61</v>
      </c>
      <c r="B90" s="3" t="s">
        <v>163</v>
      </c>
      <c r="M90" s="3" t="s">
        <v>1239</v>
      </c>
      <c r="N90" s="3" t="s">
        <v>1240</v>
      </c>
      <c r="O90" s="3" t="s">
        <v>1239</v>
      </c>
    </row>
    <row r="91" spans="1:15" x14ac:dyDescent="0.15">
      <c r="A91" s="3">
        <v>62</v>
      </c>
      <c r="B91" s="3" t="s">
        <v>164</v>
      </c>
      <c r="M91" s="3" t="s">
        <v>1241</v>
      </c>
      <c r="N91" s="3" t="s">
        <v>1242</v>
      </c>
      <c r="O91" s="3" t="s">
        <v>1241</v>
      </c>
    </row>
    <row r="92" spans="1:15" x14ac:dyDescent="0.15">
      <c r="A92" s="3">
        <v>63</v>
      </c>
      <c r="B92" s="3" t="s">
        <v>165</v>
      </c>
      <c r="M92" s="3" t="s">
        <v>1243</v>
      </c>
      <c r="N92" s="3" t="s">
        <v>1244</v>
      </c>
      <c r="O92" s="3" t="s">
        <v>1243</v>
      </c>
    </row>
    <row r="93" spans="1:15" x14ac:dyDescent="0.15">
      <c r="A93" s="3">
        <v>64</v>
      </c>
      <c r="B93" s="3" t="s">
        <v>166</v>
      </c>
      <c r="M93" s="3" t="s">
        <v>1245</v>
      </c>
      <c r="N93" s="3" t="s">
        <v>1246</v>
      </c>
      <c r="O93" s="3" t="s">
        <v>1245</v>
      </c>
    </row>
    <row r="94" spans="1:15" x14ac:dyDescent="0.15">
      <c r="A94" s="3">
        <v>65</v>
      </c>
      <c r="B94" s="3" t="s">
        <v>167</v>
      </c>
      <c r="M94" s="3" t="s">
        <v>1247</v>
      </c>
      <c r="N94" s="3" t="s">
        <v>1248</v>
      </c>
      <c r="O94" s="3" t="s">
        <v>1247</v>
      </c>
    </row>
    <row r="95" spans="1:15" x14ac:dyDescent="0.15">
      <c r="A95" s="3">
        <v>66</v>
      </c>
      <c r="B95" s="3" t="s">
        <v>168</v>
      </c>
      <c r="M95" s="3" t="s">
        <v>1249</v>
      </c>
      <c r="N95" s="3" t="s">
        <v>1250</v>
      </c>
      <c r="O95" s="3" t="s">
        <v>1249</v>
      </c>
    </row>
    <row r="96" spans="1:15" x14ac:dyDescent="0.15">
      <c r="A96" s="3">
        <v>67</v>
      </c>
      <c r="B96" s="3" t="s">
        <v>169</v>
      </c>
      <c r="M96" s="3" t="s">
        <v>1251</v>
      </c>
      <c r="N96" s="3" t="s">
        <v>1252</v>
      </c>
      <c r="O96" s="3" t="s">
        <v>1251</v>
      </c>
    </row>
    <row r="97" spans="1:15" x14ac:dyDescent="0.15">
      <c r="A97" s="3">
        <v>68</v>
      </c>
      <c r="B97" s="3" t="s">
        <v>170</v>
      </c>
      <c r="M97" s="3" t="s">
        <v>1253</v>
      </c>
      <c r="N97" s="3" t="s">
        <v>1254</v>
      </c>
      <c r="O97" s="3" t="s">
        <v>1253</v>
      </c>
    </row>
    <row r="98" spans="1:15" x14ac:dyDescent="0.15">
      <c r="A98" s="3">
        <v>69</v>
      </c>
      <c r="B98" s="3" t="s">
        <v>171</v>
      </c>
      <c r="M98" s="3" t="s">
        <v>1255</v>
      </c>
      <c r="N98" s="3" t="s">
        <v>1256</v>
      </c>
      <c r="O98" s="3" t="s">
        <v>1255</v>
      </c>
    </row>
    <row r="99" spans="1:15" x14ac:dyDescent="0.15">
      <c r="A99" s="3">
        <v>70</v>
      </c>
      <c r="B99" s="3" t="s">
        <v>172</v>
      </c>
      <c r="M99" s="3" t="s">
        <v>1257</v>
      </c>
      <c r="N99" s="3" t="s">
        <v>1258</v>
      </c>
      <c r="O99" s="3" t="s">
        <v>1257</v>
      </c>
    </row>
    <row r="100" spans="1:15" x14ac:dyDescent="0.15">
      <c r="A100" s="3">
        <v>71</v>
      </c>
      <c r="B100" s="3" t="s">
        <v>173</v>
      </c>
      <c r="M100" s="3" t="s">
        <v>1259</v>
      </c>
      <c r="N100" s="3" t="s">
        <v>1260</v>
      </c>
      <c r="O100" s="3" t="s">
        <v>1259</v>
      </c>
    </row>
    <row r="101" spans="1:15" x14ac:dyDescent="0.15">
      <c r="A101" s="3">
        <v>72</v>
      </c>
      <c r="B101" s="3" t="s">
        <v>174</v>
      </c>
      <c r="M101" s="3" t="s">
        <v>1261</v>
      </c>
      <c r="N101" s="3" t="s">
        <v>1262</v>
      </c>
      <c r="O101" s="3" t="s">
        <v>1261</v>
      </c>
    </row>
    <row r="102" spans="1:15" x14ac:dyDescent="0.15">
      <c r="A102" s="3">
        <v>73</v>
      </c>
      <c r="B102" s="3" t="s">
        <v>175</v>
      </c>
      <c r="M102" s="3" t="s">
        <v>1263</v>
      </c>
      <c r="N102" s="3" t="s">
        <v>1264</v>
      </c>
      <c r="O102" s="3" t="s">
        <v>1263</v>
      </c>
    </row>
    <row r="103" spans="1:15" x14ac:dyDescent="0.15">
      <c r="A103" s="3">
        <v>74</v>
      </c>
      <c r="B103" s="3" t="s">
        <v>176</v>
      </c>
      <c r="M103" s="3" t="s">
        <v>1265</v>
      </c>
      <c r="N103" s="3" t="s">
        <v>1266</v>
      </c>
      <c r="O103" s="3" t="s">
        <v>1265</v>
      </c>
    </row>
    <row r="104" spans="1:15" x14ac:dyDescent="0.15">
      <c r="A104" s="3">
        <v>75</v>
      </c>
      <c r="B104" s="3" t="s">
        <v>177</v>
      </c>
      <c r="M104" s="3" t="s">
        <v>1267</v>
      </c>
      <c r="N104" s="3" t="s">
        <v>1268</v>
      </c>
      <c r="O104" s="3" t="s">
        <v>1267</v>
      </c>
    </row>
    <row r="105" spans="1:15" x14ac:dyDescent="0.15">
      <c r="A105" s="3">
        <v>100</v>
      </c>
      <c r="B105" s="3" t="s">
        <v>178</v>
      </c>
      <c r="M105" s="3" t="s">
        <v>1269</v>
      </c>
      <c r="N105" s="3" t="s">
        <v>1270</v>
      </c>
      <c r="O105" s="3" t="s">
        <v>1269</v>
      </c>
    </row>
    <row r="106" spans="1:15" x14ac:dyDescent="0.15">
      <c r="A106" s="3">
        <v>101</v>
      </c>
      <c r="B106" s="3" t="s">
        <v>179</v>
      </c>
      <c r="M106" s="3" t="s">
        <v>1271</v>
      </c>
      <c r="N106" s="3" t="s">
        <v>1272</v>
      </c>
      <c r="O106" s="3" t="s">
        <v>1271</v>
      </c>
    </row>
    <row r="107" spans="1:15" x14ac:dyDescent="0.15">
      <c r="A107" s="3">
        <v>102</v>
      </c>
      <c r="B107" s="3" t="s">
        <v>180</v>
      </c>
      <c r="M107" s="3" t="s">
        <v>1273</v>
      </c>
      <c r="N107" s="3" t="s">
        <v>1274</v>
      </c>
      <c r="O107" s="3" t="s">
        <v>1273</v>
      </c>
    </row>
    <row r="108" spans="1:15" x14ac:dyDescent="0.15">
      <c r="A108" s="3">
        <v>103</v>
      </c>
      <c r="B108" s="3" t="s">
        <v>181</v>
      </c>
      <c r="M108" s="3" t="s">
        <v>1275</v>
      </c>
      <c r="N108" s="3" t="s">
        <v>1276</v>
      </c>
      <c r="O108" s="3" t="s">
        <v>1275</v>
      </c>
    </row>
    <row r="109" spans="1:15" x14ac:dyDescent="0.15">
      <c r="A109" s="3">
        <v>104</v>
      </c>
      <c r="B109" s="3" t="s">
        <v>182</v>
      </c>
      <c r="M109" s="3" t="s">
        <v>1277</v>
      </c>
      <c r="N109" s="3" t="s">
        <v>1278</v>
      </c>
      <c r="O109" s="3" t="s">
        <v>1277</v>
      </c>
    </row>
    <row r="110" spans="1:15" x14ac:dyDescent="0.15">
      <c r="A110" s="3">
        <v>105</v>
      </c>
      <c r="B110" s="3" t="s">
        <v>183</v>
      </c>
      <c r="M110" s="3" t="s">
        <v>1279</v>
      </c>
      <c r="N110" s="3" t="s">
        <v>1280</v>
      </c>
      <c r="O110" s="3" t="s">
        <v>1279</v>
      </c>
    </row>
    <row r="111" spans="1:15" x14ac:dyDescent="0.15">
      <c r="A111" s="3">
        <v>106</v>
      </c>
      <c r="B111" s="3" t="s">
        <v>184</v>
      </c>
      <c r="M111" s="3" t="s">
        <v>1281</v>
      </c>
      <c r="N111" s="3" t="s">
        <v>1282</v>
      </c>
      <c r="O111" s="3" t="s">
        <v>1281</v>
      </c>
    </row>
    <row r="112" spans="1:15" x14ac:dyDescent="0.15">
      <c r="A112" s="3">
        <v>107</v>
      </c>
      <c r="B112" s="3" t="s">
        <v>185</v>
      </c>
      <c r="M112" s="3" t="s">
        <v>1283</v>
      </c>
      <c r="N112" s="3" t="s">
        <v>1284</v>
      </c>
      <c r="O112" s="3" t="s">
        <v>1283</v>
      </c>
    </row>
    <row r="113" spans="1:15" x14ac:dyDescent="0.15">
      <c r="A113" s="3">
        <v>108</v>
      </c>
      <c r="B113" s="3" t="s">
        <v>186</v>
      </c>
      <c r="M113" s="3" t="s">
        <v>1285</v>
      </c>
      <c r="N113" s="3" t="s">
        <v>1286</v>
      </c>
      <c r="O113" s="3" t="s">
        <v>1285</v>
      </c>
    </row>
    <row r="114" spans="1:15" x14ac:dyDescent="0.15">
      <c r="A114" s="3">
        <v>109</v>
      </c>
      <c r="B114" s="3" t="s">
        <v>187</v>
      </c>
      <c r="M114" s="3" t="s">
        <v>1287</v>
      </c>
      <c r="N114" s="3" t="s">
        <v>1288</v>
      </c>
      <c r="O114" s="3" t="s">
        <v>1287</v>
      </c>
    </row>
    <row r="115" spans="1:15" x14ac:dyDescent="0.15">
      <c r="A115" s="3">
        <v>110</v>
      </c>
      <c r="B115" s="3" t="s">
        <v>188</v>
      </c>
      <c r="M115" s="3" t="s">
        <v>1289</v>
      </c>
      <c r="N115" s="3" t="s">
        <v>1290</v>
      </c>
      <c r="O115" s="3" t="s">
        <v>1289</v>
      </c>
    </row>
    <row r="116" spans="1:15" x14ac:dyDescent="0.15">
      <c r="A116" s="3">
        <v>111</v>
      </c>
      <c r="B116" s="3" t="s">
        <v>189</v>
      </c>
      <c r="M116" s="3" t="s">
        <v>1291</v>
      </c>
      <c r="N116" s="3" t="s">
        <v>1292</v>
      </c>
      <c r="O116" s="3" t="s">
        <v>1291</v>
      </c>
    </row>
    <row r="117" spans="1:15" x14ac:dyDescent="0.15">
      <c r="A117" s="3">
        <v>112</v>
      </c>
      <c r="B117" s="3" t="s">
        <v>190</v>
      </c>
      <c r="M117" s="3" t="s">
        <v>1293</v>
      </c>
      <c r="N117" s="3" t="s">
        <v>1294</v>
      </c>
      <c r="O117" s="3" t="s">
        <v>1293</v>
      </c>
    </row>
    <row r="118" spans="1:15" x14ac:dyDescent="0.15">
      <c r="A118" s="3">
        <v>113</v>
      </c>
      <c r="B118" s="3" t="s">
        <v>191</v>
      </c>
      <c r="M118" s="3" t="s">
        <v>1295</v>
      </c>
      <c r="N118" s="3" t="s">
        <v>1296</v>
      </c>
      <c r="O118" s="3" t="s">
        <v>1295</v>
      </c>
    </row>
    <row r="119" spans="1:15" x14ac:dyDescent="0.15">
      <c r="A119" s="3">
        <v>114</v>
      </c>
      <c r="B119" s="3" t="s">
        <v>192</v>
      </c>
      <c r="M119" s="3" t="s">
        <v>1297</v>
      </c>
      <c r="N119" s="3" t="s">
        <v>1298</v>
      </c>
      <c r="O119" s="3" t="s">
        <v>1297</v>
      </c>
    </row>
    <row r="120" spans="1:15" x14ac:dyDescent="0.15">
      <c r="A120" s="3">
        <v>115</v>
      </c>
      <c r="B120" s="3" t="s">
        <v>193</v>
      </c>
      <c r="M120" s="3" t="s">
        <v>1299</v>
      </c>
      <c r="N120" s="3" t="s">
        <v>1300</v>
      </c>
      <c r="O120" s="3" t="s">
        <v>1299</v>
      </c>
    </row>
    <row r="121" spans="1:15" x14ac:dyDescent="0.15">
      <c r="A121" s="3">
        <v>116</v>
      </c>
      <c r="B121" s="3" t="s">
        <v>194</v>
      </c>
      <c r="M121" s="3" t="s">
        <v>1301</v>
      </c>
      <c r="N121" s="3" t="s">
        <v>1302</v>
      </c>
      <c r="O121" s="3" t="s">
        <v>1301</v>
      </c>
    </row>
    <row r="122" spans="1:15" x14ac:dyDescent="0.15">
      <c r="A122" s="3">
        <v>117</v>
      </c>
      <c r="B122" s="3" t="s">
        <v>195</v>
      </c>
      <c r="M122" s="3" t="s">
        <v>1303</v>
      </c>
      <c r="N122" s="3" t="s">
        <v>1304</v>
      </c>
      <c r="O122" s="3" t="s">
        <v>1303</v>
      </c>
    </row>
    <row r="123" spans="1:15" x14ac:dyDescent="0.15">
      <c r="A123" s="3">
        <v>118</v>
      </c>
      <c r="B123" s="3" t="s">
        <v>196</v>
      </c>
      <c r="M123" s="3" t="s">
        <v>1305</v>
      </c>
      <c r="N123" s="3" t="s">
        <v>1306</v>
      </c>
      <c r="O123" s="3" t="s">
        <v>1305</v>
      </c>
    </row>
    <row r="124" spans="1:15" x14ac:dyDescent="0.15">
      <c r="A124" s="3">
        <v>119</v>
      </c>
      <c r="B124" s="3" t="s">
        <v>197</v>
      </c>
      <c r="M124" s="3" t="s">
        <v>1307</v>
      </c>
      <c r="N124" s="3" t="s">
        <v>1308</v>
      </c>
      <c r="O124" s="3" t="s">
        <v>1307</v>
      </c>
    </row>
    <row r="125" spans="1:15" x14ac:dyDescent="0.15">
      <c r="A125" s="3">
        <v>120</v>
      </c>
      <c r="B125" s="3" t="s">
        <v>198</v>
      </c>
      <c r="M125" s="3" t="s">
        <v>1309</v>
      </c>
      <c r="N125" s="3" t="s">
        <v>1310</v>
      </c>
      <c r="O125" s="3" t="s">
        <v>1309</v>
      </c>
    </row>
    <row r="126" spans="1:15" x14ac:dyDescent="0.15">
      <c r="A126" s="3">
        <v>121</v>
      </c>
      <c r="B126" s="3" t="s">
        <v>199</v>
      </c>
      <c r="M126" s="23" t="s">
        <v>1311</v>
      </c>
      <c r="N126" s="23" t="s">
        <v>1401</v>
      </c>
      <c r="O126" s="23" t="s">
        <v>1400</v>
      </c>
    </row>
    <row r="127" spans="1:15" x14ac:dyDescent="0.15">
      <c r="A127" s="3">
        <v>122</v>
      </c>
      <c r="B127" s="3" t="s">
        <v>12</v>
      </c>
      <c r="M127" s="3" t="s">
        <v>1312</v>
      </c>
      <c r="N127" s="3" t="s">
        <v>1313</v>
      </c>
      <c r="O127" s="3" t="s">
        <v>1312</v>
      </c>
    </row>
    <row r="128" spans="1:15" x14ac:dyDescent="0.15">
      <c r="A128" s="3">
        <v>123</v>
      </c>
      <c r="B128" s="3" t="s">
        <v>200</v>
      </c>
      <c r="M128" s="3" t="s">
        <v>1314</v>
      </c>
      <c r="N128" s="3" t="s">
        <v>1315</v>
      </c>
      <c r="O128" s="3" t="s">
        <v>1314</v>
      </c>
    </row>
    <row r="129" spans="1:15" x14ac:dyDescent="0.15">
      <c r="A129" s="3">
        <v>125</v>
      </c>
      <c r="B129" s="3" t="s">
        <v>201</v>
      </c>
      <c r="M129" s="3" t="s">
        <v>1316</v>
      </c>
      <c r="N129" s="3" t="s">
        <v>1317</v>
      </c>
      <c r="O129" s="3" t="s">
        <v>1316</v>
      </c>
    </row>
    <row r="130" spans="1:15" x14ac:dyDescent="0.15">
      <c r="A130" s="3">
        <v>126</v>
      </c>
      <c r="B130" s="3" t="s">
        <v>202</v>
      </c>
      <c r="M130" s="3" t="s">
        <v>1318</v>
      </c>
      <c r="N130" s="3" t="s">
        <v>1319</v>
      </c>
      <c r="O130" s="3" t="s">
        <v>1318</v>
      </c>
    </row>
    <row r="131" spans="1:15" x14ac:dyDescent="0.15">
      <c r="A131" s="3">
        <v>127</v>
      </c>
      <c r="B131" s="3" t="s">
        <v>203</v>
      </c>
      <c r="M131" s="3" t="s">
        <v>1320</v>
      </c>
      <c r="N131" s="3" t="s">
        <v>1321</v>
      </c>
      <c r="O131" s="3" t="s">
        <v>1320</v>
      </c>
    </row>
    <row r="132" spans="1:15" x14ac:dyDescent="0.15">
      <c r="A132" s="3">
        <v>128</v>
      </c>
      <c r="B132" s="3" t="s">
        <v>204</v>
      </c>
      <c r="M132" s="3" t="s">
        <v>1322</v>
      </c>
      <c r="N132" s="3" t="s">
        <v>1323</v>
      </c>
      <c r="O132" s="3" t="s">
        <v>1322</v>
      </c>
    </row>
    <row r="133" spans="1:15" x14ac:dyDescent="0.15">
      <c r="A133" s="3">
        <v>129</v>
      </c>
      <c r="B133" s="3" t="s">
        <v>205</v>
      </c>
      <c r="M133" s="3" t="s">
        <v>1324</v>
      </c>
      <c r="N133" s="3" t="s">
        <v>1325</v>
      </c>
      <c r="O133" s="3" t="s">
        <v>1324</v>
      </c>
    </row>
    <row r="134" spans="1:15" x14ac:dyDescent="0.15">
      <c r="A134" s="3">
        <v>130</v>
      </c>
      <c r="B134" s="3" t="s">
        <v>206</v>
      </c>
      <c r="M134" s="3" t="s">
        <v>1326</v>
      </c>
      <c r="N134" s="3" t="s">
        <v>1327</v>
      </c>
      <c r="O134" s="3" t="s">
        <v>1326</v>
      </c>
    </row>
    <row r="135" spans="1:15" x14ac:dyDescent="0.15">
      <c r="A135" s="3">
        <v>131</v>
      </c>
      <c r="B135" s="3" t="s">
        <v>207</v>
      </c>
      <c r="M135" s="3" t="s">
        <v>1328</v>
      </c>
      <c r="N135" s="3" t="s">
        <v>1329</v>
      </c>
      <c r="O135" s="3" t="s">
        <v>1328</v>
      </c>
    </row>
    <row r="136" spans="1:15" x14ac:dyDescent="0.15">
      <c r="A136" s="3">
        <v>133</v>
      </c>
      <c r="B136" s="3" t="s">
        <v>208</v>
      </c>
      <c r="M136" s="3" t="s">
        <v>1330</v>
      </c>
      <c r="N136" s="3" t="s">
        <v>1331</v>
      </c>
      <c r="O136" s="3" t="s">
        <v>1330</v>
      </c>
    </row>
    <row r="137" spans="1:15" x14ac:dyDescent="0.15">
      <c r="A137" s="3">
        <v>134</v>
      </c>
      <c r="B137" s="3" t="s">
        <v>209</v>
      </c>
      <c r="M137" s="3" t="s">
        <v>1332</v>
      </c>
      <c r="N137" s="3" t="s">
        <v>1333</v>
      </c>
      <c r="O137" s="3" t="s">
        <v>1332</v>
      </c>
    </row>
    <row r="138" spans="1:15" x14ac:dyDescent="0.15">
      <c r="A138" s="3">
        <v>135</v>
      </c>
      <c r="B138" s="3" t="s">
        <v>210</v>
      </c>
      <c r="M138" s="3" t="s">
        <v>1334</v>
      </c>
      <c r="N138" s="3" t="s">
        <v>1335</v>
      </c>
      <c r="O138" s="3" t="s">
        <v>1334</v>
      </c>
    </row>
    <row r="139" spans="1:15" x14ac:dyDescent="0.15">
      <c r="A139" s="3">
        <v>136</v>
      </c>
      <c r="B139" s="3" t="s">
        <v>211</v>
      </c>
      <c r="M139" s="3" t="s">
        <v>1336</v>
      </c>
      <c r="N139" s="3" t="s">
        <v>1337</v>
      </c>
      <c r="O139" s="3" t="s">
        <v>1336</v>
      </c>
    </row>
    <row r="140" spans="1:15" x14ac:dyDescent="0.15">
      <c r="A140" s="3">
        <v>137</v>
      </c>
      <c r="B140" s="3" t="s">
        <v>212</v>
      </c>
      <c r="M140" s="3" t="s">
        <v>1338</v>
      </c>
      <c r="N140" s="3" t="s">
        <v>1339</v>
      </c>
      <c r="O140" s="3" t="s">
        <v>1338</v>
      </c>
    </row>
    <row r="141" spans="1:15" x14ac:dyDescent="0.15">
      <c r="A141" s="3">
        <v>138</v>
      </c>
      <c r="B141" s="3" t="s">
        <v>213</v>
      </c>
      <c r="M141" s="3" t="s">
        <v>1340</v>
      </c>
      <c r="N141" s="3" t="s">
        <v>1341</v>
      </c>
      <c r="O141" s="3" t="s">
        <v>1340</v>
      </c>
    </row>
    <row r="142" spans="1:15" x14ac:dyDescent="0.15">
      <c r="A142" s="3">
        <v>139</v>
      </c>
      <c r="B142" s="3" t="s">
        <v>214</v>
      </c>
      <c r="M142" s="3" t="s">
        <v>1342</v>
      </c>
      <c r="N142" s="3" t="s">
        <v>1343</v>
      </c>
      <c r="O142" s="3" t="s">
        <v>1342</v>
      </c>
    </row>
    <row r="143" spans="1:15" x14ac:dyDescent="0.15">
      <c r="A143" s="3">
        <v>140</v>
      </c>
      <c r="B143" s="3" t="s">
        <v>215</v>
      </c>
      <c r="M143" s="3" t="s">
        <v>1344</v>
      </c>
      <c r="N143" s="3" t="s">
        <v>1345</v>
      </c>
      <c r="O143" s="3" t="s">
        <v>1344</v>
      </c>
    </row>
    <row r="144" spans="1:15" x14ac:dyDescent="0.15">
      <c r="A144" s="3">
        <v>141</v>
      </c>
      <c r="B144" s="3" t="s">
        <v>216</v>
      </c>
      <c r="M144" s="3" t="s">
        <v>1346</v>
      </c>
      <c r="N144" s="3" t="s">
        <v>1347</v>
      </c>
      <c r="O144" s="3" t="s">
        <v>1346</v>
      </c>
    </row>
    <row r="145" spans="1:15" x14ac:dyDescent="0.15">
      <c r="A145" s="3">
        <v>142</v>
      </c>
      <c r="B145" s="3" t="s">
        <v>217</v>
      </c>
      <c r="M145" s="3" t="s">
        <v>1348</v>
      </c>
      <c r="N145" s="3" t="s">
        <v>1349</v>
      </c>
      <c r="O145" s="3" t="s">
        <v>1348</v>
      </c>
    </row>
    <row r="146" spans="1:15" x14ac:dyDescent="0.15">
      <c r="A146" s="3">
        <v>143</v>
      </c>
      <c r="B146" s="3" t="s">
        <v>218</v>
      </c>
      <c r="M146" s="3" t="s">
        <v>1350</v>
      </c>
      <c r="N146" s="3" t="s">
        <v>1351</v>
      </c>
      <c r="O146" s="3" t="s">
        <v>1350</v>
      </c>
    </row>
    <row r="147" spans="1:15" x14ac:dyDescent="0.15">
      <c r="A147" s="3">
        <v>144</v>
      </c>
      <c r="B147" s="3" t="s">
        <v>218</v>
      </c>
      <c r="M147" s="3" t="s">
        <v>1352</v>
      </c>
      <c r="N147" s="3" t="s">
        <v>1353</v>
      </c>
      <c r="O147" s="3" t="s">
        <v>1352</v>
      </c>
    </row>
    <row r="148" spans="1:15" x14ac:dyDescent="0.15">
      <c r="A148" s="3">
        <v>145</v>
      </c>
      <c r="B148" s="3" t="s">
        <v>218</v>
      </c>
      <c r="M148" s="3" t="s">
        <v>1354</v>
      </c>
      <c r="N148" s="3" t="s">
        <v>1355</v>
      </c>
      <c r="O148" s="3" t="s">
        <v>1354</v>
      </c>
    </row>
    <row r="149" spans="1:15" x14ac:dyDescent="0.15">
      <c r="A149" s="3">
        <v>146</v>
      </c>
      <c r="B149" s="3" t="s">
        <v>218</v>
      </c>
      <c r="M149" s="23" t="s">
        <v>1356</v>
      </c>
      <c r="N149" s="23" t="s">
        <v>1399</v>
      </c>
      <c r="O149" s="23" t="s">
        <v>1400</v>
      </c>
    </row>
    <row r="150" spans="1:15" x14ac:dyDescent="0.15">
      <c r="A150" s="3">
        <v>147</v>
      </c>
      <c r="B150" s="3" t="s">
        <v>218</v>
      </c>
      <c r="M150" s="3" t="s">
        <v>1357</v>
      </c>
      <c r="N150" s="3" t="s">
        <v>1358</v>
      </c>
      <c r="O150" s="3" t="s">
        <v>1357</v>
      </c>
    </row>
    <row r="151" spans="1:15" x14ac:dyDescent="0.15">
      <c r="A151" s="3">
        <v>148</v>
      </c>
      <c r="B151" s="3" t="s">
        <v>219</v>
      </c>
      <c r="M151" s="3" t="s">
        <v>1359</v>
      </c>
      <c r="N151" s="3" t="s">
        <v>1360</v>
      </c>
      <c r="O151" s="3" t="s">
        <v>1359</v>
      </c>
    </row>
    <row r="152" spans="1:15" x14ac:dyDescent="0.15">
      <c r="A152" s="3">
        <v>149</v>
      </c>
      <c r="B152" s="3" t="s">
        <v>220</v>
      </c>
      <c r="M152" s="3" t="s">
        <v>1361</v>
      </c>
      <c r="N152" s="3" t="s">
        <v>1362</v>
      </c>
      <c r="O152" s="3" t="s">
        <v>1361</v>
      </c>
    </row>
    <row r="153" spans="1:15" x14ac:dyDescent="0.15">
      <c r="A153" s="3">
        <v>150</v>
      </c>
      <c r="B153" s="3" t="s">
        <v>13</v>
      </c>
      <c r="M153" s="3" t="s">
        <v>1363</v>
      </c>
      <c r="N153" s="3" t="s">
        <v>1364</v>
      </c>
      <c r="O153" s="3" t="s">
        <v>1363</v>
      </c>
    </row>
    <row r="154" spans="1:15" x14ac:dyDescent="0.15">
      <c r="A154" s="3">
        <v>151</v>
      </c>
      <c r="B154" s="3" t="s">
        <v>221</v>
      </c>
      <c r="M154" s="3" t="s">
        <v>1365</v>
      </c>
      <c r="N154" s="3" t="s">
        <v>1366</v>
      </c>
      <c r="O154" s="3" t="s">
        <v>1365</v>
      </c>
    </row>
    <row r="155" spans="1:15" x14ac:dyDescent="0.15">
      <c r="A155" s="3">
        <v>152</v>
      </c>
      <c r="B155" s="3" t="s">
        <v>222</v>
      </c>
      <c r="M155" s="3" t="s">
        <v>1367</v>
      </c>
      <c r="N155" s="3" t="s">
        <v>1368</v>
      </c>
      <c r="O155" s="3" t="s">
        <v>1367</v>
      </c>
    </row>
    <row r="156" spans="1:15" x14ac:dyDescent="0.15">
      <c r="A156" s="3">
        <v>153</v>
      </c>
      <c r="B156" s="3" t="s">
        <v>223</v>
      </c>
      <c r="M156" s="3" t="s">
        <v>1369</v>
      </c>
      <c r="N156" s="3" t="s">
        <v>1370</v>
      </c>
      <c r="O156" s="3" t="s">
        <v>1369</v>
      </c>
    </row>
    <row r="157" spans="1:15" x14ac:dyDescent="0.15">
      <c r="A157" s="3">
        <v>155</v>
      </c>
      <c r="B157" s="3" t="s">
        <v>224</v>
      </c>
      <c r="M157" s="3" t="s">
        <v>1371</v>
      </c>
      <c r="N157" s="3" t="s">
        <v>1372</v>
      </c>
      <c r="O157" s="3" t="s">
        <v>1371</v>
      </c>
    </row>
    <row r="158" spans="1:15" x14ac:dyDescent="0.15">
      <c r="A158" s="3">
        <v>156</v>
      </c>
      <c r="B158" s="3" t="s">
        <v>225</v>
      </c>
      <c r="M158" s="3" t="s">
        <v>1373</v>
      </c>
      <c r="N158" s="3" t="s">
        <v>1374</v>
      </c>
      <c r="O158" s="3" t="s">
        <v>1373</v>
      </c>
    </row>
    <row r="159" spans="1:15" x14ac:dyDescent="0.15">
      <c r="A159" s="3">
        <v>157</v>
      </c>
      <c r="B159" s="3" t="s">
        <v>226</v>
      </c>
      <c r="M159" s="3" t="s">
        <v>1375</v>
      </c>
      <c r="N159" s="3" t="s">
        <v>1376</v>
      </c>
      <c r="O159" s="3" t="s">
        <v>1375</v>
      </c>
    </row>
    <row r="160" spans="1:15" x14ac:dyDescent="0.15">
      <c r="A160" s="3">
        <v>158</v>
      </c>
      <c r="B160" s="3" t="s">
        <v>227</v>
      </c>
      <c r="M160" s="3" t="s">
        <v>1377</v>
      </c>
      <c r="N160" s="3" t="s">
        <v>1378</v>
      </c>
      <c r="O160" s="3" t="s">
        <v>1377</v>
      </c>
    </row>
    <row r="161" spans="1:15" x14ac:dyDescent="0.15">
      <c r="A161" s="3">
        <v>159</v>
      </c>
      <c r="B161" s="3" t="s">
        <v>14</v>
      </c>
      <c r="M161" s="3" t="s">
        <v>1379</v>
      </c>
      <c r="N161" s="3" t="s">
        <v>1380</v>
      </c>
      <c r="O161" s="3" t="s">
        <v>1379</v>
      </c>
    </row>
    <row r="162" spans="1:15" x14ac:dyDescent="0.15">
      <c r="A162" s="3">
        <v>160</v>
      </c>
      <c r="B162" s="3" t="s">
        <v>228</v>
      </c>
      <c r="M162" s="23" t="s">
        <v>1381</v>
      </c>
      <c r="N162" s="23" t="s">
        <v>1399</v>
      </c>
      <c r="O162" s="23" t="s">
        <v>1400</v>
      </c>
    </row>
    <row r="163" spans="1:15" x14ac:dyDescent="0.15">
      <c r="A163" s="3">
        <v>161</v>
      </c>
      <c r="B163" s="3" t="s">
        <v>229</v>
      </c>
      <c r="M163" s="3" t="s">
        <v>1382</v>
      </c>
      <c r="N163" s="3" t="s">
        <v>1383</v>
      </c>
      <c r="O163" s="3" t="s">
        <v>1382</v>
      </c>
    </row>
    <row r="164" spans="1:15" x14ac:dyDescent="0.15">
      <c r="A164" s="3">
        <v>162</v>
      </c>
      <c r="B164" s="3" t="s">
        <v>230</v>
      </c>
      <c r="M164" s="3" t="s">
        <v>1384</v>
      </c>
      <c r="N164" s="3" t="s">
        <v>1385</v>
      </c>
      <c r="O164" s="3" t="s">
        <v>1384</v>
      </c>
    </row>
    <row r="165" spans="1:15" x14ac:dyDescent="0.15">
      <c r="A165" s="3">
        <v>163</v>
      </c>
      <c r="B165" s="3" t="s">
        <v>231</v>
      </c>
      <c r="M165" s="3" t="s">
        <v>1386</v>
      </c>
      <c r="N165" s="3" t="s">
        <v>1387</v>
      </c>
      <c r="O165" s="3" t="s">
        <v>1386</v>
      </c>
    </row>
    <row r="166" spans="1:15" x14ac:dyDescent="0.15">
      <c r="A166" s="3">
        <v>164</v>
      </c>
      <c r="B166" s="3" t="s">
        <v>232</v>
      </c>
      <c r="M166" s="3" t="s">
        <v>1388</v>
      </c>
      <c r="N166" s="3" t="s">
        <v>1389</v>
      </c>
      <c r="O166" s="3" t="s">
        <v>1390</v>
      </c>
    </row>
    <row r="167" spans="1:15" x14ac:dyDescent="0.15">
      <c r="A167" s="3">
        <v>165</v>
      </c>
      <c r="B167" s="3" t="s">
        <v>233</v>
      </c>
      <c r="M167" s="3" t="s">
        <v>1391</v>
      </c>
      <c r="N167" s="3" t="s">
        <v>1392</v>
      </c>
      <c r="O167" s="3" t="s">
        <v>1393</v>
      </c>
    </row>
    <row r="168" spans="1:15" x14ac:dyDescent="0.15">
      <c r="A168" s="3">
        <v>167</v>
      </c>
      <c r="B168" s="3" t="s">
        <v>234</v>
      </c>
      <c r="M168" s="3">
        <v>666666</v>
      </c>
      <c r="N168" s="3" t="s">
        <v>1394</v>
      </c>
      <c r="O168" s="3">
        <v>666666</v>
      </c>
    </row>
    <row r="169" spans="1:15" x14ac:dyDescent="0.15">
      <c r="A169" s="3">
        <v>169</v>
      </c>
      <c r="B169" s="3" t="s">
        <v>235</v>
      </c>
      <c r="M169" s="3" t="s">
        <v>1395</v>
      </c>
      <c r="N169" s="3" t="s">
        <v>1396</v>
      </c>
      <c r="O169" s="3" t="s">
        <v>1395</v>
      </c>
    </row>
    <row r="170" spans="1:15" x14ac:dyDescent="0.15">
      <c r="A170" s="3">
        <v>170</v>
      </c>
      <c r="B170" s="3" t="s">
        <v>236</v>
      </c>
      <c r="M170" s="3" t="s">
        <v>1397</v>
      </c>
      <c r="N170" s="3" t="s">
        <v>1398</v>
      </c>
      <c r="O170" s="3" t="s">
        <v>1397</v>
      </c>
    </row>
    <row r="171" spans="1:15" x14ac:dyDescent="0.15">
      <c r="A171" s="3">
        <v>171</v>
      </c>
      <c r="B171" s="3" t="s">
        <v>237</v>
      </c>
      <c r="M171" s="3"/>
      <c r="N171" s="3"/>
      <c r="O171" s="3"/>
    </row>
    <row r="172" spans="1:15" x14ac:dyDescent="0.15">
      <c r="A172" s="3">
        <v>172</v>
      </c>
      <c r="B172" s="3" t="s">
        <v>15</v>
      </c>
      <c r="M172" s="3"/>
      <c r="N172" s="3"/>
      <c r="O172" s="3"/>
    </row>
    <row r="173" spans="1:15" x14ac:dyDescent="0.15">
      <c r="A173" s="3">
        <v>173</v>
      </c>
      <c r="B173" s="3" t="s">
        <v>238</v>
      </c>
      <c r="M173" s="3"/>
      <c r="N173" s="3"/>
      <c r="O173" s="3"/>
    </row>
    <row r="174" spans="1:15" x14ac:dyDescent="0.15">
      <c r="A174" s="3">
        <v>174</v>
      </c>
      <c r="B174" s="3" t="s">
        <v>239</v>
      </c>
      <c r="M174" s="3"/>
      <c r="N174" s="3"/>
      <c r="O174" s="3"/>
    </row>
    <row r="175" spans="1:15" x14ac:dyDescent="0.15">
      <c r="A175" s="3">
        <v>175</v>
      </c>
      <c r="B175" s="3" t="s">
        <v>44</v>
      </c>
      <c r="M175" s="3"/>
      <c r="N175" s="3"/>
      <c r="O175" s="3"/>
    </row>
    <row r="176" spans="1:15" x14ac:dyDescent="0.15">
      <c r="A176" s="3">
        <v>176</v>
      </c>
      <c r="B176" s="3" t="s">
        <v>240</v>
      </c>
      <c r="M176" s="3"/>
      <c r="N176" s="3"/>
      <c r="O176" s="3"/>
    </row>
    <row r="177" spans="1:15" x14ac:dyDescent="0.15">
      <c r="A177" s="3">
        <v>177</v>
      </c>
      <c r="B177" s="3" t="s">
        <v>241</v>
      </c>
      <c r="M177" s="3"/>
      <c r="N177" s="3"/>
      <c r="O177" s="3"/>
    </row>
    <row r="178" spans="1:15" x14ac:dyDescent="0.15">
      <c r="A178" s="3">
        <v>178</v>
      </c>
      <c r="B178" s="3" t="s">
        <v>242</v>
      </c>
      <c r="M178" s="3"/>
      <c r="N178" s="3"/>
      <c r="O178" s="3"/>
    </row>
    <row r="179" spans="1:15" x14ac:dyDescent="0.15">
      <c r="A179" s="3">
        <v>179</v>
      </c>
      <c r="B179" s="3" t="s">
        <v>243</v>
      </c>
      <c r="M179" s="3"/>
      <c r="N179" s="3"/>
      <c r="O179" s="3"/>
    </row>
    <row r="180" spans="1:15" x14ac:dyDescent="0.15">
      <c r="A180" s="3">
        <v>181</v>
      </c>
      <c r="B180" s="3" t="s">
        <v>244</v>
      </c>
      <c r="M180" s="3"/>
      <c r="N180" s="3"/>
      <c r="O180" s="3"/>
    </row>
    <row r="181" spans="1:15" x14ac:dyDescent="0.15">
      <c r="A181" s="3">
        <v>182</v>
      </c>
      <c r="B181" s="3" t="s">
        <v>245</v>
      </c>
      <c r="M181" s="3"/>
      <c r="N181" s="3"/>
      <c r="O181" s="3"/>
    </row>
    <row r="182" spans="1:15" x14ac:dyDescent="0.15">
      <c r="A182" s="3">
        <v>183</v>
      </c>
      <c r="B182" s="3" t="s">
        <v>246</v>
      </c>
      <c r="M182" s="3"/>
      <c r="N182" s="3"/>
      <c r="O182" s="3"/>
    </row>
    <row r="183" spans="1:15" x14ac:dyDescent="0.15">
      <c r="A183" s="3">
        <v>184</v>
      </c>
      <c r="B183" s="3" t="s">
        <v>247</v>
      </c>
      <c r="M183" s="3"/>
      <c r="N183" s="3"/>
      <c r="O183" s="3"/>
    </row>
    <row r="184" spans="1:15" x14ac:dyDescent="0.15">
      <c r="A184" s="3">
        <v>186</v>
      </c>
      <c r="B184" s="3" t="s">
        <v>16</v>
      </c>
      <c r="M184" s="3"/>
      <c r="N184" s="3"/>
      <c r="O184" s="3"/>
    </row>
    <row r="185" spans="1:15" x14ac:dyDescent="0.15">
      <c r="A185" s="3">
        <v>187</v>
      </c>
      <c r="B185" s="3" t="s">
        <v>248</v>
      </c>
      <c r="M185" s="3"/>
      <c r="N185" s="3"/>
      <c r="O185" s="3"/>
    </row>
    <row r="186" spans="1:15" x14ac:dyDescent="0.15">
      <c r="A186" s="3">
        <v>189</v>
      </c>
      <c r="B186" s="3" t="s">
        <v>249</v>
      </c>
      <c r="M186" s="3"/>
      <c r="N186" s="3"/>
      <c r="O186" s="3"/>
    </row>
    <row r="187" spans="1:15" x14ac:dyDescent="0.15">
      <c r="A187" s="3">
        <v>190</v>
      </c>
      <c r="B187" s="3" t="s">
        <v>250</v>
      </c>
      <c r="M187" s="3"/>
      <c r="N187" s="3"/>
      <c r="O187" s="3"/>
    </row>
    <row r="188" spans="1:15" x14ac:dyDescent="0.15">
      <c r="A188" s="3">
        <v>191</v>
      </c>
      <c r="B188" s="3" t="s">
        <v>251</v>
      </c>
      <c r="M188" s="3"/>
      <c r="N188" s="3"/>
      <c r="O188" s="3"/>
    </row>
    <row r="189" spans="1:15" x14ac:dyDescent="0.15">
      <c r="A189" s="3">
        <v>192</v>
      </c>
      <c r="B189" s="3" t="s">
        <v>252</v>
      </c>
      <c r="M189" s="3"/>
      <c r="N189" s="3"/>
      <c r="O189" s="3"/>
    </row>
    <row r="190" spans="1:15" x14ac:dyDescent="0.15">
      <c r="A190" s="3">
        <v>193</v>
      </c>
      <c r="B190" s="3" t="s">
        <v>253</v>
      </c>
      <c r="M190" s="3"/>
      <c r="N190" s="3"/>
      <c r="O190" s="3"/>
    </row>
    <row r="191" spans="1:15" x14ac:dyDescent="0.15">
      <c r="A191" s="3">
        <v>194</v>
      </c>
      <c r="B191" s="3" t="s">
        <v>254</v>
      </c>
      <c r="M191" s="3"/>
      <c r="N191" s="3"/>
      <c r="O191" s="3"/>
    </row>
    <row r="192" spans="1:15" x14ac:dyDescent="0.15">
      <c r="A192" s="3">
        <v>195</v>
      </c>
      <c r="B192" s="3" t="s">
        <v>255</v>
      </c>
      <c r="M192" s="3"/>
      <c r="N192" s="3"/>
      <c r="O192" s="3"/>
    </row>
    <row r="193" spans="1:15" x14ac:dyDescent="0.15">
      <c r="A193" s="3">
        <v>196</v>
      </c>
      <c r="B193" s="3" t="s">
        <v>256</v>
      </c>
      <c r="M193" s="3"/>
      <c r="N193" s="3"/>
      <c r="O193" s="3"/>
    </row>
    <row r="194" spans="1:15" x14ac:dyDescent="0.15">
      <c r="A194" s="3">
        <v>197</v>
      </c>
      <c r="B194" s="3" t="s">
        <v>253</v>
      </c>
      <c r="M194" s="3"/>
      <c r="N194" s="3"/>
      <c r="O194" s="3"/>
    </row>
    <row r="195" spans="1:15" x14ac:dyDescent="0.15">
      <c r="A195" s="3">
        <v>198</v>
      </c>
      <c r="B195" s="3" t="s">
        <v>257</v>
      </c>
      <c r="M195" s="3"/>
      <c r="N195" s="3"/>
      <c r="O195" s="3"/>
    </row>
    <row r="196" spans="1:15" x14ac:dyDescent="0.15">
      <c r="A196" s="3">
        <v>199</v>
      </c>
      <c r="B196" s="3" t="s">
        <v>258</v>
      </c>
      <c r="M196" s="3"/>
      <c r="N196" s="3"/>
      <c r="O196" s="3"/>
    </row>
    <row r="197" spans="1:15" x14ac:dyDescent="0.15">
      <c r="A197" s="3">
        <v>200</v>
      </c>
      <c r="B197" s="3" t="s">
        <v>259</v>
      </c>
      <c r="M197" s="3"/>
      <c r="N197" s="3"/>
      <c r="O197" s="3"/>
    </row>
    <row r="198" spans="1:15" x14ac:dyDescent="0.15">
      <c r="A198" s="3">
        <v>203</v>
      </c>
      <c r="B198" s="3" t="s">
        <v>260</v>
      </c>
      <c r="M198" s="3"/>
      <c r="N198" s="3"/>
      <c r="O198" s="3"/>
    </row>
    <row r="199" spans="1:15" x14ac:dyDescent="0.15">
      <c r="A199" s="3">
        <v>204</v>
      </c>
      <c r="B199" s="3" t="s">
        <v>261</v>
      </c>
      <c r="M199" s="3"/>
      <c r="N199" s="3"/>
      <c r="O199" s="3"/>
    </row>
    <row r="200" spans="1:15" x14ac:dyDescent="0.15">
      <c r="A200" s="3">
        <v>205</v>
      </c>
      <c r="B200" s="3" t="s">
        <v>262</v>
      </c>
      <c r="M200" s="3"/>
      <c r="N200" s="3"/>
      <c r="O200" s="3"/>
    </row>
    <row r="201" spans="1:15" x14ac:dyDescent="0.15">
      <c r="A201" s="3">
        <v>206</v>
      </c>
      <c r="B201" s="3" t="s">
        <v>263</v>
      </c>
      <c r="M201" s="3"/>
      <c r="N201" s="3"/>
      <c r="O201" s="3"/>
    </row>
    <row r="202" spans="1:15" x14ac:dyDescent="0.15">
      <c r="A202" s="3">
        <v>209</v>
      </c>
      <c r="B202" s="3" t="s">
        <v>264</v>
      </c>
      <c r="M202" s="3"/>
      <c r="N202" s="3"/>
      <c r="O202" s="3"/>
    </row>
    <row r="203" spans="1:15" x14ac:dyDescent="0.15">
      <c r="A203" s="3">
        <v>211</v>
      </c>
      <c r="B203" s="3" t="s">
        <v>265</v>
      </c>
      <c r="M203" s="3"/>
      <c r="N203" s="3"/>
      <c r="O203" s="3"/>
    </row>
    <row r="204" spans="1:15" x14ac:dyDescent="0.15">
      <c r="A204" s="3">
        <v>212</v>
      </c>
      <c r="B204" s="3" t="s">
        <v>266</v>
      </c>
      <c r="M204" s="3"/>
      <c r="N204" s="3"/>
      <c r="O204" s="3"/>
    </row>
    <row r="205" spans="1:15" x14ac:dyDescent="0.15">
      <c r="A205" s="3">
        <v>213</v>
      </c>
      <c r="B205" s="3" t="s">
        <v>267</v>
      </c>
      <c r="M205" s="3"/>
      <c r="N205" s="3"/>
      <c r="O205" s="3"/>
    </row>
    <row r="206" spans="1:15" x14ac:dyDescent="0.15">
      <c r="A206" s="3">
        <v>214</v>
      </c>
      <c r="B206" s="3" t="s">
        <v>17</v>
      </c>
      <c r="M206" s="3"/>
      <c r="N206" s="3"/>
      <c r="O206" s="3"/>
    </row>
    <row r="207" spans="1:15" x14ac:dyDescent="0.15">
      <c r="A207" s="3">
        <v>215</v>
      </c>
      <c r="B207" s="3" t="s">
        <v>268</v>
      </c>
      <c r="M207" s="3"/>
      <c r="N207" s="3"/>
      <c r="O207" s="3"/>
    </row>
    <row r="208" spans="1:15" x14ac:dyDescent="0.15">
      <c r="A208" s="3">
        <v>216</v>
      </c>
      <c r="B208" s="3" t="s">
        <v>18</v>
      </c>
      <c r="M208" s="3"/>
      <c r="N208" s="3"/>
      <c r="O208" s="3"/>
    </row>
    <row r="209" spans="1:15" x14ac:dyDescent="0.15">
      <c r="A209" s="3">
        <v>217</v>
      </c>
      <c r="B209" s="3" t="s">
        <v>19</v>
      </c>
      <c r="M209" s="3"/>
      <c r="N209" s="3"/>
      <c r="O209" s="3"/>
    </row>
    <row r="210" spans="1:15" x14ac:dyDescent="0.15">
      <c r="A210" s="3">
        <v>218</v>
      </c>
      <c r="B210" s="3" t="s">
        <v>269</v>
      </c>
      <c r="M210" s="3"/>
      <c r="N210" s="3"/>
      <c r="O210" s="3"/>
    </row>
    <row r="211" spans="1:15" x14ac:dyDescent="0.15">
      <c r="A211" s="3">
        <v>219</v>
      </c>
      <c r="B211" s="3" t="s">
        <v>270</v>
      </c>
      <c r="M211" s="3"/>
      <c r="N211" s="3"/>
      <c r="O211" s="3"/>
    </row>
    <row r="212" spans="1:15" x14ac:dyDescent="0.15">
      <c r="A212" s="3">
        <v>220</v>
      </c>
      <c r="B212" s="3" t="s">
        <v>271</v>
      </c>
      <c r="M212" s="3"/>
      <c r="N212" s="3"/>
      <c r="O212" s="3"/>
    </row>
    <row r="213" spans="1:15" x14ac:dyDescent="0.15">
      <c r="A213" s="3">
        <v>221</v>
      </c>
      <c r="B213" s="3" t="s">
        <v>272</v>
      </c>
      <c r="M213" s="3"/>
      <c r="N213" s="3"/>
      <c r="O213" s="3"/>
    </row>
    <row r="214" spans="1:15" x14ac:dyDescent="0.15">
      <c r="A214" s="3">
        <v>222</v>
      </c>
      <c r="B214" s="3" t="s">
        <v>273</v>
      </c>
      <c r="M214" s="3"/>
      <c r="N214" s="3"/>
      <c r="O214" s="3"/>
    </row>
    <row r="215" spans="1:15" x14ac:dyDescent="0.15">
      <c r="A215" s="3">
        <v>224</v>
      </c>
      <c r="B215" s="3" t="s">
        <v>274</v>
      </c>
      <c r="M215" s="3"/>
      <c r="N215" s="3"/>
      <c r="O215" s="3"/>
    </row>
    <row r="216" spans="1:15" x14ac:dyDescent="0.15">
      <c r="A216" s="3">
        <v>225</v>
      </c>
      <c r="B216" s="3" t="s">
        <v>275</v>
      </c>
      <c r="M216" s="3"/>
      <c r="N216" s="3"/>
      <c r="O216" s="3"/>
    </row>
    <row r="217" spans="1:15" x14ac:dyDescent="0.15">
      <c r="A217" s="3">
        <v>227</v>
      </c>
      <c r="B217" s="3" t="s">
        <v>276</v>
      </c>
      <c r="M217" s="3"/>
      <c r="N217" s="3"/>
      <c r="O217" s="3"/>
    </row>
    <row r="218" spans="1:15" x14ac:dyDescent="0.15">
      <c r="A218" s="3">
        <v>228</v>
      </c>
      <c r="B218" s="3" t="s">
        <v>277</v>
      </c>
      <c r="M218" s="3"/>
      <c r="N218" s="3"/>
      <c r="O218" s="3"/>
    </row>
    <row r="219" spans="1:15" x14ac:dyDescent="0.15">
      <c r="A219" s="3">
        <v>229</v>
      </c>
      <c r="B219" s="3" t="s">
        <v>278</v>
      </c>
      <c r="M219" s="3"/>
      <c r="N219" s="3"/>
      <c r="O219" s="3"/>
    </row>
    <row r="220" spans="1:15" x14ac:dyDescent="0.15">
      <c r="A220" s="3">
        <v>230</v>
      </c>
      <c r="B220" s="3" t="s">
        <v>279</v>
      </c>
      <c r="M220" s="3"/>
      <c r="N220" s="3"/>
      <c r="O220" s="3"/>
    </row>
    <row r="221" spans="1:15" x14ac:dyDescent="0.15">
      <c r="A221" s="3">
        <v>231</v>
      </c>
      <c r="B221" s="3" t="s">
        <v>280</v>
      </c>
      <c r="M221" s="3"/>
      <c r="N221" s="3"/>
      <c r="O221" s="3"/>
    </row>
    <row r="222" spans="1:15" x14ac:dyDescent="0.15">
      <c r="A222" s="3">
        <v>232</v>
      </c>
      <c r="B222" s="3" t="s">
        <v>281</v>
      </c>
      <c r="M222" s="3"/>
      <c r="N222" s="3"/>
      <c r="O222" s="3"/>
    </row>
    <row r="223" spans="1:15" x14ac:dyDescent="0.15">
      <c r="A223" s="3">
        <v>233</v>
      </c>
      <c r="B223" s="3" t="s">
        <v>282</v>
      </c>
      <c r="M223" s="3"/>
      <c r="N223" s="3"/>
      <c r="O223" s="3"/>
    </row>
    <row r="224" spans="1:15" x14ac:dyDescent="0.15">
      <c r="A224" s="3">
        <v>234</v>
      </c>
      <c r="B224" s="3" t="s">
        <v>283</v>
      </c>
      <c r="M224" s="3"/>
      <c r="N224" s="3"/>
      <c r="O224" s="3"/>
    </row>
    <row r="225" spans="1:15" x14ac:dyDescent="0.15">
      <c r="A225" s="3">
        <v>235</v>
      </c>
      <c r="B225" s="3" t="s">
        <v>284</v>
      </c>
      <c r="M225" s="3"/>
      <c r="N225" s="3"/>
      <c r="O225" s="3"/>
    </row>
    <row r="226" spans="1:15" x14ac:dyDescent="0.15">
      <c r="A226" s="3">
        <v>236</v>
      </c>
      <c r="B226" s="3" t="s">
        <v>285</v>
      </c>
      <c r="M226" s="3"/>
      <c r="N226" s="3"/>
      <c r="O226" s="3"/>
    </row>
    <row r="227" spans="1:15" x14ac:dyDescent="0.15">
      <c r="A227" s="3">
        <v>237</v>
      </c>
      <c r="B227" s="3" t="s">
        <v>286</v>
      </c>
      <c r="M227" s="3"/>
      <c r="N227" s="3"/>
      <c r="O227" s="3"/>
    </row>
    <row r="228" spans="1:15" x14ac:dyDescent="0.15">
      <c r="A228" s="3">
        <v>238</v>
      </c>
      <c r="B228" s="3" t="s">
        <v>287</v>
      </c>
      <c r="M228" s="3"/>
      <c r="N228" s="3"/>
      <c r="O228" s="3"/>
    </row>
    <row r="229" spans="1:15" x14ac:dyDescent="0.15">
      <c r="A229" s="3">
        <v>239</v>
      </c>
      <c r="B229" s="3" t="s">
        <v>20</v>
      </c>
      <c r="M229" s="3"/>
      <c r="N229" s="3"/>
      <c r="O229" s="3"/>
    </row>
    <row r="230" spans="1:15" x14ac:dyDescent="0.15">
      <c r="A230" s="3">
        <v>240</v>
      </c>
      <c r="B230" s="3" t="s">
        <v>288</v>
      </c>
      <c r="M230" s="3"/>
      <c r="N230" s="3"/>
      <c r="O230" s="3"/>
    </row>
    <row r="231" spans="1:15" x14ac:dyDescent="0.15">
      <c r="A231" s="3">
        <v>241</v>
      </c>
      <c r="B231" s="3" t="s">
        <v>289</v>
      </c>
      <c r="M231" s="3"/>
      <c r="N231" s="3"/>
      <c r="O231" s="3"/>
    </row>
    <row r="232" spans="1:15" x14ac:dyDescent="0.15">
      <c r="A232" s="3">
        <v>242</v>
      </c>
      <c r="B232" s="3" t="s">
        <v>290</v>
      </c>
      <c r="M232" s="3"/>
      <c r="N232" s="3"/>
      <c r="O232" s="3"/>
    </row>
    <row r="233" spans="1:15" x14ac:dyDescent="0.15">
      <c r="A233" s="3">
        <v>243</v>
      </c>
      <c r="B233" s="3" t="s">
        <v>21</v>
      </c>
      <c r="M233" s="3"/>
      <c r="N233" s="3"/>
      <c r="O233" s="3"/>
    </row>
    <row r="234" spans="1:15" x14ac:dyDescent="0.15">
      <c r="A234" s="3">
        <v>244</v>
      </c>
      <c r="B234" s="3" t="s">
        <v>291</v>
      </c>
      <c r="M234" s="3"/>
      <c r="N234" s="3"/>
      <c r="O234" s="3"/>
    </row>
    <row r="235" spans="1:15" x14ac:dyDescent="0.15">
      <c r="A235" s="3">
        <v>245</v>
      </c>
      <c r="B235" s="3" t="s">
        <v>292</v>
      </c>
      <c r="M235" s="3"/>
      <c r="N235" s="3"/>
      <c r="O235" s="3"/>
    </row>
    <row r="236" spans="1:15" x14ac:dyDescent="0.15">
      <c r="A236" s="3">
        <v>246</v>
      </c>
      <c r="B236" s="3" t="s">
        <v>293</v>
      </c>
      <c r="M236" s="3"/>
      <c r="N236" s="3"/>
      <c r="O236" s="3"/>
    </row>
    <row r="237" spans="1:15" x14ac:dyDescent="0.15">
      <c r="A237" s="3">
        <v>247</v>
      </c>
      <c r="B237" s="3" t="s">
        <v>294</v>
      </c>
      <c r="M237" s="3"/>
      <c r="N237" s="3"/>
      <c r="O237" s="3"/>
    </row>
    <row r="238" spans="1:15" x14ac:dyDescent="0.15">
      <c r="A238" s="3">
        <v>248</v>
      </c>
      <c r="B238" s="3" t="s">
        <v>295</v>
      </c>
      <c r="M238" s="3"/>
      <c r="N238" s="3"/>
      <c r="O238" s="3"/>
    </row>
    <row r="239" spans="1:15" x14ac:dyDescent="0.15">
      <c r="A239" s="3">
        <v>249</v>
      </c>
      <c r="B239" s="3" t="s">
        <v>296</v>
      </c>
      <c r="M239" s="3"/>
      <c r="N239" s="3"/>
      <c r="O239" s="3"/>
    </row>
    <row r="240" spans="1:15" x14ac:dyDescent="0.15">
      <c r="A240" s="3">
        <v>250</v>
      </c>
      <c r="B240" s="3" t="s">
        <v>297</v>
      </c>
      <c r="M240" s="3"/>
      <c r="N240" s="3"/>
      <c r="O240" s="3"/>
    </row>
    <row r="241" spans="1:15" x14ac:dyDescent="0.15">
      <c r="A241" s="3">
        <v>251</v>
      </c>
      <c r="B241" s="3" t="s">
        <v>298</v>
      </c>
      <c r="M241" s="3"/>
      <c r="N241" s="3"/>
      <c r="O241" s="3"/>
    </row>
    <row r="242" spans="1:15" x14ac:dyDescent="0.15">
      <c r="A242" s="3">
        <v>256</v>
      </c>
      <c r="B242" s="3" t="s">
        <v>299</v>
      </c>
      <c r="M242" s="3"/>
      <c r="N242" s="3"/>
      <c r="O242" s="3"/>
    </row>
    <row r="243" spans="1:15" x14ac:dyDescent="0.15">
      <c r="A243" s="3">
        <v>257</v>
      </c>
      <c r="B243" s="3" t="s">
        <v>300</v>
      </c>
      <c r="M243" s="3"/>
      <c r="N243" s="3"/>
      <c r="O243" s="3"/>
    </row>
    <row r="244" spans="1:15" x14ac:dyDescent="0.15">
      <c r="A244" s="3">
        <v>258</v>
      </c>
      <c r="B244" s="3" t="s">
        <v>301</v>
      </c>
      <c r="M244" s="3"/>
      <c r="N244" s="3"/>
      <c r="O244" s="3"/>
    </row>
    <row r="245" spans="1:15" x14ac:dyDescent="0.15">
      <c r="A245" s="3">
        <v>259</v>
      </c>
      <c r="B245" s="3" t="s">
        <v>302</v>
      </c>
      <c r="M245" s="3"/>
      <c r="N245" s="3"/>
      <c r="O245" s="3"/>
    </row>
    <row r="246" spans="1:15" x14ac:dyDescent="0.15">
      <c r="A246" s="3">
        <v>260</v>
      </c>
      <c r="B246" s="3" t="s">
        <v>303</v>
      </c>
      <c r="M246" s="3"/>
      <c r="N246" s="3"/>
      <c r="O246" s="3"/>
    </row>
    <row r="247" spans="1:15" x14ac:dyDescent="0.15">
      <c r="A247" s="3">
        <v>261</v>
      </c>
      <c r="B247" s="3" t="s">
        <v>304</v>
      </c>
      <c r="M247" s="3"/>
      <c r="N247" s="3"/>
      <c r="O247" s="3"/>
    </row>
    <row r="248" spans="1:15" x14ac:dyDescent="0.15">
      <c r="A248" s="3">
        <v>262</v>
      </c>
      <c r="B248" s="3" t="s">
        <v>305</v>
      </c>
      <c r="M248" s="3"/>
      <c r="N248" s="3"/>
      <c r="O248" s="3"/>
    </row>
    <row r="249" spans="1:15" x14ac:dyDescent="0.15">
      <c r="A249" s="3">
        <v>263</v>
      </c>
      <c r="B249" s="3" t="s">
        <v>306</v>
      </c>
      <c r="M249" s="3"/>
      <c r="N249" s="3"/>
      <c r="O249" s="3"/>
    </row>
    <row r="250" spans="1:15" x14ac:dyDescent="0.15">
      <c r="A250" s="3">
        <v>264</v>
      </c>
      <c r="B250" s="3" t="s">
        <v>307</v>
      </c>
      <c r="M250" s="3"/>
      <c r="N250" s="3"/>
      <c r="O250" s="3"/>
    </row>
    <row r="251" spans="1:15" x14ac:dyDescent="0.15">
      <c r="A251" s="3">
        <v>265</v>
      </c>
      <c r="B251" s="3" t="s">
        <v>308</v>
      </c>
      <c r="M251" s="3"/>
      <c r="N251" s="3"/>
      <c r="O251" s="3"/>
    </row>
    <row r="252" spans="1:15" x14ac:dyDescent="0.15">
      <c r="A252" s="3">
        <v>266</v>
      </c>
      <c r="B252" s="3" t="s">
        <v>309</v>
      </c>
      <c r="M252" s="3"/>
      <c r="N252" s="3"/>
      <c r="O252" s="3"/>
    </row>
    <row r="253" spans="1:15" x14ac:dyDescent="0.15">
      <c r="A253" s="3">
        <v>267</v>
      </c>
      <c r="B253" s="3" t="s">
        <v>310</v>
      </c>
      <c r="M253" s="3"/>
      <c r="N253" s="3"/>
      <c r="O253" s="3"/>
    </row>
    <row r="254" spans="1:15" x14ac:dyDescent="0.15">
      <c r="A254" s="3">
        <v>268</v>
      </c>
      <c r="B254" s="3" t="s">
        <v>311</v>
      </c>
      <c r="M254" s="3"/>
      <c r="N254" s="3"/>
      <c r="O254" s="3"/>
    </row>
    <row r="255" spans="1:15" x14ac:dyDescent="0.15">
      <c r="A255" s="3">
        <v>269</v>
      </c>
      <c r="B255" s="3" t="s">
        <v>312</v>
      </c>
      <c r="M255" s="3"/>
      <c r="N255" s="3"/>
      <c r="O255" s="3"/>
    </row>
    <row r="256" spans="1:15" x14ac:dyDescent="0.15">
      <c r="A256" s="3">
        <v>270</v>
      </c>
      <c r="B256" s="3" t="s">
        <v>313</v>
      </c>
      <c r="M256" s="3"/>
      <c r="N256" s="3"/>
      <c r="O256" s="3"/>
    </row>
    <row r="257" spans="1:15" x14ac:dyDescent="0.15">
      <c r="A257" s="3">
        <v>271</v>
      </c>
      <c r="B257" s="3" t="s">
        <v>314</v>
      </c>
      <c r="M257" s="3"/>
      <c r="N257" s="3"/>
      <c r="O257" s="3"/>
    </row>
    <row r="258" spans="1:15" x14ac:dyDescent="0.15">
      <c r="A258" s="3">
        <v>272</v>
      </c>
      <c r="B258" s="3" t="s">
        <v>315</v>
      </c>
      <c r="M258" s="3"/>
      <c r="N258" s="3"/>
      <c r="O258" s="3"/>
    </row>
    <row r="259" spans="1:15" x14ac:dyDescent="0.15">
      <c r="A259" s="3">
        <v>273</v>
      </c>
      <c r="B259" s="3" t="s">
        <v>316</v>
      </c>
      <c r="M259" s="3"/>
      <c r="N259" s="3"/>
      <c r="O259" s="3"/>
    </row>
    <row r="260" spans="1:15" x14ac:dyDescent="0.15">
      <c r="A260" s="3">
        <v>274</v>
      </c>
      <c r="B260" s="3" t="s">
        <v>304</v>
      </c>
      <c r="M260" s="3"/>
      <c r="N260" s="3"/>
      <c r="O260" s="3"/>
    </row>
    <row r="261" spans="1:15" x14ac:dyDescent="0.15">
      <c r="A261" s="3">
        <v>275</v>
      </c>
      <c r="B261" s="3" t="s">
        <v>317</v>
      </c>
      <c r="M261" s="3"/>
      <c r="N261" s="3"/>
      <c r="O261" s="3"/>
    </row>
    <row r="262" spans="1:15" x14ac:dyDescent="0.15">
      <c r="A262" s="3">
        <v>276</v>
      </c>
      <c r="B262" s="3" t="s">
        <v>318</v>
      </c>
      <c r="M262" s="3"/>
      <c r="N262" s="3"/>
      <c r="O262" s="3"/>
    </row>
    <row r="263" spans="1:15" x14ac:dyDescent="0.15">
      <c r="A263" s="3">
        <v>277</v>
      </c>
      <c r="B263" s="3" t="s">
        <v>319</v>
      </c>
      <c r="M263" s="3"/>
      <c r="N263" s="3"/>
      <c r="O263" s="3"/>
    </row>
    <row r="264" spans="1:15" x14ac:dyDescent="0.15">
      <c r="A264" s="3">
        <v>278</v>
      </c>
      <c r="B264" s="3" t="s">
        <v>318</v>
      </c>
      <c r="M264" s="3"/>
      <c r="N264" s="3"/>
      <c r="O264" s="3"/>
    </row>
    <row r="265" spans="1:15" x14ac:dyDescent="0.15">
      <c r="A265" s="3">
        <v>279</v>
      </c>
      <c r="B265" s="3" t="s">
        <v>318</v>
      </c>
      <c r="M265" s="3"/>
      <c r="N265" s="3"/>
      <c r="O265" s="3"/>
    </row>
    <row r="266" spans="1:15" x14ac:dyDescent="0.15">
      <c r="A266" s="3">
        <v>280</v>
      </c>
      <c r="B266" s="3" t="s">
        <v>318</v>
      </c>
      <c r="M266" s="3"/>
      <c r="N266" s="3"/>
      <c r="O266" s="3"/>
    </row>
    <row r="267" spans="1:15" x14ac:dyDescent="0.15">
      <c r="A267" s="3">
        <v>281</v>
      </c>
      <c r="B267" s="3" t="s">
        <v>318</v>
      </c>
      <c r="M267" s="3"/>
      <c r="N267" s="3"/>
      <c r="O267" s="3"/>
    </row>
    <row r="268" spans="1:15" x14ac:dyDescent="0.15">
      <c r="A268" s="3">
        <v>282</v>
      </c>
      <c r="B268" s="3">
        <v>1024</v>
      </c>
      <c r="M268" s="3"/>
      <c r="N268" s="3"/>
      <c r="O268" s="3"/>
    </row>
    <row r="269" spans="1:15" x14ac:dyDescent="0.15">
      <c r="A269" s="3">
        <v>283</v>
      </c>
      <c r="B269" s="3" t="s">
        <v>320</v>
      </c>
      <c r="M269" s="3"/>
      <c r="N269" s="3"/>
      <c r="O269" s="3"/>
    </row>
    <row r="270" spans="1:15" x14ac:dyDescent="0.15">
      <c r="A270" s="3">
        <v>284</v>
      </c>
      <c r="B270" s="3" t="s">
        <v>321</v>
      </c>
      <c r="M270" s="3"/>
      <c r="N270" s="3"/>
      <c r="O270" s="3"/>
    </row>
    <row r="271" spans="1:15" x14ac:dyDescent="0.15">
      <c r="A271" s="3">
        <v>285</v>
      </c>
      <c r="B271" s="3" t="s">
        <v>322</v>
      </c>
      <c r="M271" s="3"/>
      <c r="N271" s="3"/>
      <c r="O271" s="3"/>
    </row>
    <row r="272" spans="1:15" x14ac:dyDescent="0.15">
      <c r="A272" s="3">
        <v>286</v>
      </c>
      <c r="B272" s="3" t="s">
        <v>323</v>
      </c>
      <c r="M272" s="3"/>
      <c r="N272" s="3"/>
      <c r="O272" s="3"/>
    </row>
    <row r="273" spans="1:15" x14ac:dyDescent="0.15">
      <c r="A273" s="3">
        <v>287</v>
      </c>
      <c r="B273" s="3" t="s">
        <v>324</v>
      </c>
      <c r="M273" s="3"/>
      <c r="N273" s="3"/>
      <c r="O273" s="3"/>
    </row>
    <row r="274" spans="1:15" x14ac:dyDescent="0.15">
      <c r="A274" s="3">
        <v>288</v>
      </c>
      <c r="B274" s="3" t="s">
        <v>325</v>
      </c>
      <c r="M274" s="3"/>
      <c r="N274" s="3"/>
      <c r="O274" s="3"/>
    </row>
    <row r="275" spans="1:15" x14ac:dyDescent="0.15">
      <c r="A275" s="3">
        <v>289</v>
      </c>
      <c r="B275" s="3" t="s">
        <v>326</v>
      </c>
      <c r="M275" s="3"/>
      <c r="N275" s="3"/>
      <c r="O275" s="3"/>
    </row>
    <row r="276" spans="1:15" x14ac:dyDescent="0.15">
      <c r="A276" s="3">
        <v>290</v>
      </c>
      <c r="B276" s="3" t="s">
        <v>327</v>
      </c>
      <c r="M276" s="3"/>
      <c r="N276" s="3"/>
      <c r="O276" s="3"/>
    </row>
    <row r="277" spans="1:15" x14ac:dyDescent="0.15">
      <c r="A277" s="3">
        <v>291</v>
      </c>
      <c r="B277" s="3" t="s">
        <v>328</v>
      </c>
      <c r="M277" s="3"/>
      <c r="N277" s="3"/>
      <c r="O277" s="3"/>
    </row>
    <row r="278" spans="1:15" x14ac:dyDescent="0.15">
      <c r="A278" s="3">
        <v>292</v>
      </c>
      <c r="B278" s="3" t="s">
        <v>329</v>
      </c>
      <c r="M278" s="3"/>
      <c r="N278" s="3"/>
      <c r="O278" s="3"/>
    </row>
    <row r="279" spans="1:15" x14ac:dyDescent="0.15">
      <c r="A279" s="3">
        <v>293</v>
      </c>
      <c r="B279" s="3" t="s">
        <v>330</v>
      </c>
      <c r="M279" s="3"/>
      <c r="N279" s="3"/>
      <c r="O279" s="3"/>
    </row>
    <row r="280" spans="1:15" x14ac:dyDescent="0.15">
      <c r="A280" s="3">
        <v>294</v>
      </c>
      <c r="B280" s="3" t="s">
        <v>331</v>
      </c>
      <c r="M280" s="3"/>
      <c r="N280" s="3"/>
      <c r="O280" s="3"/>
    </row>
    <row r="281" spans="1:15" x14ac:dyDescent="0.15">
      <c r="A281" s="3">
        <v>295</v>
      </c>
      <c r="B281" s="3" t="s">
        <v>332</v>
      </c>
      <c r="M281" s="3"/>
      <c r="N281" s="3"/>
      <c r="O281" s="3"/>
    </row>
    <row r="282" spans="1:15" x14ac:dyDescent="0.15">
      <c r="A282" s="3">
        <v>296</v>
      </c>
      <c r="B282" s="3" t="s">
        <v>333</v>
      </c>
      <c r="M282" s="3"/>
      <c r="N282" s="3"/>
      <c r="O282" s="3"/>
    </row>
    <row r="283" spans="1:15" x14ac:dyDescent="0.15">
      <c r="A283" s="3">
        <v>297</v>
      </c>
      <c r="B283" s="3" t="s">
        <v>334</v>
      </c>
      <c r="M283" s="3"/>
      <c r="N283" s="3"/>
      <c r="O283" s="3"/>
    </row>
    <row r="284" spans="1:15" x14ac:dyDescent="0.15">
      <c r="A284" s="3">
        <v>298</v>
      </c>
      <c r="B284" s="3" t="s">
        <v>335</v>
      </c>
      <c r="M284" s="3"/>
      <c r="N284" s="3"/>
      <c r="O284" s="3"/>
    </row>
    <row r="285" spans="1:15" x14ac:dyDescent="0.15">
      <c r="A285" s="3">
        <v>299</v>
      </c>
      <c r="B285" s="3" t="s">
        <v>336</v>
      </c>
      <c r="M285" s="3"/>
      <c r="N285" s="3"/>
      <c r="O285" s="3"/>
    </row>
    <row r="286" spans="1:15" x14ac:dyDescent="0.15">
      <c r="A286" s="3">
        <v>300</v>
      </c>
      <c r="B286" s="3" t="s">
        <v>337</v>
      </c>
      <c r="M286" s="3"/>
      <c r="N286" s="3"/>
      <c r="O286" s="3"/>
    </row>
    <row r="287" spans="1:15" x14ac:dyDescent="0.15">
      <c r="A287" s="3">
        <v>301</v>
      </c>
      <c r="B287" s="3" t="s">
        <v>338</v>
      </c>
      <c r="M287" s="3"/>
      <c r="N287" s="3"/>
      <c r="O287" s="3"/>
    </row>
    <row r="288" spans="1:15" x14ac:dyDescent="0.15">
      <c r="A288" s="3">
        <v>302</v>
      </c>
      <c r="B288" s="3" t="s">
        <v>22</v>
      </c>
      <c r="M288" s="3"/>
      <c r="N288" s="3"/>
      <c r="O288" s="3"/>
    </row>
    <row r="289" spans="1:15" x14ac:dyDescent="0.15">
      <c r="A289" s="3">
        <v>303</v>
      </c>
      <c r="B289" s="3" t="s">
        <v>339</v>
      </c>
      <c r="M289" s="3"/>
      <c r="N289" s="3"/>
      <c r="O289" s="3"/>
    </row>
    <row r="290" spans="1:15" x14ac:dyDescent="0.15">
      <c r="A290" s="3">
        <v>304</v>
      </c>
      <c r="B290" s="3" t="s">
        <v>340</v>
      </c>
      <c r="M290" s="3"/>
      <c r="N290" s="3"/>
      <c r="O290" s="3"/>
    </row>
    <row r="291" spans="1:15" x14ac:dyDescent="0.15">
      <c r="A291" s="3">
        <v>305</v>
      </c>
      <c r="B291" s="3" t="s">
        <v>341</v>
      </c>
      <c r="M291" s="3"/>
      <c r="N291" s="3"/>
      <c r="O291" s="3"/>
    </row>
    <row r="292" spans="1:15" x14ac:dyDescent="0.15">
      <c r="A292" s="3">
        <v>306</v>
      </c>
      <c r="B292" s="3" t="s">
        <v>342</v>
      </c>
      <c r="M292" s="3"/>
      <c r="N292" s="3"/>
      <c r="O292" s="3"/>
    </row>
    <row r="293" spans="1:15" x14ac:dyDescent="0.15">
      <c r="A293" s="3">
        <v>307</v>
      </c>
      <c r="B293" s="3" t="s">
        <v>343</v>
      </c>
      <c r="M293" s="3"/>
      <c r="N293" s="3"/>
      <c r="O293" s="3"/>
    </row>
    <row r="294" spans="1:15" x14ac:dyDescent="0.15">
      <c r="A294" s="3">
        <v>308</v>
      </c>
      <c r="B294" s="3" t="s">
        <v>344</v>
      </c>
      <c r="M294" s="3"/>
      <c r="N294" s="3"/>
      <c r="O294" s="3"/>
    </row>
    <row r="295" spans="1:15" x14ac:dyDescent="0.15">
      <c r="A295" s="3">
        <v>309</v>
      </c>
      <c r="B295" s="3" t="s">
        <v>345</v>
      </c>
      <c r="M295" s="3"/>
      <c r="N295" s="3"/>
      <c r="O295" s="3"/>
    </row>
    <row r="296" spans="1:15" x14ac:dyDescent="0.15">
      <c r="A296" s="3">
        <v>310</v>
      </c>
      <c r="B296" s="3" t="s">
        <v>346</v>
      </c>
      <c r="M296" s="3"/>
      <c r="N296" s="3"/>
      <c r="O296" s="3"/>
    </row>
    <row r="297" spans="1:15" x14ac:dyDescent="0.15">
      <c r="A297" s="3">
        <v>311</v>
      </c>
      <c r="B297" s="3" t="s">
        <v>347</v>
      </c>
      <c r="M297" s="3"/>
      <c r="N297" s="3"/>
      <c r="O297" s="3"/>
    </row>
    <row r="298" spans="1:15" x14ac:dyDescent="0.15">
      <c r="A298" s="3">
        <v>312</v>
      </c>
      <c r="B298" s="3" t="s">
        <v>348</v>
      </c>
      <c r="M298" s="3"/>
      <c r="N298" s="3"/>
      <c r="O298" s="3"/>
    </row>
    <row r="299" spans="1:15" x14ac:dyDescent="0.15">
      <c r="A299" s="3">
        <v>313</v>
      </c>
      <c r="B299" s="3" t="s">
        <v>349</v>
      </c>
      <c r="M299" s="3"/>
      <c r="N299" s="3"/>
      <c r="O299" s="3"/>
    </row>
    <row r="300" spans="1:15" x14ac:dyDescent="0.15">
      <c r="A300" s="3">
        <v>314</v>
      </c>
      <c r="B300" s="3" t="s">
        <v>350</v>
      </c>
      <c r="M300" s="3"/>
      <c r="N300" s="3"/>
      <c r="O300" s="3"/>
    </row>
    <row r="301" spans="1:15" x14ac:dyDescent="0.15">
      <c r="A301" s="3">
        <v>315</v>
      </c>
      <c r="B301" s="3" t="s">
        <v>351</v>
      </c>
      <c r="M301" s="3"/>
      <c r="N301" s="3"/>
      <c r="O301" s="3"/>
    </row>
    <row r="302" spans="1:15" x14ac:dyDescent="0.15">
      <c r="A302" s="3">
        <v>316</v>
      </c>
      <c r="B302" s="3" t="s">
        <v>352</v>
      </c>
      <c r="M302" s="3"/>
      <c r="N302" s="3"/>
      <c r="O302" s="3"/>
    </row>
    <row r="303" spans="1:15" x14ac:dyDescent="0.15">
      <c r="A303" s="3">
        <v>317</v>
      </c>
      <c r="B303" s="3" t="s">
        <v>353</v>
      </c>
      <c r="M303" s="3"/>
      <c r="N303" s="3"/>
      <c r="O303" s="3"/>
    </row>
    <row r="304" spans="1:15" x14ac:dyDescent="0.15">
      <c r="A304" s="3">
        <v>318</v>
      </c>
      <c r="B304" s="3" t="s">
        <v>354</v>
      </c>
      <c r="M304" s="3"/>
      <c r="N304" s="3"/>
      <c r="O304" s="3"/>
    </row>
    <row r="305" spans="1:15" x14ac:dyDescent="0.15">
      <c r="A305" s="3">
        <v>321</v>
      </c>
      <c r="B305" s="3" t="s">
        <v>355</v>
      </c>
      <c r="M305" s="3"/>
      <c r="N305" s="3"/>
      <c r="O305" s="3"/>
    </row>
    <row r="306" spans="1:15" x14ac:dyDescent="0.15">
      <c r="A306" s="3">
        <v>322</v>
      </c>
      <c r="B306" s="3" t="s">
        <v>356</v>
      </c>
      <c r="M306" s="3"/>
      <c r="N306" s="3"/>
      <c r="O306" s="3"/>
    </row>
    <row r="307" spans="1:15" x14ac:dyDescent="0.15">
      <c r="A307" s="3">
        <v>323</v>
      </c>
      <c r="B307" s="3" t="s">
        <v>357</v>
      </c>
      <c r="M307" s="3"/>
      <c r="N307" s="3"/>
      <c r="O307" s="3"/>
    </row>
    <row r="308" spans="1:15" x14ac:dyDescent="0.15">
      <c r="A308" s="3">
        <v>324</v>
      </c>
      <c r="B308" s="3" t="s">
        <v>358</v>
      </c>
      <c r="M308" s="3"/>
      <c r="N308" s="3"/>
      <c r="O308" s="3"/>
    </row>
    <row r="309" spans="1:15" x14ac:dyDescent="0.15">
      <c r="A309" s="3">
        <v>325</v>
      </c>
      <c r="B309" s="3" t="s">
        <v>359</v>
      </c>
      <c r="M309" s="3"/>
      <c r="N309" s="3"/>
      <c r="O309" s="3"/>
    </row>
    <row r="310" spans="1:15" x14ac:dyDescent="0.15">
      <c r="A310" s="3">
        <v>330</v>
      </c>
      <c r="B310" s="3" t="s">
        <v>23</v>
      </c>
      <c r="M310" s="3"/>
      <c r="N310" s="3"/>
      <c r="O310" s="3"/>
    </row>
    <row r="311" spans="1:15" x14ac:dyDescent="0.15">
      <c r="A311" s="3">
        <v>331</v>
      </c>
      <c r="B311" s="3" t="s">
        <v>360</v>
      </c>
      <c r="M311" s="3"/>
      <c r="N311" s="3"/>
      <c r="O311" s="3"/>
    </row>
    <row r="312" spans="1:15" x14ac:dyDescent="0.15">
      <c r="A312" s="3">
        <v>332</v>
      </c>
      <c r="B312" s="3" t="s">
        <v>361</v>
      </c>
      <c r="M312" s="3"/>
      <c r="N312" s="3"/>
      <c r="O312" s="3"/>
    </row>
    <row r="313" spans="1:15" x14ac:dyDescent="0.15">
      <c r="A313" s="3">
        <v>333</v>
      </c>
      <c r="B313" s="3" t="s">
        <v>362</v>
      </c>
      <c r="M313" s="3"/>
      <c r="N313" s="3"/>
      <c r="O313" s="3"/>
    </row>
    <row r="314" spans="1:15" x14ac:dyDescent="0.15">
      <c r="A314" s="3">
        <v>334</v>
      </c>
      <c r="B314" s="3" t="s">
        <v>24</v>
      </c>
      <c r="M314" s="3"/>
      <c r="N314" s="3"/>
      <c r="O314" s="3"/>
    </row>
    <row r="315" spans="1:15" x14ac:dyDescent="0.15">
      <c r="A315" s="3">
        <v>337</v>
      </c>
      <c r="B315" s="3" t="s">
        <v>363</v>
      </c>
      <c r="M315" s="3"/>
      <c r="N315" s="3"/>
      <c r="O315" s="3"/>
    </row>
    <row r="316" spans="1:15" x14ac:dyDescent="0.15">
      <c r="A316" s="3">
        <v>338</v>
      </c>
      <c r="B316" s="3" t="s">
        <v>364</v>
      </c>
      <c r="M316" s="3"/>
      <c r="N316" s="3"/>
      <c r="O316" s="3"/>
    </row>
    <row r="317" spans="1:15" x14ac:dyDescent="0.15">
      <c r="A317" s="3">
        <v>339</v>
      </c>
      <c r="B317" s="3" t="s">
        <v>365</v>
      </c>
      <c r="M317" s="3"/>
      <c r="N317" s="3"/>
      <c r="O317" s="3"/>
    </row>
    <row r="318" spans="1:15" x14ac:dyDescent="0.15">
      <c r="A318" s="3">
        <v>340</v>
      </c>
      <c r="B318" s="3" t="s">
        <v>366</v>
      </c>
      <c r="M318" s="3"/>
      <c r="N318" s="3"/>
      <c r="O318" s="3"/>
    </row>
    <row r="319" spans="1:15" x14ac:dyDescent="0.15">
      <c r="A319" s="3">
        <v>341</v>
      </c>
      <c r="B319" s="3" t="s">
        <v>367</v>
      </c>
      <c r="M319" s="3"/>
      <c r="N319" s="3"/>
      <c r="O319" s="3"/>
    </row>
    <row r="320" spans="1:15" x14ac:dyDescent="0.15">
      <c r="A320" s="3">
        <v>342</v>
      </c>
      <c r="B320" s="3" t="s">
        <v>368</v>
      </c>
      <c r="M320" s="3"/>
      <c r="N320" s="3"/>
      <c r="O320" s="3"/>
    </row>
    <row r="321" spans="1:15" x14ac:dyDescent="0.15">
      <c r="A321" s="3">
        <v>343</v>
      </c>
      <c r="B321" s="3" t="s">
        <v>369</v>
      </c>
      <c r="M321" s="3"/>
      <c r="N321" s="3"/>
      <c r="O321" s="3"/>
    </row>
    <row r="322" spans="1:15" x14ac:dyDescent="0.15">
      <c r="A322" s="3">
        <v>344</v>
      </c>
      <c r="B322" s="3" t="s">
        <v>370</v>
      </c>
      <c r="M322" s="3"/>
      <c r="N322" s="3"/>
      <c r="O322" s="3"/>
    </row>
    <row r="323" spans="1:15" x14ac:dyDescent="0.15">
      <c r="A323" s="3">
        <v>347</v>
      </c>
      <c r="B323" s="3" t="s">
        <v>371</v>
      </c>
      <c r="M323" s="3"/>
      <c r="N323" s="3"/>
      <c r="O323" s="3"/>
    </row>
    <row r="324" spans="1:15" x14ac:dyDescent="0.15">
      <c r="A324" s="3">
        <v>348</v>
      </c>
      <c r="B324" s="3" t="s">
        <v>372</v>
      </c>
      <c r="M324" s="3"/>
      <c r="N324" s="3"/>
      <c r="O324" s="3"/>
    </row>
    <row r="325" spans="1:15" x14ac:dyDescent="0.15">
      <c r="A325" s="3">
        <v>349</v>
      </c>
      <c r="B325" s="3" t="s">
        <v>373</v>
      </c>
      <c r="M325" s="3"/>
      <c r="N325" s="3"/>
      <c r="O325" s="3"/>
    </row>
    <row r="326" spans="1:15" x14ac:dyDescent="0.15">
      <c r="A326" s="3">
        <v>350</v>
      </c>
      <c r="B326" s="3" t="s">
        <v>374</v>
      </c>
      <c r="M326" s="3"/>
      <c r="N326" s="3"/>
      <c r="O326" s="3"/>
    </row>
    <row r="327" spans="1:15" x14ac:dyDescent="0.15">
      <c r="A327" s="3">
        <v>354</v>
      </c>
      <c r="B327" s="3" t="s">
        <v>375</v>
      </c>
      <c r="M327" s="3"/>
      <c r="N327" s="3"/>
      <c r="O327" s="3"/>
    </row>
    <row r="328" spans="1:15" x14ac:dyDescent="0.15">
      <c r="A328" s="3">
        <v>355</v>
      </c>
      <c r="B328" s="3" t="s">
        <v>376</v>
      </c>
      <c r="M328" s="3"/>
      <c r="N328" s="3"/>
      <c r="O328" s="3"/>
    </row>
    <row r="329" spans="1:15" x14ac:dyDescent="0.15">
      <c r="A329" s="3">
        <v>356</v>
      </c>
      <c r="B329" s="3" t="s">
        <v>377</v>
      </c>
      <c r="M329" s="3"/>
      <c r="N329" s="3"/>
      <c r="O329" s="3"/>
    </row>
    <row r="330" spans="1:15" x14ac:dyDescent="0.15">
      <c r="A330" s="3">
        <v>357</v>
      </c>
      <c r="B330" s="3" t="s">
        <v>378</v>
      </c>
      <c r="M330" s="3"/>
      <c r="N330" s="3"/>
      <c r="O330" s="3"/>
    </row>
    <row r="331" spans="1:15" x14ac:dyDescent="0.15">
      <c r="A331" s="3">
        <v>358</v>
      </c>
      <c r="B331" s="3" t="s">
        <v>379</v>
      </c>
      <c r="M331" s="3"/>
      <c r="N331" s="3"/>
      <c r="O331" s="3"/>
    </row>
    <row r="332" spans="1:15" x14ac:dyDescent="0.15">
      <c r="A332" s="3">
        <v>359</v>
      </c>
      <c r="B332" s="3" t="s">
        <v>380</v>
      </c>
      <c r="M332" s="3"/>
      <c r="N332" s="3"/>
      <c r="O332" s="3"/>
    </row>
    <row r="333" spans="1:15" x14ac:dyDescent="0.15">
      <c r="A333" s="3">
        <v>360</v>
      </c>
      <c r="B333" s="3" t="s">
        <v>381</v>
      </c>
      <c r="M333" s="3"/>
      <c r="N333" s="3"/>
      <c r="O333" s="3"/>
    </row>
    <row r="334" spans="1:15" x14ac:dyDescent="0.15">
      <c r="A334" s="3">
        <v>361</v>
      </c>
      <c r="B334" s="3" t="s">
        <v>382</v>
      </c>
      <c r="M334" s="3"/>
      <c r="N334" s="3"/>
      <c r="O334" s="3"/>
    </row>
    <row r="335" spans="1:15" x14ac:dyDescent="0.15">
      <c r="A335" s="3">
        <v>362</v>
      </c>
      <c r="B335" s="3" t="s">
        <v>383</v>
      </c>
    </row>
    <row r="336" spans="1:15" x14ac:dyDescent="0.15">
      <c r="A336" s="3">
        <v>364</v>
      </c>
      <c r="B336" s="3" t="s">
        <v>384</v>
      </c>
    </row>
    <row r="337" spans="1:2" x14ac:dyDescent="0.15">
      <c r="A337" s="3">
        <v>365</v>
      </c>
      <c r="B337" s="3" t="s">
        <v>385</v>
      </c>
    </row>
    <row r="338" spans="1:2" x14ac:dyDescent="0.15">
      <c r="A338" s="3">
        <v>366</v>
      </c>
      <c r="B338" s="3" t="s">
        <v>386</v>
      </c>
    </row>
    <row r="339" spans="1:2" x14ac:dyDescent="0.15">
      <c r="A339" s="3">
        <v>368</v>
      </c>
      <c r="B339" s="3" t="s">
        <v>387</v>
      </c>
    </row>
    <row r="340" spans="1:2" x14ac:dyDescent="0.15">
      <c r="A340" s="3">
        <v>369</v>
      </c>
      <c r="B340" s="3" t="s">
        <v>388</v>
      </c>
    </row>
    <row r="341" spans="1:2" x14ac:dyDescent="0.15">
      <c r="A341" s="3">
        <v>370</v>
      </c>
      <c r="B341" s="3" t="s">
        <v>389</v>
      </c>
    </row>
    <row r="342" spans="1:2" x14ac:dyDescent="0.15">
      <c r="A342" s="3">
        <v>406</v>
      </c>
      <c r="B342" s="3" t="s">
        <v>390</v>
      </c>
    </row>
    <row r="343" spans="1:2" x14ac:dyDescent="0.15">
      <c r="A343" s="3">
        <v>407</v>
      </c>
      <c r="B343" s="3" t="s">
        <v>391</v>
      </c>
    </row>
    <row r="344" spans="1:2" x14ac:dyDescent="0.15">
      <c r="A344" s="3">
        <v>410</v>
      </c>
      <c r="B344" s="3" t="s">
        <v>392</v>
      </c>
    </row>
    <row r="345" spans="1:2" x14ac:dyDescent="0.15">
      <c r="A345" s="3">
        <v>411</v>
      </c>
      <c r="B345" s="3" t="s">
        <v>25</v>
      </c>
    </row>
    <row r="346" spans="1:2" x14ac:dyDescent="0.15">
      <c r="A346" s="3">
        <v>412</v>
      </c>
      <c r="B346" s="3" t="s">
        <v>393</v>
      </c>
    </row>
    <row r="347" spans="1:2" x14ac:dyDescent="0.15">
      <c r="A347" s="3">
        <v>413</v>
      </c>
      <c r="B347" s="3" t="s">
        <v>394</v>
      </c>
    </row>
    <row r="348" spans="1:2" x14ac:dyDescent="0.15">
      <c r="A348" s="3">
        <v>414</v>
      </c>
      <c r="B348" s="3" t="s">
        <v>395</v>
      </c>
    </row>
    <row r="349" spans="1:2" x14ac:dyDescent="0.15">
      <c r="A349" s="3">
        <v>415</v>
      </c>
      <c r="B349" s="3" t="s">
        <v>396</v>
      </c>
    </row>
    <row r="350" spans="1:2" x14ac:dyDescent="0.15">
      <c r="A350" s="3">
        <v>417</v>
      </c>
      <c r="B350" s="3" t="s">
        <v>397</v>
      </c>
    </row>
    <row r="351" spans="1:2" x14ac:dyDescent="0.15">
      <c r="A351" s="3">
        <v>418</v>
      </c>
      <c r="B351" s="3" t="s">
        <v>398</v>
      </c>
    </row>
    <row r="352" spans="1:2" x14ac:dyDescent="0.15">
      <c r="A352" s="3">
        <v>419</v>
      </c>
      <c r="B352" s="3" t="s">
        <v>399</v>
      </c>
    </row>
    <row r="353" spans="1:2" x14ac:dyDescent="0.15">
      <c r="A353" s="3">
        <v>420</v>
      </c>
      <c r="B353" s="3" t="s">
        <v>400</v>
      </c>
    </row>
    <row r="354" spans="1:2" x14ac:dyDescent="0.15">
      <c r="A354" s="3">
        <v>421</v>
      </c>
      <c r="B354" s="3" t="s">
        <v>401</v>
      </c>
    </row>
    <row r="355" spans="1:2" x14ac:dyDescent="0.15">
      <c r="A355" s="3">
        <v>422</v>
      </c>
      <c r="B355" s="3" t="s">
        <v>402</v>
      </c>
    </row>
    <row r="356" spans="1:2" x14ac:dyDescent="0.15">
      <c r="A356" s="3">
        <v>423</v>
      </c>
      <c r="B356" s="3" t="s">
        <v>403</v>
      </c>
    </row>
    <row r="357" spans="1:2" x14ac:dyDescent="0.15">
      <c r="A357" s="3">
        <v>424</v>
      </c>
      <c r="B357" s="3" t="s">
        <v>404</v>
      </c>
    </row>
    <row r="358" spans="1:2" x14ac:dyDescent="0.15">
      <c r="A358" s="3">
        <v>425</v>
      </c>
      <c r="B358" s="3" t="s">
        <v>405</v>
      </c>
    </row>
    <row r="359" spans="1:2" x14ac:dyDescent="0.15">
      <c r="A359" s="3">
        <v>426</v>
      </c>
      <c r="B359" s="3" t="s">
        <v>406</v>
      </c>
    </row>
    <row r="360" spans="1:2" x14ac:dyDescent="0.15">
      <c r="A360" s="3">
        <v>427</v>
      </c>
      <c r="B360" s="3" t="s">
        <v>407</v>
      </c>
    </row>
    <row r="361" spans="1:2" x14ac:dyDescent="0.15">
      <c r="A361" s="3">
        <v>428</v>
      </c>
      <c r="B361" s="3" t="s">
        <v>408</v>
      </c>
    </row>
    <row r="362" spans="1:2" x14ac:dyDescent="0.15">
      <c r="A362" s="3">
        <v>431</v>
      </c>
      <c r="B362" s="3" t="s">
        <v>409</v>
      </c>
    </row>
    <row r="363" spans="1:2" x14ac:dyDescent="0.15">
      <c r="A363" s="3">
        <v>432</v>
      </c>
      <c r="B363" s="3" t="s">
        <v>410</v>
      </c>
    </row>
    <row r="364" spans="1:2" x14ac:dyDescent="0.15">
      <c r="A364" s="3">
        <v>433</v>
      </c>
      <c r="B364" s="3" t="s">
        <v>411</v>
      </c>
    </row>
    <row r="365" spans="1:2" x14ac:dyDescent="0.15">
      <c r="A365" s="3">
        <v>434</v>
      </c>
      <c r="B365" s="3" t="s">
        <v>412</v>
      </c>
    </row>
    <row r="366" spans="1:2" x14ac:dyDescent="0.15">
      <c r="A366" s="3">
        <v>435</v>
      </c>
      <c r="B366" s="3" t="s">
        <v>413</v>
      </c>
    </row>
    <row r="367" spans="1:2" x14ac:dyDescent="0.15">
      <c r="A367" s="3">
        <v>436</v>
      </c>
      <c r="B367" s="3" t="s">
        <v>414</v>
      </c>
    </row>
    <row r="368" spans="1:2" x14ac:dyDescent="0.15">
      <c r="A368" s="3">
        <v>437</v>
      </c>
      <c r="B368" s="3" t="s">
        <v>415</v>
      </c>
    </row>
    <row r="369" spans="1:2" x14ac:dyDescent="0.15">
      <c r="A369" s="3">
        <v>438</v>
      </c>
      <c r="B369" s="3" t="s">
        <v>416</v>
      </c>
    </row>
    <row r="370" spans="1:2" x14ac:dyDescent="0.15">
      <c r="A370" s="3">
        <v>439</v>
      </c>
      <c r="B370" s="3" t="s">
        <v>417</v>
      </c>
    </row>
    <row r="371" spans="1:2" x14ac:dyDescent="0.15">
      <c r="A371" s="3">
        <v>440</v>
      </c>
      <c r="B371" s="3" t="s">
        <v>418</v>
      </c>
    </row>
    <row r="372" spans="1:2" x14ac:dyDescent="0.15">
      <c r="A372" s="3">
        <v>441</v>
      </c>
      <c r="B372" s="3" t="s">
        <v>419</v>
      </c>
    </row>
    <row r="373" spans="1:2" x14ac:dyDescent="0.15">
      <c r="A373" s="3">
        <v>442</v>
      </c>
      <c r="B373" s="3" t="s">
        <v>420</v>
      </c>
    </row>
    <row r="374" spans="1:2" x14ac:dyDescent="0.15">
      <c r="A374" s="3">
        <v>443</v>
      </c>
      <c r="B374" s="3" t="s">
        <v>421</v>
      </c>
    </row>
    <row r="375" spans="1:2" x14ac:dyDescent="0.15">
      <c r="A375" s="3">
        <v>444</v>
      </c>
      <c r="B375" s="3" t="s">
        <v>422</v>
      </c>
    </row>
    <row r="376" spans="1:2" x14ac:dyDescent="0.15">
      <c r="A376" s="3">
        <v>445</v>
      </c>
      <c r="B376" s="3" t="s">
        <v>423</v>
      </c>
    </row>
    <row r="377" spans="1:2" x14ac:dyDescent="0.15">
      <c r="A377" s="3">
        <v>446</v>
      </c>
      <c r="B377" s="3" t="s">
        <v>218</v>
      </c>
    </row>
    <row r="378" spans="1:2" x14ac:dyDescent="0.15">
      <c r="A378" s="3">
        <v>447</v>
      </c>
      <c r="B378" s="3" t="s">
        <v>424</v>
      </c>
    </row>
    <row r="379" spans="1:2" x14ac:dyDescent="0.15">
      <c r="A379" s="3">
        <v>448</v>
      </c>
      <c r="B379" s="3" t="s">
        <v>425</v>
      </c>
    </row>
    <row r="380" spans="1:2" x14ac:dyDescent="0.15">
      <c r="A380" s="3">
        <v>450</v>
      </c>
      <c r="B380" s="3" t="s">
        <v>426</v>
      </c>
    </row>
    <row r="381" spans="1:2" x14ac:dyDescent="0.15">
      <c r="A381" s="3">
        <v>451</v>
      </c>
      <c r="B381" s="3" t="s">
        <v>26</v>
      </c>
    </row>
    <row r="382" spans="1:2" x14ac:dyDescent="0.15">
      <c r="A382" s="3">
        <v>452</v>
      </c>
      <c r="B382" s="3" t="s">
        <v>427</v>
      </c>
    </row>
    <row r="383" spans="1:2" x14ac:dyDescent="0.15">
      <c r="A383" s="3">
        <v>453</v>
      </c>
      <c r="B383" s="3" t="s">
        <v>428</v>
      </c>
    </row>
    <row r="384" spans="1:2" x14ac:dyDescent="0.15">
      <c r="A384" s="3">
        <v>454</v>
      </c>
      <c r="B384" s="3" t="s">
        <v>429</v>
      </c>
    </row>
    <row r="385" spans="1:2" x14ac:dyDescent="0.15">
      <c r="A385" s="3">
        <v>455</v>
      </c>
      <c r="B385" s="3" t="s">
        <v>430</v>
      </c>
    </row>
    <row r="386" spans="1:2" x14ac:dyDescent="0.15">
      <c r="A386" s="3">
        <v>457</v>
      </c>
      <c r="B386" s="3" t="s">
        <v>431</v>
      </c>
    </row>
    <row r="387" spans="1:2" x14ac:dyDescent="0.15">
      <c r="A387" s="3">
        <v>458</v>
      </c>
      <c r="B387" s="3" t="s">
        <v>432</v>
      </c>
    </row>
    <row r="388" spans="1:2" x14ac:dyDescent="0.15">
      <c r="A388" s="3">
        <v>459</v>
      </c>
      <c r="B388" s="3" t="s">
        <v>433</v>
      </c>
    </row>
    <row r="389" spans="1:2" x14ac:dyDescent="0.15">
      <c r="A389" s="3">
        <v>460</v>
      </c>
      <c r="B389" s="3" t="s">
        <v>434</v>
      </c>
    </row>
    <row r="390" spans="1:2" x14ac:dyDescent="0.15">
      <c r="A390" s="3">
        <v>461</v>
      </c>
      <c r="B390" s="3" t="s">
        <v>435</v>
      </c>
    </row>
    <row r="391" spans="1:2" x14ac:dyDescent="0.15">
      <c r="A391" s="3">
        <v>462</v>
      </c>
      <c r="B391" s="3" t="s">
        <v>436</v>
      </c>
    </row>
    <row r="392" spans="1:2" x14ac:dyDescent="0.15">
      <c r="A392" s="3">
        <v>463</v>
      </c>
      <c r="B392" s="3" t="s">
        <v>437</v>
      </c>
    </row>
    <row r="393" spans="1:2" x14ac:dyDescent="0.15">
      <c r="A393" s="3">
        <v>464</v>
      </c>
      <c r="B393" s="3" t="s">
        <v>438</v>
      </c>
    </row>
    <row r="394" spans="1:2" x14ac:dyDescent="0.15">
      <c r="A394" s="3">
        <v>465</v>
      </c>
      <c r="B394" s="3" t="s">
        <v>439</v>
      </c>
    </row>
    <row r="395" spans="1:2" x14ac:dyDescent="0.15">
      <c r="A395" s="3">
        <v>466</v>
      </c>
      <c r="B395" s="3" t="s">
        <v>440</v>
      </c>
    </row>
    <row r="396" spans="1:2" x14ac:dyDescent="0.15">
      <c r="A396" s="3">
        <v>467</v>
      </c>
      <c r="B396" s="3" t="s">
        <v>441</v>
      </c>
    </row>
    <row r="397" spans="1:2" x14ac:dyDescent="0.15">
      <c r="A397" s="3">
        <v>468</v>
      </c>
      <c r="B397" s="3" t="s">
        <v>442</v>
      </c>
    </row>
    <row r="398" spans="1:2" x14ac:dyDescent="0.15">
      <c r="A398" s="3">
        <v>469</v>
      </c>
      <c r="B398" s="3" t="s">
        <v>443</v>
      </c>
    </row>
    <row r="399" spans="1:2" x14ac:dyDescent="0.15">
      <c r="A399" s="3">
        <v>470</v>
      </c>
      <c r="B399" s="3" t="s">
        <v>444</v>
      </c>
    </row>
    <row r="400" spans="1:2" x14ac:dyDescent="0.15">
      <c r="A400" s="3">
        <v>471</v>
      </c>
      <c r="B400" s="3" t="s">
        <v>445</v>
      </c>
    </row>
    <row r="401" spans="1:2" x14ac:dyDescent="0.15">
      <c r="A401" s="3">
        <v>473</v>
      </c>
      <c r="B401" s="3" t="s">
        <v>446</v>
      </c>
    </row>
    <row r="402" spans="1:2" x14ac:dyDescent="0.15">
      <c r="A402" s="3">
        <v>474</v>
      </c>
      <c r="B402" s="3" t="s">
        <v>447</v>
      </c>
    </row>
    <row r="403" spans="1:2" x14ac:dyDescent="0.15">
      <c r="A403" s="3">
        <v>475</v>
      </c>
      <c r="B403" s="3" t="s">
        <v>448</v>
      </c>
    </row>
    <row r="404" spans="1:2" x14ac:dyDescent="0.15">
      <c r="A404" s="3">
        <v>476</v>
      </c>
      <c r="B404" s="3" t="s">
        <v>449</v>
      </c>
    </row>
    <row r="405" spans="1:2" x14ac:dyDescent="0.15">
      <c r="A405" s="3">
        <v>477</v>
      </c>
      <c r="B405" s="3" t="s">
        <v>450</v>
      </c>
    </row>
    <row r="406" spans="1:2" x14ac:dyDescent="0.15">
      <c r="A406" s="3">
        <v>478</v>
      </c>
      <c r="B406" s="3" t="s">
        <v>451</v>
      </c>
    </row>
    <row r="407" spans="1:2" x14ac:dyDescent="0.15">
      <c r="A407" s="3">
        <v>479</v>
      </c>
      <c r="B407" s="3" t="s">
        <v>452</v>
      </c>
    </row>
    <row r="408" spans="1:2" x14ac:dyDescent="0.15">
      <c r="A408" s="3">
        <v>480</v>
      </c>
      <c r="B408" s="3" t="s">
        <v>453</v>
      </c>
    </row>
    <row r="409" spans="1:2" x14ac:dyDescent="0.15">
      <c r="A409" s="3">
        <v>481</v>
      </c>
      <c r="B409" s="3" t="s">
        <v>454</v>
      </c>
    </row>
    <row r="410" spans="1:2" x14ac:dyDescent="0.15">
      <c r="A410" s="3">
        <v>482</v>
      </c>
      <c r="B410" s="3" t="s">
        <v>455</v>
      </c>
    </row>
    <row r="411" spans="1:2" x14ac:dyDescent="0.15">
      <c r="A411" s="3">
        <v>483</v>
      </c>
      <c r="B411" s="3" t="s">
        <v>456</v>
      </c>
    </row>
    <row r="412" spans="1:2" x14ac:dyDescent="0.15">
      <c r="A412" s="3">
        <v>484</v>
      </c>
      <c r="B412" s="3" t="s">
        <v>457</v>
      </c>
    </row>
    <row r="413" spans="1:2" x14ac:dyDescent="0.15">
      <c r="A413" s="3">
        <v>486</v>
      </c>
      <c r="B413" s="3" t="s">
        <v>458</v>
      </c>
    </row>
    <row r="414" spans="1:2" x14ac:dyDescent="0.15">
      <c r="A414" s="3">
        <v>487</v>
      </c>
      <c r="B414" s="3" t="s">
        <v>459</v>
      </c>
    </row>
    <row r="415" spans="1:2" x14ac:dyDescent="0.15">
      <c r="A415" s="3">
        <v>488</v>
      </c>
      <c r="B415" s="3" t="s">
        <v>460</v>
      </c>
    </row>
    <row r="416" spans="1:2" x14ac:dyDescent="0.15">
      <c r="A416" s="3">
        <v>489</v>
      </c>
      <c r="B416" s="3" t="s">
        <v>461</v>
      </c>
    </row>
    <row r="417" spans="1:2" x14ac:dyDescent="0.15">
      <c r="A417" s="3">
        <v>490</v>
      </c>
      <c r="B417" s="3" t="s">
        <v>462</v>
      </c>
    </row>
    <row r="418" spans="1:2" x14ac:dyDescent="0.15">
      <c r="A418" s="3">
        <v>491</v>
      </c>
      <c r="B418" s="3" t="s">
        <v>463</v>
      </c>
    </row>
    <row r="419" spans="1:2" x14ac:dyDescent="0.15">
      <c r="A419" s="3">
        <v>492</v>
      </c>
      <c r="B419" s="3" t="s">
        <v>464</v>
      </c>
    </row>
    <row r="420" spans="1:2" x14ac:dyDescent="0.15">
      <c r="A420" s="3">
        <v>493</v>
      </c>
      <c r="B420" s="3" t="s">
        <v>465</v>
      </c>
    </row>
    <row r="421" spans="1:2" x14ac:dyDescent="0.15">
      <c r="A421" s="3">
        <v>494</v>
      </c>
      <c r="B421" s="3" t="s">
        <v>466</v>
      </c>
    </row>
    <row r="422" spans="1:2" x14ac:dyDescent="0.15">
      <c r="A422" s="3">
        <v>495</v>
      </c>
      <c r="B422" s="3" t="s">
        <v>467</v>
      </c>
    </row>
    <row r="423" spans="1:2" x14ac:dyDescent="0.15">
      <c r="A423" s="3">
        <v>496</v>
      </c>
      <c r="B423" s="3" t="s">
        <v>468</v>
      </c>
    </row>
    <row r="424" spans="1:2" x14ac:dyDescent="0.15">
      <c r="A424" s="3">
        <v>497</v>
      </c>
      <c r="B424" s="3" t="s">
        <v>469</v>
      </c>
    </row>
    <row r="425" spans="1:2" x14ac:dyDescent="0.15">
      <c r="A425" s="3">
        <v>498</v>
      </c>
      <c r="B425" s="3" t="s">
        <v>470</v>
      </c>
    </row>
    <row r="426" spans="1:2" x14ac:dyDescent="0.15">
      <c r="A426" s="3">
        <v>499</v>
      </c>
      <c r="B426" s="3" t="s">
        <v>471</v>
      </c>
    </row>
    <row r="427" spans="1:2" x14ac:dyDescent="0.15">
      <c r="A427" s="3">
        <v>500</v>
      </c>
      <c r="B427" s="3" t="s">
        <v>472</v>
      </c>
    </row>
    <row r="428" spans="1:2" x14ac:dyDescent="0.15">
      <c r="A428" s="3">
        <v>501</v>
      </c>
      <c r="B428" s="3" t="s">
        <v>473</v>
      </c>
    </row>
    <row r="429" spans="1:2" x14ac:dyDescent="0.15">
      <c r="A429" s="3">
        <v>502</v>
      </c>
      <c r="B429" s="3" t="s">
        <v>474</v>
      </c>
    </row>
    <row r="430" spans="1:2" x14ac:dyDescent="0.15">
      <c r="A430" s="3">
        <v>503</v>
      </c>
      <c r="B430" s="3" t="s">
        <v>475</v>
      </c>
    </row>
    <row r="431" spans="1:2" x14ac:dyDescent="0.15">
      <c r="A431" s="3">
        <v>504</v>
      </c>
      <c r="B431" s="3" t="s">
        <v>476</v>
      </c>
    </row>
    <row r="432" spans="1:2" x14ac:dyDescent="0.15">
      <c r="A432" s="3">
        <v>505</v>
      </c>
      <c r="B432" s="3" t="s">
        <v>477</v>
      </c>
    </row>
    <row r="433" spans="1:2" x14ac:dyDescent="0.15">
      <c r="A433" s="3">
        <v>506</v>
      </c>
      <c r="B433" s="3" t="s">
        <v>478</v>
      </c>
    </row>
    <row r="434" spans="1:2" x14ac:dyDescent="0.15">
      <c r="A434" s="3">
        <v>507</v>
      </c>
      <c r="B434" s="3" t="s">
        <v>479</v>
      </c>
    </row>
    <row r="435" spans="1:2" x14ac:dyDescent="0.15">
      <c r="A435" s="3">
        <v>508</v>
      </c>
      <c r="B435" s="3" t="s">
        <v>480</v>
      </c>
    </row>
    <row r="436" spans="1:2" x14ac:dyDescent="0.15">
      <c r="A436" s="3">
        <v>509</v>
      </c>
      <c r="B436" s="3" t="s">
        <v>481</v>
      </c>
    </row>
    <row r="437" spans="1:2" x14ac:dyDescent="0.15">
      <c r="A437" s="3">
        <v>510</v>
      </c>
      <c r="B437" s="3" t="s">
        <v>482</v>
      </c>
    </row>
    <row r="438" spans="1:2" x14ac:dyDescent="0.15">
      <c r="A438" s="3">
        <v>511</v>
      </c>
      <c r="B438" s="3" t="s">
        <v>483</v>
      </c>
    </row>
    <row r="439" spans="1:2" x14ac:dyDescent="0.15">
      <c r="A439" s="3">
        <v>512</v>
      </c>
      <c r="B439" s="3" t="s">
        <v>484</v>
      </c>
    </row>
    <row r="440" spans="1:2" x14ac:dyDescent="0.15">
      <c r="A440" s="3">
        <v>513</v>
      </c>
      <c r="B440" s="3" t="s">
        <v>441</v>
      </c>
    </row>
    <row r="441" spans="1:2" x14ac:dyDescent="0.15">
      <c r="A441" s="3">
        <v>514</v>
      </c>
      <c r="B441" s="3" t="s">
        <v>485</v>
      </c>
    </row>
    <row r="442" spans="1:2" x14ac:dyDescent="0.15">
      <c r="A442" s="3">
        <v>515</v>
      </c>
      <c r="B442" s="3" t="s">
        <v>486</v>
      </c>
    </row>
    <row r="443" spans="1:2" x14ac:dyDescent="0.15">
      <c r="A443" s="3">
        <v>516</v>
      </c>
      <c r="B443" s="3" t="s">
        <v>487</v>
      </c>
    </row>
    <row r="444" spans="1:2" x14ac:dyDescent="0.15">
      <c r="A444" s="3">
        <v>517</v>
      </c>
      <c r="B444" s="3" t="s">
        <v>488</v>
      </c>
    </row>
    <row r="445" spans="1:2" x14ac:dyDescent="0.15">
      <c r="A445" s="3">
        <v>518</v>
      </c>
      <c r="B445" s="3" t="s">
        <v>489</v>
      </c>
    </row>
    <row r="446" spans="1:2" x14ac:dyDescent="0.15">
      <c r="A446" s="3">
        <v>519</v>
      </c>
      <c r="B446" s="3" t="s">
        <v>490</v>
      </c>
    </row>
    <row r="447" spans="1:2" x14ac:dyDescent="0.15">
      <c r="A447" s="3">
        <v>520</v>
      </c>
      <c r="B447" s="3" t="s">
        <v>491</v>
      </c>
    </row>
    <row r="448" spans="1:2" x14ac:dyDescent="0.15">
      <c r="A448" s="3">
        <v>521</v>
      </c>
      <c r="B448" s="3" t="s">
        <v>492</v>
      </c>
    </row>
    <row r="449" spans="1:2" x14ac:dyDescent="0.15">
      <c r="A449" s="3">
        <v>522</v>
      </c>
      <c r="B449" s="3" t="s">
        <v>493</v>
      </c>
    </row>
    <row r="450" spans="1:2" x14ac:dyDescent="0.15">
      <c r="A450" s="3">
        <v>523</v>
      </c>
      <c r="B450" s="3" t="s">
        <v>494</v>
      </c>
    </row>
    <row r="451" spans="1:2" x14ac:dyDescent="0.15">
      <c r="A451" s="3">
        <v>524</v>
      </c>
      <c r="B451" s="3" t="s">
        <v>495</v>
      </c>
    </row>
    <row r="452" spans="1:2" x14ac:dyDescent="0.15">
      <c r="A452" s="3">
        <v>525</v>
      </c>
      <c r="B452" s="3" t="s">
        <v>496</v>
      </c>
    </row>
    <row r="453" spans="1:2" x14ac:dyDescent="0.15">
      <c r="A453" s="3">
        <v>526</v>
      </c>
      <c r="B453" s="3" t="s">
        <v>497</v>
      </c>
    </row>
    <row r="454" spans="1:2" x14ac:dyDescent="0.15">
      <c r="A454" s="3">
        <v>527</v>
      </c>
      <c r="B454" s="3" t="s">
        <v>498</v>
      </c>
    </row>
    <row r="455" spans="1:2" x14ac:dyDescent="0.15">
      <c r="A455" s="3">
        <v>528</v>
      </c>
      <c r="B455" s="3" t="s">
        <v>499</v>
      </c>
    </row>
    <row r="456" spans="1:2" x14ac:dyDescent="0.15">
      <c r="A456" s="3">
        <v>529</v>
      </c>
      <c r="B456" s="3" t="s">
        <v>500</v>
      </c>
    </row>
    <row r="457" spans="1:2" x14ac:dyDescent="0.15">
      <c r="A457" s="3">
        <v>530</v>
      </c>
      <c r="B457" s="3" t="s">
        <v>501</v>
      </c>
    </row>
    <row r="458" spans="1:2" x14ac:dyDescent="0.15">
      <c r="A458" s="3">
        <v>531</v>
      </c>
      <c r="B458" s="3" t="s">
        <v>502</v>
      </c>
    </row>
    <row r="459" spans="1:2" x14ac:dyDescent="0.15">
      <c r="A459" s="3">
        <v>532</v>
      </c>
      <c r="B459" s="3" t="s">
        <v>27</v>
      </c>
    </row>
    <row r="460" spans="1:2" x14ac:dyDescent="0.15">
      <c r="A460" s="3">
        <v>533</v>
      </c>
      <c r="B460" s="3" t="s">
        <v>503</v>
      </c>
    </row>
    <row r="461" spans="1:2" x14ac:dyDescent="0.15">
      <c r="A461" s="3">
        <v>534</v>
      </c>
      <c r="B461" s="3" t="s">
        <v>504</v>
      </c>
    </row>
    <row r="462" spans="1:2" x14ac:dyDescent="0.15">
      <c r="A462" s="3">
        <v>535</v>
      </c>
      <c r="B462" s="3" t="s">
        <v>505</v>
      </c>
    </row>
    <row r="463" spans="1:2" x14ac:dyDescent="0.15">
      <c r="A463" s="3">
        <v>536</v>
      </c>
      <c r="B463" s="3" t="s">
        <v>506</v>
      </c>
    </row>
    <row r="464" spans="1:2" x14ac:dyDescent="0.15">
      <c r="A464" s="3">
        <v>537</v>
      </c>
      <c r="B464" s="3" t="s">
        <v>507</v>
      </c>
    </row>
    <row r="465" spans="1:2" x14ac:dyDescent="0.15">
      <c r="A465" s="3">
        <v>538</v>
      </c>
      <c r="B465" s="3" t="s">
        <v>508</v>
      </c>
    </row>
    <row r="466" spans="1:2" x14ac:dyDescent="0.15">
      <c r="A466" s="3">
        <v>539</v>
      </c>
      <c r="B466" s="3" t="s">
        <v>509</v>
      </c>
    </row>
    <row r="467" spans="1:2" x14ac:dyDescent="0.15">
      <c r="A467" s="3">
        <v>540</v>
      </c>
      <c r="B467" s="3" t="s">
        <v>510</v>
      </c>
    </row>
    <row r="468" spans="1:2" x14ac:dyDescent="0.15">
      <c r="A468" s="3">
        <v>541</v>
      </c>
      <c r="B468" s="3" t="s">
        <v>511</v>
      </c>
    </row>
    <row r="469" spans="1:2" x14ac:dyDescent="0.15">
      <c r="A469" s="3">
        <v>542</v>
      </c>
      <c r="B469" s="3" t="s">
        <v>512</v>
      </c>
    </row>
    <row r="470" spans="1:2" x14ac:dyDescent="0.15">
      <c r="A470" s="3">
        <v>543</v>
      </c>
      <c r="B470" s="3" t="s">
        <v>513</v>
      </c>
    </row>
    <row r="471" spans="1:2" x14ac:dyDescent="0.15">
      <c r="A471" s="3">
        <v>544</v>
      </c>
      <c r="B471" s="3" t="s">
        <v>514</v>
      </c>
    </row>
    <row r="472" spans="1:2" x14ac:dyDescent="0.15">
      <c r="A472" s="3">
        <v>545</v>
      </c>
      <c r="B472" s="3" t="s">
        <v>515</v>
      </c>
    </row>
    <row r="473" spans="1:2" x14ac:dyDescent="0.15">
      <c r="A473" s="3">
        <v>546</v>
      </c>
      <c r="B473" s="3" t="s">
        <v>516</v>
      </c>
    </row>
    <row r="474" spans="1:2" x14ac:dyDescent="0.15">
      <c r="A474" s="3">
        <v>547</v>
      </c>
      <c r="B474" s="3" t="s">
        <v>517</v>
      </c>
    </row>
    <row r="475" spans="1:2" x14ac:dyDescent="0.15">
      <c r="A475" s="3">
        <v>548</v>
      </c>
      <c r="B475" s="3" t="s">
        <v>518</v>
      </c>
    </row>
    <row r="476" spans="1:2" x14ac:dyDescent="0.15">
      <c r="A476" s="3">
        <v>549</v>
      </c>
      <c r="B476" s="3" t="s">
        <v>519</v>
      </c>
    </row>
    <row r="477" spans="1:2" x14ac:dyDescent="0.15">
      <c r="A477" s="3">
        <v>550</v>
      </c>
      <c r="B477" s="3" t="s">
        <v>520</v>
      </c>
    </row>
    <row r="478" spans="1:2" x14ac:dyDescent="0.15">
      <c r="A478" s="3">
        <v>551</v>
      </c>
      <c r="B478" s="3" t="s">
        <v>521</v>
      </c>
    </row>
    <row r="479" spans="1:2" x14ac:dyDescent="0.15">
      <c r="A479" s="3">
        <v>552</v>
      </c>
      <c r="B479" s="3" t="s">
        <v>522</v>
      </c>
    </row>
    <row r="480" spans="1:2" x14ac:dyDescent="0.15">
      <c r="A480" s="3">
        <v>559</v>
      </c>
      <c r="B480" s="3" t="s">
        <v>523</v>
      </c>
    </row>
    <row r="481" spans="1:2" x14ac:dyDescent="0.15">
      <c r="A481" s="3">
        <v>560</v>
      </c>
      <c r="B481" s="3" t="s">
        <v>524</v>
      </c>
    </row>
    <row r="482" spans="1:2" x14ac:dyDescent="0.15">
      <c r="A482" s="3">
        <v>561</v>
      </c>
      <c r="B482" s="3" t="s">
        <v>525</v>
      </c>
    </row>
    <row r="483" spans="1:2" x14ac:dyDescent="0.15">
      <c r="A483" s="3">
        <v>562</v>
      </c>
      <c r="B483" s="3" t="s">
        <v>526</v>
      </c>
    </row>
    <row r="484" spans="1:2" x14ac:dyDescent="0.15">
      <c r="A484" s="3">
        <v>563</v>
      </c>
      <c r="B484" s="3" t="s">
        <v>527</v>
      </c>
    </row>
    <row r="485" spans="1:2" x14ac:dyDescent="0.15">
      <c r="A485" s="3">
        <v>564</v>
      </c>
      <c r="B485" s="3" t="s">
        <v>528</v>
      </c>
    </row>
    <row r="486" spans="1:2" x14ac:dyDescent="0.15">
      <c r="A486" s="3">
        <v>565</v>
      </c>
      <c r="B486" s="3" t="s">
        <v>529</v>
      </c>
    </row>
    <row r="487" spans="1:2" x14ac:dyDescent="0.15">
      <c r="A487" s="3">
        <v>566</v>
      </c>
      <c r="B487" s="3" t="s">
        <v>530</v>
      </c>
    </row>
    <row r="488" spans="1:2" x14ac:dyDescent="0.15">
      <c r="A488" s="3">
        <v>567</v>
      </c>
      <c r="B488" s="3" t="s">
        <v>531</v>
      </c>
    </row>
    <row r="489" spans="1:2" x14ac:dyDescent="0.15">
      <c r="A489" s="3">
        <v>568</v>
      </c>
      <c r="B489" s="3" t="s">
        <v>532</v>
      </c>
    </row>
    <row r="490" spans="1:2" x14ac:dyDescent="0.15">
      <c r="A490" s="3">
        <v>569</v>
      </c>
      <c r="B490" s="3" t="s">
        <v>533</v>
      </c>
    </row>
    <row r="491" spans="1:2" x14ac:dyDescent="0.15">
      <c r="A491" s="3">
        <v>570</v>
      </c>
      <c r="B491" s="3" t="s">
        <v>534</v>
      </c>
    </row>
    <row r="492" spans="1:2" x14ac:dyDescent="0.15">
      <c r="A492" s="3">
        <v>571</v>
      </c>
      <c r="B492" s="3" t="s">
        <v>535</v>
      </c>
    </row>
    <row r="493" spans="1:2" x14ac:dyDescent="0.15">
      <c r="A493" s="3">
        <v>572</v>
      </c>
      <c r="B493" s="3" t="s">
        <v>536</v>
      </c>
    </row>
    <row r="494" spans="1:2" x14ac:dyDescent="0.15">
      <c r="A494" s="3">
        <v>573</v>
      </c>
      <c r="B494" s="3" t="s">
        <v>537</v>
      </c>
    </row>
    <row r="495" spans="1:2" x14ac:dyDescent="0.15">
      <c r="A495" s="3">
        <v>574</v>
      </c>
      <c r="B495" s="3" t="s">
        <v>538</v>
      </c>
    </row>
    <row r="496" spans="1:2" x14ac:dyDescent="0.15">
      <c r="A496" s="3">
        <v>575</v>
      </c>
      <c r="B496" s="3" t="s">
        <v>539</v>
      </c>
    </row>
    <row r="497" spans="1:2" x14ac:dyDescent="0.15">
      <c r="A497" s="3">
        <v>576</v>
      </c>
      <c r="B497" s="3" t="s">
        <v>540</v>
      </c>
    </row>
    <row r="498" spans="1:2" x14ac:dyDescent="0.15">
      <c r="A498" s="3">
        <v>577</v>
      </c>
      <c r="B498" s="3" t="s">
        <v>541</v>
      </c>
    </row>
    <row r="499" spans="1:2" x14ac:dyDescent="0.15">
      <c r="A499" s="3">
        <v>578</v>
      </c>
      <c r="B499" s="3" t="s">
        <v>542</v>
      </c>
    </row>
    <row r="500" spans="1:2" x14ac:dyDescent="0.15">
      <c r="A500" s="3">
        <v>579</v>
      </c>
      <c r="B500" s="3" t="s">
        <v>543</v>
      </c>
    </row>
    <row r="501" spans="1:2" x14ac:dyDescent="0.15">
      <c r="A501" s="3">
        <v>580</v>
      </c>
      <c r="B501" s="3" t="s">
        <v>544</v>
      </c>
    </row>
    <row r="502" spans="1:2" x14ac:dyDescent="0.15">
      <c r="A502" s="3">
        <v>581</v>
      </c>
      <c r="B502" s="3" t="s">
        <v>545</v>
      </c>
    </row>
    <row r="503" spans="1:2" x14ac:dyDescent="0.15">
      <c r="A503" s="3">
        <v>582</v>
      </c>
      <c r="B503" s="3" t="s">
        <v>28</v>
      </c>
    </row>
    <row r="504" spans="1:2" x14ac:dyDescent="0.15">
      <c r="A504" s="3">
        <v>583</v>
      </c>
      <c r="B504" s="3" t="s">
        <v>546</v>
      </c>
    </row>
    <row r="505" spans="1:2" x14ac:dyDescent="0.15">
      <c r="A505" s="3">
        <v>584</v>
      </c>
      <c r="B505" s="3" t="s">
        <v>547</v>
      </c>
    </row>
    <row r="506" spans="1:2" x14ac:dyDescent="0.15">
      <c r="A506" s="3">
        <v>585</v>
      </c>
      <c r="B506" s="3" t="s">
        <v>548</v>
      </c>
    </row>
    <row r="507" spans="1:2" x14ac:dyDescent="0.15">
      <c r="A507" s="3">
        <v>586</v>
      </c>
      <c r="B507" s="3" t="s">
        <v>549</v>
      </c>
    </row>
    <row r="508" spans="1:2" x14ac:dyDescent="0.15">
      <c r="A508" s="3">
        <v>587</v>
      </c>
      <c r="B508" s="3" t="s">
        <v>550</v>
      </c>
    </row>
    <row r="509" spans="1:2" x14ac:dyDescent="0.15">
      <c r="A509" s="3">
        <v>588</v>
      </c>
      <c r="B509" s="3" t="s">
        <v>551</v>
      </c>
    </row>
    <row r="510" spans="1:2" x14ac:dyDescent="0.15">
      <c r="A510" s="3">
        <v>589</v>
      </c>
      <c r="B510" s="3" t="s">
        <v>552</v>
      </c>
    </row>
    <row r="511" spans="1:2" x14ac:dyDescent="0.15">
      <c r="A511" s="3">
        <v>590</v>
      </c>
      <c r="B511" s="3" t="s">
        <v>553</v>
      </c>
    </row>
    <row r="512" spans="1:2" x14ac:dyDescent="0.15">
      <c r="A512" s="3">
        <v>591</v>
      </c>
      <c r="B512" s="3" t="s">
        <v>554</v>
      </c>
    </row>
    <row r="513" spans="1:2" x14ac:dyDescent="0.15">
      <c r="A513" s="3">
        <v>593</v>
      </c>
      <c r="B513" s="3" t="s">
        <v>555</v>
      </c>
    </row>
    <row r="514" spans="1:2" x14ac:dyDescent="0.15">
      <c r="A514" s="3">
        <v>594</v>
      </c>
      <c r="B514" s="3" t="s">
        <v>556</v>
      </c>
    </row>
    <row r="515" spans="1:2" x14ac:dyDescent="0.15">
      <c r="A515" s="3">
        <v>596</v>
      </c>
      <c r="B515" s="3" t="s">
        <v>557</v>
      </c>
    </row>
    <row r="516" spans="1:2" x14ac:dyDescent="0.15">
      <c r="A516" s="3">
        <v>597</v>
      </c>
      <c r="B516" s="3" t="s">
        <v>558</v>
      </c>
    </row>
    <row r="517" spans="1:2" x14ac:dyDescent="0.15">
      <c r="A517" s="3">
        <v>598</v>
      </c>
      <c r="B517" s="3" t="s">
        <v>559</v>
      </c>
    </row>
    <row r="518" spans="1:2" x14ac:dyDescent="0.15">
      <c r="A518" s="3">
        <v>599</v>
      </c>
      <c r="B518" s="3" t="s">
        <v>560</v>
      </c>
    </row>
    <row r="519" spans="1:2" x14ac:dyDescent="0.15">
      <c r="A519" s="3">
        <v>600</v>
      </c>
      <c r="B519" s="3" t="s">
        <v>561</v>
      </c>
    </row>
    <row r="520" spans="1:2" x14ac:dyDescent="0.15">
      <c r="A520" s="3">
        <v>601</v>
      </c>
      <c r="B520" s="3" t="s">
        <v>562</v>
      </c>
    </row>
    <row r="521" spans="1:2" x14ac:dyDescent="0.15">
      <c r="A521" s="3">
        <v>602</v>
      </c>
      <c r="B521" s="3" t="s">
        <v>563</v>
      </c>
    </row>
    <row r="522" spans="1:2" x14ac:dyDescent="0.15">
      <c r="A522" s="3">
        <v>603</v>
      </c>
      <c r="B522" s="3" t="s">
        <v>564</v>
      </c>
    </row>
    <row r="523" spans="1:2" x14ac:dyDescent="0.15">
      <c r="A523" s="3">
        <v>604</v>
      </c>
      <c r="B523" s="3" t="s">
        <v>565</v>
      </c>
    </row>
    <row r="524" spans="1:2" x14ac:dyDescent="0.15">
      <c r="A524" s="3">
        <v>605</v>
      </c>
      <c r="B524" s="3" t="s">
        <v>566</v>
      </c>
    </row>
    <row r="525" spans="1:2" x14ac:dyDescent="0.15">
      <c r="A525" s="3">
        <v>606</v>
      </c>
      <c r="B525" s="3" t="s">
        <v>567</v>
      </c>
    </row>
    <row r="526" spans="1:2" x14ac:dyDescent="0.15">
      <c r="A526" s="3">
        <v>607</v>
      </c>
      <c r="B526" s="3" t="s">
        <v>568</v>
      </c>
    </row>
    <row r="527" spans="1:2" x14ac:dyDescent="0.15">
      <c r="A527" s="3">
        <v>608</v>
      </c>
      <c r="B527" s="3" t="s">
        <v>569</v>
      </c>
    </row>
    <row r="528" spans="1:2" x14ac:dyDescent="0.15">
      <c r="A528" s="3">
        <v>609</v>
      </c>
      <c r="B528" s="3" t="s">
        <v>570</v>
      </c>
    </row>
    <row r="529" spans="1:2" x14ac:dyDescent="0.15">
      <c r="A529" s="3">
        <v>610</v>
      </c>
      <c r="B529" s="3" t="s">
        <v>571</v>
      </c>
    </row>
    <row r="530" spans="1:2" x14ac:dyDescent="0.15">
      <c r="A530" s="3">
        <v>611</v>
      </c>
      <c r="B530" s="3" t="s">
        <v>572</v>
      </c>
    </row>
    <row r="531" spans="1:2" x14ac:dyDescent="0.15">
      <c r="A531" s="3">
        <v>612</v>
      </c>
      <c r="B531" s="3" t="s">
        <v>573</v>
      </c>
    </row>
    <row r="532" spans="1:2" x14ac:dyDescent="0.15">
      <c r="A532" s="3">
        <v>613</v>
      </c>
      <c r="B532" s="3" t="s">
        <v>574</v>
      </c>
    </row>
    <row r="533" spans="1:2" x14ac:dyDescent="0.15">
      <c r="A533" s="3">
        <v>614</v>
      </c>
      <c r="B533" s="3" t="s">
        <v>575</v>
      </c>
    </row>
    <row r="534" spans="1:2" x14ac:dyDescent="0.15">
      <c r="A534" s="3">
        <v>615</v>
      </c>
      <c r="B534" s="3" t="s">
        <v>576</v>
      </c>
    </row>
    <row r="535" spans="1:2" x14ac:dyDescent="0.15">
      <c r="A535" s="3">
        <v>616</v>
      </c>
      <c r="B535" s="3" t="s">
        <v>577</v>
      </c>
    </row>
    <row r="536" spans="1:2" x14ac:dyDescent="0.15">
      <c r="A536" s="3">
        <v>617</v>
      </c>
      <c r="B536" s="3" t="s">
        <v>578</v>
      </c>
    </row>
    <row r="537" spans="1:2" x14ac:dyDescent="0.15">
      <c r="A537" s="3">
        <v>618</v>
      </c>
      <c r="B537" s="3" t="s">
        <v>579</v>
      </c>
    </row>
    <row r="538" spans="1:2" x14ac:dyDescent="0.15">
      <c r="A538" s="3">
        <v>620</v>
      </c>
      <c r="B538" s="3" t="s">
        <v>580</v>
      </c>
    </row>
    <row r="539" spans="1:2" x14ac:dyDescent="0.15">
      <c r="A539" s="3">
        <v>621</v>
      </c>
      <c r="B539" s="3" t="s">
        <v>581</v>
      </c>
    </row>
    <row r="540" spans="1:2" x14ac:dyDescent="0.15">
      <c r="A540" s="3">
        <v>622</v>
      </c>
      <c r="B540" s="3" t="s">
        <v>582</v>
      </c>
    </row>
    <row r="541" spans="1:2" x14ac:dyDescent="0.15">
      <c r="A541" s="3">
        <v>623</v>
      </c>
      <c r="B541" s="3" t="s">
        <v>583</v>
      </c>
    </row>
    <row r="542" spans="1:2" x14ac:dyDescent="0.15">
      <c r="A542" s="3">
        <v>624</v>
      </c>
      <c r="B542" s="3" t="s">
        <v>584</v>
      </c>
    </row>
    <row r="543" spans="1:2" x14ac:dyDescent="0.15">
      <c r="A543" s="3">
        <v>625</v>
      </c>
      <c r="B543" s="3" t="s">
        <v>585</v>
      </c>
    </row>
    <row r="544" spans="1:2" x14ac:dyDescent="0.15">
      <c r="A544" s="3">
        <v>626</v>
      </c>
      <c r="B544" s="3" t="s">
        <v>586</v>
      </c>
    </row>
    <row r="545" spans="1:2" x14ac:dyDescent="0.15">
      <c r="A545" s="3">
        <v>627</v>
      </c>
      <c r="B545" s="3" t="s">
        <v>587</v>
      </c>
    </row>
    <row r="546" spans="1:2" x14ac:dyDescent="0.15">
      <c r="A546" s="3">
        <v>628</v>
      </c>
      <c r="B546" s="3" t="s">
        <v>588</v>
      </c>
    </row>
    <row r="547" spans="1:2" x14ac:dyDescent="0.15">
      <c r="A547" s="3">
        <v>629</v>
      </c>
      <c r="B547" s="3" t="s">
        <v>589</v>
      </c>
    </row>
    <row r="548" spans="1:2" x14ac:dyDescent="0.15">
      <c r="A548" s="3">
        <v>630</v>
      </c>
      <c r="B548" s="3" t="s">
        <v>590</v>
      </c>
    </row>
    <row r="549" spans="1:2" x14ac:dyDescent="0.15">
      <c r="A549" s="3">
        <v>631</v>
      </c>
      <c r="B549" s="3" t="s">
        <v>591</v>
      </c>
    </row>
    <row r="550" spans="1:2" x14ac:dyDescent="0.15">
      <c r="A550" s="3">
        <v>632</v>
      </c>
      <c r="B550" s="3" t="s">
        <v>592</v>
      </c>
    </row>
    <row r="551" spans="1:2" x14ac:dyDescent="0.15">
      <c r="A551" s="3">
        <v>633</v>
      </c>
      <c r="B551" s="3" t="s">
        <v>593</v>
      </c>
    </row>
    <row r="552" spans="1:2" x14ac:dyDescent="0.15">
      <c r="A552" s="3">
        <v>634</v>
      </c>
      <c r="B552" s="3" t="s">
        <v>594</v>
      </c>
    </row>
    <row r="553" spans="1:2" x14ac:dyDescent="0.15">
      <c r="A553" s="3">
        <v>636</v>
      </c>
      <c r="B553" s="3" t="s">
        <v>595</v>
      </c>
    </row>
    <row r="554" spans="1:2" x14ac:dyDescent="0.15">
      <c r="A554" s="3">
        <v>637</v>
      </c>
      <c r="B554" s="3" t="s">
        <v>596</v>
      </c>
    </row>
    <row r="555" spans="1:2" x14ac:dyDescent="0.15">
      <c r="A555" s="3">
        <v>638</v>
      </c>
      <c r="B555" s="3" t="s">
        <v>597</v>
      </c>
    </row>
    <row r="556" spans="1:2" x14ac:dyDescent="0.15">
      <c r="A556" s="3">
        <v>639</v>
      </c>
      <c r="B556" s="3" t="s">
        <v>598</v>
      </c>
    </row>
    <row r="557" spans="1:2" x14ac:dyDescent="0.15">
      <c r="A557" s="3">
        <v>640</v>
      </c>
      <c r="B557" s="3" t="s">
        <v>599</v>
      </c>
    </row>
    <row r="558" spans="1:2" x14ac:dyDescent="0.15">
      <c r="A558" s="3">
        <v>642</v>
      </c>
      <c r="B558" s="3" t="s">
        <v>29</v>
      </c>
    </row>
    <row r="559" spans="1:2" x14ac:dyDescent="0.15">
      <c r="A559" s="3">
        <v>643</v>
      </c>
      <c r="B559" s="3" t="s">
        <v>600</v>
      </c>
    </row>
    <row r="560" spans="1:2" x14ac:dyDescent="0.15">
      <c r="A560" s="3">
        <v>644</v>
      </c>
      <c r="B560" s="3" t="s">
        <v>601</v>
      </c>
    </row>
    <row r="561" spans="1:2" x14ac:dyDescent="0.15">
      <c r="A561" s="3">
        <v>645</v>
      </c>
      <c r="B561" s="3" t="s">
        <v>602</v>
      </c>
    </row>
    <row r="562" spans="1:2" x14ac:dyDescent="0.15">
      <c r="A562" s="3">
        <v>646</v>
      </c>
      <c r="B562" s="3" t="s">
        <v>603</v>
      </c>
    </row>
    <row r="563" spans="1:2" x14ac:dyDescent="0.15">
      <c r="A563" s="3">
        <v>647</v>
      </c>
      <c r="B563" s="3" t="s">
        <v>604</v>
      </c>
    </row>
    <row r="564" spans="1:2" x14ac:dyDescent="0.15">
      <c r="A564" s="3">
        <v>648</v>
      </c>
      <c r="B564" s="3" t="s">
        <v>605</v>
      </c>
    </row>
    <row r="565" spans="1:2" x14ac:dyDescent="0.15">
      <c r="A565" s="3">
        <v>649</v>
      </c>
      <c r="B565" s="3" t="s">
        <v>606</v>
      </c>
    </row>
    <row r="566" spans="1:2" x14ac:dyDescent="0.15">
      <c r="A566" s="3">
        <v>650</v>
      </c>
      <c r="B566" s="3" t="s">
        <v>607</v>
      </c>
    </row>
    <row r="567" spans="1:2" x14ac:dyDescent="0.15">
      <c r="A567" s="3">
        <v>651</v>
      </c>
      <c r="B567" s="3" t="s">
        <v>608</v>
      </c>
    </row>
    <row r="568" spans="1:2" x14ac:dyDescent="0.15">
      <c r="A568" s="3">
        <v>652</v>
      </c>
      <c r="B568" s="3" t="s">
        <v>609</v>
      </c>
    </row>
    <row r="569" spans="1:2" x14ac:dyDescent="0.15">
      <c r="A569" s="3">
        <v>653</v>
      </c>
      <c r="B569" s="3" t="s">
        <v>610</v>
      </c>
    </row>
    <row r="570" spans="1:2" x14ac:dyDescent="0.15">
      <c r="A570" s="3">
        <v>654</v>
      </c>
      <c r="B570" s="3" t="s">
        <v>611</v>
      </c>
    </row>
    <row r="571" spans="1:2" x14ac:dyDescent="0.15">
      <c r="A571" s="3">
        <v>655</v>
      </c>
      <c r="B571" s="3" t="s">
        <v>612</v>
      </c>
    </row>
    <row r="572" spans="1:2" x14ac:dyDescent="0.15">
      <c r="A572" s="3">
        <v>656</v>
      </c>
      <c r="B572" s="3" t="s">
        <v>613</v>
      </c>
    </row>
    <row r="573" spans="1:2" x14ac:dyDescent="0.15">
      <c r="A573" s="3">
        <v>658</v>
      </c>
      <c r="B573" s="3" t="s">
        <v>46</v>
      </c>
    </row>
    <row r="574" spans="1:2" x14ac:dyDescent="0.15">
      <c r="A574" s="3">
        <v>659</v>
      </c>
      <c r="B574" s="3" t="s">
        <v>614</v>
      </c>
    </row>
    <row r="575" spans="1:2" x14ac:dyDescent="0.15">
      <c r="A575" s="3">
        <v>660</v>
      </c>
      <c r="B575" s="3" t="s">
        <v>615</v>
      </c>
    </row>
    <row r="576" spans="1:2" x14ac:dyDescent="0.15">
      <c r="A576" s="3">
        <v>661</v>
      </c>
      <c r="B576" s="3" t="s">
        <v>616</v>
      </c>
    </row>
    <row r="577" spans="1:2" x14ac:dyDescent="0.15">
      <c r="A577" s="3">
        <v>662</v>
      </c>
      <c r="B577" s="3" t="s">
        <v>30</v>
      </c>
    </row>
    <row r="578" spans="1:2" x14ac:dyDescent="0.15">
      <c r="A578" s="3">
        <v>663</v>
      </c>
      <c r="B578" s="3" t="s">
        <v>617</v>
      </c>
    </row>
    <row r="579" spans="1:2" x14ac:dyDescent="0.15">
      <c r="A579" s="3">
        <v>995</v>
      </c>
      <c r="B579" s="3" t="s">
        <v>618</v>
      </c>
    </row>
  </sheetData>
  <mergeCells count="6">
    <mergeCell ref="V1:W1"/>
    <mergeCell ref="X1:Y1"/>
    <mergeCell ref="Z1:AA1"/>
    <mergeCell ref="P1:Q1"/>
    <mergeCell ref="T1:U1"/>
    <mergeCell ref="R1:S1"/>
  </mergeCells>
  <phoneticPr fontId="18" type="noConversion"/>
  <pageMargins left="0.7" right="0.7" top="0.75" bottom="0.75" header="0.3" footer="0.3"/>
  <pageSetup paperSize="9" orientation="portrait" horizontalDpi="1200" verticalDpi="1200" r:id="rId1"/>
</worksheet>
</file>

<file path=xl/worksheets/sheet3.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81BAC9-EDC6-4C51-AA88-6C0F8A94F7D5}">
  <dimension ref="A1:AS46"/>
  <sheetViews>
    <sheetView topLeftCell="AB9" workbookViewId="0">
      <selection activeCell="AN46" sqref="AN46"/>
    </sheetView>
  </sheetViews>
  <sheetFormatPr defaultRowHeight="13.5" x14ac:dyDescent="0.15"/>
  <cols>
    <col min="11" max="11" width="15.375" customWidth="1"/>
    <col min="13" max="17" width="0" hidden="1" customWidth="1"/>
    <col min="18" max="18" width="18.125" customWidth="1"/>
    <col min="19" max="19" width="18.25" customWidth="1"/>
    <col min="20" max="20" width="14.5" customWidth="1"/>
    <col min="21" max="21" width="14.5" style="36" customWidth="1"/>
    <col min="22" max="22" width="17.375" customWidth="1"/>
    <col min="23" max="23" width="15.875" customWidth="1"/>
    <col min="24" max="24" width="17.625" customWidth="1"/>
    <col min="36" max="36" width="15.875" customWidth="1"/>
    <col min="37" max="37" width="14.125" customWidth="1"/>
    <col min="38" max="38" width="15.375" customWidth="1"/>
    <col min="41" max="41" width="43.25" customWidth="1"/>
    <col min="42" max="42" width="68.75" customWidth="1"/>
  </cols>
  <sheetData>
    <row r="1" spans="1:45" s="32" customFormat="1" x14ac:dyDescent="0.15">
      <c r="A1" s="33" t="s">
        <v>0</v>
      </c>
      <c r="B1" s="33" t="s">
        <v>1420</v>
      </c>
      <c r="C1" s="33" t="s">
        <v>1</v>
      </c>
      <c r="D1" s="33" t="s">
        <v>2</v>
      </c>
      <c r="E1" s="33" t="s">
        <v>1617</v>
      </c>
      <c r="F1" s="33" t="s">
        <v>1511</v>
      </c>
      <c r="G1" s="33" t="s">
        <v>1514</v>
      </c>
      <c r="H1" s="33" t="s">
        <v>1618</v>
      </c>
      <c r="I1" s="33" t="s">
        <v>1619</v>
      </c>
      <c r="J1" s="33" t="s">
        <v>1515</v>
      </c>
      <c r="K1" s="33" t="s">
        <v>3</v>
      </c>
      <c r="L1" s="33" t="s">
        <v>1421</v>
      </c>
      <c r="M1" s="33" t="s">
        <v>1620</v>
      </c>
      <c r="N1" s="33" t="s">
        <v>1621</v>
      </c>
      <c r="O1" s="33" t="s">
        <v>1622</v>
      </c>
      <c r="P1" s="33" t="s">
        <v>1623</v>
      </c>
      <c r="Q1" s="33" t="s">
        <v>1624</v>
      </c>
      <c r="R1" s="33" t="s">
        <v>1625</v>
      </c>
      <c r="S1" s="33" t="s">
        <v>1626</v>
      </c>
      <c r="T1" s="33" t="s">
        <v>1627</v>
      </c>
      <c r="U1" s="36" t="s">
        <v>1968</v>
      </c>
      <c r="V1" s="33" t="s">
        <v>1628</v>
      </c>
      <c r="W1" s="33" t="s">
        <v>1629</v>
      </c>
      <c r="X1" s="33" t="s">
        <v>1630</v>
      </c>
      <c r="Y1" s="33" t="s">
        <v>1631</v>
      </c>
      <c r="Z1" s="33" t="s">
        <v>1632</v>
      </c>
      <c r="AA1" s="33" t="s">
        <v>1633</v>
      </c>
      <c r="AB1" s="33" t="s">
        <v>1634</v>
      </c>
      <c r="AC1" s="33" t="s">
        <v>1635</v>
      </c>
      <c r="AD1" s="33" t="s">
        <v>1636</v>
      </c>
      <c r="AE1" s="33" t="s">
        <v>1637</v>
      </c>
      <c r="AF1" s="33" t="s">
        <v>1638</v>
      </c>
      <c r="AG1" s="33" t="s">
        <v>1639</v>
      </c>
      <c r="AH1" s="33" t="s">
        <v>1640</v>
      </c>
      <c r="AI1" s="33" t="s">
        <v>1641</v>
      </c>
      <c r="AJ1" s="33" t="s">
        <v>1642</v>
      </c>
      <c r="AK1" s="33" t="s">
        <v>1643</v>
      </c>
      <c r="AL1" s="33" t="s">
        <v>1644</v>
      </c>
      <c r="AM1" s="33" t="s">
        <v>1645</v>
      </c>
      <c r="AN1" s="33" t="s">
        <v>1930</v>
      </c>
      <c r="AO1" s="33" t="s">
        <v>1422</v>
      </c>
      <c r="AP1" s="33"/>
    </row>
    <row r="2" spans="1:45" x14ac:dyDescent="0.15">
      <c r="A2" s="35" t="s">
        <v>1716</v>
      </c>
      <c r="B2" s="35">
        <v>-19</v>
      </c>
      <c r="C2" s="35"/>
      <c r="D2" s="35"/>
      <c r="E2" s="35"/>
      <c r="F2" s="35"/>
      <c r="G2" s="35"/>
      <c r="H2" s="35"/>
      <c r="I2" s="35"/>
      <c r="J2" s="35"/>
      <c r="K2" s="35"/>
      <c r="L2" s="35"/>
      <c r="M2" s="35"/>
      <c r="N2" s="35"/>
      <c r="O2" s="35"/>
      <c r="P2" s="35"/>
      <c r="Q2" s="35"/>
      <c r="R2" s="35"/>
      <c r="S2" s="35"/>
      <c r="T2" s="35"/>
      <c r="V2" s="35"/>
      <c r="W2" s="35"/>
      <c r="X2" s="35"/>
      <c r="Y2" s="35"/>
      <c r="Z2" s="35"/>
      <c r="AA2" s="35"/>
      <c r="AB2" s="35"/>
      <c r="AC2" s="35"/>
      <c r="AD2" s="35"/>
      <c r="AE2" s="35"/>
      <c r="AF2" s="35"/>
      <c r="AG2" s="35"/>
      <c r="AH2" s="35"/>
      <c r="AI2" s="35"/>
      <c r="AJ2" s="35"/>
      <c r="AK2" s="35"/>
      <c r="AL2" s="35"/>
      <c r="AM2" s="35"/>
      <c r="AN2" s="36"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c r="AO2" s="35"/>
      <c r="AP2" s="35"/>
      <c r="AQ2" s="35"/>
      <c r="AR2" s="35"/>
      <c r="AS2" s="35"/>
    </row>
    <row r="3" spans="1:45" s="36" customFormat="1" x14ac:dyDescent="0.15">
      <c r="C3" s="36">
        <v>3921</v>
      </c>
      <c r="D3" s="36">
        <v>1</v>
      </c>
      <c r="F3" s="36">
        <v>134</v>
      </c>
      <c r="G3" s="36" t="s">
        <v>2057</v>
      </c>
      <c r="I3" s="36">
        <v>1</v>
      </c>
      <c r="K3" s="36" t="s">
        <v>1827</v>
      </c>
      <c r="T3" s="36">
        <v>1</v>
      </c>
      <c r="AN3" s="36" t="str">
        <f t="shared" ref="AN3:AN45"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{dwID=3921,nLevel=1,nIcon=134,szName="弩CD",nScrutinyType=1,szNote="伟龙debuff",[1]={bBuffList=true,},[2]={},},</v>
      </c>
    </row>
    <row r="4" spans="1:45" s="36" customFormat="1" x14ac:dyDescent="0.15">
      <c r="C4" s="36">
        <v>4332</v>
      </c>
      <c r="D4" s="36">
        <v>1</v>
      </c>
      <c r="G4" s="36" t="s">
        <v>1829</v>
      </c>
      <c r="I4" s="36">
        <v>2</v>
      </c>
      <c r="K4" s="36" t="s">
        <v>1828</v>
      </c>
      <c r="L4" s="36" t="s">
        <v>1830</v>
      </c>
      <c r="T4" s="36">
        <v>1</v>
      </c>
      <c r="AE4" s="36" t="s">
        <v>1971</v>
      </c>
      <c r="AF4" s="36">
        <v>3</v>
      </c>
      <c r="AG4" s="36" t="s">
        <v>1832</v>
      </c>
      <c r="AH4" s="36" t="s">
        <v>1831</v>
      </c>
      <c r="AI4" s="36">
        <v>255</v>
      </c>
      <c r="AJ4" s="36">
        <v>1</v>
      </c>
      <c r="AL4" s="36">
        <v>1</v>
      </c>
      <c r="AN4" s="36" t="str">
        <f t="shared" si="0"/>
        <v>{dwID=4332,nLevel=1,szName="箭弩车",nScrutinyType=2,szNote="操作箭弩车",col={255,204,0,},[1]={bBuffList=true,},[2]={},aCataclysmBuff={{szReminder="车",nPriority=3,col="#FFCC00FF",colScreenHead="#FFCC00",nColAlpha=255,bAttention=true,bScreenHead=true,},},},</v>
      </c>
    </row>
    <row r="5" spans="1:45" s="36" customFormat="1" x14ac:dyDescent="0.15">
      <c r="C5" s="36">
        <v>7373</v>
      </c>
      <c r="D5" s="36">
        <v>1</v>
      </c>
      <c r="F5" s="36">
        <v>134</v>
      </c>
      <c r="G5" s="36" t="s">
        <v>2390</v>
      </c>
      <c r="I5" s="36">
        <v>3</v>
      </c>
      <c r="K5" s="36" t="s">
        <v>2389</v>
      </c>
      <c r="L5" s="36" t="s">
        <v>1964</v>
      </c>
      <c r="R5" s="36">
        <v>1</v>
      </c>
      <c r="AN5" s="36" t="str">
        <f t="shared" si="0"/>
        <v>{dwID=7373,nLevel=1,nIcon=134,szName="箭弩车",nScrutinyType=3,szNote="箭弩车记录ID",col={255,50,255,},[1]={bScreenHead=true,},[2]={},},</v>
      </c>
    </row>
    <row r="6" spans="1:45" s="36" customFormat="1" x14ac:dyDescent="0.15">
      <c r="C6" s="36">
        <v>13876</v>
      </c>
      <c r="D6" s="36">
        <v>1</v>
      </c>
      <c r="G6" s="36" t="s">
        <v>2680</v>
      </c>
      <c r="I6" s="36">
        <v>2</v>
      </c>
      <c r="K6" s="36" t="s">
        <v>2679</v>
      </c>
      <c r="T6" s="36">
        <v>1</v>
      </c>
      <c r="AN6" s="36" t="str">
        <f t="shared" si="0"/>
        <v>{dwID=13876,nLevel=1,szName="指挥车",nScrutinyType=2,szNote="热血沸腾",[1]={bBuffList=true,},[2]={},},</v>
      </c>
    </row>
    <row r="7" spans="1:45" s="36" customFormat="1" x14ac:dyDescent="0.15">
      <c r="C7" s="36">
        <v>13885</v>
      </c>
      <c r="D7" s="36">
        <v>1</v>
      </c>
      <c r="G7" s="36" t="s">
        <v>1800</v>
      </c>
      <c r="I7" s="36">
        <v>2</v>
      </c>
      <c r="K7" s="36" t="s">
        <v>1801</v>
      </c>
      <c r="L7" s="36" t="s">
        <v>2632</v>
      </c>
      <c r="T7" s="36">
        <v>1</v>
      </c>
      <c r="V7" s="36">
        <v>1</v>
      </c>
      <c r="AN7" s="36" t="str">
        <f t="shared" si="0"/>
        <v>{dwID=13885,nLevel=1,szName="庇佑",nScrutinyType=2,szNote="战车庇佑",col={0,255,0,},[1]={bBuffList=true,bTeamPanel=true,},[2]={},},</v>
      </c>
    </row>
    <row r="8" spans="1:45" s="36" customFormat="1" x14ac:dyDescent="0.15">
      <c r="C8" s="36">
        <v>8606</v>
      </c>
      <c r="D8" s="36">
        <v>1</v>
      </c>
      <c r="G8" s="36" t="s">
        <v>1915</v>
      </c>
      <c r="I8" s="36">
        <v>1</v>
      </c>
      <c r="K8" s="36" t="s">
        <v>1914</v>
      </c>
      <c r="T8" s="36">
        <v>1</v>
      </c>
      <c r="AN8" s="36" t="str">
        <f t="shared" si="0"/>
        <v>{dwID=8606,nLevel=1,szName="抗摔",nScrutinyType=1,szNote="抗摔·强健",[1]={bBuffList=true,},[2]={},},</v>
      </c>
    </row>
    <row r="9" spans="1:45" x14ac:dyDescent="0.15">
      <c r="A9" s="35"/>
      <c r="B9" s="35"/>
      <c r="C9" s="35">
        <v>8477</v>
      </c>
      <c r="D9" s="35">
        <v>1</v>
      </c>
      <c r="E9" s="35"/>
      <c r="F9" s="35">
        <v>6491</v>
      </c>
      <c r="G9" s="35" t="s">
        <v>1647</v>
      </c>
      <c r="H9" s="35"/>
      <c r="I9" s="35">
        <v>1</v>
      </c>
      <c r="J9" s="35"/>
      <c r="K9" s="36" t="s">
        <v>1650</v>
      </c>
      <c r="L9" s="35"/>
      <c r="M9" s="35"/>
      <c r="N9" s="35"/>
      <c r="O9" s="35"/>
      <c r="P9" s="35"/>
      <c r="Q9" s="35"/>
      <c r="R9" s="35"/>
      <c r="S9" s="35"/>
      <c r="T9" s="35">
        <v>1</v>
      </c>
      <c r="V9" s="35"/>
      <c r="W9" s="35"/>
      <c r="X9" s="35"/>
      <c r="Y9" s="35"/>
      <c r="Z9" s="35"/>
      <c r="AA9" s="35"/>
      <c r="AB9" s="35"/>
      <c r="AC9" s="35"/>
      <c r="AD9" s="35"/>
      <c r="AE9" s="35"/>
      <c r="AF9" s="35"/>
      <c r="AG9" s="35"/>
      <c r="AH9" s="35"/>
      <c r="AI9" s="35"/>
      <c r="AJ9" s="35"/>
      <c r="AK9" s="35"/>
      <c r="AL9" s="35"/>
      <c r="AM9" s="35"/>
      <c r="AN9" s="36" t="str">
        <f t="shared" si="0"/>
        <v>{dwID=8477,nLevel=1,nIcon=6491,szName="劲足",nScrutinyType=1,szNote="速度·劲足",[1]={bBuffList=true,},[2]={},tCountdown={{nClass=1,nIcon=6491,nFrame=6,szName="骑御·劲足",nTime=0.5,nRefresh=300,key="骑御·调息",},{nClass=2,nIcon=6491,nFrame=1,szName="劲足·已消失",nTime=3,nRefresh=5,key="骑御·劲足",},},},</v>
      </c>
      <c r="AO9" s="36" t="s">
        <v>1782</v>
      </c>
      <c r="AP9" s="36" t="s">
        <v>2168</v>
      </c>
      <c r="AQ9" s="35"/>
      <c r="AR9" s="35"/>
      <c r="AS9" s="35"/>
    </row>
    <row r="10" spans="1:45" x14ac:dyDescent="0.15">
      <c r="A10" s="35"/>
      <c r="B10" s="35"/>
      <c r="C10" s="35">
        <v>8607</v>
      </c>
      <c r="D10" s="35">
        <v>1</v>
      </c>
      <c r="E10" s="35"/>
      <c r="F10" s="35"/>
      <c r="G10" s="35" t="s">
        <v>2681</v>
      </c>
      <c r="H10" s="35"/>
      <c r="I10" s="35">
        <v>1</v>
      </c>
      <c r="J10" s="35"/>
      <c r="K10" s="36" t="s">
        <v>1649</v>
      </c>
      <c r="L10" s="35"/>
      <c r="M10" s="35"/>
      <c r="N10" s="35"/>
      <c r="O10" s="35"/>
      <c r="P10" s="35"/>
      <c r="Q10" s="35"/>
      <c r="R10" s="35"/>
      <c r="S10" s="35"/>
      <c r="T10" s="35">
        <v>1</v>
      </c>
      <c r="V10" s="35"/>
      <c r="W10" s="35"/>
      <c r="X10" s="35"/>
      <c r="Y10" s="35"/>
      <c r="Z10" s="35"/>
      <c r="AA10" s="35"/>
      <c r="AB10" s="35"/>
      <c r="AC10" s="35"/>
      <c r="AD10" s="35"/>
      <c r="AE10" s="35"/>
      <c r="AF10" s="35"/>
      <c r="AG10" s="35"/>
      <c r="AH10" s="35"/>
      <c r="AI10" s="35"/>
      <c r="AJ10" s="35"/>
      <c r="AK10" s="35"/>
      <c r="AL10" s="35"/>
      <c r="AM10" s="35"/>
      <c r="AN10" s="36" t="str">
        <f t="shared" si="0"/>
        <v>{dwID=8607,nLevel=1,szName="气力",nScrutinyType=1,szNote="气力·调息",[1]={bBuffList=true,},[2]={},tCountdown={{nClass=1,nIcon=6678,nFrame=6,szName="骑御·调息",nTime=0,key="骑御·调息",},},},</v>
      </c>
      <c r="AO10" s="35" t="s">
        <v>1648</v>
      </c>
      <c r="AP10" s="35"/>
      <c r="AQ10" s="35"/>
      <c r="AR10" s="35"/>
      <c r="AS10" s="35"/>
    </row>
    <row r="11" spans="1:45" x14ac:dyDescent="0.15">
      <c r="A11" s="35"/>
      <c r="B11" s="35"/>
      <c r="C11" s="35">
        <v>244</v>
      </c>
      <c r="D11" s="35">
        <v>1</v>
      </c>
      <c r="E11" s="35"/>
      <c r="F11" s="35"/>
      <c r="G11" s="35"/>
      <c r="H11" s="35"/>
      <c r="I11" s="35">
        <v>1</v>
      </c>
      <c r="J11" s="35"/>
      <c r="K11" s="36" t="s">
        <v>1651</v>
      </c>
      <c r="L11" s="35"/>
      <c r="M11" s="35"/>
      <c r="N11" s="35"/>
      <c r="O11" s="35"/>
      <c r="P11" s="35"/>
      <c r="Q11" s="35"/>
      <c r="R11" s="35"/>
      <c r="S11" s="35"/>
      <c r="T11" s="35"/>
      <c r="V11" s="35"/>
      <c r="W11" s="35"/>
      <c r="X11" s="35"/>
      <c r="Y11" s="35"/>
      <c r="Z11" s="35"/>
      <c r="AA11" s="35"/>
      <c r="AB11" s="35"/>
      <c r="AC11" s="35"/>
      <c r="AD11" s="35"/>
      <c r="AE11" s="35"/>
      <c r="AF11" s="35"/>
      <c r="AG11" s="35"/>
      <c r="AH11" s="35"/>
      <c r="AI11" s="35"/>
      <c r="AJ11" s="35"/>
      <c r="AK11" s="35"/>
      <c r="AL11" s="35"/>
      <c r="AM11" s="35"/>
      <c r="AN11" s="36" t="str">
        <f t="shared" si="0"/>
        <v>{dwID=244,nLevel=1,nScrutinyType=1,szNote="骑御",[1]={},[2]={},tCountdown={{nClass=2,nIcon=6678,nFrame=6,szName="骑御·调息",nTime=-1,key="骑御·调息",},{nClass=1,nIcon=6678,nFrame=6,szName="骑御·调息",nTime="18.8,调息·7级·触发剩余;22.8,调息·5级·触发剩余",nRefresh=0,key="骑御·调息",},},},</v>
      </c>
      <c r="AO11" s="35" t="s">
        <v>1646</v>
      </c>
      <c r="AP11" s="35" t="s">
        <v>1821</v>
      </c>
      <c r="AQ11" s="35"/>
      <c r="AS11" s="35"/>
    </row>
    <row r="12" spans="1:45" x14ac:dyDescent="0.15">
      <c r="A12" s="31" t="s">
        <v>2685</v>
      </c>
      <c r="B12" s="31">
        <v>-20</v>
      </c>
      <c r="C12" s="31"/>
      <c r="D12" s="31"/>
      <c r="E12" s="31"/>
      <c r="F12" s="31"/>
      <c r="G12" s="31"/>
      <c r="H12" s="31"/>
      <c r="I12" s="31"/>
      <c r="J12" s="31"/>
      <c r="K12" s="31"/>
      <c r="L12" s="31"/>
      <c r="M12" s="31"/>
      <c r="N12" s="31"/>
      <c r="O12" s="31"/>
      <c r="P12" s="31"/>
      <c r="Q12" s="31"/>
      <c r="R12" s="31"/>
      <c r="S12" s="31"/>
      <c r="T12" s="31"/>
      <c r="V12" s="31"/>
      <c r="W12" s="31"/>
      <c r="X12" s="31"/>
      <c r="Y12" s="31"/>
      <c r="Z12" s="31"/>
      <c r="AA12" s="31"/>
      <c r="AB12" s="31"/>
      <c r="AC12" s="31"/>
      <c r="AD12" s="31"/>
      <c r="AE12" s="31"/>
      <c r="AF12" s="31"/>
      <c r="AG12" s="31"/>
      <c r="AH12" s="31"/>
      <c r="AI12" s="31"/>
      <c r="AJ12" s="31"/>
      <c r="AK12" s="31"/>
      <c r="AL12" s="31"/>
      <c r="AM12" s="31"/>
      <c r="AN12" s="36" t="str">
        <f t="shared" si="0"/>
        <v>},[-20]={</v>
      </c>
      <c r="AO12" s="31"/>
      <c r="AP12" s="31"/>
      <c r="AQ12" s="31"/>
      <c r="AR12" s="31"/>
      <c r="AS12" s="31"/>
    </row>
    <row r="13" spans="1:45" x14ac:dyDescent="0.15">
      <c r="A13" s="31"/>
      <c r="B13" s="31"/>
      <c r="C13" s="31">
        <v>7561</v>
      </c>
      <c r="D13" s="31">
        <v>1</v>
      </c>
      <c r="E13" s="31"/>
      <c r="F13" s="31"/>
      <c r="G13" s="31" t="s">
        <v>2633</v>
      </c>
      <c r="H13" s="31"/>
      <c r="I13" s="31"/>
      <c r="J13" s="31"/>
      <c r="K13" s="31" t="s">
        <v>1653</v>
      </c>
      <c r="L13" s="31" t="s">
        <v>2115</v>
      </c>
      <c r="M13" s="31"/>
      <c r="N13" s="31"/>
      <c r="O13" s="31"/>
      <c r="P13" s="31"/>
      <c r="Q13" s="31"/>
      <c r="R13" s="31">
        <v>1</v>
      </c>
      <c r="S13" s="31">
        <v>1</v>
      </c>
      <c r="T13" s="31">
        <v>1</v>
      </c>
      <c r="V13" s="31">
        <v>1</v>
      </c>
      <c r="W13" s="31"/>
      <c r="X13" s="31"/>
      <c r="Y13" s="31"/>
      <c r="Z13" s="31"/>
      <c r="AA13" s="31"/>
      <c r="AB13" s="31"/>
      <c r="AC13" s="31"/>
      <c r="AD13" s="31"/>
      <c r="AE13" s="31" t="s">
        <v>2023</v>
      </c>
      <c r="AF13" s="31">
        <v>2</v>
      </c>
      <c r="AG13" s="31" t="s">
        <v>2177</v>
      </c>
      <c r="AH13" s="31" t="s">
        <v>2178</v>
      </c>
      <c r="AI13" s="31">
        <v>255</v>
      </c>
      <c r="AJ13" s="31"/>
      <c r="AK13" s="31"/>
      <c r="AL13" s="31">
        <v>1</v>
      </c>
      <c r="AM13" s="31"/>
      <c r="AN13" s="36"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13" s="36" t="s">
        <v>2576</v>
      </c>
      <c r="AP13" s="36" t="s">
        <v>2575</v>
      </c>
      <c r="AQ13" s="31"/>
      <c r="AR13" s="31"/>
      <c r="AS13" s="31"/>
    </row>
    <row r="14" spans="1:45" x14ac:dyDescent="0.15">
      <c r="A14" s="31"/>
      <c r="B14" s="31"/>
      <c r="C14" s="31">
        <v>7525</v>
      </c>
      <c r="D14" s="31">
        <v>1</v>
      </c>
      <c r="E14" s="31"/>
      <c r="F14" s="31"/>
      <c r="G14" s="31" t="s">
        <v>2634</v>
      </c>
      <c r="H14" s="31"/>
      <c r="I14" s="31"/>
      <c r="J14" s="31"/>
      <c r="K14" s="31" t="s">
        <v>1652</v>
      </c>
      <c r="L14" s="31" t="s">
        <v>2115</v>
      </c>
      <c r="M14" s="31"/>
      <c r="N14" s="31"/>
      <c r="O14" s="31"/>
      <c r="P14" s="31"/>
      <c r="Q14" s="31"/>
      <c r="R14" s="31">
        <v>1</v>
      </c>
      <c r="S14" s="31">
        <v>1</v>
      </c>
      <c r="T14" s="31">
        <v>1</v>
      </c>
      <c r="V14" s="31">
        <v>1</v>
      </c>
      <c r="W14" s="31"/>
      <c r="X14" s="31"/>
      <c r="Y14" s="31"/>
      <c r="Z14" s="31"/>
      <c r="AA14" s="31"/>
      <c r="AB14" s="31"/>
      <c r="AC14" s="31"/>
      <c r="AD14" s="31"/>
      <c r="AE14" s="31" t="s">
        <v>2023</v>
      </c>
      <c r="AF14" s="31">
        <v>2</v>
      </c>
      <c r="AG14" s="31" t="s">
        <v>2177</v>
      </c>
      <c r="AH14" s="31" t="s">
        <v>2178</v>
      </c>
      <c r="AI14" s="31">
        <v>255</v>
      </c>
      <c r="AJ14" s="31"/>
      <c r="AK14" s="31"/>
      <c r="AL14" s="31">
        <v>1</v>
      </c>
      <c r="AM14" s="31"/>
      <c r="AN14" s="36"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14" s="31" t="s">
        <v>2576</v>
      </c>
      <c r="AP14" s="31" t="s">
        <v>2575</v>
      </c>
      <c r="AQ14" s="31"/>
      <c r="AR14" s="31"/>
      <c r="AS14" s="31"/>
    </row>
    <row r="15" spans="1:45" s="36" customFormat="1" x14ac:dyDescent="0.15">
      <c r="C15" s="36">
        <v>7373</v>
      </c>
      <c r="D15" s="36">
        <v>1</v>
      </c>
      <c r="F15" s="36">
        <v>134</v>
      </c>
      <c r="G15" s="36" t="s">
        <v>2390</v>
      </c>
      <c r="I15" s="36">
        <v>3</v>
      </c>
      <c r="K15" s="36" t="s">
        <v>2389</v>
      </c>
      <c r="L15" s="36" t="s">
        <v>1964</v>
      </c>
      <c r="R15" s="36">
        <v>1</v>
      </c>
      <c r="AN15" s="36" t="str">
        <f t="shared" si="0"/>
        <v>{dwID=7373,nLevel=1,nIcon=134,szName="箭弩车",nScrutinyType=3,szNote="箭弩车记录ID",col={255,50,255,},[1]={bScreenHead=true,},[2]={},},</v>
      </c>
    </row>
    <row r="16" spans="1:45" s="36" customFormat="1" x14ac:dyDescent="0.15">
      <c r="C16" s="36">
        <v>7492</v>
      </c>
      <c r="D16" s="36">
        <v>1</v>
      </c>
      <c r="G16" s="36" t="s">
        <v>1785</v>
      </c>
      <c r="I16" s="36">
        <v>2</v>
      </c>
      <c r="K16" s="36" t="s">
        <v>1784</v>
      </c>
      <c r="L16" s="36" t="s">
        <v>1527</v>
      </c>
      <c r="T16" s="36">
        <v>1</v>
      </c>
      <c r="AN16" s="36" t="str">
        <f t="shared" si="0"/>
        <v>{dwID=7492,nLevel=1,szName="御城矛",nScrutinyType=2,szNote="御城·矛",col={0,255,0,},[1]={bBuffList=true,},[2]={},},</v>
      </c>
    </row>
    <row r="17" spans="1:42" s="36" customFormat="1" x14ac:dyDescent="0.15">
      <c r="C17" s="36">
        <v>8606</v>
      </c>
      <c r="D17" s="36">
        <v>1</v>
      </c>
      <c r="G17" s="36" t="s">
        <v>1915</v>
      </c>
      <c r="I17" s="36">
        <v>1</v>
      </c>
      <c r="K17" s="36" t="s">
        <v>1914</v>
      </c>
      <c r="T17" s="36">
        <v>1</v>
      </c>
      <c r="AN17" s="36" t="str">
        <f t="shared" si="0"/>
        <v>{dwID=8606,nLevel=1,szName="抗摔",nScrutinyType=1,szNote="抗摔·强健",[1]={bBuffList=true,},[2]={},},</v>
      </c>
    </row>
    <row r="18" spans="1:42" s="36" customFormat="1" x14ac:dyDescent="0.15">
      <c r="A18" s="36" t="s">
        <v>2165</v>
      </c>
      <c r="B18" s="36">
        <v>50</v>
      </c>
      <c r="AN18" s="36" t="str">
        <f t="shared" si="0"/>
        <v>},[50]={</v>
      </c>
    </row>
    <row r="19" spans="1:42" s="36" customFormat="1" x14ac:dyDescent="0.15">
      <c r="C19" s="36">
        <v>8477</v>
      </c>
      <c r="D19" s="36">
        <v>1</v>
      </c>
      <c r="F19" s="36">
        <v>6491</v>
      </c>
      <c r="G19" s="36" t="s">
        <v>1647</v>
      </c>
      <c r="I19" s="36">
        <v>1</v>
      </c>
      <c r="K19" s="36" t="s">
        <v>1650</v>
      </c>
      <c r="T19" s="36">
        <v>1</v>
      </c>
      <c r="AN19" s="36" t="str">
        <f t="shared" si="0"/>
        <v>{dwID=8477,nLevel=1,nIcon=6491,szName="劲足",nScrutinyType=1,szNote="速度·劲足",[1]={bBuffList=true,},[2]={},tCountdown={{nClass=1,nIcon=6491,nFrame=6,szName="骑御·劲足",nTime=0.5,nRefresh=300,key="骑御·调息",},{nClass=2,nIcon=6491,nFrame=1,szName="劲足·已消失",nTime=3,nRefresh=5,key="骑御·劲足",},},},</v>
      </c>
      <c r="AO19" s="36" t="s">
        <v>1782</v>
      </c>
      <c r="AP19" s="36" t="s">
        <v>2168</v>
      </c>
    </row>
    <row r="20" spans="1:42" s="36" customFormat="1" x14ac:dyDescent="0.15">
      <c r="C20" s="36">
        <v>8607</v>
      </c>
      <c r="D20" s="36">
        <v>1</v>
      </c>
      <c r="G20" s="36" t="s">
        <v>2681</v>
      </c>
      <c r="I20" s="36">
        <v>1</v>
      </c>
      <c r="K20" s="36" t="s">
        <v>1649</v>
      </c>
      <c r="T20" s="36">
        <v>1</v>
      </c>
      <c r="AN20" s="36" t="str">
        <f t="shared" si="0"/>
        <v>{dwID=8607,nLevel=1,szName="气力",nScrutinyType=1,szNote="气力·调息",[1]={bBuffList=true,},[2]={},tCountdown={{nClass=1,nIcon=6678,nFrame=6,szName="骑御·调息",nTime=0,key="骑御·调息",},},},</v>
      </c>
      <c r="AO20" s="36" t="s">
        <v>1648</v>
      </c>
    </row>
    <row r="21" spans="1:42" s="36" customFormat="1" x14ac:dyDescent="0.15">
      <c r="C21" s="36">
        <v>244</v>
      </c>
      <c r="D21" s="36">
        <v>1</v>
      </c>
      <c r="H21" s="36">
        <v>1</v>
      </c>
      <c r="I21" s="36">
        <v>1</v>
      </c>
      <c r="K21" s="36" t="s">
        <v>1651</v>
      </c>
      <c r="AN21" s="36" t="str">
        <f t="shared" si="0"/>
        <v>{dwID=244,nLevel=1,bCheckLevel=true,nScrutinyType=1,szNote="骑御",[1]={},[2]={},tCountdown={{nClass=2,nIcon=6678,nFrame=6,szName="骑御·调息",nTime=-1,key="骑御·调息",},{nClass=1,nIcon=6678,nFrame=6,szName="骑御·调息",nTime="18.8,调息·7级·触发剩余;22.8,调息·5级·触发剩余",nRefresh=0,key="骑御·调息",},},},</v>
      </c>
      <c r="AO21" s="36" t="s">
        <v>1646</v>
      </c>
      <c r="AP21" s="36" t="s">
        <v>1821</v>
      </c>
    </row>
    <row r="22" spans="1:42" s="36" customFormat="1" x14ac:dyDescent="0.15">
      <c r="A22" s="36" t="s">
        <v>2093</v>
      </c>
      <c r="B22" s="36">
        <v>74</v>
      </c>
      <c r="AN22" s="36" t="str">
        <f t="shared" si="0"/>
        <v>},[74]={</v>
      </c>
    </row>
    <row r="23" spans="1:42" s="36" customFormat="1" x14ac:dyDescent="0.15">
      <c r="C23" s="36">
        <v>8477</v>
      </c>
      <c r="D23" s="36">
        <v>1</v>
      </c>
      <c r="F23" s="36">
        <v>6491</v>
      </c>
      <c r="G23" s="36" t="s">
        <v>1647</v>
      </c>
      <c r="I23" s="36">
        <v>1</v>
      </c>
      <c r="K23" s="36" t="s">
        <v>1650</v>
      </c>
      <c r="T23" s="36">
        <v>1</v>
      </c>
      <c r="AN23" s="36" t="str">
        <f t="shared" si="0"/>
        <v>{dwID=8477,nLevel=1,nIcon=6491,szName="劲足",nScrutinyType=1,szNote="速度·劲足",[1]={bBuffList=true,},[2]={},tCountdown={{nClass=1,nIcon=6491,nFrame=6,szName="骑御·劲足",nTime=0.5,nRefresh=300,key="骑御·调息",},{nClass=2,nIcon=6491,nFrame=1,szName="劲足·已消失",nTime=3,nRefresh=5,key="骑御·劲足",},},},</v>
      </c>
      <c r="AO23" s="36" t="s">
        <v>1782</v>
      </c>
      <c r="AP23" s="36" t="s">
        <v>2168</v>
      </c>
    </row>
    <row r="24" spans="1:42" s="36" customFormat="1" x14ac:dyDescent="0.15">
      <c r="C24" s="36">
        <v>8607</v>
      </c>
      <c r="D24" s="36">
        <v>1</v>
      </c>
      <c r="I24" s="36">
        <v>1</v>
      </c>
      <c r="K24" s="36" t="s">
        <v>1649</v>
      </c>
      <c r="T24" s="36">
        <v>1</v>
      </c>
      <c r="AN24" s="36" t="str">
        <f t="shared" si="0"/>
        <v>{dwID=8607,nLevel=1,nScrutinyType=1,szNote="气力·调息",[1]={bBuffList=true,},[2]={},tCountdown={{nClass=1,nIcon=6678,nFrame=6,szName="骑御·调息",nTime=0,key="骑御·调息",},},},</v>
      </c>
      <c r="AO24" s="36" t="s">
        <v>1648</v>
      </c>
    </row>
    <row r="25" spans="1:42" s="36" customFormat="1" x14ac:dyDescent="0.15">
      <c r="C25" s="36">
        <v>244</v>
      </c>
      <c r="D25" s="36">
        <v>1</v>
      </c>
      <c r="H25" s="36">
        <v>1</v>
      </c>
      <c r="I25" s="36">
        <v>1</v>
      </c>
      <c r="K25" s="36" t="s">
        <v>1651</v>
      </c>
      <c r="AN25" s="36" t="str">
        <f t="shared" si="0"/>
        <v>{dwID=244,nLevel=1,bCheckLevel=true,nScrutinyType=1,szNote="骑御",[1]={},[2]={},tCountdown={{nClass=2,nIcon=6678,nFrame=6,szName="骑御·调息",nTime=-1,key="骑御·调息",},{nClass=1,nIcon=6678,nFrame=6,szName="骑御·调息",nTime="18.8,调息·7级·触发剩余;22.8,调息·5级·触发剩余",nRefresh=0,key="骑御·调息",},},},</v>
      </c>
      <c r="AO25" s="36" t="s">
        <v>1646</v>
      </c>
      <c r="AP25" s="36" t="s">
        <v>1821</v>
      </c>
    </row>
    <row r="26" spans="1:42" s="36" customFormat="1" x14ac:dyDescent="0.15">
      <c r="A26" s="36" t="s">
        <v>1767</v>
      </c>
      <c r="B26" s="36">
        <v>214</v>
      </c>
      <c r="AN26" s="36" t="str">
        <f t="shared" si="0"/>
        <v>},[214]={</v>
      </c>
    </row>
    <row r="27" spans="1:42" s="36" customFormat="1" x14ac:dyDescent="0.15">
      <c r="C27" s="36">
        <v>10067</v>
      </c>
      <c r="D27" s="36">
        <v>1</v>
      </c>
      <c r="G27" s="36" t="s">
        <v>2310</v>
      </c>
      <c r="I27" s="36">
        <v>1</v>
      </c>
      <c r="K27" s="36" t="s">
        <v>2309</v>
      </c>
      <c r="L27" s="36" t="s">
        <v>2311</v>
      </c>
      <c r="T27" s="36">
        <v>1</v>
      </c>
      <c r="AN27" s="36" t="str">
        <f t="shared" si="0"/>
        <v>{dwID=10067,nLevel=1,szName="补货点",nScrutinyType=1,szNote="阴山商路贸易区",col={255,150,0,},[1]={bBuffList=true,},[2]={},},</v>
      </c>
    </row>
    <row r="28" spans="1:42" s="36" customFormat="1" x14ac:dyDescent="0.15">
      <c r="C28" s="36">
        <v>7508</v>
      </c>
      <c r="D28" s="36">
        <v>1</v>
      </c>
      <c r="I28" s="36">
        <v>1</v>
      </c>
      <c r="K28" s="36" t="s">
        <v>2308</v>
      </c>
      <c r="L28" s="36" t="s">
        <v>2307</v>
      </c>
      <c r="R28" s="36">
        <v>1</v>
      </c>
      <c r="T28" s="36">
        <v>1</v>
      </c>
      <c r="AN28" s="36" t="str">
        <f t="shared" si="0"/>
        <v>{dwID=7508,nLevel=1,nScrutinyType=1,szNote="哑运",col={179,238,58,},[1]={bScreenHead=true,bBuffList=true,},[2]={},},</v>
      </c>
    </row>
    <row r="29" spans="1:42" s="36" customFormat="1" x14ac:dyDescent="0.15">
      <c r="A29" s="36" t="s">
        <v>19</v>
      </c>
      <c r="B29" s="36">
        <v>217</v>
      </c>
      <c r="AN29" s="36" t="str">
        <f t="shared" si="0"/>
        <v>},[217]={</v>
      </c>
    </row>
    <row r="30" spans="1:42" s="36" customFormat="1" x14ac:dyDescent="0.15">
      <c r="C30" s="36">
        <v>7508</v>
      </c>
      <c r="D30" s="36">
        <v>1</v>
      </c>
      <c r="I30" s="36">
        <v>1</v>
      </c>
      <c r="K30" s="36" t="s">
        <v>2308</v>
      </c>
      <c r="L30" s="36" t="s">
        <v>2307</v>
      </c>
      <c r="R30" s="36">
        <v>1</v>
      </c>
      <c r="T30" s="36">
        <v>1</v>
      </c>
      <c r="AN30" s="36" t="str">
        <f t="shared" si="0"/>
        <v>{dwID=7508,nLevel=1,nScrutinyType=1,szNote="哑运",col={179,238,58,},[1]={bScreenHead=true,bBuffList=true,},[2]={},},</v>
      </c>
    </row>
    <row r="31" spans="1:42" s="36" customFormat="1" x14ac:dyDescent="0.15">
      <c r="A31" s="36" t="s">
        <v>18</v>
      </c>
      <c r="B31" s="36">
        <v>216</v>
      </c>
      <c r="AN31" s="36" t="str">
        <f t="shared" si="0"/>
        <v>},[216]={</v>
      </c>
    </row>
    <row r="32" spans="1:42" s="36" customFormat="1" x14ac:dyDescent="0.15">
      <c r="C32" s="36">
        <v>10067</v>
      </c>
      <c r="D32" s="36">
        <v>1</v>
      </c>
      <c r="G32" s="36" t="s">
        <v>2310</v>
      </c>
      <c r="I32" s="36">
        <v>1</v>
      </c>
      <c r="K32" s="36" t="s">
        <v>2309</v>
      </c>
      <c r="L32" s="36" t="s">
        <v>2311</v>
      </c>
      <c r="T32" s="36">
        <v>1</v>
      </c>
      <c r="AN32" s="36" t="str">
        <f t="shared" si="0"/>
        <v>{dwID=10067,nLevel=1,szName="补货点",nScrutinyType=1,szNote="阴山商路贸易区",col={255,150,0,},[1]={bBuffList=true,},[2]={},},</v>
      </c>
    </row>
    <row r="33" spans="1:42" s="36" customFormat="1" x14ac:dyDescent="0.15">
      <c r="C33" s="36">
        <v>7508</v>
      </c>
      <c r="D33" s="36">
        <v>1</v>
      </c>
      <c r="I33" s="36">
        <v>1</v>
      </c>
      <c r="K33" s="36" t="s">
        <v>2308</v>
      </c>
      <c r="L33" s="36" t="s">
        <v>2307</v>
      </c>
      <c r="R33" s="36">
        <v>1</v>
      </c>
      <c r="T33" s="36">
        <v>1</v>
      </c>
      <c r="AN33" s="36" t="str">
        <f t="shared" si="0"/>
        <v>{dwID=7508,nLevel=1,nScrutinyType=1,szNote="哑运",col={179,238,58,},[1]={bScreenHead=true,bBuffList=true,},[2]={},},</v>
      </c>
    </row>
    <row r="34" spans="1:42" s="36" customFormat="1" x14ac:dyDescent="0.15">
      <c r="C34" s="40">
        <v>7561</v>
      </c>
      <c r="D34" s="36">
        <v>1</v>
      </c>
      <c r="G34" s="36" t="s">
        <v>2633</v>
      </c>
      <c r="K34" s="36" t="s">
        <v>1653</v>
      </c>
      <c r="L34" s="36" t="s">
        <v>2115</v>
      </c>
      <c r="R34" s="36">
        <v>1</v>
      </c>
      <c r="S34" s="36">
        <v>1</v>
      </c>
      <c r="T34" s="36">
        <v>1</v>
      </c>
      <c r="V34" s="36">
        <v>1</v>
      </c>
      <c r="AE34" s="36" t="s">
        <v>2023</v>
      </c>
      <c r="AF34" s="36">
        <v>2</v>
      </c>
      <c r="AG34" s="36" t="s">
        <v>2177</v>
      </c>
      <c r="AH34" s="36" t="s">
        <v>2178</v>
      </c>
      <c r="AI34" s="36">
        <v>255</v>
      </c>
      <c r="AL34" s="36">
        <v>1</v>
      </c>
      <c r="AN34" s="36"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34" s="36" t="s">
        <v>2576</v>
      </c>
      <c r="AP34" s="36" t="s">
        <v>2575</v>
      </c>
    </row>
    <row r="35" spans="1:42" s="36" customFormat="1" x14ac:dyDescent="0.15">
      <c r="C35" s="40">
        <v>7525</v>
      </c>
      <c r="D35" s="36">
        <v>1</v>
      </c>
      <c r="G35" s="36" t="s">
        <v>2634</v>
      </c>
      <c r="K35" s="36" t="s">
        <v>1652</v>
      </c>
      <c r="L35" s="36" t="s">
        <v>2115</v>
      </c>
      <c r="R35" s="36">
        <v>1</v>
      </c>
      <c r="S35" s="36">
        <v>1</v>
      </c>
      <c r="T35" s="36">
        <v>1</v>
      </c>
      <c r="V35" s="36">
        <v>1</v>
      </c>
      <c r="AE35" s="36" t="s">
        <v>2023</v>
      </c>
      <c r="AF35" s="36">
        <v>2</v>
      </c>
      <c r="AG35" s="36" t="s">
        <v>2177</v>
      </c>
      <c r="AH35" s="36" t="s">
        <v>2178</v>
      </c>
      <c r="AI35" s="36">
        <v>255</v>
      </c>
      <c r="AL35" s="36">
        <v>1</v>
      </c>
      <c r="AN35" s="36"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35" s="36" t="s">
        <v>2576</v>
      </c>
      <c r="AP35" s="36" t="s">
        <v>2575</v>
      </c>
    </row>
    <row r="36" spans="1:42" s="36" customFormat="1" x14ac:dyDescent="0.15">
      <c r="C36" s="40">
        <v>7373</v>
      </c>
      <c r="D36" s="36">
        <v>1</v>
      </c>
      <c r="F36" s="36">
        <v>134</v>
      </c>
      <c r="G36" s="36" t="s">
        <v>2390</v>
      </c>
      <c r="I36" s="36">
        <v>3</v>
      </c>
      <c r="K36" s="36" t="s">
        <v>2389</v>
      </c>
      <c r="L36" s="36" t="s">
        <v>1964</v>
      </c>
      <c r="R36" s="36">
        <v>1</v>
      </c>
      <c r="AN36" s="36" t="str">
        <f t="shared" si="0"/>
        <v>{dwID=7373,nLevel=1,nIcon=134,szName="箭弩车",nScrutinyType=3,szNote="箭弩车记录ID",col={255,50,255,},[1]={bScreenHead=true,},[2]={},},</v>
      </c>
    </row>
    <row r="37" spans="1:42" s="36" customFormat="1" x14ac:dyDescent="0.15">
      <c r="C37" s="40">
        <v>7492</v>
      </c>
      <c r="D37" s="36">
        <v>1</v>
      </c>
      <c r="G37" s="36" t="s">
        <v>1785</v>
      </c>
      <c r="I37" s="36">
        <v>2</v>
      </c>
      <c r="K37" s="36" t="s">
        <v>1784</v>
      </c>
      <c r="L37" s="36" t="s">
        <v>1527</v>
      </c>
      <c r="T37" s="36">
        <v>1</v>
      </c>
      <c r="AN37" s="36" t="str">
        <f t="shared" si="0"/>
        <v>{dwID=7492,nLevel=1,szName="御城矛",nScrutinyType=2,szNote="御城·矛",col={0,255,0,},[1]={bBuffList=true,},[2]={},},</v>
      </c>
    </row>
    <row r="38" spans="1:42" s="36" customFormat="1" x14ac:dyDescent="0.15">
      <c r="C38" s="40">
        <v>8606</v>
      </c>
      <c r="D38" s="36">
        <v>1</v>
      </c>
      <c r="G38" s="36" t="s">
        <v>1915</v>
      </c>
      <c r="I38" s="36">
        <v>1</v>
      </c>
      <c r="K38" s="36" t="s">
        <v>1914</v>
      </c>
      <c r="T38" s="36">
        <v>1</v>
      </c>
      <c r="AN38" s="36" t="str">
        <f t="shared" si="0"/>
        <v>{dwID=8606,nLevel=1,szName="抗摔",nScrutinyType=1,szNote="抗摔·强健",[1]={bBuffList=true,},[2]={},},</v>
      </c>
    </row>
    <row r="39" spans="1:42" s="36" customFormat="1" x14ac:dyDescent="0.15">
      <c r="A39" s="36" t="s">
        <v>613</v>
      </c>
      <c r="B39" s="36">
        <v>656</v>
      </c>
      <c r="AN39" s="36" t="str">
        <f t="shared" si="0"/>
        <v>},[656]={</v>
      </c>
    </row>
    <row r="40" spans="1:42" s="36" customFormat="1" x14ac:dyDescent="0.15">
      <c r="C40" s="40">
        <v>7561</v>
      </c>
      <c r="D40" s="36">
        <v>1</v>
      </c>
      <c r="G40" s="36" t="s">
        <v>2633</v>
      </c>
      <c r="K40" s="36" t="s">
        <v>1653</v>
      </c>
      <c r="L40" s="36" t="s">
        <v>2115</v>
      </c>
      <c r="R40" s="36">
        <v>1</v>
      </c>
      <c r="S40" s="36">
        <v>1</v>
      </c>
      <c r="T40" s="36">
        <v>1</v>
      </c>
      <c r="V40" s="36">
        <v>1</v>
      </c>
      <c r="AE40" s="36" t="s">
        <v>2023</v>
      </c>
      <c r="AF40" s="36">
        <v>2</v>
      </c>
      <c r="AG40" s="36" t="s">
        <v>2177</v>
      </c>
      <c r="AH40" s="36" t="s">
        <v>2178</v>
      </c>
      <c r="AI40" s="36">
        <v>255</v>
      </c>
      <c r="AL40" s="36">
        <v>1</v>
      </c>
      <c r="AN40" s="36"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40" s="36" t="s">
        <v>2576</v>
      </c>
      <c r="AP40" s="36" t="s">
        <v>2575</v>
      </c>
    </row>
    <row r="41" spans="1:42" s="36" customFormat="1" x14ac:dyDescent="0.15">
      <c r="C41" s="40">
        <v>7525</v>
      </c>
      <c r="D41" s="36">
        <v>1</v>
      </c>
      <c r="G41" s="36" t="s">
        <v>2634</v>
      </c>
      <c r="K41" s="36" t="s">
        <v>1652</v>
      </c>
      <c r="L41" s="36" t="s">
        <v>2115</v>
      </c>
      <c r="R41" s="36">
        <v>1</v>
      </c>
      <c r="S41" s="36">
        <v>1</v>
      </c>
      <c r="T41" s="36">
        <v>1</v>
      </c>
      <c r="V41" s="36">
        <v>1</v>
      </c>
      <c r="AE41" s="36" t="s">
        <v>2023</v>
      </c>
      <c r="AF41" s="36">
        <v>2</v>
      </c>
      <c r="AG41" s="36" t="s">
        <v>2177</v>
      </c>
      <c r="AH41" s="36" t="s">
        <v>2178</v>
      </c>
      <c r="AI41" s="36">
        <v>255</v>
      </c>
      <c r="AL41" s="36">
        <v>1</v>
      </c>
      <c r="AN41" s="36"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41" s="36" t="s">
        <v>2576</v>
      </c>
      <c r="AP41" s="36" t="s">
        <v>2575</v>
      </c>
    </row>
    <row r="42" spans="1:42" s="36" customFormat="1" x14ac:dyDescent="0.15">
      <c r="C42" s="40">
        <v>7373</v>
      </c>
      <c r="D42" s="36">
        <v>1</v>
      </c>
      <c r="F42" s="36">
        <v>134</v>
      </c>
      <c r="G42" s="36" t="s">
        <v>2390</v>
      </c>
      <c r="I42" s="36">
        <v>3</v>
      </c>
      <c r="K42" s="36" t="s">
        <v>2389</v>
      </c>
      <c r="L42" s="36" t="s">
        <v>1964</v>
      </c>
      <c r="R42" s="36">
        <v>1</v>
      </c>
      <c r="AN42" s="36" t="str">
        <f t="shared" si="0"/>
        <v>{dwID=7373,nLevel=1,nIcon=134,szName="箭弩车",nScrutinyType=3,szNote="箭弩车记录ID",col={255,50,255,},[1]={bScreenHead=true,},[2]={},},</v>
      </c>
    </row>
    <row r="43" spans="1:42" s="36" customFormat="1" x14ac:dyDescent="0.15">
      <c r="C43" s="40">
        <v>7492</v>
      </c>
      <c r="D43" s="36">
        <v>1</v>
      </c>
      <c r="G43" s="36" t="s">
        <v>1785</v>
      </c>
      <c r="I43" s="36">
        <v>2</v>
      </c>
      <c r="K43" s="36" t="s">
        <v>1784</v>
      </c>
      <c r="L43" s="36" t="s">
        <v>1527</v>
      </c>
      <c r="T43" s="36">
        <v>1</v>
      </c>
      <c r="AN43" s="36" t="str">
        <f t="shared" si="0"/>
        <v>{dwID=7492,nLevel=1,szName="御城矛",nScrutinyType=2,szNote="御城·矛",col={0,255,0,},[1]={bBuffList=true,},[2]={},},</v>
      </c>
    </row>
    <row r="44" spans="1:42" s="36" customFormat="1" x14ac:dyDescent="0.15">
      <c r="C44" s="40">
        <v>8606</v>
      </c>
      <c r="D44" s="36">
        <v>1</v>
      </c>
      <c r="G44" s="36" t="s">
        <v>1915</v>
      </c>
      <c r="I44" s="36">
        <v>1</v>
      </c>
      <c r="K44" s="36" t="s">
        <v>1914</v>
      </c>
      <c r="T44" s="36">
        <v>1</v>
      </c>
      <c r="AN44" s="36" t="str">
        <f t="shared" si="0"/>
        <v>{dwID=8606,nLevel=1,szName="抗摔",nScrutinyType=1,szNote="抗摔·强健",[1]={bBuffList=true,},[2]={},},</v>
      </c>
    </row>
    <row r="45" spans="1:42" x14ac:dyDescent="0.15">
      <c r="AN45" s="36" t="str">
        <f t="shared" si="0"/>
        <v>},},}</v>
      </c>
    </row>
    <row r="46" spans="1:42" x14ac:dyDescent="0.15">
      <c r="AN46" s="36"/>
    </row>
  </sheetData>
  <autoFilter ref="A1:AS45" xr:uid="{BE5AC9BD-489D-458A-B659-EC571E65401A}"/>
  <phoneticPr fontId="18" type="noConversion"/>
  <pageMargins left="0.7" right="0.7" top="0.75" bottom="0.75" header="0.3" footer="0.3"/>
  <pageSetup paperSize="9" orientation="portrait" horizontalDpi="1200" verticalDpi="1200" r:id="rId1"/>
</worksheet>
</file>

<file path=xl/worksheets/sheet4.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5C877-1799-48AF-987C-71E994537D5C}">
  <dimension ref="A1:BY96"/>
  <sheetViews>
    <sheetView topLeftCell="AQ1" zoomScale="90" zoomScaleNormal="90" workbookViewId="0">
      <pane ySplit="1" topLeftCell="A2" activePane="bottomLeft" state="frozen"/>
      <selection pane="bottomLeft" activeCell="AQ18" sqref="AQ18"/>
    </sheetView>
  </sheetViews>
  <sheetFormatPr defaultRowHeight="13.5" x14ac:dyDescent="0.15"/>
  <cols>
    <col min="11" max="11" width="18.5" customWidth="1"/>
    <col min="12" max="12" width="13.125" customWidth="1"/>
    <col min="13" max="13" width="15.75" customWidth="1"/>
    <col min="14" max="14" width="16.375" customWidth="1"/>
    <col min="15" max="15" width="17.75" customWidth="1"/>
    <col min="16" max="16" width="18.125" customWidth="1"/>
    <col min="17" max="17" width="18" customWidth="1"/>
    <col min="18" max="18" width="18.625" customWidth="1"/>
    <col min="19" max="19" width="21.5" customWidth="1"/>
    <col min="20" max="20" width="22.125" customWidth="1"/>
    <col min="21" max="21" width="18.375" style="36" customWidth="1"/>
    <col min="22" max="22" width="17.375" customWidth="1"/>
    <col min="23" max="23" width="21.25" customWidth="1"/>
    <col min="24" max="24" width="16.25" customWidth="1"/>
    <col min="26" max="26" width="15.5" customWidth="1"/>
    <col min="27" max="27" width="13.375" customWidth="1"/>
    <col min="28" max="28" width="15.125" customWidth="1"/>
    <col min="35" max="35" width="8.125" customWidth="1"/>
    <col min="39" max="39" width="17.375" customWidth="1"/>
    <col min="40" max="40" width="19" customWidth="1"/>
    <col min="41" max="41" width="71.25" customWidth="1"/>
    <col min="42" max="42" width="37.625" customWidth="1"/>
    <col min="43" max="43" width="46.375" customWidth="1"/>
    <col min="46" max="46" width="22.75" customWidth="1"/>
  </cols>
  <sheetData>
    <row r="1" spans="1:46" x14ac:dyDescent="0.15">
      <c r="A1" s="34" t="s">
        <v>0</v>
      </c>
      <c r="B1" s="34" t="s">
        <v>1420</v>
      </c>
      <c r="C1" s="34" t="s">
        <v>1</v>
      </c>
      <c r="D1" s="34" t="s">
        <v>2</v>
      </c>
      <c r="E1" s="34" t="s">
        <v>1617</v>
      </c>
      <c r="F1" s="34" t="s">
        <v>1511</v>
      </c>
      <c r="G1" s="34" t="s">
        <v>1514</v>
      </c>
      <c r="H1" s="34" t="s">
        <v>1618</v>
      </c>
      <c r="I1" s="34" t="s">
        <v>1619</v>
      </c>
      <c r="J1" s="34" t="s">
        <v>1515</v>
      </c>
      <c r="K1" s="34" t="s">
        <v>3</v>
      </c>
      <c r="L1" s="34" t="s">
        <v>1421</v>
      </c>
      <c r="M1" s="34" t="s">
        <v>1620</v>
      </c>
      <c r="N1" s="34" t="s">
        <v>1621</v>
      </c>
      <c r="O1" s="34" t="s">
        <v>1622</v>
      </c>
      <c r="P1" s="34" t="s">
        <v>1623</v>
      </c>
      <c r="Q1" s="34" t="s">
        <v>1624</v>
      </c>
      <c r="R1" s="34" t="s">
        <v>1625</v>
      </c>
      <c r="S1" s="34" t="s">
        <v>1626</v>
      </c>
      <c r="T1" s="34" t="s">
        <v>1627</v>
      </c>
      <c r="U1" s="36" t="s">
        <v>1968</v>
      </c>
      <c r="V1" s="34" t="s">
        <v>1628</v>
      </c>
      <c r="W1" s="34" t="s">
        <v>1629</v>
      </c>
      <c r="X1" s="34" t="s">
        <v>1630</v>
      </c>
      <c r="Y1" s="34" t="s">
        <v>1631</v>
      </c>
      <c r="Z1" s="34" t="s">
        <v>1632</v>
      </c>
      <c r="AA1" s="34" t="s">
        <v>1633</v>
      </c>
      <c r="AB1" s="34" t="s">
        <v>1634</v>
      </c>
      <c r="AC1" s="34" t="s">
        <v>1635</v>
      </c>
      <c r="AD1" s="34" t="s">
        <v>1636</v>
      </c>
      <c r="AE1" s="34" t="s">
        <v>1637</v>
      </c>
      <c r="AF1" s="34" t="s">
        <v>1638</v>
      </c>
      <c r="AG1" s="34" t="s">
        <v>1639</v>
      </c>
      <c r="AH1" s="34" t="s">
        <v>1640</v>
      </c>
      <c r="AI1" s="34" t="s">
        <v>1641</v>
      </c>
      <c r="AJ1" s="34" t="s">
        <v>1642</v>
      </c>
      <c r="AK1" s="34" t="s">
        <v>1643</v>
      </c>
      <c r="AL1" s="34" t="s">
        <v>1644</v>
      </c>
      <c r="AM1" s="34" t="s">
        <v>1645</v>
      </c>
      <c r="AN1" s="34" t="s">
        <v>1929</v>
      </c>
      <c r="AO1" s="34" t="s">
        <v>1422</v>
      </c>
    </row>
    <row r="2" spans="1:46" x14ac:dyDescent="0.15">
      <c r="A2" s="36" t="s">
        <v>1716</v>
      </c>
      <c r="B2" s="36">
        <v>-19</v>
      </c>
      <c r="C2" s="36"/>
      <c r="D2" s="36"/>
      <c r="E2" s="36"/>
      <c r="F2" s="36"/>
      <c r="G2" s="36"/>
      <c r="H2" s="36"/>
      <c r="I2" s="36"/>
      <c r="J2" s="36"/>
      <c r="K2" s="36"/>
      <c r="L2" s="36"/>
      <c r="M2" s="36"/>
      <c r="N2" s="36"/>
      <c r="O2" s="36"/>
      <c r="P2" s="36"/>
      <c r="Q2" s="36"/>
      <c r="R2" s="36"/>
      <c r="S2" s="36"/>
      <c r="T2" s="36"/>
      <c r="V2" s="36"/>
      <c r="W2" s="36"/>
      <c r="X2" s="36"/>
      <c r="Y2" s="36"/>
      <c r="Z2" s="36"/>
      <c r="AA2" s="36"/>
      <c r="AB2" s="36"/>
      <c r="AC2" s="36"/>
      <c r="AD2" s="36"/>
      <c r="AE2" s="36"/>
      <c r="AF2" s="36"/>
      <c r="AG2" s="36"/>
      <c r="AH2" s="36"/>
      <c r="AI2" s="36"/>
      <c r="AJ2" s="36"/>
      <c r="AK2" s="36"/>
      <c r="AL2" s="36"/>
      <c r="AM2" s="36"/>
      <c r="AN2" s="36" t="str">
        <f t="shared" ref="AN2:AN65" si="0">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c r="AO2" s="36"/>
      <c r="AP2" s="36"/>
      <c r="AQ2" s="36"/>
      <c r="AR2" s="36"/>
      <c r="AS2" s="36"/>
      <c r="AT2" s="36"/>
    </row>
    <row r="3" spans="1:46" s="36" customFormat="1" x14ac:dyDescent="0.15">
      <c r="C3" s="36">
        <v>11567</v>
      </c>
      <c r="D3" s="36">
        <v>1</v>
      </c>
      <c r="F3" s="36">
        <v>1245</v>
      </c>
      <c r="G3" s="36" t="s">
        <v>2091</v>
      </c>
      <c r="I3" s="36">
        <v>1</v>
      </c>
      <c r="K3" s="36" t="s">
        <v>1953</v>
      </c>
      <c r="L3" s="36" t="s">
        <v>1781</v>
      </c>
      <c r="AN3" s="36" t="str">
        <f t="shared" si="0"/>
        <v>{dwID=11567,nLevel=1,nIcon=1245,szName="答对",nScrutinyType=1,szNote="回答奖励",col={255,255,0,},[1]={},[2]={},tCountdown={{nClass=1,nIcon=13,nFrame=1,szName="答题验证·回答正确",nTime=5,key="挂机检测",},},},</v>
      </c>
      <c r="AO3" s="36" t="s">
        <v>2083</v>
      </c>
    </row>
    <row r="4" spans="1:46" s="36" customFormat="1" x14ac:dyDescent="0.15">
      <c r="C4" s="36">
        <v>11559</v>
      </c>
      <c r="D4" s="36">
        <v>1</v>
      </c>
      <c r="F4" s="36">
        <v>1244</v>
      </c>
      <c r="G4" s="36" t="s">
        <v>1957</v>
      </c>
      <c r="I4" s="36">
        <v>1</v>
      </c>
      <c r="K4" s="36" t="s">
        <v>1954</v>
      </c>
      <c r="L4" s="36" t="s">
        <v>1964</v>
      </c>
      <c r="N4" s="36" t="s">
        <v>1787</v>
      </c>
      <c r="O4" s="36">
        <v>1</v>
      </c>
      <c r="P4" s="36">
        <v>1</v>
      </c>
      <c r="Q4" s="36">
        <v>1</v>
      </c>
      <c r="R4" s="36">
        <v>1</v>
      </c>
      <c r="T4" s="36">
        <v>1</v>
      </c>
      <c r="U4" s="36">
        <v>1</v>
      </c>
      <c r="V4" s="36">
        <v>1</v>
      </c>
      <c r="AE4" s="36" t="s">
        <v>1973</v>
      </c>
      <c r="AF4" s="36">
        <v>3</v>
      </c>
      <c r="AG4" s="36" t="s">
        <v>1955</v>
      </c>
      <c r="AH4" s="36" t="s">
        <v>1956</v>
      </c>
      <c r="AI4" s="36">
        <v>255</v>
      </c>
      <c r="AJ4" s="36">
        <v>1</v>
      </c>
      <c r="AK4" s="36">
        <v>1</v>
      </c>
      <c r="AL4" s="36">
        <v>1</v>
      </c>
      <c r="AN4" s="36"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 s="36" t="s">
        <v>2084</v>
      </c>
    </row>
    <row r="5" spans="1:46" s="36" customFormat="1" x14ac:dyDescent="0.15">
      <c r="C5" s="36">
        <v>30543</v>
      </c>
      <c r="D5" s="36">
        <v>1</v>
      </c>
      <c r="G5" s="36" t="s">
        <v>2045</v>
      </c>
      <c r="I5" s="36">
        <v>1</v>
      </c>
      <c r="K5" s="36" t="s">
        <v>2046</v>
      </c>
      <c r="L5" s="36" t="s">
        <v>2047</v>
      </c>
      <c r="AN5" s="36" t="str">
        <f t="shared" si="0"/>
        <v>{dwID=30543,nLevel=1,szName="夜晚",nScrutinyType=1,szNote="攻防·夜晚",col={255,255,0,},[1]={},[2]={},tCountdown={{nClass=1,nIcon=23896,nFrame=5,szName="夜晚·场景火堆·地形障碍",nTime=30,nRefresh=9000,key="天气事件1",},{nClass=1,nIcon=23897,nFrame=4,szName="下周·雨天·减伤加速调息",nTime=30,nRefresh=9000,key="天气事件2",},},},</v>
      </c>
      <c r="AO5" s="36" t="s">
        <v>2118</v>
      </c>
      <c r="AP5" s="36" t="s">
        <v>2124</v>
      </c>
    </row>
    <row r="6" spans="1:46" s="36" customFormat="1" x14ac:dyDescent="0.15">
      <c r="C6" s="36">
        <v>30542</v>
      </c>
      <c r="D6" s="36">
        <v>1</v>
      </c>
      <c r="G6" s="36" t="s">
        <v>2048</v>
      </c>
      <c r="I6" s="36">
        <v>1</v>
      </c>
      <c r="K6" s="36" t="s">
        <v>2049</v>
      </c>
      <c r="L6" s="36" t="s">
        <v>2047</v>
      </c>
      <c r="AN6" s="36" t="str">
        <f t="shared" si="0"/>
        <v>{dwID=30542,nLevel=1,szName="大雪",nScrutinyType=1,szNote="攻防·大雪",col={255,255,0,},[1]={},[2]={},tCountdown={{nClass=1,nIcon=23895,nFrame=5,szName="大雪·场景雪堆·地形障碍",nTime=30,nRefresh=9000,key="天气事件1",},{nClass=1,nIcon=23892,nFrame=4,szName="下周·沙暴·减疗加快复活",nTime=30,nRefresh=9000,key="天气事件2",},},},</v>
      </c>
      <c r="AO6" s="36" t="s">
        <v>2119</v>
      </c>
      <c r="AP6" s="36" t="s">
        <v>2125</v>
      </c>
    </row>
    <row r="7" spans="1:46" s="36" customFormat="1" x14ac:dyDescent="0.15">
      <c r="C7" s="36">
        <v>30541</v>
      </c>
      <c r="D7" s="36">
        <v>1</v>
      </c>
      <c r="G7" s="36" t="s">
        <v>2318</v>
      </c>
      <c r="I7" s="36">
        <v>1</v>
      </c>
      <c r="K7" s="36" t="s">
        <v>2050</v>
      </c>
      <c r="L7" s="36" t="s">
        <v>2047</v>
      </c>
      <c r="T7" s="36">
        <v>1</v>
      </c>
      <c r="AN7" s="36" t="str">
        <f t="shared" si="0"/>
        <v>{dwID=30541,nLevel=1,szName="15尺",nScrutinyType=1,szNote="攻防·雾天",col={255,255,0,},[1]={bBuffList=true,},[2]={},tCountdown={{nClass=1,nIcon=23893,nFrame=5,szName="雾天·伤害15尺内·气血增加20%",nTime=30,nRefresh=9000,key="天气事件1",},{nClass=1,nIcon=23895,nFrame=4,szName="下周·大雪·场景雪堆·地形障碍",nTime=30,nRefresh=9000,key="天气事件2",},},},</v>
      </c>
      <c r="AO7" s="36" t="s">
        <v>2120</v>
      </c>
      <c r="AP7" s="36" t="s">
        <v>2139</v>
      </c>
    </row>
    <row r="8" spans="1:46" s="36" customFormat="1" x14ac:dyDescent="0.15">
      <c r="C8" s="36">
        <v>30540</v>
      </c>
      <c r="D8" s="36">
        <v>1</v>
      </c>
      <c r="G8" s="36" t="s">
        <v>2051</v>
      </c>
      <c r="I8" s="36">
        <v>1</v>
      </c>
      <c r="K8" s="36" t="s">
        <v>2052</v>
      </c>
      <c r="L8" s="36" t="s">
        <v>2047</v>
      </c>
      <c r="AN8" s="36" t="str">
        <f t="shared" si="0"/>
        <v>{dwID=30540,nLevel=1,szName="沙暴",nScrutinyType=1,szNote="攻防·沙尘暴",col={255,255,0,},[1]={},[2]={},tCountdown={{nClass=1,nIcon=23892,nFrame=5,szName="沙暴·减疗10%·复活加快50%",nTime=30,nRefresh=9000,key="天气事件1",},{nClass=1,nIcon=23896,nFrame=4,szName="下周·夜晚·场景火堆地形障碍",nTime=30,nRefresh=9000,key="天气事件2",},},},</v>
      </c>
      <c r="AO8" s="36" t="s">
        <v>2121</v>
      </c>
      <c r="AP8" s="36" t="s">
        <v>2127</v>
      </c>
    </row>
    <row r="9" spans="1:46" s="36" customFormat="1" x14ac:dyDescent="0.15">
      <c r="C9" s="36">
        <v>30539</v>
      </c>
      <c r="D9" s="36">
        <v>1</v>
      </c>
      <c r="G9" s="36" t="s">
        <v>2053</v>
      </c>
      <c r="I9" s="36">
        <v>1</v>
      </c>
      <c r="K9" s="36" t="s">
        <v>2054</v>
      </c>
      <c r="L9" s="36" t="s">
        <v>2047</v>
      </c>
      <c r="AN9" s="36" t="str">
        <f t="shared" si="0"/>
        <v>{dwID=30539,nLevel=1,szName="下雨",nScrutinyType=1,szNote="攻防·下雨",col={255,255,0,},[1]={},[2]={},tCountdown={{nClass=1,nIcon=23897,nFrame=5,szName="雨天·减伤5%·加速调息20%",nTime=30,nRefresh=9000,key="天气事件1",},{nClass=1,nIcon=23890,nFrame=4,szName="下周·大风·战斗上马机甲",nTime=30,nRefresh=9000,key="天气事件2",},},},</v>
      </c>
      <c r="AO9" s="36" t="s">
        <v>2126</v>
      </c>
      <c r="AP9" s="36" t="s">
        <v>2301</v>
      </c>
    </row>
    <row r="10" spans="1:46" s="36" customFormat="1" x14ac:dyDescent="0.15">
      <c r="C10" s="36">
        <v>30538</v>
      </c>
      <c r="D10" s="36">
        <v>1</v>
      </c>
      <c r="G10" s="36" t="s">
        <v>2055</v>
      </c>
      <c r="I10" s="36">
        <v>1</v>
      </c>
      <c r="K10" s="36" t="s">
        <v>2056</v>
      </c>
      <c r="L10" s="36" t="s">
        <v>2047</v>
      </c>
      <c r="AN10" s="36" t="str">
        <f t="shared" si="0"/>
        <v>{dwID=30538,nLevel=1,szName="大风",nScrutinyType=1,szNote="攻防·大风",col={255,255,0,},[1]={},[2]={},tCountdown={{nClass=1,nIcon=23890,nFrame=5,szName="大风·气力减慢·战斗上马机甲",nTime=30,nRefresh=9000,key="天气事件1",},{nClass=1,nIcon=23893,nFrame=4,szName="下周·雾天·伤害15尺气血增加",nTime=30,nRefresh=9000,key="天气事件2",},},},</v>
      </c>
      <c r="AO10" s="36" t="s">
        <v>2300</v>
      </c>
      <c r="AP10" s="36" t="s">
        <v>2138</v>
      </c>
    </row>
    <row r="11" spans="1:46" s="36" customFormat="1" x14ac:dyDescent="0.15">
      <c r="C11" s="36">
        <v>10662</v>
      </c>
      <c r="D11" s="36">
        <v>1</v>
      </c>
      <c r="F11" s="36">
        <v>3287</v>
      </c>
      <c r="G11" s="36" t="s">
        <v>1962</v>
      </c>
      <c r="I11" s="36">
        <v>1</v>
      </c>
      <c r="K11" s="36" t="s">
        <v>1963</v>
      </c>
      <c r="L11" s="36" t="s">
        <v>1781</v>
      </c>
      <c r="T11" s="36">
        <v>1</v>
      </c>
      <c r="AN11" s="36" t="str">
        <f t="shared" si="0"/>
        <v>{dwID=10662,nLevel=1,nIcon=3287,szName="验战阶",nScrutinyType=1,szNote="前阶段战阶·占坑检测",col={255,255,0,},[1]={bBuffList=true,},[2]={},},</v>
      </c>
    </row>
    <row r="12" spans="1:46" s="36" customFormat="1" x14ac:dyDescent="0.15">
      <c r="C12" s="36">
        <v>10305</v>
      </c>
      <c r="D12" s="36">
        <v>1</v>
      </c>
      <c r="G12" s="36" t="s">
        <v>1966</v>
      </c>
      <c r="I12" s="36">
        <v>1</v>
      </c>
      <c r="K12" s="36" t="s">
        <v>1965</v>
      </c>
      <c r="L12" s="36" t="s">
        <v>1964</v>
      </c>
      <c r="N12" s="36" t="s">
        <v>1787</v>
      </c>
      <c r="O12" s="36">
        <v>1</v>
      </c>
      <c r="P12" s="36">
        <v>1</v>
      </c>
      <c r="Q12" s="36">
        <v>1</v>
      </c>
      <c r="T12" s="36">
        <v>1</v>
      </c>
      <c r="U12" s="36">
        <v>1</v>
      </c>
      <c r="AE12" s="36" t="s">
        <v>1972</v>
      </c>
      <c r="AF12" s="36">
        <v>2</v>
      </c>
      <c r="AG12" s="36" t="s">
        <v>1955</v>
      </c>
      <c r="AI12" s="36">
        <v>255</v>
      </c>
      <c r="AJ12" s="36">
        <v>1</v>
      </c>
      <c r="AN12" s="36" t="str">
        <f t="shared" si="0"/>
        <v>{dwID=10305,nLevel=1,szName="注视",nScrutinyType=1,szNote="攻防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12" s="36" t="s">
        <v>2082</v>
      </c>
    </row>
    <row r="13" spans="1:46" s="36" customFormat="1" x14ac:dyDescent="0.15">
      <c r="C13" s="36">
        <v>7756</v>
      </c>
      <c r="D13" s="36">
        <v>1</v>
      </c>
      <c r="I13" s="36">
        <v>1</v>
      </c>
      <c r="K13" s="36" t="s">
        <v>2038</v>
      </c>
      <c r="L13" s="36" t="s">
        <v>1781</v>
      </c>
      <c r="T13" s="36">
        <v>1</v>
      </c>
      <c r="AE13" s="36" t="s">
        <v>2039</v>
      </c>
      <c r="AF13" s="36">
        <v>3</v>
      </c>
      <c r="AG13" s="36" t="s">
        <v>2635</v>
      </c>
      <c r="AI13" s="36">
        <v>0</v>
      </c>
      <c r="AN13" s="36" t="str">
        <f t="shared" si="0"/>
        <v>{dwID=7756,nLevel=1,nScrutinyType=1,szNote="燃火20s",col={255,255,0,},[1]={bBuffList=true,},[2]={},aCataclysmBuff={{szReminder="火",nPriority=3,col="#00FFFF00",},},tCountdown={{nClass=1,nIcon=5399,nFrame=0,szName="增益·燃火·持续剩余",nTime=20,key="燃火",},{nClass=2,nIcon=13,szName="燃火",nTime=-1,key="燃火",},},},</v>
      </c>
      <c r="AO13" s="36" t="s">
        <v>2079</v>
      </c>
      <c r="AP13" s="36" t="s">
        <v>2080</v>
      </c>
    </row>
    <row r="14" spans="1:46" s="36" customFormat="1" x14ac:dyDescent="0.15">
      <c r="C14" s="36">
        <v>29721</v>
      </c>
      <c r="D14" s="36">
        <v>1</v>
      </c>
      <c r="I14" s="36">
        <v>1</v>
      </c>
      <c r="K14" s="36" t="s">
        <v>2179</v>
      </c>
      <c r="L14" s="36" t="s">
        <v>1781</v>
      </c>
      <c r="AN14" s="36" t="str">
        <f t="shared" si="0"/>
        <v>{dwID=29721,nLevel=1,nScrutinyType=1,szNote="业务繁忙",col={255,255,0,},[1]={},[2]={},tCountdown={{nClass=1,nIcon=13,szName="通用事件",nTime=-1,nRefresh=99999,key="通用事件",},{nClass=2,nIcon=13,szName="通用事件",nTime=-2,key="通用事件",},},},</v>
      </c>
      <c r="AO14" s="36" t="s">
        <v>2404</v>
      </c>
      <c r="AP14" s="36" t="s">
        <v>2169</v>
      </c>
    </row>
    <row r="15" spans="1:46" s="36" customFormat="1" x14ac:dyDescent="0.15">
      <c r="C15" s="36">
        <v>25654</v>
      </c>
      <c r="D15" s="36">
        <v>1</v>
      </c>
      <c r="I15" s="36">
        <v>1</v>
      </c>
      <c r="K15" s="36" t="s">
        <v>1802</v>
      </c>
      <c r="L15" s="36" t="s">
        <v>1781</v>
      </c>
      <c r="AN15" s="36" t="str">
        <f t="shared" si="0"/>
        <v>{dwID=25654,nLevel=1,nScrutinyType=1,szNote="攻防场景特殊规则",col={255,255,0,},[1]={},[2]={},tCountdown={{nClass=1,nIcon=13,szName="诛恶事件",nTime=-1,nRefresh=99999,key="诛恶事件",},{nClass=1,nIcon=13,szName="通用事件",nTime=-1,nRefresh=99999,key="通用事件",},{nClass=1,nIcon=13,szName="绣球花",nTime=-1,key="绣球花",},{nClass=1,nIcon=13,szName="郁金香",nTime=-1,key="郁金香",},{nClass=1,nIcon=13,szName="牵牛花",nTime=-1,key="牵牛花",},},},</v>
      </c>
      <c r="AO15" s="36" t="s">
        <v>2405</v>
      </c>
      <c r="AP15" s="36" t="s">
        <v>2404</v>
      </c>
      <c r="AQ15" s="36" t="s">
        <v>1822</v>
      </c>
      <c r="AR15" s="36" t="s">
        <v>1823</v>
      </c>
      <c r="AS15" s="36" t="s">
        <v>1824</v>
      </c>
    </row>
    <row r="16" spans="1:46" s="36" customFormat="1" x14ac:dyDescent="0.15">
      <c r="C16" s="36">
        <v>29007</v>
      </c>
      <c r="D16" s="36">
        <v>2</v>
      </c>
      <c r="I16" s="36">
        <v>1</v>
      </c>
      <c r="K16" s="36" t="s">
        <v>2317</v>
      </c>
      <c r="L16" s="36" t="s">
        <v>2386</v>
      </c>
      <c r="AN16" s="36" t="str">
        <f t="shared" si="0"/>
        <v>{dwID=29007,nLevel=2,nScrutinyType=1,szNote="九素化生·15尺伤害距离",col={128,238,255,},[1]={},[2]={},},</v>
      </c>
    </row>
    <row r="17" spans="1:77" x14ac:dyDescent="0.15">
      <c r="A17" s="36"/>
      <c r="B17" s="36"/>
      <c r="C17" s="36">
        <v>2104</v>
      </c>
      <c r="D17" s="36">
        <v>1</v>
      </c>
      <c r="E17" s="36"/>
      <c r="F17" s="36"/>
      <c r="G17" s="36"/>
      <c r="H17" s="36"/>
      <c r="I17" s="36">
        <v>1</v>
      </c>
      <c r="J17" s="36"/>
      <c r="K17" s="36" t="s">
        <v>2136</v>
      </c>
      <c r="L17" s="36" t="s">
        <v>1781</v>
      </c>
      <c r="M17" s="36"/>
      <c r="N17" s="36"/>
      <c r="O17" s="36"/>
      <c r="P17" s="36"/>
      <c r="Q17" s="36"/>
      <c r="R17" s="36"/>
      <c r="S17" s="36"/>
      <c r="T17" s="36"/>
      <c r="V17" s="36"/>
      <c r="W17" s="36"/>
      <c r="X17" s="36"/>
      <c r="Y17" s="36"/>
      <c r="Z17" s="36"/>
      <c r="AA17" s="36"/>
      <c r="AB17" s="36"/>
      <c r="AC17" s="36"/>
      <c r="AD17" s="36"/>
      <c r="AE17" s="36"/>
      <c r="AF17" s="36"/>
      <c r="AG17" s="36"/>
      <c r="AH17" s="36"/>
      <c r="AI17" s="36"/>
      <c r="AJ17" s="36"/>
      <c r="AK17" s="36"/>
      <c r="AL17" s="36"/>
      <c r="AM17" s="36"/>
      <c r="AN17" s="36" t="str">
        <f t="shared" si="0"/>
        <v>{dwID=2104,nLevel=1,nScrutinyType=1,szNote="一触即发·休息阶段",col={255,255,0,},[1]={},[2]={},tCountdown={{nClass=1,nIcon=13,szName="牛车拾取间隔",nTime=0,key="牛车拾取间隔",},{nClass=1,nIcon=13,szName="首领拾取间隔",nTime=-1,key="首领拾取间隔",},{nClass=1,nIcon=13,nFrame=4,szName="浩气·物资车·运达",nTime=-1,key="浩气·物资车·运达",},{nClass=1,nIcon=13,nFrame=4,szName="恶人·物资车·运达",nTime=-1,key="恶人·物资车·运达",},{nClass=1,nIcon=13,nTime=-1,szName="屹立不倒",nRefresh=14400,key="屹立不倒",},{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v>
      </c>
      <c r="AO17" s="36" t="s">
        <v>2111</v>
      </c>
      <c r="AP17" s="36" t="s">
        <v>2112</v>
      </c>
      <c r="AQ17" s="36" t="s">
        <v>1942</v>
      </c>
      <c r="AR17" s="36" t="s">
        <v>1943</v>
      </c>
      <c r="AS17" s="36" t="s">
        <v>2623</v>
      </c>
      <c r="AT17" s="52" t="s">
        <v>2650</v>
      </c>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row>
    <row r="18" spans="1:77" x14ac:dyDescent="0.15">
      <c r="A18" s="36"/>
      <c r="B18" s="36"/>
      <c r="C18" s="36">
        <v>2105</v>
      </c>
      <c r="D18" s="36">
        <v>1</v>
      </c>
      <c r="E18" s="36"/>
      <c r="F18" s="36"/>
      <c r="G18" s="36"/>
      <c r="H18" s="36"/>
      <c r="I18" s="36">
        <v>1</v>
      </c>
      <c r="J18" s="36"/>
      <c r="K18" s="36" t="s">
        <v>2137</v>
      </c>
      <c r="L18" s="36" t="s">
        <v>1781</v>
      </c>
      <c r="M18" s="36"/>
      <c r="N18" s="36"/>
      <c r="O18" s="36"/>
      <c r="P18" s="36"/>
      <c r="Q18" s="36"/>
      <c r="R18" s="36"/>
      <c r="S18" s="36"/>
      <c r="T18" s="36"/>
      <c r="V18" s="36"/>
      <c r="W18" s="36"/>
      <c r="X18" s="36"/>
      <c r="Y18" s="36"/>
      <c r="Z18" s="36"/>
      <c r="AA18" s="36"/>
      <c r="AB18" s="36"/>
      <c r="AC18" s="36"/>
      <c r="AD18" s="36"/>
      <c r="AE18" s="36"/>
      <c r="AF18" s="36"/>
      <c r="AG18" s="36"/>
      <c r="AH18" s="36"/>
      <c r="AI18" s="36"/>
      <c r="AJ18" s="36"/>
      <c r="AK18" s="36"/>
      <c r="AL18" s="36"/>
      <c r="AM18" s="36"/>
      <c r="AN18" s="36" t="str">
        <f t="shared" si="0"/>
        <v>{dwID=2105,nLevel=1,nScrutinyType=1,szNote="偃旗息鼓·攻防阶段",col={255,255,0,},[1]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nTime=-2,szName="屹立不倒",key="屹立不倒",},},},</v>
      </c>
      <c r="AO18" s="40" t="s">
        <v>2407</v>
      </c>
      <c r="AP18" s="40" t="s">
        <v>2406</v>
      </c>
      <c r="AQ18" s="36" t="s">
        <v>2624</v>
      </c>
      <c r="AR18" s="36"/>
      <c r="AS18" s="36"/>
      <c r="AT18" s="36"/>
      <c r="AU18" s="36"/>
      <c r="AV18" s="36"/>
      <c r="AW18" s="36"/>
      <c r="AX18" s="36"/>
      <c r="AY18" s="36"/>
      <c r="AZ18" s="36"/>
      <c r="BA18" s="36"/>
      <c r="BB18" s="36"/>
    </row>
    <row r="19" spans="1:77" s="36" customFormat="1" x14ac:dyDescent="0.15">
      <c r="C19" s="36">
        <v>10323</v>
      </c>
      <c r="D19" s="36">
        <v>1</v>
      </c>
      <c r="F19" s="36">
        <v>18973</v>
      </c>
      <c r="G19" s="36" t="s">
        <v>1825</v>
      </c>
      <c r="I19" s="36">
        <v>1</v>
      </c>
      <c r="K19" s="36" t="s">
        <v>1826</v>
      </c>
      <c r="T19" s="36">
        <v>1</v>
      </c>
      <c r="AN19" s="36" t="str">
        <f t="shared" si="0"/>
        <v>{dwID=10323,nLevel=1,nIcon=18973,szName="重伤",nScrutinyType=1,szNote="死亡挂机",[1]={bBuffList=true,},[2]={},},</v>
      </c>
    </row>
    <row r="20" spans="1:77" s="36" customFormat="1" x14ac:dyDescent="0.15">
      <c r="C20" s="36">
        <v>7913</v>
      </c>
      <c r="D20" s="36">
        <v>1</v>
      </c>
      <c r="I20" s="36">
        <v>2</v>
      </c>
      <c r="K20" s="36" t="s">
        <v>1833</v>
      </c>
      <c r="L20" s="36" t="s">
        <v>1830</v>
      </c>
      <c r="T20" s="36">
        <v>1</v>
      </c>
      <c r="AE20" s="36" t="s">
        <v>2374</v>
      </c>
      <c r="AF20" s="36">
        <v>5</v>
      </c>
      <c r="AG20" s="36" t="s">
        <v>1832</v>
      </c>
      <c r="AH20" s="36" t="s">
        <v>1831</v>
      </c>
      <c r="AI20" s="36">
        <v>255</v>
      </c>
      <c r="AJ20" s="36">
        <v>1</v>
      </c>
      <c r="AL20" s="36">
        <v>1</v>
      </c>
      <c r="AN20" s="36" t="str">
        <f t="shared" si="0"/>
        <v>{dwID=7913,nLevel=1,nScrutinyType=2,szNote="意涌系统通用抗百分比回血",col={255,204,0,},[1]={bBuffList=true,},[2]={},aCataclysmBuff={{szReminder="涌",nPriority=5,col="#FFCC00FF",colScreenHead="#FFCC00",nColAlpha=255,bAttention=true,bScreenHead=true,},},},</v>
      </c>
    </row>
    <row r="21" spans="1:77" s="36" customFormat="1" x14ac:dyDescent="0.15">
      <c r="C21" s="36">
        <v>7911</v>
      </c>
      <c r="D21" s="36">
        <v>1</v>
      </c>
      <c r="I21" s="36">
        <v>2</v>
      </c>
      <c r="K21" s="36" t="s">
        <v>1947</v>
      </c>
      <c r="L21" s="36" t="s">
        <v>1964</v>
      </c>
      <c r="R21" s="36">
        <v>1</v>
      </c>
      <c r="T21" s="36">
        <v>1</v>
      </c>
      <c r="AE21" s="36" t="s">
        <v>1974</v>
      </c>
      <c r="AF21" s="36">
        <v>4</v>
      </c>
      <c r="AG21" s="36" t="s">
        <v>1955</v>
      </c>
      <c r="AH21" s="36" t="s">
        <v>1956</v>
      </c>
      <c r="AI21" s="36">
        <v>255</v>
      </c>
      <c r="AJ21" s="36">
        <v>1</v>
      </c>
      <c r="AL21" s="36">
        <v>1</v>
      </c>
      <c r="AN21" s="36" t="str">
        <f t="shared" si="0"/>
        <v>{dwID=7911,nLevel=1,nScrutinyType=2,szNote="繁忙",col={255,50,255,},[1]={bScreenHead=true,bBuffList=true,},[2]={},aCataclysmBuff={{szReminder="忙",nPriority=4,col="#FF32FFFF",colScreenHead="#FF32FF",nColAlpha=255,bAttention=true,bScreenHead=true,},},},</v>
      </c>
    </row>
    <row r="22" spans="1:77" s="36" customFormat="1" x14ac:dyDescent="0.15">
      <c r="C22" s="36">
        <v>4038</v>
      </c>
      <c r="D22" s="36">
        <v>1</v>
      </c>
      <c r="I22" s="36">
        <v>1</v>
      </c>
      <c r="K22" s="36" t="s">
        <v>2365</v>
      </c>
      <c r="L22" s="36" t="s">
        <v>2361</v>
      </c>
      <c r="R22" s="36">
        <v>1</v>
      </c>
      <c r="T22" s="36">
        <v>1</v>
      </c>
      <c r="AE22" s="36" t="s">
        <v>2362</v>
      </c>
      <c r="AF22" s="36">
        <v>15</v>
      </c>
      <c r="AG22" s="36" t="s">
        <v>2363</v>
      </c>
      <c r="AH22" s="36" t="s">
        <v>2364</v>
      </c>
      <c r="AI22" s="36">
        <v>255</v>
      </c>
      <c r="AL22" s="36">
        <v>1</v>
      </c>
      <c r="AN22" s="36" t="str">
        <f t="shared" si="0"/>
        <v>{dwID=4038,nLevel=1,nScrutinyType=1,szNote="锁足·首领",col={31,63,255,},[1]={bScreenHead=true,bBuffList=true,},[2]={},aCataclysmBuff={{szReminder="锁",nPriority=15,col="#1F3FFFFF",colScreenHead="#1F3FFF",nColAlpha=255,bScreenHead=true,},},},</v>
      </c>
    </row>
    <row r="23" spans="1:77" s="36" customFormat="1" x14ac:dyDescent="0.15">
      <c r="C23" s="36">
        <v>2224</v>
      </c>
      <c r="D23" s="36">
        <v>1</v>
      </c>
      <c r="G23" s="36" t="s">
        <v>2376</v>
      </c>
      <c r="I23" s="36">
        <v>2</v>
      </c>
      <c r="K23" s="36" t="s">
        <v>2377</v>
      </c>
      <c r="L23" s="36" t="s">
        <v>1781</v>
      </c>
      <c r="R23" s="36">
        <v>1</v>
      </c>
      <c r="T23" s="36">
        <v>1</v>
      </c>
      <c r="AE23" s="36" t="s">
        <v>2042</v>
      </c>
      <c r="AF23" s="36">
        <v>13</v>
      </c>
      <c r="AG23" s="36" t="s">
        <v>2043</v>
      </c>
      <c r="AH23" s="36" t="s">
        <v>2044</v>
      </c>
      <c r="AI23" s="36">
        <v>255</v>
      </c>
      <c r="AL23" s="36">
        <v>1</v>
      </c>
      <c r="AN23" s="36" t="str">
        <f t="shared" si="0"/>
        <v>{dwID=2224,nLevel=1,szName="眩晕·斩魂",nScrutinyType=2,szNote="斩魂",col={255,255,0,},[1]={bScreenHead=true,bBuffList=true,},[2]={},aCataclysmBuff={{szReminder="晕",nPriority=13,col="#FFFF00FF",colScreenHead="#FFFF00",nColAlpha=255,bScreenHead=true,},},},</v>
      </c>
    </row>
    <row r="24" spans="1:77" s="36" customFormat="1" x14ac:dyDescent="0.15">
      <c r="C24" s="36">
        <v>1499</v>
      </c>
      <c r="D24" s="36">
        <v>1</v>
      </c>
      <c r="G24" s="36" t="s">
        <v>2375</v>
      </c>
      <c r="I24" s="36">
        <v>1</v>
      </c>
      <c r="K24" s="36" t="s">
        <v>2365</v>
      </c>
      <c r="L24" s="36" t="s">
        <v>2361</v>
      </c>
      <c r="R24" s="36">
        <v>1</v>
      </c>
      <c r="T24" s="36">
        <v>1</v>
      </c>
      <c r="AN24" s="36" t="str">
        <f t="shared" si="0"/>
        <v>{dwID=1499,nLevel=1,szName="锁足·呔",nScrutinyType=1,szNote="锁足·首领",col={31,63,255,},[1]={bScreenHead=true,bBuffList=true,},[2]={},},</v>
      </c>
    </row>
    <row r="25" spans="1:77" s="36" customFormat="1" x14ac:dyDescent="0.15">
      <c r="C25" s="36">
        <v>9677</v>
      </c>
      <c r="D25" s="36">
        <v>1</v>
      </c>
      <c r="F25" s="36">
        <v>2024</v>
      </c>
      <c r="G25" s="36" t="s">
        <v>1780</v>
      </c>
      <c r="I25" s="36">
        <v>1</v>
      </c>
      <c r="K25" s="36" t="s">
        <v>1780</v>
      </c>
      <c r="L25" s="36" t="s">
        <v>1781</v>
      </c>
      <c r="T25" s="36">
        <v>1</v>
      </c>
      <c r="AN25" s="36" t="str">
        <f t="shared" si="0"/>
        <v>{dwID=9677,nLevel=1,nIcon=2024,szName="轰炸",nScrutinyType=1,szNote="轰炸",col={255,255,0,},[1]={bBuffList=true,},[2]={},},</v>
      </c>
    </row>
    <row r="26" spans="1:77" s="36" customFormat="1" x14ac:dyDescent="0.15">
      <c r="C26" s="36">
        <v>9871</v>
      </c>
      <c r="D26" s="36">
        <v>1</v>
      </c>
      <c r="F26" s="36">
        <v>7682</v>
      </c>
      <c r="G26" s="36" t="s">
        <v>1778</v>
      </c>
      <c r="I26" s="36">
        <v>2</v>
      </c>
      <c r="K26" s="36" t="s">
        <v>1779</v>
      </c>
      <c r="L26" s="36" t="s">
        <v>1667</v>
      </c>
      <c r="R26" s="36">
        <v>1</v>
      </c>
      <c r="T26" s="36">
        <v>1</v>
      </c>
      <c r="AF26" s="36">
        <v>3</v>
      </c>
      <c r="AG26" s="36" t="s">
        <v>1970</v>
      </c>
      <c r="AH26" s="36" t="s">
        <v>2392</v>
      </c>
      <c r="AI26" s="36">
        <v>255</v>
      </c>
      <c r="AL26" s="36">
        <v>1</v>
      </c>
      <c r="AN26" s="36" t="str">
        <f t="shared" si="0"/>
        <v>{dwID=9871,nLevel=1,nIcon=7682,szName="翅膀",nScrutinyType=2,szNote="飞行机甲·黑翼",col={255,255,255,},[1]={bScreenHead=true,bBuffList=true,},[2]={},aCataclysmBuff={{nPriority=3,col="#FFFFFFFF",colScreenHead="#FFFFFF",nColAlpha=255,bScreenHead=true,},},},</v>
      </c>
    </row>
    <row r="27" spans="1:77" s="36" customFormat="1" x14ac:dyDescent="0.15">
      <c r="C27" s="36">
        <v>9632</v>
      </c>
      <c r="D27" s="36">
        <v>1</v>
      </c>
      <c r="I27" s="36">
        <v>2</v>
      </c>
      <c r="K27" s="36" t="s">
        <v>1797</v>
      </c>
      <c r="L27" s="36" t="s">
        <v>1667</v>
      </c>
      <c r="T27" s="36">
        <v>1</v>
      </c>
      <c r="V27" s="36">
        <v>1</v>
      </c>
      <c r="AF27" s="36">
        <v>1</v>
      </c>
      <c r="AG27" s="36" t="s">
        <v>2489</v>
      </c>
      <c r="AI27" s="36">
        <v>170</v>
      </c>
      <c r="AN27" s="36" t="str">
        <f t="shared" si="0"/>
        <v>{dwID=9632,nLevel=1,nScrutinyType=2,szNote="神机雷",col={255,255,255,},[1]={bBuffList=true,bTeamPanel=true,},[2]={},aCataclysmBuff={{nPriority=1,col="#FFFFFFAA",nColAlpha=170,},},},</v>
      </c>
    </row>
    <row r="28" spans="1:77" s="36" customFormat="1" x14ac:dyDescent="0.15">
      <c r="A28" s="36" t="s">
        <v>963</v>
      </c>
      <c r="B28" s="36">
        <v>-7</v>
      </c>
      <c r="AN28" s="36" t="str">
        <f t="shared" si="0"/>
        <v>},[-7]={</v>
      </c>
    </row>
    <row r="29" spans="1:77" s="36" customFormat="1" x14ac:dyDescent="0.15">
      <c r="C29" s="36">
        <v>1499</v>
      </c>
      <c r="D29" s="36">
        <v>1</v>
      </c>
      <c r="G29" s="36" t="s">
        <v>2375</v>
      </c>
      <c r="I29" s="36">
        <v>1</v>
      </c>
      <c r="K29" s="36" t="s">
        <v>2365</v>
      </c>
      <c r="L29" s="36" t="s">
        <v>2361</v>
      </c>
      <c r="R29" s="36">
        <v>1</v>
      </c>
      <c r="T29" s="36">
        <v>1</v>
      </c>
      <c r="AN29" s="36" t="str">
        <f t="shared" si="0"/>
        <v>{dwID=1499,nLevel=1,szName="锁足·呔",nScrutinyType=1,szNote="锁足·首领",col={31,63,255,},[1]={bScreenHead=true,bBuffList=true,},[2]={},},</v>
      </c>
    </row>
    <row r="30" spans="1:77" x14ac:dyDescent="0.15">
      <c r="A30" s="36" t="s">
        <v>2685</v>
      </c>
      <c r="B30" s="36">
        <v>-20</v>
      </c>
      <c r="AN30" s="36" t="str">
        <f t="shared" si="0"/>
        <v>},[-20]={</v>
      </c>
    </row>
    <row r="31" spans="1:77" s="36" customFormat="1" x14ac:dyDescent="0.15">
      <c r="C31" s="36">
        <v>11567</v>
      </c>
      <c r="D31" s="36">
        <v>1</v>
      </c>
      <c r="F31" s="36">
        <v>1245</v>
      </c>
      <c r="G31" s="36" t="s">
        <v>2091</v>
      </c>
      <c r="I31" s="36">
        <v>1</v>
      </c>
      <c r="K31" s="36" t="s">
        <v>1953</v>
      </c>
      <c r="L31" s="36" t="s">
        <v>1781</v>
      </c>
      <c r="AN31" s="36" t="str">
        <f t="shared" si="0"/>
        <v>{dwID=11567,nLevel=1,nIcon=1245,szName="答对",nScrutinyType=1,szNote="回答奖励",col={255,255,0,},[1]={},[2]={},tCountdown={{nClass=1,nIcon=13,nFrame=1,szName="答题验证·回答正确",nTime=5,key="挂机检测",},},},</v>
      </c>
      <c r="AO31" s="36" t="s">
        <v>2083</v>
      </c>
    </row>
    <row r="32" spans="1:77" s="36" customFormat="1" x14ac:dyDescent="0.15">
      <c r="C32" s="36">
        <v>11559</v>
      </c>
      <c r="D32" s="36">
        <v>1</v>
      </c>
      <c r="F32" s="36">
        <v>1244</v>
      </c>
      <c r="G32" s="36" t="s">
        <v>1957</v>
      </c>
      <c r="I32" s="36">
        <v>1</v>
      </c>
      <c r="K32" s="36" t="s">
        <v>1954</v>
      </c>
      <c r="L32" s="36" t="s">
        <v>1964</v>
      </c>
      <c r="N32" s="36" t="s">
        <v>1787</v>
      </c>
      <c r="O32" s="36">
        <v>1</v>
      </c>
      <c r="P32" s="36">
        <v>1</v>
      </c>
      <c r="Q32" s="36">
        <v>1</v>
      </c>
      <c r="R32" s="36">
        <v>1</v>
      </c>
      <c r="T32" s="36">
        <v>1</v>
      </c>
      <c r="U32" s="36">
        <v>1</v>
      </c>
      <c r="V32" s="36">
        <v>1</v>
      </c>
      <c r="AE32" s="36" t="s">
        <v>1973</v>
      </c>
      <c r="AF32" s="36">
        <v>3</v>
      </c>
      <c r="AG32" s="36" t="s">
        <v>1955</v>
      </c>
      <c r="AH32" s="36" t="s">
        <v>1956</v>
      </c>
      <c r="AI32" s="36">
        <v>255</v>
      </c>
      <c r="AJ32" s="36">
        <v>1</v>
      </c>
      <c r="AK32" s="36">
        <v>1</v>
      </c>
      <c r="AL32" s="36">
        <v>1</v>
      </c>
      <c r="AN32" s="36"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32" s="36" t="s">
        <v>2084</v>
      </c>
    </row>
    <row r="33" spans="1:74" s="36" customFormat="1" x14ac:dyDescent="0.15">
      <c r="C33" s="36">
        <v>11565</v>
      </c>
      <c r="D33" s="36">
        <v>1</v>
      </c>
      <c r="F33" s="36">
        <v>592</v>
      </c>
      <c r="G33" s="36" t="s">
        <v>2387</v>
      </c>
      <c r="K33" s="36" t="s">
        <v>2388</v>
      </c>
      <c r="L33" s="36" t="s">
        <v>2115</v>
      </c>
      <c r="R33" s="36">
        <v>1</v>
      </c>
      <c r="AN33" s="36" t="str">
        <f t="shared" si="0"/>
        <v>{dwID=11565,nLevel=1,nIcon=592,szName="大旗手",szNote="大旗手检测",col={0,255,255,},[1]={bScreenHead=true,},[2]={},},</v>
      </c>
    </row>
    <row r="34" spans="1:74" s="36" customFormat="1" x14ac:dyDescent="0.15">
      <c r="C34" s="36">
        <v>32813</v>
      </c>
      <c r="D34" s="36">
        <v>1</v>
      </c>
      <c r="F34" s="36">
        <v>16834</v>
      </c>
      <c r="G34" s="36" t="s">
        <v>2701</v>
      </c>
      <c r="K34" s="36" t="s">
        <v>2696</v>
      </c>
      <c r="L34" s="36" t="s">
        <v>2698</v>
      </c>
      <c r="T34" s="36">
        <v>1</v>
      </c>
      <c r="V34" s="36">
        <v>1</v>
      </c>
      <c r="AE34" s="36" t="s">
        <v>2697</v>
      </c>
      <c r="AF34" s="36">
        <v>37</v>
      </c>
      <c r="AG34" s="36" t="s">
        <v>2699</v>
      </c>
      <c r="AH34" s="36" t="s">
        <v>2700</v>
      </c>
      <c r="AI34" s="36">
        <v>255</v>
      </c>
      <c r="AN34" s="36" t="str">
        <f t="shared" si="0"/>
        <v>{dwID=32813,nLevel=1,nIcon=16834,szName="旗易伤",szNote="旗帜受损",col={255,153,204,},[1]={bBuffList=true,bTeamPanel=true,},[2]={},aCataclysmBuff={{szReminder="损",nPriority=37,col="#FF99CCFF",colScreenHead="#FF99CC",nColAlpha=255,},},tCountdown={{nClass=1,nIcon=16834,nFrame=1,szName="大旗赛点·CD",nTime="60,大旗赛点·触发冷却;62,大旗赛点·解除冷却",nRefresh=0,key="大旗赛点·CD",},},},</v>
      </c>
      <c r="AO34" s="36" t="s">
        <v>2707</v>
      </c>
    </row>
    <row r="35" spans="1:74" s="36" customFormat="1" x14ac:dyDescent="0.15">
      <c r="C35" s="36">
        <v>32812</v>
      </c>
      <c r="D35" s="36">
        <v>1</v>
      </c>
      <c r="F35" s="36">
        <v>3451</v>
      </c>
      <c r="G35" s="36" t="s">
        <v>2702</v>
      </c>
      <c r="K35" s="36" t="s">
        <v>2703</v>
      </c>
      <c r="L35" s="36" t="s">
        <v>2704</v>
      </c>
      <c r="T35" s="36">
        <v>1</v>
      </c>
      <c r="AN35" s="36" t="str">
        <f t="shared" si="0"/>
        <v>{dwID=32812,nLevel=1,nIcon=3451,szName="损CD",szNote="据点大旗赛点CD",col={255,50,50,},[1]={bBuffList=true,},[2]={},tCountdown={{nClass=1,nIcon=16834,nFrame=1,szName="大旗赛点·CD",nTime="60,大旗赛点·触发冷却;62,大旗赛点·解除冷却",nRefresh=1,key="大旗赛点·CD",},},},</v>
      </c>
      <c r="AO35" s="36" t="s">
        <v>2705</v>
      </c>
    </row>
    <row r="36" spans="1:74" s="36" customFormat="1" x14ac:dyDescent="0.15">
      <c r="C36" s="36">
        <v>31381</v>
      </c>
      <c r="D36" s="36">
        <v>1</v>
      </c>
      <c r="G36" s="36" t="s">
        <v>2561</v>
      </c>
      <c r="K36" s="36" t="s">
        <v>2385</v>
      </c>
      <c r="L36" s="36" t="s">
        <v>1964</v>
      </c>
      <c r="R36" s="36">
        <v>1</v>
      </c>
      <c r="T36" s="36">
        <v>1</v>
      </c>
      <c r="AE36" s="36" t="s">
        <v>2577</v>
      </c>
      <c r="AF36" s="36">
        <v>11</v>
      </c>
      <c r="AG36" s="36" t="s">
        <v>1955</v>
      </c>
      <c r="AH36" s="36" t="s">
        <v>1956</v>
      </c>
      <c r="AI36" s="36">
        <v>255</v>
      </c>
      <c r="AL36" s="36">
        <v>1</v>
      </c>
      <c r="AN36" s="36" t="str">
        <f t="shared" si="0"/>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36" s="36" t="s">
        <v>2721</v>
      </c>
      <c r="AP36" s="36" t="s">
        <v>2722</v>
      </c>
    </row>
    <row r="37" spans="1:74" s="36" customFormat="1" x14ac:dyDescent="0.15">
      <c r="C37" s="36">
        <v>8807</v>
      </c>
      <c r="D37" s="36">
        <v>1</v>
      </c>
      <c r="G37" s="36" t="s">
        <v>1966</v>
      </c>
      <c r="I37" s="36">
        <v>1</v>
      </c>
      <c r="K37" s="36" t="s">
        <v>1967</v>
      </c>
      <c r="L37" s="36" t="s">
        <v>1964</v>
      </c>
      <c r="N37" s="36" t="s">
        <v>1787</v>
      </c>
      <c r="O37" s="36">
        <v>1</v>
      </c>
      <c r="P37" s="36">
        <v>1</v>
      </c>
      <c r="Q37" s="36">
        <v>1</v>
      </c>
      <c r="T37" s="36">
        <v>1</v>
      </c>
      <c r="U37" s="36">
        <v>1</v>
      </c>
      <c r="AE37" s="36" t="s">
        <v>1972</v>
      </c>
      <c r="AF37" s="36">
        <v>2</v>
      </c>
      <c r="AG37" s="36" t="s">
        <v>1955</v>
      </c>
      <c r="AI37" s="36">
        <v>255</v>
      </c>
      <c r="AJ37" s="36">
        <v>1</v>
      </c>
      <c r="AN37" s="36" t="str">
        <f t="shared" si="0"/>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37" s="36" t="s">
        <v>2082</v>
      </c>
    </row>
    <row r="38" spans="1:74" s="36" customFormat="1" x14ac:dyDescent="0.15">
      <c r="C38" s="36">
        <v>7913</v>
      </c>
      <c r="D38" s="36">
        <v>1</v>
      </c>
      <c r="I38" s="36">
        <v>2</v>
      </c>
      <c r="K38" s="36" t="s">
        <v>1833</v>
      </c>
      <c r="L38" s="36" t="s">
        <v>1830</v>
      </c>
      <c r="T38" s="36">
        <v>1</v>
      </c>
      <c r="AE38" s="36" t="s">
        <v>2374</v>
      </c>
      <c r="AF38" s="36">
        <v>5</v>
      </c>
      <c r="AG38" s="36" t="s">
        <v>1832</v>
      </c>
      <c r="AH38" s="36" t="s">
        <v>1831</v>
      </c>
      <c r="AI38" s="36">
        <v>255</v>
      </c>
      <c r="AJ38" s="36">
        <v>1</v>
      </c>
      <c r="AL38" s="36">
        <v>1</v>
      </c>
      <c r="AN38" s="36" t="str">
        <f t="shared" si="0"/>
        <v>{dwID=7913,nLevel=1,nScrutinyType=2,szNote="意涌系统通用抗百分比回血",col={255,204,0,},[1]={bBuffList=true,},[2]={},aCataclysmBuff={{szReminder="涌",nPriority=5,col="#FFCC00FF",colScreenHead="#FFCC00",nColAlpha=255,bAttention=true,bScreenHead=true,},},},</v>
      </c>
    </row>
    <row r="39" spans="1:74" s="36" customFormat="1" x14ac:dyDescent="0.15">
      <c r="C39" s="36">
        <v>7911</v>
      </c>
      <c r="D39" s="36">
        <v>1</v>
      </c>
      <c r="I39" s="36">
        <v>2</v>
      </c>
      <c r="K39" s="36" t="s">
        <v>1947</v>
      </c>
      <c r="L39" s="36" t="s">
        <v>1964</v>
      </c>
      <c r="R39" s="36">
        <v>1</v>
      </c>
      <c r="T39" s="36">
        <v>1</v>
      </c>
      <c r="AE39" s="36" t="s">
        <v>1974</v>
      </c>
      <c r="AF39" s="36">
        <v>4</v>
      </c>
      <c r="AG39" s="36" t="s">
        <v>1955</v>
      </c>
      <c r="AH39" s="36" t="s">
        <v>1956</v>
      </c>
      <c r="AI39" s="36">
        <v>255</v>
      </c>
      <c r="AJ39" s="36">
        <v>1</v>
      </c>
      <c r="AL39" s="36">
        <v>1</v>
      </c>
      <c r="AN39" s="36" t="str">
        <f t="shared" si="0"/>
        <v>{dwID=7911,nLevel=1,nScrutinyType=2,szNote="繁忙",col={255,50,255,},[1]={bScreenHead=true,bBuffList=true,},[2]={},aCataclysmBuff={{szReminder="忙",nPriority=4,col="#FF32FFFF",colScreenHead="#FF32FF",nColAlpha=255,bAttention=true,bScreenHead=true,},},},</v>
      </c>
    </row>
    <row r="40" spans="1:74" s="36" customFormat="1" x14ac:dyDescent="0.15">
      <c r="C40" s="36">
        <v>7756</v>
      </c>
      <c r="D40" s="36">
        <v>1</v>
      </c>
      <c r="I40" s="36">
        <v>1</v>
      </c>
      <c r="K40" s="36" t="s">
        <v>2038</v>
      </c>
      <c r="L40" s="36" t="s">
        <v>1781</v>
      </c>
      <c r="T40" s="36">
        <v>1</v>
      </c>
      <c r="AE40" s="36" t="s">
        <v>2039</v>
      </c>
      <c r="AF40" s="36">
        <v>3</v>
      </c>
      <c r="AG40" s="36" t="s">
        <v>2635</v>
      </c>
      <c r="AI40" s="36">
        <v>0</v>
      </c>
      <c r="AN40" s="36" t="str">
        <f t="shared" si="0"/>
        <v>{dwID=7756,nLevel=1,nScrutinyType=1,szNote="燃火20s",col={255,255,0,},[1]={bBuffList=true,},[2]={},aCataclysmBuff={{szReminder="火",nPriority=3,col="#00FFFF00",},},tCountdown={{nClass=1,nIcon=5399,nFrame=0,szName="增益·燃火·持续剩余",nTime=20,key="燃火",},{nClass=2,nIcon=13,szName="燃火",nTime=-1,key="燃火",},},},</v>
      </c>
      <c r="AO40" s="36" t="s">
        <v>2079</v>
      </c>
      <c r="AP40" s="36" t="s">
        <v>2080</v>
      </c>
    </row>
    <row r="41" spans="1:74" s="36" customFormat="1" x14ac:dyDescent="0.15">
      <c r="C41" s="36">
        <v>7497</v>
      </c>
      <c r="D41" s="36">
        <v>1</v>
      </c>
      <c r="G41" s="36" t="s">
        <v>2041</v>
      </c>
      <c r="I41" s="36">
        <v>2</v>
      </c>
      <c r="K41" s="36" t="s">
        <v>2040</v>
      </c>
      <c r="L41" s="36" t="s">
        <v>1781</v>
      </c>
      <c r="R41" s="36">
        <v>1</v>
      </c>
      <c r="T41" s="36">
        <v>1</v>
      </c>
      <c r="AE41" s="36" t="s">
        <v>2042</v>
      </c>
      <c r="AF41" s="36">
        <v>13</v>
      </c>
      <c r="AG41" s="36" t="s">
        <v>2043</v>
      </c>
      <c r="AH41" s="36" t="s">
        <v>2044</v>
      </c>
      <c r="AI41" s="36">
        <v>255</v>
      </c>
      <c r="AL41" s="36">
        <v>1</v>
      </c>
      <c r="AN41" s="36" t="str">
        <f t="shared" si="0"/>
        <v>{dwID=7497,nLevel=1,szName="眩晕·抛掷",nScrutinyType=2,szNote="御城·抛掷",col={255,255,0,},[1]={bScreenHead=true,bBuffList=true,},[2]={},aCataclysmBuff={{szReminder="晕",nPriority=13,col="#FFFF00FF",colScreenHead="#FFFF00",nColAlpha=255,bScreenHead=true,},},},</v>
      </c>
    </row>
    <row r="42" spans="1:74" s="36" customFormat="1" x14ac:dyDescent="0.15">
      <c r="C42" s="36">
        <v>7504</v>
      </c>
      <c r="D42" s="36">
        <v>1</v>
      </c>
      <c r="G42" s="36" t="s">
        <v>2167</v>
      </c>
      <c r="I42" s="36">
        <v>2</v>
      </c>
      <c r="K42" s="36" t="s">
        <v>2166</v>
      </c>
      <c r="L42" s="36" t="s">
        <v>1781</v>
      </c>
      <c r="R42" s="36">
        <v>1</v>
      </c>
      <c r="T42" s="36">
        <v>1</v>
      </c>
      <c r="AE42" s="36" t="s">
        <v>2042</v>
      </c>
      <c r="AF42" s="36">
        <v>13</v>
      </c>
      <c r="AG42" s="36" t="s">
        <v>2043</v>
      </c>
      <c r="AH42" s="36" t="s">
        <v>2044</v>
      </c>
      <c r="AI42" s="36">
        <v>255</v>
      </c>
      <c r="AL42" s="36">
        <v>1</v>
      </c>
      <c r="AN42" s="36" t="str">
        <f t="shared" si="0"/>
        <v>{dwID=7504,nLevel=1,szName="眩晕·御城",nScrutinyType=2,szNote="御城·精准",col={255,255,0,},[1]={bScreenHead=true,bBuffList=true,},[2]={},aCataclysmBuff={{szReminder="晕",nPriority=13,col="#FFFF00FF",colScreenHead="#FFFF00",nColAlpha=255,bScreenHead=true,},},},</v>
      </c>
    </row>
    <row r="43" spans="1:74" s="36" customFormat="1" x14ac:dyDescent="0.15">
      <c r="C43" s="36">
        <v>7503</v>
      </c>
      <c r="D43" s="36">
        <v>1</v>
      </c>
      <c r="G43" s="36" t="s">
        <v>2507</v>
      </c>
      <c r="I43" s="36">
        <v>1</v>
      </c>
      <c r="K43" s="36" t="s">
        <v>2508</v>
      </c>
      <c r="L43" s="36" t="s">
        <v>2361</v>
      </c>
      <c r="T43" s="36">
        <v>1</v>
      </c>
      <c r="V43" s="36">
        <v>1</v>
      </c>
      <c r="AF43" s="36">
        <v>37</v>
      </c>
      <c r="AG43" s="36" t="s">
        <v>2509</v>
      </c>
      <c r="AH43" s="36" t="s">
        <v>2364</v>
      </c>
      <c r="AI43" s="36">
        <v>170</v>
      </c>
      <c r="AN43" s="36" t="str">
        <f t="shared" si="0"/>
        <v>{dwID=7503,nLevel=1,szName="减速·御城",nScrutinyType=1,szNote="御城·断股",col={31,63,255,},[1]={bBuffList=true,bTeamPanel=true,},[2]={},aCataclysmBuff={{nPriority=37,col="#1F3FFFAA",colScreenHead="#1F3FFF",nColAlpha=170,},},},</v>
      </c>
    </row>
    <row r="44" spans="1:74" s="36" customFormat="1" x14ac:dyDescent="0.15">
      <c r="C44" s="36">
        <v>4038</v>
      </c>
      <c r="D44" s="36">
        <v>1</v>
      </c>
      <c r="I44" s="36">
        <v>1</v>
      </c>
      <c r="K44" s="36" t="s">
        <v>2365</v>
      </c>
      <c r="L44" s="36" t="s">
        <v>2361</v>
      </c>
      <c r="R44" s="36">
        <v>1</v>
      </c>
      <c r="T44" s="36">
        <v>1</v>
      </c>
      <c r="AE44" s="36" t="s">
        <v>2362</v>
      </c>
      <c r="AF44" s="36">
        <v>15</v>
      </c>
      <c r="AG44" s="36" t="s">
        <v>2363</v>
      </c>
      <c r="AH44" s="36" t="s">
        <v>2364</v>
      </c>
      <c r="AI44" s="36">
        <v>255</v>
      </c>
      <c r="AL44" s="36">
        <v>1</v>
      </c>
      <c r="AN44" s="36" t="str">
        <f t="shared" si="0"/>
        <v>{dwID=4038,nLevel=1,nScrutinyType=1,szNote="锁足·首领",col={31,63,255,},[1]={bScreenHead=true,bBuffList=true,},[2]={},aCataclysmBuff={{szReminder="锁",nPriority=15,col="#1F3FFFFF",colScreenHead="#1F3FFF",nColAlpha=255,bScreenHead=true,},},},</v>
      </c>
    </row>
    <row r="45" spans="1:74" s="36" customFormat="1" x14ac:dyDescent="0.15">
      <c r="C45" s="36">
        <v>29007</v>
      </c>
      <c r="D45" s="36">
        <v>1</v>
      </c>
      <c r="I45" s="36">
        <v>1</v>
      </c>
      <c r="K45" s="36" t="s">
        <v>2160</v>
      </c>
      <c r="L45" s="36" t="s">
        <v>2386</v>
      </c>
      <c r="AN45" s="36" t="str">
        <f t="shared" si="0"/>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45" s="40" t="s">
        <v>2407</v>
      </c>
      <c r="AP45" s="40" t="s">
        <v>2406</v>
      </c>
      <c r="AQ45" s="38" t="s">
        <v>2573</v>
      </c>
      <c r="AR45" s="38" t="s">
        <v>2574</v>
      </c>
    </row>
    <row r="46" spans="1:74" s="36" customFormat="1" x14ac:dyDescent="0.15">
      <c r="C46" s="36">
        <v>11561</v>
      </c>
      <c r="D46" s="36">
        <v>1</v>
      </c>
      <c r="G46" s="36" t="s">
        <v>2584</v>
      </c>
      <c r="I46" s="36">
        <v>1</v>
      </c>
      <c r="K46" s="36" t="s">
        <v>2586</v>
      </c>
      <c r="L46" s="36" t="s">
        <v>2585</v>
      </c>
      <c r="AN46" s="36" t="str">
        <f t="shared" si="0"/>
        <v>{dwID=11561,nLevel=1,szName="据点内",nScrutinyType=1,szNote="判断是否在大旗附近",col={80,231,236,},[1]={},[2]={},tCountdown={{nClass=1,nIcon=1272,nFrame=2,szName="据点大旗·旗手提示",nTime=-1,key="据点大旗·旗手提示",},},},</v>
      </c>
      <c r="AO46" s="36" t="s">
        <v>2724</v>
      </c>
      <c r="AP46" s="39"/>
      <c r="AQ46" s="39"/>
      <c r="AR46" s="39"/>
    </row>
    <row r="47" spans="1:74" x14ac:dyDescent="0.15">
      <c r="C47">
        <v>7723</v>
      </c>
      <c r="D47">
        <v>1</v>
      </c>
      <c r="I47">
        <v>2</v>
      </c>
      <c r="K47" t="s">
        <v>1797</v>
      </c>
      <c r="L47" s="36" t="s">
        <v>1667</v>
      </c>
      <c r="T47">
        <v>1</v>
      </c>
      <c r="V47">
        <v>1</v>
      </c>
      <c r="AF47" s="36">
        <v>1</v>
      </c>
      <c r="AG47" s="36" t="s">
        <v>2489</v>
      </c>
      <c r="AH47" s="36"/>
      <c r="AI47" s="36">
        <v>170</v>
      </c>
      <c r="AN47" s="36" t="str">
        <f t="shared" si="0"/>
        <v>{dwID=7723,nLevel=1,nScrutinyType=2,szNote="神机雷",col={255,255,255,},[1]={bBuffList=true,bTeamPanel=true,},[2]={},aCataclysmBuff={{nPriority=1,col="#FFFFFFAA",nColAlpha=170,},},},</v>
      </c>
    </row>
    <row r="48" spans="1:74" x14ac:dyDescent="0.15">
      <c r="A48" s="36" t="s">
        <v>1767</v>
      </c>
      <c r="B48" s="36">
        <v>214</v>
      </c>
      <c r="AN48" s="36" t="str">
        <f t="shared" si="0"/>
        <v>},[214]={</v>
      </c>
      <c r="BM48" s="36"/>
      <c r="BN48" s="36"/>
      <c r="BO48" s="36"/>
      <c r="BP48" s="36"/>
      <c r="BQ48" s="36"/>
      <c r="BR48" s="36"/>
      <c r="BS48" s="36"/>
      <c r="BT48" s="36"/>
      <c r="BU48" s="36"/>
      <c r="BV48" s="36"/>
    </row>
    <row r="49" spans="1:41" s="36" customFormat="1" x14ac:dyDescent="0.15">
      <c r="C49" s="36">
        <v>9992</v>
      </c>
      <c r="D49" s="36">
        <v>1</v>
      </c>
      <c r="F49" s="36">
        <v>8004</v>
      </c>
      <c r="G49" s="36" t="s">
        <v>2303</v>
      </c>
      <c r="I49" s="36">
        <v>1</v>
      </c>
      <c r="K49" s="36" t="s">
        <v>2304</v>
      </c>
      <c r="L49" s="36" t="s">
        <v>1781</v>
      </c>
      <c r="T49" s="36">
        <v>1</v>
      </c>
      <c r="AN49" s="36" t="str">
        <f t="shared" si="0"/>
        <v>{dwID=9992,nLevel=1,nIcon=8004,szName="大跑商",nScrutinyType=1,szNote="场景标记",col={255,255,0,},[1]={bBuffList=true,},[2]={},},</v>
      </c>
    </row>
    <row r="50" spans="1:41" s="36" customFormat="1" x14ac:dyDescent="0.15">
      <c r="C50" s="36">
        <v>9982</v>
      </c>
      <c r="D50" s="36">
        <v>1</v>
      </c>
      <c r="I50" s="36">
        <v>2</v>
      </c>
      <c r="K50" s="36" t="s">
        <v>2305</v>
      </c>
      <c r="L50" s="36" t="s">
        <v>1667</v>
      </c>
      <c r="AE50" s="36" t="s">
        <v>2306</v>
      </c>
      <c r="AF50" s="36">
        <v>2</v>
      </c>
      <c r="AG50" s="36" t="s">
        <v>1970</v>
      </c>
      <c r="AH50" s="36" t="s">
        <v>1970</v>
      </c>
      <c r="AI50" s="36">
        <v>255</v>
      </c>
      <c r="AN50" s="36" t="str">
        <f t="shared" si="0"/>
        <v>{dwID=9982,nLevel=1,nScrutinyType=2,szNote="运货首领",col={255,255,255,},[1]={},[2]={},aCataclysmBuff={{szReminder="镖",nPriority=2,col="#FFFFFFFF",colScreenHead="#FFFFFFFF",nColAlpha=255,},},},</v>
      </c>
    </row>
    <row r="51" spans="1:41" s="36" customFormat="1" x14ac:dyDescent="0.15">
      <c r="C51" s="36">
        <v>7851</v>
      </c>
      <c r="D51" s="36">
        <v>1</v>
      </c>
      <c r="I51" s="36">
        <v>1</v>
      </c>
      <c r="K51" s="36" t="s">
        <v>2562</v>
      </c>
      <c r="L51" s="36" t="s">
        <v>2312</v>
      </c>
      <c r="T51" s="36">
        <v>1</v>
      </c>
      <c r="AN51" s="36" t="str">
        <f t="shared" si="0"/>
        <v>{dwID=7851,nLevel=1,nScrutinyType=1,szNote="追踪·减速50%",col={31,63,255,},[1]={bBuffList=true,},[2]={},},</v>
      </c>
    </row>
    <row r="52" spans="1:41" x14ac:dyDescent="0.15">
      <c r="A52" s="36" t="s">
        <v>19</v>
      </c>
      <c r="B52" s="36">
        <v>217</v>
      </c>
      <c r="AN52" s="36" t="str">
        <f t="shared" si="0"/>
        <v>},[217]={</v>
      </c>
    </row>
    <row r="53" spans="1:41" s="36" customFormat="1" x14ac:dyDescent="0.15">
      <c r="C53" s="36">
        <v>9992</v>
      </c>
      <c r="D53" s="36">
        <v>1</v>
      </c>
      <c r="F53" s="36">
        <v>8004</v>
      </c>
      <c r="G53" s="36" t="s">
        <v>2303</v>
      </c>
      <c r="I53" s="36">
        <v>1</v>
      </c>
      <c r="K53" s="36" t="s">
        <v>2304</v>
      </c>
      <c r="L53" s="36" t="s">
        <v>1781</v>
      </c>
      <c r="T53" s="36">
        <v>1</v>
      </c>
      <c r="AN53" s="36" t="str">
        <f t="shared" si="0"/>
        <v>{dwID=9992,nLevel=1,nIcon=8004,szName="大跑商",nScrutinyType=1,szNote="场景标记",col={255,255,0,},[1]={bBuffList=true,},[2]={},},</v>
      </c>
    </row>
    <row r="54" spans="1:41" s="36" customFormat="1" x14ac:dyDescent="0.15">
      <c r="C54" s="36">
        <v>9982</v>
      </c>
      <c r="D54" s="36">
        <v>1</v>
      </c>
      <c r="I54" s="36">
        <v>2</v>
      </c>
      <c r="K54" s="36" t="s">
        <v>2305</v>
      </c>
      <c r="L54" s="36" t="s">
        <v>1667</v>
      </c>
      <c r="AE54" s="36" t="s">
        <v>2306</v>
      </c>
      <c r="AF54" s="36">
        <v>2</v>
      </c>
      <c r="AG54" s="36" t="s">
        <v>1970</v>
      </c>
      <c r="AH54" s="36" t="s">
        <v>1970</v>
      </c>
      <c r="AI54" s="36">
        <v>255</v>
      </c>
      <c r="AN54" s="36" t="str">
        <f t="shared" si="0"/>
        <v>{dwID=9982,nLevel=1,nScrutinyType=2,szNote="运货首领",col={255,255,255,},[1]={},[2]={},aCataclysmBuff={{szReminder="镖",nPriority=2,col="#FFFFFFFF",colScreenHead="#FFFFFFFF",nColAlpha=255,},},},</v>
      </c>
    </row>
    <row r="55" spans="1:41" s="36" customFormat="1" x14ac:dyDescent="0.15">
      <c r="C55" s="36">
        <v>7851</v>
      </c>
      <c r="D55" s="36">
        <v>1</v>
      </c>
      <c r="I55" s="36">
        <v>1</v>
      </c>
      <c r="K55" s="36" t="s">
        <v>2562</v>
      </c>
      <c r="L55" s="36" t="s">
        <v>2312</v>
      </c>
      <c r="T55" s="36">
        <v>1</v>
      </c>
      <c r="AN55" s="36" t="str">
        <f t="shared" si="0"/>
        <v>{dwID=7851,nLevel=1,nScrutinyType=1,szNote="追踪·减速50%",col={31,63,255,},[1]={bBuffList=true,},[2]={},},</v>
      </c>
    </row>
    <row r="56" spans="1:41" x14ac:dyDescent="0.15">
      <c r="A56" s="36" t="s">
        <v>18</v>
      </c>
      <c r="B56" s="36">
        <v>216</v>
      </c>
      <c r="AN56" s="36" t="str">
        <f t="shared" si="0"/>
        <v>},[216]={</v>
      </c>
    </row>
    <row r="57" spans="1:41" s="36" customFormat="1" x14ac:dyDescent="0.15">
      <c r="C57" s="36">
        <v>9992</v>
      </c>
      <c r="D57" s="36">
        <v>1</v>
      </c>
      <c r="F57" s="36">
        <v>8004</v>
      </c>
      <c r="G57" s="36" t="s">
        <v>2303</v>
      </c>
      <c r="I57" s="36">
        <v>1</v>
      </c>
      <c r="K57" s="36" t="s">
        <v>2304</v>
      </c>
      <c r="L57" s="36" t="s">
        <v>1781</v>
      </c>
      <c r="T57" s="36">
        <v>1</v>
      </c>
      <c r="AN57" s="36" t="str">
        <f t="shared" si="0"/>
        <v>{dwID=9992,nLevel=1,nIcon=8004,szName="大跑商",nScrutinyType=1,szNote="场景标记",col={255,255,0,},[1]={bBuffList=true,},[2]={},},</v>
      </c>
    </row>
    <row r="58" spans="1:41" s="36" customFormat="1" x14ac:dyDescent="0.15">
      <c r="C58" s="36">
        <v>9982</v>
      </c>
      <c r="D58" s="36">
        <v>1</v>
      </c>
      <c r="I58" s="36">
        <v>2</v>
      </c>
      <c r="K58" s="36" t="s">
        <v>2305</v>
      </c>
      <c r="L58" s="36" t="s">
        <v>1667</v>
      </c>
      <c r="AE58" s="36" t="s">
        <v>2306</v>
      </c>
      <c r="AF58" s="36">
        <v>2</v>
      </c>
      <c r="AG58" s="36" t="s">
        <v>1970</v>
      </c>
      <c r="AH58" s="36" t="s">
        <v>1970</v>
      </c>
      <c r="AI58" s="36">
        <v>255</v>
      </c>
      <c r="AN58" s="36" t="str">
        <f t="shared" si="0"/>
        <v>{dwID=9982,nLevel=1,nScrutinyType=2,szNote="运货首领",col={255,255,255,},[1]={},[2]={},aCataclysmBuff={{szReminder="镖",nPriority=2,col="#FFFFFFFF",colScreenHead="#FFFFFFFF",nColAlpha=255,},},},</v>
      </c>
    </row>
    <row r="59" spans="1:41" s="36" customFormat="1" x14ac:dyDescent="0.15">
      <c r="C59" s="36">
        <v>7851</v>
      </c>
      <c r="D59" s="36">
        <v>1</v>
      </c>
      <c r="I59" s="36">
        <v>1</v>
      </c>
      <c r="K59" s="36" t="s">
        <v>2562</v>
      </c>
      <c r="L59" s="36" t="s">
        <v>2312</v>
      </c>
      <c r="T59" s="36">
        <v>1</v>
      </c>
      <c r="AN59" s="36" t="str">
        <f t="shared" si="0"/>
        <v>{dwID=7851,nLevel=1,nScrutinyType=1,szNote="追踪·减速50%",col={31,63,255,},[1]={bBuffList=true,},[2]={},},</v>
      </c>
    </row>
    <row r="60" spans="1:41" s="36" customFormat="1" x14ac:dyDescent="0.15">
      <c r="C60" s="40">
        <v>11567</v>
      </c>
      <c r="D60" s="36">
        <v>1</v>
      </c>
      <c r="F60" s="36">
        <v>1245</v>
      </c>
      <c r="G60" s="36" t="s">
        <v>2091</v>
      </c>
      <c r="I60" s="36">
        <v>1</v>
      </c>
      <c r="K60" s="36" t="s">
        <v>1953</v>
      </c>
      <c r="L60" s="36" t="s">
        <v>1781</v>
      </c>
      <c r="AN60" s="36" t="str">
        <f t="shared" si="0"/>
        <v>{dwID=11567,nLevel=1,nIcon=1245,szName="答对",nScrutinyType=1,szNote="回答奖励",col={255,255,0,},[1]={},[2]={},tCountdown={{nClass=1,nIcon=13,nFrame=1,szName="答题验证·回答正确",nTime=5,key="挂机检测",},},},</v>
      </c>
      <c r="AO60" s="36" t="s">
        <v>2083</v>
      </c>
    </row>
    <row r="61" spans="1:41" s="36" customFormat="1" x14ac:dyDescent="0.15">
      <c r="C61" s="40">
        <v>11559</v>
      </c>
      <c r="D61" s="36">
        <v>1</v>
      </c>
      <c r="F61" s="36">
        <v>1244</v>
      </c>
      <c r="G61" s="36" t="s">
        <v>1957</v>
      </c>
      <c r="I61" s="36">
        <v>1</v>
      </c>
      <c r="K61" s="36" t="s">
        <v>1954</v>
      </c>
      <c r="L61" s="36" t="s">
        <v>1964</v>
      </c>
      <c r="N61" s="36" t="s">
        <v>1787</v>
      </c>
      <c r="O61" s="36">
        <v>1</v>
      </c>
      <c r="P61" s="36">
        <v>1</v>
      </c>
      <c r="Q61" s="36">
        <v>1</v>
      </c>
      <c r="R61" s="36">
        <v>1</v>
      </c>
      <c r="T61" s="36">
        <v>1</v>
      </c>
      <c r="U61" s="36">
        <v>1</v>
      </c>
      <c r="V61" s="36">
        <v>1</v>
      </c>
      <c r="AE61" s="36" t="s">
        <v>1973</v>
      </c>
      <c r="AF61" s="36">
        <v>3</v>
      </c>
      <c r="AG61" s="36" t="s">
        <v>1955</v>
      </c>
      <c r="AH61" s="36" t="s">
        <v>1956</v>
      </c>
      <c r="AI61" s="36">
        <v>255</v>
      </c>
      <c r="AJ61" s="36">
        <v>1</v>
      </c>
      <c r="AK61" s="36">
        <v>1</v>
      </c>
      <c r="AL61" s="36">
        <v>1</v>
      </c>
      <c r="AN61" s="36"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61" s="36" t="s">
        <v>2084</v>
      </c>
    </row>
    <row r="62" spans="1:41" s="36" customFormat="1" x14ac:dyDescent="0.15">
      <c r="C62" s="40">
        <v>11565</v>
      </c>
      <c r="D62" s="36">
        <v>1</v>
      </c>
      <c r="F62" s="36">
        <v>592</v>
      </c>
      <c r="G62" s="36" t="s">
        <v>2387</v>
      </c>
      <c r="K62" s="36" t="s">
        <v>2388</v>
      </c>
      <c r="L62" s="36" t="s">
        <v>2115</v>
      </c>
      <c r="R62" s="36">
        <v>1</v>
      </c>
      <c r="AN62" s="36" t="str">
        <f t="shared" si="0"/>
        <v>{dwID=11565,nLevel=1,nIcon=592,szName="大旗手",szNote="大旗手检测",col={0,255,255,},[1]={bScreenHead=true,},[2]={},},</v>
      </c>
    </row>
    <row r="63" spans="1:41" s="36" customFormat="1" x14ac:dyDescent="0.15">
      <c r="C63" s="40">
        <v>32813</v>
      </c>
      <c r="D63" s="36">
        <v>1</v>
      </c>
      <c r="F63" s="36">
        <v>16834</v>
      </c>
      <c r="G63" s="36" t="s">
        <v>2701</v>
      </c>
      <c r="K63" s="36" t="s">
        <v>2696</v>
      </c>
      <c r="L63" s="36" t="s">
        <v>2698</v>
      </c>
      <c r="T63" s="36">
        <v>1</v>
      </c>
      <c r="V63" s="36">
        <v>1</v>
      </c>
      <c r="AE63" s="36" t="s">
        <v>2697</v>
      </c>
      <c r="AF63" s="36">
        <v>37</v>
      </c>
      <c r="AG63" s="36" t="s">
        <v>2699</v>
      </c>
      <c r="AH63" s="36" t="s">
        <v>2700</v>
      </c>
      <c r="AI63" s="36">
        <v>255</v>
      </c>
      <c r="AN63" s="36" t="str">
        <f t="shared" si="0"/>
        <v>{dwID=32813,nLevel=1,nIcon=16834,szName="旗易伤",szNote="旗帜受损",col={255,153,204,},[1]={bBuffList=true,bTeamPanel=true,},[2]={},aCataclysmBuff={{szReminder="损",nPriority=37,col="#FF99CCFF",colScreenHead="#FF99CC",nColAlpha=255,},},tCountdown={{nClass=1,nIcon=16834,nFrame=1,szName="大旗赛点·CD",nTime="60,大旗赛点·触发冷却;62,大旗赛点·解除冷却",nRefresh=0,key="大旗赛点·CD",},},},</v>
      </c>
      <c r="AO63" s="36" t="s">
        <v>2707</v>
      </c>
    </row>
    <row r="64" spans="1:41" s="36" customFormat="1" x14ac:dyDescent="0.15">
      <c r="C64" s="40">
        <v>32812</v>
      </c>
      <c r="D64" s="36">
        <v>1</v>
      </c>
      <c r="F64" s="36">
        <v>3451</v>
      </c>
      <c r="G64" s="36" t="s">
        <v>2702</v>
      </c>
      <c r="K64" s="36" t="s">
        <v>2703</v>
      </c>
      <c r="L64" s="36" t="s">
        <v>2704</v>
      </c>
      <c r="T64" s="36">
        <v>1</v>
      </c>
      <c r="AN64" s="36" t="str">
        <f t="shared" si="0"/>
        <v>{dwID=32812,nLevel=1,nIcon=3451,szName="损CD",szNote="据点大旗赛点CD",col={255,50,50,},[1]={bBuffList=true,},[2]={},tCountdown={{nClass=1,nIcon=16834,nFrame=1,szName="大旗赛点·CD",nTime="60,大旗赛点·触发冷却;62,大旗赛点·解除冷却",nRefresh=1,key="大旗赛点·CD",},},},</v>
      </c>
      <c r="AO64" s="36" t="s">
        <v>2705</v>
      </c>
    </row>
    <row r="65" spans="1:44" s="36" customFormat="1" x14ac:dyDescent="0.15">
      <c r="C65" s="40">
        <v>31381</v>
      </c>
      <c r="D65" s="36">
        <v>1</v>
      </c>
      <c r="G65" s="36" t="s">
        <v>2561</v>
      </c>
      <c r="K65" s="36" t="s">
        <v>2385</v>
      </c>
      <c r="L65" s="36" t="s">
        <v>1964</v>
      </c>
      <c r="R65" s="36">
        <v>1</v>
      </c>
      <c r="T65" s="36">
        <v>1</v>
      </c>
      <c r="AE65" s="36" t="s">
        <v>2577</v>
      </c>
      <c r="AF65" s="36">
        <v>11</v>
      </c>
      <c r="AG65" s="36" t="s">
        <v>1955</v>
      </c>
      <c r="AH65" s="36" t="s">
        <v>1956</v>
      </c>
      <c r="AI65" s="36">
        <v>255</v>
      </c>
      <c r="AL65" s="36">
        <v>1</v>
      </c>
      <c r="AN65" s="36" t="str">
        <f t="shared" si="0"/>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13,nFrame=2,szName="【{$receiver}】·可以捡旗",nTime=5,key="经脉逆行·{$receiver}",},},},</v>
      </c>
      <c r="AO65" s="36" t="s">
        <v>2721</v>
      </c>
      <c r="AP65" s="36" t="s">
        <v>2391</v>
      </c>
    </row>
    <row r="66" spans="1:44" s="36" customFormat="1" x14ac:dyDescent="0.15">
      <c r="C66" s="40">
        <v>8807</v>
      </c>
      <c r="D66" s="36">
        <v>1</v>
      </c>
      <c r="G66" s="36" t="s">
        <v>1966</v>
      </c>
      <c r="I66" s="36">
        <v>1</v>
      </c>
      <c r="K66" s="36" t="s">
        <v>1967</v>
      </c>
      <c r="L66" s="36" t="s">
        <v>1964</v>
      </c>
      <c r="N66" s="36" t="s">
        <v>1787</v>
      </c>
      <c r="O66" s="36">
        <v>1</v>
      </c>
      <c r="P66" s="36">
        <v>1</v>
      </c>
      <c r="Q66" s="36">
        <v>1</v>
      </c>
      <c r="T66" s="36">
        <v>1</v>
      </c>
      <c r="U66" s="36">
        <v>1</v>
      </c>
      <c r="AE66" s="36" t="s">
        <v>1972</v>
      </c>
      <c r="AF66" s="36">
        <v>2</v>
      </c>
      <c r="AG66" s="36" t="s">
        <v>1955</v>
      </c>
      <c r="AI66" s="36">
        <v>255</v>
      </c>
      <c r="AJ66" s="36">
        <v>1</v>
      </c>
      <c r="AN66" s="36" t="str">
        <f t="shared" ref="AN66:AN95" si="1">IF(B66&lt;&gt;"",IF(IFERROR(VALUE(C65),0)&lt;=0,"["&amp;B66&amp;"]={","},["&amp;B66&amp;"]={"),IF(C66&gt;0,"{dwID="&amp;C66&amp;","&amp;"nLevel="&amp;D66&amp;","&amp;IF(E66&gt;0,"nCount="&amp;E66&amp;",","")&amp;IF(F66&gt;0,"nIcon="&amp;F66&amp;",","")&amp;IF(G66&lt;&gt;"","szName="""&amp;G66&amp;""",","")&amp;IF(H66&gt;0,"bCheckLevel=true,","")&amp;IF(I66&gt;0,"nScrutinyType="&amp;I66&amp;",","")&amp;IF(J66&lt;&gt;"","tKungFu={"&amp;J66&amp;"},","")&amp;IF(K66&lt;&gt;"","szNote="""&amp;K66&amp;""",","")&amp;IF(L66&lt;&gt;"","col={"&amp;L66&amp;"},","")&amp;"[1]={"&amp;IF(M66&lt;&gt;"","tMark={"&amp;M66&amp;"},","")&amp;IF(N66&lt;&gt;"","szVoice="""&amp;N66&amp;""",","")&amp;IF(O66&gt;0,"bTeamChannel=true,","")&amp;IF(P66&gt;0,"bWhisperChannel=true,","")&amp;IF(Q66&gt;0,"bCenterAlarm=true,","")&amp;IF(R66&gt;0,"bScreenHead=true,","")&amp;IF(S66&gt;0,"bPartyBuffList=true,","")&amp;IF(T66&gt;0,"bBuffList=true,","")&amp;IF(U66&gt;0,"bFullScreen=true,","")&amp;IF(V66&gt;0,"bTeamPanel=true,","")&amp;IF(W66&gt;0,"bOnlySelfSrc=true,","")&amp;"},"&amp;"[2]={"&amp;IF(X66&gt;0,"bTeamChannel=true,","")&amp;IF(Y66&gt;0,"bWhisperChannel=true,","")&amp;IF(Z66&gt;0,"bCenterAlarm=true,","")&amp;"},"&amp;IF(OR(AA66&gt;0,AE66&lt;&gt;"",AF66&gt;0,AG66&lt;&gt;"",AH66&lt;&gt;"",AI66&gt;0,AJ66&gt;0,AK66&gt;0,AL66&gt;0),"aCataclysmBuff={{"&amp;IF(AA66&gt;0,"nStackNum="&amp;AA66&amp;",","")&amp;IF(AB66&lt;&gt;"","szStackOp="""&amp;AB66&amp;""",","")&amp;IF(AC66&gt;0,"bOnlyMine=true,","")&amp;IF(AD66&gt;0,"bOnlyMe=true,","")&amp;IF(AE66&lt;&gt;"","szReminder="""&amp;AE66&amp;""",","")&amp;IF(AF66&gt;0,"nPriority="&amp;AF66&amp;",","")&amp;IF(AG66&lt;&gt;"","col="""&amp;AG66&amp;""",","")&amp;IF(AH66&lt;&gt;"","colScreenHead="""&amp;AH66&amp;""",","")&amp;IF(AI66&gt;0,"nColAlpha="&amp;AI66&amp;",","")&amp;IF(AJ66&gt;0,"bAttention=true,","")&amp;IF(AK66&gt;0,"bCaution=true,","")&amp;IF(AL66&gt;0,"bScreenHead=true,","")&amp;"},"&amp;AM66&amp;"},","")&amp;IF(AO66&lt;&gt;"","tCountdown={"&amp;_xlfn.TEXTJOIN("",TRUE,AO66:ZZ66)&amp;"},","")&amp;"},",IF(C65&gt;0,"},","")&amp;IF(AND(B66="",C66="",OR(B65&lt;&gt;"",C65&lt;&gt;"")),"},}","")))</f>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66" s="36" t="s">
        <v>2082</v>
      </c>
    </row>
    <row r="67" spans="1:44" s="36" customFormat="1" x14ac:dyDescent="0.15">
      <c r="C67" s="40">
        <v>7913</v>
      </c>
      <c r="D67" s="36">
        <v>1</v>
      </c>
      <c r="I67" s="36">
        <v>2</v>
      </c>
      <c r="K67" s="36" t="s">
        <v>1833</v>
      </c>
      <c r="L67" s="36" t="s">
        <v>1830</v>
      </c>
      <c r="T67" s="36">
        <v>1</v>
      </c>
      <c r="AE67" s="36" t="s">
        <v>2374</v>
      </c>
      <c r="AF67" s="36">
        <v>5</v>
      </c>
      <c r="AG67" s="36" t="s">
        <v>1832</v>
      </c>
      <c r="AH67" s="36" t="s">
        <v>1831</v>
      </c>
      <c r="AI67" s="36">
        <v>255</v>
      </c>
      <c r="AJ67" s="36">
        <v>1</v>
      </c>
      <c r="AL67" s="36">
        <v>1</v>
      </c>
      <c r="AN67" s="36" t="str">
        <f t="shared" si="1"/>
        <v>{dwID=7913,nLevel=1,nScrutinyType=2,szNote="意涌系统通用抗百分比回血",col={255,204,0,},[1]={bBuffList=true,},[2]={},aCataclysmBuff={{szReminder="涌",nPriority=5,col="#FFCC00FF",colScreenHead="#FFCC00",nColAlpha=255,bAttention=true,bScreenHead=true,},},},</v>
      </c>
    </row>
    <row r="68" spans="1:44" s="36" customFormat="1" x14ac:dyDescent="0.15">
      <c r="C68" s="40">
        <v>7911</v>
      </c>
      <c r="D68" s="36">
        <v>1</v>
      </c>
      <c r="I68" s="36">
        <v>2</v>
      </c>
      <c r="K68" s="36" t="s">
        <v>1947</v>
      </c>
      <c r="L68" s="36" t="s">
        <v>1964</v>
      </c>
      <c r="R68" s="36">
        <v>1</v>
      </c>
      <c r="T68" s="36">
        <v>1</v>
      </c>
      <c r="AE68" s="36" t="s">
        <v>1974</v>
      </c>
      <c r="AF68" s="36">
        <v>4</v>
      </c>
      <c r="AG68" s="36" t="s">
        <v>1955</v>
      </c>
      <c r="AH68" s="36" t="s">
        <v>1956</v>
      </c>
      <c r="AI68" s="36">
        <v>255</v>
      </c>
      <c r="AJ68" s="36">
        <v>1</v>
      </c>
      <c r="AL68" s="36">
        <v>1</v>
      </c>
      <c r="AN68" s="36" t="str">
        <f t="shared" si="1"/>
        <v>{dwID=7911,nLevel=1,nScrutinyType=2,szNote="繁忙",col={255,50,255,},[1]={bScreenHead=true,bBuffList=true,},[2]={},aCataclysmBuff={{szReminder="忙",nPriority=4,col="#FF32FFFF",colScreenHead="#FF32FF",nColAlpha=255,bAttention=true,bScreenHead=true,},},},</v>
      </c>
    </row>
    <row r="69" spans="1:44" s="36" customFormat="1" x14ac:dyDescent="0.15">
      <c r="C69" s="40">
        <v>7756</v>
      </c>
      <c r="D69" s="36">
        <v>1</v>
      </c>
      <c r="I69" s="36">
        <v>1</v>
      </c>
      <c r="K69" s="36" t="s">
        <v>2038</v>
      </c>
      <c r="L69" s="36" t="s">
        <v>1781</v>
      </c>
      <c r="T69" s="36">
        <v>1</v>
      </c>
      <c r="AE69" s="36" t="s">
        <v>2039</v>
      </c>
      <c r="AF69" s="36">
        <v>3</v>
      </c>
      <c r="AG69" s="36" t="s">
        <v>2635</v>
      </c>
      <c r="AI69" s="36">
        <v>0</v>
      </c>
      <c r="AN69" s="36" t="str">
        <f t="shared" si="1"/>
        <v>{dwID=7756,nLevel=1,nScrutinyType=1,szNote="燃火20s",col={255,255,0,},[1]={bBuffList=true,},[2]={},aCataclysmBuff={{szReminder="火",nPriority=3,col="#00FFFF00",},},tCountdown={{nClass=1,nIcon=5399,nFrame=0,szName="增益·燃火·持续剩余",nTime=20,key="燃火",},{nClass=2,nIcon=13,szName="燃火",nTime=-1,key="燃火",},},},</v>
      </c>
      <c r="AO69" s="36" t="s">
        <v>2079</v>
      </c>
      <c r="AP69" s="36" t="s">
        <v>2080</v>
      </c>
    </row>
    <row r="70" spans="1:44" s="36" customFormat="1" x14ac:dyDescent="0.15">
      <c r="C70" s="40">
        <v>7497</v>
      </c>
      <c r="D70" s="36">
        <v>1</v>
      </c>
      <c r="G70" s="36" t="s">
        <v>2041</v>
      </c>
      <c r="I70" s="36">
        <v>2</v>
      </c>
      <c r="K70" s="36" t="s">
        <v>2040</v>
      </c>
      <c r="L70" s="36" t="s">
        <v>1781</v>
      </c>
      <c r="R70" s="36">
        <v>1</v>
      </c>
      <c r="T70" s="36">
        <v>1</v>
      </c>
      <c r="AE70" s="36" t="s">
        <v>2042</v>
      </c>
      <c r="AF70" s="36">
        <v>13</v>
      </c>
      <c r="AG70" s="36" t="s">
        <v>2043</v>
      </c>
      <c r="AH70" s="36" t="s">
        <v>2044</v>
      </c>
      <c r="AI70" s="36">
        <v>255</v>
      </c>
      <c r="AL70" s="36">
        <v>1</v>
      </c>
      <c r="AN70" s="36" t="str">
        <f t="shared" si="1"/>
        <v>{dwID=7497,nLevel=1,szName="眩晕·抛掷",nScrutinyType=2,szNote="御城·抛掷",col={255,255,0,},[1]={bScreenHead=true,bBuffList=true,},[2]={},aCataclysmBuff={{szReminder="晕",nPriority=13,col="#FFFF00FF",colScreenHead="#FFFF00",nColAlpha=255,bScreenHead=true,},},},</v>
      </c>
    </row>
    <row r="71" spans="1:44" s="36" customFormat="1" x14ac:dyDescent="0.15">
      <c r="C71" s="40">
        <v>7504</v>
      </c>
      <c r="D71" s="36">
        <v>1</v>
      </c>
      <c r="G71" s="36" t="s">
        <v>2167</v>
      </c>
      <c r="I71" s="36">
        <v>2</v>
      </c>
      <c r="K71" s="36" t="s">
        <v>2166</v>
      </c>
      <c r="L71" s="36" t="s">
        <v>1781</v>
      </c>
      <c r="R71" s="36">
        <v>1</v>
      </c>
      <c r="T71" s="36">
        <v>1</v>
      </c>
      <c r="AE71" s="36" t="s">
        <v>2042</v>
      </c>
      <c r="AF71" s="36">
        <v>13</v>
      </c>
      <c r="AG71" s="36" t="s">
        <v>2043</v>
      </c>
      <c r="AH71" s="36" t="s">
        <v>2044</v>
      </c>
      <c r="AI71" s="36">
        <v>255</v>
      </c>
      <c r="AL71" s="36">
        <v>1</v>
      </c>
      <c r="AN71" s="36" t="str">
        <f t="shared" si="1"/>
        <v>{dwID=7504,nLevel=1,szName="眩晕·御城",nScrutinyType=2,szNote="御城·精准",col={255,255,0,},[1]={bScreenHead=true,bBuffList=true,},[2]={},aCataclysmBuff={{szReminder="晕",nPriority=13,col="#FFFF00FF",colScreenHead="#FFFF00",nColAlpha=255,bScreenHead=true,},},},</v>
      </c>
    </row>
    <row r="72" spans="1:44" s="36" customFormat="1" x14ac:dyDescent="0.15">
      <c r="C72" s="40">
        <v>7503</v>
      </c>
      <c r="D72" s="36">
        <v>1</v>
      </c>
      <c r="G72" s="36" t="s">
        <v>2507</v>
      </c>
      <c r="I72" s="36">
        <v>1</v>
      </c>
      <c r="K72" s="36" t="s">
        <v>2508</v>
      </c>
      <c r="L72" s="36" t="s">
        <v>2361</v>
      </c>
      <c r="T72" s="36">
        <v>1</v>
      </c>
      <c r="V72" s="36">
        <v>1</v>
      </c>
      <c r="AF72" s="36">
        <v>37</v>
      </c>
      <c r="AG72" s="36" t="s">
        <v>2509</v>
      </c>
      <c r="AH72" s="36" t="s">
        <v>2364</v>
      </c>
      <c r="AI72" s="36">
        <v>170</v>
      </c>
      <c r="AN72" s="36" t="str">
        <f t="shared" si="1"/>
        <v>{dwID=7503,nLevel=1,szName="减速·御城",nScrutinyType=1,szNote="御城·断股",col={31,63,255,},[1]={bBuffList=true,bTeamPanel=true,},[2]={},aCataclysmBuff={{nPriority=37,col="#1F3FFFAA",colScreenHead="#1F3FFF",nColAlpha=170,},},},</v>
      </c>
    </row>
    <row r="73" spans="1:44" s="36" customFormat="1" x14ac:dyDescent="0.15">
      <c r="C73" s="40">
        <v>4038</v>
      </c>
      <c r="D73" s="36">
        <v>1</v>
      </c>
      <c r="I73" s="36">
        <v>1</v>
      </c>
      <c r="K73" s="36" t="s">
        <v>2365</v>
      </c>
      <c r="L73" s="36" t="s">
        <v>2361</v>
      </c>
      <c r="R73" s="36">
        <v>1</v>
      </c>
      <c r="T73" s="36">
        <v>1</v>
      </c>
      <c r="AE73" s="36" t="s">
        <v>2362</v>
      </c>
      <c r="AF73" s="36">
        <v>15</v>
      </c>
      <c r="AG73" s="36" t="s">
        <v>2363</v>
      </c>
      <c r="AH73" s="36" t="s">
        <v>2364</v>
      </c>
      <c r="AI73" s="36">
        <v>255</v>
      </c>
      <c r="AL73" s="36">
        <v>1</v>
      </c>
      <c r="AN73" s="36" t="str">
        <f t="shared" si="1"/>
        <v>{dwID=4038,nLevel=1,nScrutinyType=1,szNote="锁足·首领",col={31,63,255,},[1]={bScreenHead=true,bBuffList=true,},[2]={},aCataclysmBuff={{szReminder="锁",nPriority=15,col="#1F3FFFFF",colScreenHead="#1F3FFF",nColAlpha=255,bScreenHead=true,},},},</v>
      </c>
    </row>
    <row r="74" spans="1:44" s="36" customFormat="1" x14ac:dyDescent="0.15">
      <c r="C74" s="40">
        <v>29007</v>
      </c>
      <c r="D74" s="36">
        <v>1</v>
      </c>
      <c r="I74" s="36">
        <v>1</v>
      </c>
      <c r="K74" s="36" t="s">
        <v>2160</v>
      </c>
      <c r="L74" s="36" t="s">
        <v>2386</v>
      </c>
      <c r="AN74" s="36"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74" s="40" t="s">
        <v>2407</v>
      </c>
      <c r="AP74" s="40" t="s">
        <v>2406</v>
      </c>
      <c r="AQ74" s="38" t="s">
        <v>2573</v>
      </c>
      <c r="AR74" s="38" t="s">
        <v>2574</v>
      </c>
    </row>
    <row r="75" spans="1:44" s="36" customFormat="1" x14ac:dyDescent="0.15">
      <c r="C75" s="40">
        <v>11561</v>
      </c>
      <c r="D75" s="36">
        <v>1</v>
      </c>
      <c r="G75" s="36" t="s">
        <v>2584</v>
      </c>
      <c r="I75" s="36">
        <v>1</v>
      </c>
      <c r="K75" s="36" t="s">
        <v>2586</v>
      </c>
      <c r="L75" s="36" t="s">
        <v>2585</v>
      </c>
      <c r="AN75" s="36" t="str">
        <f t="shared" si="1"/>
        <v>{dwID=11561,nLevel=1,szName="据点内",nScrutinyType=1,szNote="判断是否在大旗附近",col={80,231,236,},[1]={},[2]={},tCountdown={{nClass=1,nIcon=1272,nFrame=2,szName="据点大旗·旗手提示",nTime=-1,key="据点大旗·旗手提示",},},},</v>
      </c>
      <c r="AO75" s="36" t="s">
        <v>2724</v>
      </c>
      <c r="AP75" s="39"/>
      <c r="AQ75" s="39"/>
      <c r="AR75" s="39"/>
    </row>
    <row r="76" spans="1:44" s="36" customFormat="1" x14ac:dyDescent="0.15">
      <c r="C76" s="40">
        <v>7723</v>
      </c>
      <c r="D76" s="36">
        <v>1</v>
      </c>
      <c r="I76" s="36">
        <v>2</v>
      </c>
      <c r="K76" s="36" t="s">
        <v>1797</v>
      </c>
      <c r="L76" s="36" t="s">
        <v>1667</v>
      </c>
      <c r="T76" s="36">
        <v>1</v>
      </c>
      <c r="V76" s="36">
        <v>1</v>
      </c>
      <c r="AF76" s="36">
        <v>1</v>
      </c>
      <c r="AG76" s="36" t="s">
        <v>2489</v>
      </c>
      <c r="AI76" s="36">
        <v>170</v>
      </c>
      <c r="AN76" s="36" t="str">
        <f t="shared" si="1"/>
        <v>{dwID=7723,nLevel=1,nScrutinyType=2,szNote="神机雷",col={255,255,255,},[1]={bBuffList=true,bTeamPanel=true,},[2]={},aCataclysmBuff={{nPriority=1,col="#FFFFFFAA",nColAlpha=170,},},},</v>
      </c>
    </row>
    <row r="77" spans="1:44" s="36" customFormat="1" x14ac:dyDescent="0.15">
      <c r="A77" s="36" t="s">
        <v>613</v>
      </c>
      <c r="B77" s="36">
        <v>656</v>
      </c>
      <c r="AN77" s="36" t="str">
        <f t="shared" si="1"/>
        <v>},[656]={</v>
      </c>
    </row>
    <row r="78" spans="1:44" s="36" customFormat="1" x14ac:dyDescent="0.15">
      <c r="C78" s="40">
        <v>11567</v>
      </c>
      <c r="D78" s="36">
        <v>1</v>
      </c>
      <c r="F78" s="36">
        <v>1245</v>
      </c>
      <c r="G78" s="36" t="s">
        <v>2091</v>
      </c>
      <c r="I78" s="36">
        <v>1</v>
      </c>
      <c r="K78" s="36" t="s">
        <v>1953</v>
      </c>
      <c r="L78" s="36" t="s">
        <v>1781</v>
      </c>
      <c r="AN78" s="36" t="str">
        <f t="shared" si="1"/>
        <v>{dwID=11567,nLevel=1,nIcon=1245,szName="答对",nScrutinyType=1,szNote="回答奖励",col={255,255,0,},[1]={},[2]={},tCountdown={{nClass=1,nIcon=13,nFrame=1,szName="答题验证·回答正确",nTime=5,key="挂机检测",},},},</v>
      </c>
      <c r="AO78" s="36" t="s">
        <v>2083</v>
      </c>
    </row>
    <row r="79" spans="1:44" s="36" customFormat="1" x14ac:dyDescent="0.15">
      <c r="C79" s="40">
        <v>11559</v>
      </c>
      <c r="D79" s="36">
        <v>1</v>
      </c>
      <c r="F79" s="36">
        <v>1244</v>
      </c>
      <c r="G79" s="36" t="s">
        <v>1957</v>
      </c>
      <c r="I79" s="36">
        <v>1</v>
      </c>
      <c r="K79" s="36" t="s">
        <v>1954</v>
      </c>
      <c r="L79" s="36" t="s">
        <v>1964</v>
      </c>
      <c r="N79" s="36" t="s">
        <v>1787</v>
      </c>
      <c r="O79" s="36">
        <v>1</v>
      </c>
      <c r="P79" s="36">
        <v>1</v>
      </c>
      <c r="Q79" s="36">
        <v>1</v>
      </c>
      <c r="R79" s="36">
        <v>1</v>
      </c>
      <c r="T79" s="36">
        <v>1</v>
      </c>
      <c r="U79" s="36">
        <v>1</v>
      </c>
      <c r="V79" s="36">
        <v>1</v>
      </c>
      <c r="AE79" s="36" t="s">
        <v>1973</v>
      </c>
      <c r="AF79" s="36">
        <v>3</v>
      </c>
      <c r="AG79" s="36" t="s">
        <v>1955</v>
      </c>
      <c r="AH79" s="36" t="s">
        <v>1956</v>
      </c>
      <c r="AI79" s="36">
        <v>255</v>
      </c>
      <c r="AJ79" s="36">
        <v>1</v>
      </c>
      <c r="AK79" s="36">
        <v>1</v>
      </c>
      <c r="AL79" s="36">
        <v>1</v>
      </c>
      <c r="AN79" s="36"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79" s="36" t="s">
        <v>2084</v>
      </c>
    </row>
    <row r="80" spans="1:44" s="36" customFormat="1" x14ac:dyDescent="0.15">
      <c r="C80" s="40">
        <v>11565</v>
      </c>
      <c r="D80" s="36">
        <v>1</v>
      </c>
      <c r="F80" s="36">
        <v>592</v>
      </c>
      <c r="G80" s="36" t="s">
        <v>2387</v>
      </c>
      <c r="K80" s="36" t="s">
        <v>2388</v>
      </c>
      <c r="L80" s="36" t="s">
        <v>2115</v>
      </c>
      <c r="R80" s="36">
        <v>1</v>
      </c>
      <c r="AN80" s="36" t="str">
        <f t="shared" si="1"/>
        <v>{dwID=11565,nLevel=1,nIcon=592,szName="大旗手",szNote="大旗手检测",col={0,255,255,},[1]={bScreenHead=true,},[2]={},},</v>
      </c>
    </row>
    <row r="81" spans="3:44" s="36" customFormat="1" x14ac:dyDescent="0.15">
      <c r="C81" s="40">
        <v>32813</v>
      </c>
      <c r="D81" s="36">
        <v>1</v>
      </c>
      <c r="F81" s="36">
        <v>16834</v>
      </c>
      <c r="G81" s="36" t="s">
        <v>2701</v>
      </c>
      <c r="K81" s="36" t="s">
        <v>2696</v>
      </c>
      <c r="L81" s="36" t="s">
        <v>2698</v>
      </c>
      <c r="T81" s="36">
        <v>1</v>
      </c>
      <c r="V81" s="36">
        <v>1</v>
      </c>
      <c r="AE81" s="36" t="s">
        <v>2697</v>
      </c>
      <c r="AF81" s="36">
        <v>37</v>
      </c>
      <c r="AG81" s="36" t="s">
        <v>2699</v>
      </c>
      <c r="AH81" s="36" t="s">
        <v>2700</v>
      </c>
      <c r="AI81" s="36">
        <v>255</v>
      </c>
      <c r="AN81" s="36" t="str">
        <f t="shared" si="1"/>
        <v>{dwID=32813,nLevel=1,nIcon=16834,szName="旗易伤",szNote="旗帜受损",col={255,153,204,},[1]={bBuffList=true,bTeamPanel=true,},[2]={},aCataclysmBuff={{szReminder="损",nPriority=37,col="#FF99CCFF",colScreenHead="#FF99CC",nColAlpha=255,},},tCountdown={{nClass=1,nIcon=16834,nFrame=1,szName="大旗赛点·CD",nTime="60,大旗赛点·触发冷却;62,大旗赛点·解除冷却",nRefresh=0,key="大旗赛点·CD",},},},</v>
      </c>
      <c r="AO81" s="36" t="s">
        <v>2707</v>
      </c>
    </row>
    <row r="82" spans="3:44" s="36" customFormat="1" x14ac:dyDescent="0.15">
      <c r="C82" s="40">
        <v>32812</v>
      </c>
      <c r="D82" s="36">
        <v>1</v>
      </c>
      <c r="F82" s="36">
        <v>3451</v>
      </c>
      <c r="G82" s="36" t="s">
        <v>2702</v>
      </c>
      <c r="K82" s="36" t="s">
        <v>2703</v>
      </c>
      <c r="L82" s="36" t="s">
        <v>2704</v>
      </c>
      <c r="T82" s="36">
        <v>1</v>
      </c>
      <c r="AN82" s="36" t="str">
        <f t="shared" si="1"/>
        <v>{dwID=32812,nLevel=1,nIcon=3451,szName="损CD",szNote="据点大旗赛点CD",col={255,50,50,},[1]={bBuffList=true,},[2]={},tCountdown={{nClass=1,nIcon=16834,nFrame=1,szName="大旗赛点·CD",nTime="60,大旗赛点·触发冷却;62,大旗赛点·解除冷却",nRefresh=1,key="大旗赛点·CD",},},},</v>
      </c>
      <c r="AO82" s="36" t="s">
        <v>2705</v>
      </c>
    </row>
    <row r="83" spans="3:44" s="36" customFormat="1" x14ac:dyDescent="0.15">
      <c r="C83" s="40">
        <v>31381</v>
      </c>
      <c r="D83" s="36">
        <v>1</v>
      </c>
      <c r="G83" s="36" t="s">
        <v>2561</v>
      </c>
      <c r="K83" s="36" t="s">
        <v>2385</v>
      </c>
      <c r="L83" s="36" t="s">
        <v>1964</v>
      </c>
      <c r="R83" s="36">
        <v>1</v>
      </c>
      <c r="T83" s="36">
        <v>1</v>
      </c>
      <c r="AE83" s="36" t="s">
        <v>2577</v>
      </c>
      <c r="AF83" s="36">
        <v>11</v>
      </c>
      <c r="AG83" s="36" t="s">
        <v>1955</v>
      </c>
      <c r="AH83" s="36" t="s">
        <v>1956</v>
      </c>
      <c r="AI83" s="36">
        <v>255</v>
      </c>
      <c r="AL83" s="36">
        <v>1</v>
      </c>
      <c r="AN83" s="36"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13,nFrame=2,szName="【{$receiver}】·可以捡旗",nTime=5,key="经脉逆行·{$receiver}",},},},</v>
      </c>
      <c r="AO83" s="36" t="s">
        <v>2721</v>
      </c>
      <c r="AP83" s="36" t="s">
        <v>2391</v>
      </c>
    </row>
    <row r="84" spans="3:44" s="36" customFormat="1" x14ac:dyDescent="0.15">
      <c r="C84" s="40">
        <v>8807</v>
      </c>
      <c r="D84" s="36">
        <v>1</v>
      </c>
      <c r="G84" s="36" t="s">
        <v>1966</v>
      </c>
      <c r="I84" s="36">
        <v>1</v>
      </c>
      <c r="K84" s="36" t="s">
        <v>1967</v>
      </c>
      <c r="L84" s="36" t="s">
        <v>1964</v>
      </c>
      <c r="N84" s="36" t="s">
        <v>1787</v>
      </c>
      <c r="O84" s="36">
        <v>1</v>
      </c>
      <c r="P84" s="36">
        <v>1</v>
      </c>
      <c r="Q84" s="36">
        <v>1</v>
      </c>
      <c r="T84" s="36">
        <v>1</v>
      </c>
      <c r="U84" s="36">
        <v>1</v>
      </c>
      <c r="AE84" s="36" t="s">
        <v>1972</v>
      </c>
      <c r="AF84" s="36">
        <v>2</v>
      </c>
      <c r="AG84" s="36" t="s">
        <v>1955</v>
      </c>
      <c r="AI84" s="36">
        <v>255</v>
      </c>
      <c r="AJ84" s="36">
        <v>1</v>
      </c>
      <c r="AN84" s="36"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84" s="36" t="s">
        <v>2082</v>
      </c>
    </row>
    <row r="85" spans="3:44" s="36" customFormat="1" x14ac:dyDescent="0.15">
      <c r="C85" s="40">
        <v>7913</v>
      </c>
      <c r="D85" s="36">
        <v>1</v>
      </c>
      <c r="I85" s="36">
        <v>2</v>
      </c>
      <c r="K85" s="36" t="s">
        <v>1833</v>
      </c>
      <c r="L85" s="36" t="s">
        <v>1830</v>
      </c>
      <c r="T85" s="36">
        <v>1</v>
      </c>
      <c r="AE85" s="36" t="s">
        <v>2374</v>
      </c>
      <c r="AF85" s="36">
        <v>5</v>
      </c>
      <c r="AG85" s="36" t="s">
        <v>1832</v>
      </c>
      <c r="AH85" s="36" t="s">
        <v>1831</v>
      </c>
      <c r="AI85" s="36">
        <v>255</v>
      </c>
      <c r="AJ85" s="36">
        <v>1</v>
      </c>
      <c r="AL85" s="36">
        <v>1</v>
      </c>
      <c r="AN85" s="36" t="str">
        <f t="shared" si="1"/>
        <v>{dwID=7913,nLevel=1,nScrutinyType=2,szNote="意涌系统通用抗百分比回血",col={255,204,0,},[1]={bBuffList=true,},[2]={},aCataclysmBuff={{szReminder="涌",nPriority=5,col="#FFCC00FF",colScreenHead="#FFCC00",nColAlpha=255,bAttention=true,bScreenHead=true,},},},</v>
      </c>
    </row>
    <row r="86" spans="3:44" s="36" customFormat="1" x14ac:dyDescent="0.15">
      <c r="C86" s="40">
        <v>7911</v>
      </c>
      <c r="D86" s="36">
        <v>1</v>
      </c>
      <c r="I86" s="36">
        <v>2</v>
      </c>
      <c r="K86" s="36" t="s">
        <v>1947</v>
      </c>
      <c r="L86" s="36" t="s">
        <v>1964</v>
      </c>
      <c r="R86" s="36">
        <v>1</v>
      </c>
      <c r="T86" s="36">
        <v>1</v>
      </c>
      <c r="AE86" s="36" t="s">
        <v>1974</v>
      </c>
      <c r="AF86" s="36">
        <v>4</v>
      </c>
      <c r="AG86" s="36" t="s">
        <v>1955</v>
      </c>
      <c r="AH86" s="36" t="s">
        <v>1956</v>
      </c>
      <c r="AI86" s="36">
        <v>255</v>
      </c>
      <c r="AJ86" s="36">
        <v>1</v>
      </c>
      <c r="AL86" s="36">
        <v>1</v>
      </c>
      <c r="AN86" s="36" t="str">
        <f t="shared" si="1"/>
        <v>{dwID=7911,nLevel=1,nScrutinyType=2,szNote="繁忙",col={255,50,255,},[1]={bScreenHead=true,bBuffList=true,},[2]={},aCataclysmBuff={{szReminder="忙",nPriority=4,col="#FF32FFFF",colScreenHead="#FF32FF",nColAlpha=255,bAttention=true,bScreenHead=true,},},},</v>
      </c>
    </row>
    <row r="87" spans="3:44" s="36" customFormat="1" x14ac:dyDescent="0.15">
      <c r="C87" s="40">
        <v>7756</v>
      </c>
      <c r="D87" s="36">
        <v>1</v>
      </c>
      <c r="I87" s="36">
        <v>1</v>
      </c>
      <c r="K87" s="36" t="s">
        <v>2038</v>
      </c>
      <c r="L87" s="36" t="s">
        <v>1781</v>
      </c>
      <c r="T87" s="36">
        <v>1</v>
      </c>
      <c r="AE87" s="36" t="s">
        <v>2039</v>
      </c>
      <c r="AF87" s="36">
        <v>3</v>
      </c>
      <c r="AG87" s="36" t="s">
        <v>2635</v>
      </c>
      <c r="AI87" s="36">
        <v>0</v>
      </c>
      <c r="AN87" s="36" t="str">
        <f t="shared" si="1"/>
        <v>{dwID=7756,nLevel=1,nScrutinyType=1,szNote="燃火20s",col={255,255,0,},[1]={bBuffList=true,},[2]={},aCataclysmBuff={{szReminder="火",nPriority=3,col="#00FFFF00",},},tCountdown={{nClass=1,nIcon=5399,nFrame=0,szName="增益·燃火·持续剩余",nTime=20,key="燃火",},{nClass=2,nIcon=13,szName="燃火",nTime=-1,key="燃火",},},},</v>
      </c>
      <c r="AO87" s="36" t="s">
        <v>2079</v>
      </c>
      <c r="AP87" s="36" t="s">
        <v>2080</v>
      </c>
    </row>
    <row r="88" spans="3:44" s="36" customFormat="1" x14ac:dyDescent="0.15">
      <c r="C88" s="40">
        <v>7497</v>
      </c>
      <c r="D88" s="36">
        <v>1</v>
      </c>
      <c r="G88" s="36" t="s">
        <v>2041</v>
      </c>
      <c r="I88" s="36">
        <v>2</v>
      </c>
      <c r="K88" s="36" t="s">
        <v>2040</v>
      </c>
      <c r="L88" s="36" t="s">
        <v>1781</v>
      </c>
      <c r="R88" s="36">
        <v>1</v>
      </c>
      <c r="T88" s="36">
        <v>1</v>
      </c>
      <c r="AE88" s="36" t="s">
        <v>2042</v>
      </c>
      <c r="AF88" s="36">
        <v>13</v>
      </c>
      <c r="AG88" s="36" t="s">
        <v>2043</v>
      </c>
      <c r="AH88" s="36" t="s">
        <v>2044</v>
      </c>
      <c r="AI88" s="36">
        <v>255</v>
      </c>
      <c r="AL88" s="36">
        <v>1</v>
      </c>
      <c r="AN88" s="36" t="str">
        <f t="shared" si="1"/>
        <v>{dwID=7497,nLevel=1,szName="眩晕·抛掷",nScrutinyType=2,szNote="御城·抛掷",col={255,255,0,},[1]={bScreenHead=true,bBuffList=true,},[2]={},aCataclysmBuff={{szReminder="晕",nPriority=13,col="#FFFF00FF",colScreenHead="#FFFF00",nColAlpha=255,bScreenHead=true,},},},</v>
      </c>
    </row>
    <row r="89" spans="3:44" s="36" customFormat="1" x14ac:dyDescent="0.15">
      <c r="C89" s="40">
        <v>7504</v>
      </c>
      <c r="D89" s="36">
        <v>1</v>
      </c>
      <c r="G89" s="36" t="s">
        <v>2167</v>
      </c>
      <c r="I89" s="36">
        <v>2</v>
      </c>
      <c r="K89" s="36" t="s">
        <v>2166</v>
      </c>
      <c r="L89" s="36" t="s">
        <v>1781</v>
      </c>
      <c r="R89" s="36">
        <v>1</v>
      </c>
      <c r="T89" s="36">
        <v>1</v>
      </c>
      <c r="AE89" s="36" t="s">
        <v>2042</v>
      </c>
      <c r="AF89" s="36">
        <v>13</v>
      </c>
      <c r="AG89" s="36" t="s">
        <v>2043</v>
      </c>
      <c r="AH89" s="36" t="s">
        <v>2044</v>
      </c>
      <c r="AI89" s="36">
        <v>255</v>
      </c>
      <c r="AL89" s="36">
        <v>1</v>
      </c>
      <c r="AN89" s="36" t="str">
        <f t="shared" si="1"/>
        <v>{dwID=7504,nLevel=1,szName="眩晕·御城",nScrutinyType=2,szNote="御城·精准",col={255,255,0,},[1]={bScreenHead=true,bBuffList=true,},[2]={},aCataclysmBuff={{szReminder="晕",nPriority=13,col="#FFFF00FF",colScreenHead="#FFFF00",nColAlpha=255,bScreenHead=true,},},},</v>
      </c>
    </row>
    <row r="90" spans="3:44" s="36" customFormat="1" x14ac:dyDescent="0.15">
      <c r="C90" s="40">
        <v>7503</v>
      </c>
      <c r="D90" s="36">
        <v>1</v>
      </c>
      <c r="G90" s="36" t="s">
        <v>2507</v>
      </c>
      <c r="I90" s="36">
        <v>1</v>
      </c>
      <c r="K90" s="36" t="s">
        <v>2508</v>
      </c>
      <c r="L90" s="36" t="s">
        <v>2361</v>
      </c>
      <c r="T90" s="36">
        <v>1</v>
      </c>
      <c r="V90" s="36">
        <v>1</v>
      </c>
      <c r="AF90" s="36">
        <v>37</v>
      </c>
      <c r="AG90" s="36" t="s">
        <v>2509</v>
      </c>
      <c r="AH90" s="36" t="s">
        <v>2364</v>
      </c>
      <c r="AI90" s="36">
        <v>170</v>
      </c>
      <c r="AN90" s="36" t="str">
        <f t="shared" si="1"/>
        <v>{dwID=7503,nLevel=1,szName="减速·御城",nScrutinyType=1,szNote="御城·断股",col={31,63,255,},[1]={bBuffList=true,bTeamPanel=true,},[2]={},aCataclysmBuff={{nPriority=37,col="#1F3FFFAA",colScreenHead="#1F3FFF",nColAlpha=170,},},},</v>
      </c>
    </row>
    <row r="91" spans="3:44" s="36" customFormat="1" x14ac:dyDescent="0.15">
      <c r="C91" s="40">
        <v>4038</v>
      </c>
      <c r="D91" s="36">
        <v>1</v>
      </c>
      <c r="I91" s="36">
        <v>1</v>
      </c>
      <c r="K91" s="36" t="s">
        <v>2365</v>
      </c>
      <c r="L91" s="36" t="s">
        <v>2361</v>
      </c>
      <c r="R91" s="36">
        <v>1</v>
      </c>
      <c r="T91" s="36">
        <v>1</v>
      </c>
      <c r="AE91" s="36" t="s">
        <v>2362</v>
      </c>
      <c r="AF91" s="36">
        <v>15</v>
      </c>
      <c r="AG91" s="36" t="s">
        <v>2363</v>
      </c>
      <c r="AH91" s="36" t="s">
        <v>2364</v>
      </c>
      <c r="AI91" s="36">
        <v>255</v>
      </c>
      <c r="AL91" s="36">
        <v>1</v>
      </c>
      <c r="AN91" s="36" t="str">
        <f t="shared" si="1"/>
        <v>{dwID=4038,nLevel=1,nScrutinyType=1,szNote="锁足·首领",col={31,63,255,},[1]={bScreenHead=true,bBuffList=true,},[2]={},aCataclysmBuff={{szReminder="锁",nPriority=15,col="#1F3FFFFF",colScreenHead="#1F3FFF",nColAlpha=255,bScreenHead=true,},},},</v>
      </c>
    </row>
    <row r="92" spans="3:44" s="36" customFormat="1" x14ac:dyDescent="0.15">
      <c r="C92" s="40">
        <v>29007</v>
      </c>
      <c r="D92" s="36">
        <v>1</v>
      </c>
      <c r="I92" s="36">
        <v>1</v>
      </c>
      <c r="K92" s="36" t="s">
        <v>2160</v>
      </c>
      <c r="L92" s="36" t="s">
        <v>2386</v>
      </c>
      <c r="AN92" s="36"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92" s="40" t="s">
        <v>2407</v>
      </c>
      <c r="AP92" s="40" t="s">
        <v>2406</v>
      </c>
      <c r="AQ92" s="38" t="s">
        <v>2573</v>
      </c>
      <c r="AR92" s="38" t="s">
        <v>2574</v>
      </c>
    </row>
    <row r="93" spans="3:44" s="36" customFormat="1" x14ac:dyDescent="0.15">
      <c r="C93" s="40">
        <v>11561</v>
      </c>
      <c r="D93" s="36">
        <v>1</v>
      </c>
      <c r="G93" s="36" t="s">
        <v>2584</v>
      </c>
      <c r="I93" s="36">
        <v>1</v>
      </c>
      <c r="K93" s="36" t="s">
        <v>2586</v>
      </c>
      <c r="L93" s="36" t="s">
        <v>2585</v>
      </c>
      <c r="AN93" s="36" t="str">
        <f t="shared" si="1"/>
        <v>{dwID=11561,nLevel=1,szName="据点内",nScrutinyType=1,szNote="判断是否在大旗附近",col={80,231,236,},[1]={},[2]={},tCountdown={{nClass=1,nIcon=1272,nFrame=2,szName="据点大旗·旗手提示",nTime=-1,key="据点大旗·旗手提示",},},},</v>
      </c>
      <c r="AO93" s="36" t="s">
        <v>2724</v>
      </c>
      <c r="AP93" s="39"/>
      <c r="AQ93" s="39"/>
      <c r="AR93" s="39"/>
    </row>
    <row r="94" spans="3:44" s="36" customFormat="1" x14ac:dyDescent="0.15">
      <c r="C94" s="40">
        <v>7723</v>
      </c>
      <c r="D94" s="36">
        <v>1</v>
      </c>
      <c r="I94" s="36">
        <v>2</v>
      </c>
      <c r="K94" s="36" t="s">
        <v>1797</v>
      </c>
      <c r="L94" s="36" t="s">
        <v>1667</v>
      </c>
      <c r="T94" s="36">
        <v>1</v>
      </c>
      <c r="V94" s="36">
        <v>1</v>
      </c>
      <c r="AF94" s="36">
        <v>1</v>
      </c>
      <c r="AG94" s="36" t="s">
        <v>2489</v>
      </c>
      <c r="AI94" s="36">
        <v>170</v>
      </c>
      <c r="AN94" s="36" t="str">
        <f t="shared" si="1"/>
        <v>{dwID=7723,nLevel=1,nScrutinyType=2,szNote="神机雷",col={255,255,255,},[1]={bBuffList=true,bTeamPanel=true,},[2]={},aCataclysmBuff={{nPriority=1,col="#FFFFFFAA",nColAlpha=170,},},},</v>
      </c>
    </row>
    <row r="95" spans="3:44" x14ac:dyDescent="0.15">
      <c r="AN95" s="36" t="str">
        <f t="shared" si="1"/>
        <v>},},}</v>
      </c>
    </row>
    <row r="96" spans="3:44" x14ac:dyDescent="0.15">
      <c r="AN96" s="36"/>
    </row>
  </sheetData>
  <autoFilter ref="A1:BY95" xr:uid="{ABA792D9-52CC-4EDA-9BC4-CFEC1886BBBF}"/>
  <phoneticPr fontId="18" type="noConversion"/>
  <pageMargins left="0.7" right="0.7" top="0.75" bottom="0.75" header="0.3" footer="0.3"/>
  <pageSetup paperSize="9" orientation="portrait" horizontalDpi="1200" verticalDpi="1200" r:id="rId1"/>
</worksheet>
</file>

<file path=xl/worksheets/sheet5.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C1459A-F5C8-4B40-AFA3-DE5005F31756}">
  <dimension ref="A1:Z5"/>
  <sheetViews>
    <sheetView topLeftCell="N1" workbookViewId="0">
      <selection activeCell="U21" sqref="U21"/>
    </sheetView>
  </sheetViews>
  <sheetFormatPr defaultRowHeight="13.5" x14ac:dyDescent="0.15"/>
  <cols>
    <col min="1" max="16384" width="9" style="36"/>
  </cols>
  <sheetData>
    <row r="1" spans="1:26" x14ac:dyDescent="0.15">
      <c r="A1" s="36" t="s">
        <v>0</v>
      </c>
      <c r="B1" s="36" t="s">
        <v>1420</v>
      </c>
      <c r="C1" s="36" t="s">
        <v>1</v>
      </c>
      <c r="D1" s="36" t="s">
        <v>2</v>
      </c>
      <c r="E1" s="36" t="s">
        <v>1511</v>
      </c>
      <c r="F1" s="36" t="s">
        <v>1514</v>
      </c>
      <c r="G1" s="36" t="s">
        <v>1618</v>
      </c>
      <c r="H1" s="36" t="s">
        <v>1619</v>
      </c>
      <c r="I1" s="36" t="s">
        <v>1515</v>
      </c>
      <c r="J1" s="36" t="s">
        <v>3</v>
      </c>
      <c r="K1" s="36" t="s">
        <v>1421</v>
      </c>
      <c r="L1" s="36" t="s">
        <v>2099</v>
      </c>
      <c r="M1" s="36" t="s">
        <v>2100</v>
      </c>
      <c r="N1" s="36" t="s">
        <v>2101</v>
      </c>
      <c r="O1" s="36" t="s">
        <v>2102</v>
      </c>
      <c r="P1" s="36" t="s">
        <v>2103</v>
      </c>
      <c r="Q1" s="36" t="s">
        <v>2104</v>
      </c>
      <c r="R1" s="36" t="s">
        <v>2105</v>
      </c>
      <c r="S1" s="36" t="s">
        <v>2106</v>
      </c>
      <c r="T1" s="36" t="s">
        <v>2107</v>
      </c>
      <c r="U1" s="36" t="s">
        <v>2108</v>
      </c>
      <c r="V1" s="36" t="s">
        <v>2109</v>
      </c>
      <c r="W1" s="36" t="s">
        <v>2110</v>
      </c>
      <c r="X1" s="36" t="s">
        <v>2114</v>
      </c>
      <c r="Y1" s="36" t="s">
        <v>1422</v>
      </c>
    </row>
    <row r="2" spans="1:26" x14ac:dyDescent="0.15">
      <c r="A2" s="36" t="s">
        <v>1716</v>
      </c>
      <c r="B2" s="36">
        <v>-19</v>
      </c>
      <c r="X2" s="36"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amp;"[8]={"&amp;IF(Q2&lt;&gt;"","tMark={"&amp;Q2&amp;"},","")&amp;IF(R2&lt;&gt;"","szVoice="""&amp;R2&amp;""",","")&amp;IF(S2&gt;0,"bTeamChannel=true,","")&amp;IF(T2&gt;0,"bWhisperChannel=true,","")&amp;IF(U2&gt;0,"bCenterAlarm=true,","")&amp;IF(V2&gt;0,"bScreenHead=true,","")&amp;IF(W2&gt;0,"bFullScreen=true,","")&amp;"},"&amp;IF(Y2&lt;&gt;"","tCountdown={"&amp;_xlfn.TEXTJOIN("",TRUE,Y2:AAC2)&amp;"},","")&amp;"},")))</f>
        <v>[-19]={</v>
      </c>
    </row>
    <row r="3" spans="1:26" x14ac:dyDescent="0.15">
      <c r="C3" s="36">
        <v>38096</v>
      </c>
      <c r="D3" s="36">
        <v>1</v>
      </c>
      <c r="F3" s="36" t="s">
        <v>2153</v>
      </c>
      <c r="H3" s="36">
        <v>2</v>
      </c>
      <c r="J3" s="36" t="s">
        <v>2135</v>
      </c>
      <c r="K3" s="36" t="s">
        <v>1748</v>
      </c>
      <c r="V3" s="36">
        <v>1</v>
      </c>
      <c r="X3" s="36" t="str">
        <f t="shared" ref="X3:X5" si="0">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amp;"[8]={"&amp;IF(Q3&lt;&gt;"","tMark={"&amp;Q3&amp;"},","")&amp;IF(R3&lt;&gt;"","szVoice="""&amp;R3&amp;""",","")&amp;IF(S3&gt;0,"bTeamChannel=true,","")&amp;IF(T3&gt;0,"bWhisperChannel=true,","")&amp;IF(U3&gt;0,"bCenterAlarm=true,","")&amp;IF(V3&gt;0,"bScreenHead=true,","")&amp;IF(W3&gt;0,"bFullScreen=true,","")&amp;"},"&amp;IF(Y3&lt;&gt;"","tCountdown={"&amp;_xlfn.TEXTJOIN("",TRUE,Y3:AAC3)&amp;"},","")&amp;"},")))</f>
        <v>{dwID=38096,nLevel=1,szName="进战移动马",nScrutinyType=2,szNote="战斗移动骑乘",col={255,255,100,},[9]={},[8]={bScreenHead=true,},},</v>
      </c>
    </row>
    <row r="4" spans="1:26" x14ac:dyDescent="0.15">
      <c r="C4" s="36">
        <v>7242</v>
      </c>
      <c r="D4" s="36">
        <v>1</v>
      </c>
      <c r="J4" s="36" t="s">
        <v>2393</v>
      </c>
      <c r="V4" s="36">
        <v>1</v>
      </c>
      <c r="X4" s="36" t="str">
        <f t="shared" si="0"/>
        <v>{dwID=7242,nLevel=1,szNote="屹立不倒",[9]={},[8]={bScreenHead=true,},tCountdown={{nClass=8,nIcon=1537,nFrame=0,nTime="1,屹立不倒·{$sender}·正在释放;9.5,屹立不倒·{$sender}·50减伤;32.5,屹立不倒·{$sender}·释放剩余;40.5,屹立不倒·{$sender}·释放延迟",szName="屹立不倒",nRefresh=0,key="屹立不倒",},{nClass=9,nIcon=1537,nFrame=0,nTime="9,屹立不倒·{$sender}·50减伤;31.5,屹立不倒·{$sender}·释放剩余;40,屹立不倒·{$sender}·释放延迟",szName="屹立不倒",nRefresh=1,key="屹立不倒",},},},</v>
      </c>
      <c r="Y4" s="36" t="s">
        <v>2730</v>
      </c>
      <c r="Z4" s="36" t="s">
        <v>2731</v>
      </c>
    </row>
    <row r="5" spans="1:26" x14ac:dyDescent="0.15">
      <c r="X5" s="36" t="str">
        <f t="shared" si="0"/>
        <v>},},}</v>
      </c>
    </row>
  </sheetData>
  <phoneticPr fontId="18" type="noConversion"/>
  <pageMargins left="0.75" right="0.75" top="1" bottom="1" header="0.5" footer="0.5"/>
  <pageSetup paperSize="9" orientation="portrait" horizontalDpi="1200" verticalDpi="1200" r:id="rId1"/>
</worksheet>
</file>

<file path=xl/worksheets/sheet6.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23522-3835-4C9C-9EE8-73D49C8C2672}">
  <dimension ref="A1:X414"/>
  <sheetViews>
    <sheetView topLeftCell="S1" workbookViewId="0">
      <pane ySplit="1" topLeftCell="A126" activePane="bottomLeft" state="frozen"/>
      <selection pane="bottomLeft" activeCell="W137" sqref="W137"/>
    </sheetView>
  </sheetViews>
  <sheetFormatPr defaultRowHeight="13.5" x14ac:dyDescent="0.15"/>
  <cols>
    <col min="1" max="1" width="11" customWidth="1"/>
    <col min="3" max="3" width="10.75" customWidth="1"/>
    <col min="5" max="5" width="6.5" customWidth="1"/>
    <col min="6" max="6" width="8.5" customWidth="1"/>
    <col min="7" max="7" width="8" customWidth="1"/>
    <col min="8" max="8" width="6.75" customWidth="1"/>
    <col min="9" max="9" width="22.625" customWidth="1"/>
    <col min="10" max="10" width="12.375" customWidth="1"/>
    <col min="11" max="14" width="9" customWidth="1"/>
    <col min="15" max="15" width="14.5" customWidth="1"/>
    <col min="16" max="16" width="16.5" customWidth="1"/>
    <col min="17" max="19" width="9" customWidth="1"/>
    <col min="20" max="20" width="14.5" customWidth="1"/>
    <col min="23" max="23" width="113.5" customWidth="1"/>
    <col min="24" max="24" width="45.5" customWidth="1"/>
  </cols>
  <sheetData>
    <row r="1" spans="1:23" x14ac:dyDescent="0.15">
      <c r="A1" t="s">
        <v>0</v>
      </c>
      <c r="B1" t="s">
        <v>1420</v>
      </c>
      <c r="C1" t="s">
        <v>1</v>
      </c>
      <c r="D1" t="s">
        <v>1511</v>
      </c>
      <c r="E1" t="s">
        <v>1512</v>
      </c>
      <c r="F1" t="s">
        <v>1513</v>
      </c>
      <c r="G1" t="s">
        <v>1514</v>
      </c>
      <c r="H1" t="s">
        <v>1515</v>
      </c>
      <c r="I1" t="s">
        <v>3</v>
      </c>
      <c r="J1" t="s">
        <v>1421</v>
      </c>
      <c r="K1" t="s">
        <v>1516</v>
      </c>
      <c r="L1" t="s">
        <v>1517</v>
      </c>
      <c r="M1" t="s">
        <v>1518</v>
      </c>
      <c r="N1" t="s">
        <v>1519</v>
      </c>
      <c r="O1" t="s">
        <v>1520</v>
      </c>
      <c r="P1" t="s">
        <v>1521</v>
      </c>
      <c r="Q1" t="s">
        <v>1522</v>
      </c>
      <c r="R1" t="s">
        <v>1523</v>
      </c>
      <c r="S1" t="s">
        <v>1524</v>
      </c>
      <c r="T1" t="s">
        <v>1525</v>
      </c>
      <c r="U1" t="s">
        <v>1526</v>
      </c>
      <c r="V1" t="s">
        <v>1928</v>
      </c>
      <c r="W1" t="s">
        <v>1422</v>
      </c>
    </row>
    <row r="2" spans="1:23" s="36" customFormat="1" x14ac:dyDescent="0.15">
      <c r="A2" s="36" t="s">
        <v>1923</v>
      </c>
      <c r="B2" s="36">
        <v>-2</v>
      </c>
      <c r="V2" s="36" t="str">
        <f t="shared" ref="V2:V65" si="0">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amp;"[4]={"&amp;IF(Q2&lt;&gt;"","szVoice="""&amp;Q2&amp;""",","")&amp;IF(R2&gt;0,"bTeamChannel=true,","")&amp;IF(S2&gt;0,"bWhisperChannel=true,","")&amp;IF(T2&gt;0,"bCenterAlarm=true,","")&amp;"},"&amp;IF(U2&lt;&gt;"","aFocus={"&amp;U2&amp;"},","")&amp;IF(W2&lt;&gt;"","tCountdown={"&amp;_xlfn.TEXTJOIN("",TRUE,W2:ZZ2)&amp;"},","")&amp;"},")))</f>
        <v>[-2]={</v>
      </c>
    </row>
    <row r="3" spans="1:23" s="36" customFormat="1" x14ac:dyDescent="0.15">
      <c r="C3" s="36">
        <v>123871</v>
      </c>
      <c r="D3" s="36">
        <v>47</v>
      </c>
      <c r="I3" s="36" t="s">
        <v>1704</v>
      </c>
      <c r="U3" s="36" t="s">
        <v>1924</v>
      </c>
      <c r="V3" s="36" t="str">
        <f t="shared" si="0"/>
        <v>{dwID=123871,nFrame=47,szNote="小珍",[3]={},[4]={},aFocus={{dwMapID=-1,szDisplay="分线·传送",nMaxDistance=6,tRelation={bAll=false,bEnemy=false,bAlly=true,},tLife={bEnable=false,szOperator="&gt;",nValue=0,},},},},</v>
      </c>
    </row>
    <row r="4" spans="1:23" s="36" customFormat="1" x14ac:dyDescent="0.15">
      <c r="C4" s="36">
        <v>123867</v>
      </c>
      <c r="D4" s="36">
        <v>47</v>
      </c>
      <c r="I4" s="36" t="s">
        <v>1705</v>
      </c>
      <c r="U4" s="36" t="s">
        <v>1924</v>
      </c>
      <c r="V4" s="36" t="str">
        <f t="shared" si="0"/>
        <v>{dwID=123867,nFrame=47,szNote="小曾",[3]={},[4]={},aFocus={{dwMapID=-1,szDisplay="分线·传送",nMaxDistance=6,tRelation={bAll=false,bEnemy=false,bAlly=true,},tLife={bEnable=false,szOperator="&gt;",nValue=0,},},},},</v>
      </c>
    </row>
    <row r="5" spans="1:23" x14ac:dyDescent="0.15">
      <c r="A5" t="s">
        <v>2685</v>
      </c>
      <c r="B5">
        <v>-20</v>
      </c>
      <c r="V5" s="36" t="str">
        <f t="shared" si="0"/>
        <v>},[-20]={</v>
      </c>
    </row>
    <row r="6" spans="1:23" x14ac:dyDescent="0.15">
      <c r="C6" s="36">
        <v>30201</v>
      </c>
      <c r="D6">
        <v>52</v>
      </c>
      <c r="I6" t="s">
        <v>2146</v>
      </c>
      <c r="U6" t="s">
        <v>2683</v>
      </c>
      <c r="V6" s="36" t="str">
        <f t="shared" si="0"/>
        <v>{dwID=30201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7" spans="1:23" x14ac:dyDescent="0.15">
      <c r="C7" s="36">
        <v>30202</v>
      </c>
      <c r="D7">
        <v>52</v>
      </c>
      <c r="I7" s="36" t="s">
        <v>2146</v>
      </c>
      <c r="U7" s="36" t="s">
        <v>2682</v>
      </c>
      <c r="V7" s="36" t="str">
        <f t="shared" si="0"/>
        <v>{dwID=30202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8" spans="1:23" x14ac:dyDescent="0.15">
      <c r="C8" s="36">
        <v>30211</v>
      </c>
      <c r="D8">
        <v>52</v>
      </c>
      <c r="I8" s="36" t="s">
        <v>2146</v>
      </c>
      <c r="U8" s="36" t="s">
        <v>2682</v>
      </c>
      <c r="V8" s="36" t="str">
        <f t="shared" si="0"/>
        <v>{dwID=30211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9" spans="1:23" x14ac:dyDescent="0.15">
      <c r="C9" s="36">
        <v>30212</v>
      </c>
      <c r="D9">
        <v>52</v>
      </c>
      <c r="I9" s="36" t="s">
        <v>2146</v>
      </c>
      <c r="U9" s="36" t="s">
        <v>2682</v>
      </c>
      <c r="V9" s="36" t="str">
        <f t="shared" si="0"/>
        <v>{dwID=30212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0" spans="1:23" x14ac:dyDescent="0.15">
      <c r="C10" s="36">
        <v>30241</v>
      </c>
      <c r="D10">
        <v>52</v>
      </c>
      <c r="I10" s="36" t="s">
        <v>2146</v>
      </c>
      <c r="U10" s="36" t="s">
        <v>2682</v>
      </c>
      <c r="V10" s="36" t="str">
        <f t="shared" si="0"/>
        <v>{dwID=30241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1" spans="1:23" x14ac:dyDescent="0.15">
      <c r="C11" s="36">
        <v>30251</v>
      </c>
      <c r="D11">
        <v>52</v>
      </c>
      <c r="I11" s="36" t="s">
        <v>2146</v>
      </c>
      <c r="U11" s="36" t="s">
        <v>2682</v>
      </c>
      <c r="V11" s="36" t="str">
        <f t="shared" si="0"/>
        <v>{dwID=30251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2" spans="1:23" x14ac:dyDescent="0.15">
      <c r="C12" s="36">
        <v>30101</v>
      </c>
      <c r="D12">
        <v>52</v>
      </c>
      <c r="I12" s="36" t="s">
        <v>2148</v>
      </c>
      <c r="U12" s="36" t="s">
        <v>2682</v>
      </c>
      <c r="V12" s="36" t="str">
        <f t="shared" si="0"/>
        <v>{dwID=30101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3" spans="1:23" x14ac:dyDescent="0.15">
      <c r="C13" s="36">
        <v>30102</v>
      </c>
      <c r="D13">
        <v>52</v>
      </c>
      <c r="I13" s="36" t="s">
        <v>2148</v>
      </c>
      <c r="U13" s="36" t="s">
        <v>2682</v>
      </c>
      <c r="V13" s="36" t="str">
        <f t="shared" si="0"/>
        <v>{dwID=30102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4" spans="1:23" x14ac:dyDescent="0.15">
      <c r="C14" s="36">
        <v>30111</v>
      </c>
      <c r="D14">
        <v>52</v>
      </c>
      <c r="I14" s="36" t="s">
        <v>2148</v>
      </c>
      <c r="U14" s="36" t="s">
        <v>2682</v>
      </c>
      <c r="V14" s="36" t="str">
        <f t="shared" si="0"/>
        <v>{dwID=30111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5" spans="1:23" x14ac:dyDescent="0.15">
      <c r="C15" s="36">
        <v>30112</v>
      </c>
      <c r="D15">
        <v>52</v>
      </c>
      <c r="I15" s="36" t="s">
        <v>2148</v>
      </c>
      <c r="U15" s="36" t="s">
        <v>2682</v>
      </c>
      <c r="V15" s="36" t="str">
        <f t="shared" si="0"/>
        <v>{dwID=30112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6" spans="1:23" x14ac:dyDescent="0.15">
      <c r="C16" s="36">
        <v>30122</v>
      </c>
      <c r="D16">
        <v>52</v>
      </c>
      <c r="I16" s="36" t="s">
        <v>2148</v>
      </c>
      <c r="U16" s="36" t="s">
        <v>2682</v>
      </c>
      <c r="V16" s="36" t="str">
        <f t="shared" si="0"/>
        <v>{dwID=30122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7" spans="3:22" x14ac:dyDescent="0.15">
      <c r="C17" s="36">
        <v>30141</v>
      </c>
      <c r="D17">
        <v>52</v>
      </c>
      <c r="I17" s="36" t="s">
        <v>2148</v>
      </c>
      <c r="U17" s="36" t="s">
        <v>2682</v>
      </c>
      <c r="V17" s="36" t="str">
        <f t="shared" si="0"/>
        <v>{dwID=30141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 spans="3:22" x14ac:dyDescent="0.15">
      <c r="C18" s="36">
        <v>30151</v>
      </c>
      <c r="D18">
        <v>52</v>
      </c>
      <c r="I18" s="36" t="s">
        <v>2148</v>
      </c>
      <c r="U18" s="36" t="s">
        <v>2682</v>
      </c>
      <c r="V18" s="36" t="str">
        <f t="shared" si="0"/>
        <v>{dwID=30151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 spans="3:22" x14ac:dyDescent="0.15">
      <c r="C19" s="36">
        <v>30113</v>
      </c>
      <c r="D19">
        <v>52</v>
      </c>
      <c r="I19" s="36" t="s">
        <v>2148</v>
      </c>
      <c r="U19" s="36" t="s">
        <v>2682</v>
      </c>
      <c r="V19" s="36" t="str">
        <f t="shared" si="0"/>
        <v>{dwID=30113,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0" spans="3:22" x14ac:dyDescent="0.15">
      <c r="C20" s="36">
        <v>29001</v>
      </c>
      <c r="D20">
        <v>52</v>
      </c>
      <c r="I20" t="s">
        <v>2140</v>
      </c>
      <c r="U20" s="36" t="s">
        <v>2684</v>
      </c>
      <c r="V20" s="36" t="str">
        <f t="shared" si="0"/>
        <v>{dwID=29001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 spans="3:22" x14ac:dyDescent="0.15">
      <c r="C21" s="36">
        <v>29002</v>
      </c>
      <c r="D21">
        <v>52</v>
      </c>
      <c r="I21" s="36" t="s">
        <v>2140</v>
      </c>
      <c r="U21" s="36" t="s">
        <v>2684</v>
      </c>
      <c r="V21" s="36" t="str">
        <f t="shared" si="0"/>
        <v>{dwID=29002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 spans="3:22" x14ac:dyDescent="0.15">
      <c r="C22" s="36">
        <v>29003</v>
      </c>
      <c r="D22">
        <v>52</v>
      </c>
      <c r="I22" s="36" t="s">
        <v>2140</v>
      </c>
      <c r="U22" s="36" t="s">
        <v>2684</v>
      </c>
      <c r="V22" s="36" t="str">
        <f t="shared" si="0"/>
        <v>{dwID=29003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 spans="3:22" x14ac:dyDescent="0.15">
      <c r="C23" s="36">
        <v>29004</v>
      </c>
      <c r="D23">
        <v>52</v>
      </c>
      <c r="I23" s="36" t="s">
        <v>2140</v>
      </c>
      <c r="U23" s="36" t="s">
        <v>2684</v>
      </c>
      <c r="V23" s="36" t="str">
        <f t="shared" si="0"/>
        <v>{dwID=29004,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 spans="3:22" x14ac:dyDescent="0.15">
      <c r="C24" s="36">
        <v>29005</v>
      </c>
      <c r="D24">
        <v>52</v>
      </c>
      <c r="I24" s="36" t="s">
        <v>2140</v>
      </c>
      <c r="U24" s="36" t="s">
        <v>2684</v>
      </c>
      <c r="V24" s="36" t="str">
        <f t="shared" si="0"/>
        <v>{dwID=29005,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 spans="3:22" x14ac:dyDescent="0.15">
      <c r="C25" s="36">
        <v>29006</v>
      </c>
      <c r="D25">
        <v>52</v>
      </c>
      <c r="I25" s="36" t="s">
        <v>2140</v>
      </c>
      <c r="U25" s="36" t="s">
        <v>2684</v>
      </c>
      <c r="V25" s="36" t="str">
        <f t="shared" si="0"/>
        <v>{dwID=29006,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 spans="3:22" x14ac:dyDescent="0.15">
      <c r="C26" s="36">
        <v>29007</v>
      </c>
      <c r="D26">
        <v>52</v>
      </c>
      <c r="I26" s="36" t="s">
        <v>2140</v>
      </c>
      <c r="U26" s="36" t="s">
        <v>2684</v>
      </c>
      <c r="V26" s="36" t="str">
        <f t="shared" si="0"/>
        <v>{dwID=29007,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 spans="3:22" x14ac:dyDescent="0.15">
      <c r="C27" s="36">
        <v>29008</v>
      </c>
      <c r="D27">
        <v>52</v>
      </c>
      <c r="I27" s="36" t="s">
        <v>2140</v>
      </c>
      <c r="U27" s="36" t="s">
        <v>2684</v>
      </c>
      <c r="V27" s="36" t="str">
        <f t="shared" si="0"/>
        <v>{dwID=29008,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 spans="3:22" x14ac:dyDescent="0.15">
      <c r="C28" s="36">
        <v>29009</v>
      </c>
      <c r="D28">
        <v>52</v>
      </c>
      <c r="I28" s="36" t="s">
        <v>2140</v>
      </c>
      <c r="U28" s="36" t="s">
        <v>2684</v>
      </c>
      <c r="V28" s="36" t="str">
        <f t="shared" si="0"/>
        <v>{dwID=29009,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 spans="3:22" x14ac:dyDescent="0.15">
      <c r="C29" s="36">
        <v>29010</v>
      </c>
      <c r="D29">
        <v>52</v>
      </c>
      <c r="I29" s="36" t="s">
        <v>2140</v>
      </c>
      <c r="U29" s="36" t="s">
        <v>2684</v>
      </c>
      <c r="V29" s="36" t="str">
        <f t="shared" si="0"/>
        <v>{dwID=29010,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 spans="3:22" x14ac:dyDescent="0.15">
      <c r="C30" s="36">
        <v>29011</v>
      </c>
      <c r="D30">
        <v>52</v>
      </c>
      <c r="I30" s="36" t="s">
        <v>2140</v>
      </c>
      <c r="U30" s="36" t="s">
        <v>2684</v>
      </c>
      <c r="V30" s="36" t="str">
        <f t="shared" si="0"/>
        <v>{dwID=29011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 spans="3:22" x14ac:dyDescent="0.15">
      <c r="C31" s="36">
        <v>29012</v>
      </c>
      <c r="D31">
        <v>52</v>
      </c>
      <c r="I31" s="36" t="s">
        <v>2140</v>
      </c>
      <c r="U31" s="36" t="s">
        <v>2684</v>
      </c>
      <c r="V31" s="36" t="str">
        <f t="shared" si="0"/>
        <v>{dwID=29012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 spans="3:22" x14ac:dyDescent="0.15">
      <c r="C32" s="36">
        <v>29013</v>
      </c>
      <c r="D32">
        <v>52</v>
      </c>
      <c r="I32" s="36" t="s">
        <v>2140</v>
      </c>
      <c r="U32" s="36" t="s">
        <v>2684</v>
      </c>
      <c r="V32" s="36" t="str">
        <f t="shared" si="0"/>
        <v>{dwID=29013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 spans="3:23" x14ac:dyDescent="0.15">
      <c r="C33" s="36">
        <v>29101</v>
      </c>
      <c r="D33">
        <v>52</v>
      </c>
      <c r="I33" s="36" t="s">
        <v>2140</v>
      </c>
      <c r="U33" s="36" t="s">
        <v>2684</v>
      </c>
      <c r="V33" s="36" t="str">
        <f t="shared" si="0"/>
        <v>{dwID=29101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 spans="3:23" x14ac:dyDescent="0.15">
      <c r="C34" s="36">
        <v>29102</v>
      </c>
      <c r="D34">
        <v>52</v>
      </c>
      <c r="I34" s="36" t="s">
        <v>2140</v>
      </c>
      <c r="U34" s="36" t="s">
        <v>2684</v>
      </c>
      <c r="V34" s="36" t="str">
        <f t="shared" si="0"/>
        <v>{dwID=29102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 spans="3:23" x14ac:dyDescent="0.15">
      <c r="C35" s="36">
        <v>29103</v>
      </c>
      <c r="D35">
        <v>52</v>
      </c>
      <c r="I35" s="36" t="s">
        <v>2140</v>
      </c>
      <c r="U35" s="36" t="s">
        <v>2684</v>
      </c>
      <c r="V35" s="36" t="str">
        <f t="shared" si="0"/>
        <v>{dwID=29103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 spans="3:23" x14ac:dyDescent="0.15">
      <c r="C36" s="36">
        <v>29201</v>
      </c>
      <c r="D36">
        <v>52</v>
      </c>
      <c r="I36" s="36" t="s">
        <v>2140</v>
      </c>
      <c r="U36" s="36" t="s">
        <v>2684</v>
      </c>
      <c r="V36" s="36" t="str">
        <f t="shared" si="0"/>
        <v>{dwID=29201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7" spans="3:23" s="36" customFormat="1" x14ac:dyDescent="0.15">
      <c r="C37" s="36">
        <v>30005</v>
      </c>
      <c r="D37" s="36">
        <v>52</v>
      </c>
      <c r="I37" s="36" t="s">
        <v>1986</v>
      </c>
      <c r="U37" s="36" t="s">
        <v>2384</v>
      </c>
      <c r="V37" s="36" t="str">
        <f t="shared" si="0"/>
        <v>{dwID=30005,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 s="36" t="s">
        <v>1992</v>
      </c>
    </row>
    <row r="38" spans="3:23" s="36" customFormat="1" x14ac:dyDescent="0.15">
      <c r="C38" s="36">
        <v>30004</v>
      </c>
      <c r="D38" s="36">
        <v>52</v>
      </c>
      <c r="I38" s="36" t="s">
        <v>1986</v>
      </c>
      <c r="U38" s="36" t="s">
        <v>2384</v>
      </c>
      <c r="V38" s="36" t="str">
        <f t="shared" si="0"/>
        <v>{dwID=30004,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 s="36" t="s">
        <v>1992</v>
      </c>
    </row>
    <row r="39" spans="3:23" s="36" customFormat="1" x14ac:dyDescent="0.15">
      <c r="C39" s="36">
        <v>30003</v>
      </c>
      <c r="D39" s="36">
        <v>52</v>
      </c>
      <c r="I39" s="36" t="s">
        <v>1986</v>
      </c>
      <c r="U39" s="36" t="s">
        <v>2384</v>
      </c>
      <c r="V39" s="36" t="str">
        <f t="shared" si="0"/>
        <v>{dwID=30003,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9" s="36" t="s">
        <v>1992</v>
      </c>
    </row>
    <row r="40" spans="3:23" s="36" customFormat="1" x14ac:dyDescent="0.15">
      <c r="C40" s="36">
        <v>30002</v>
      </c>
      <c r="D40" s="36">
        <v>52</v>
      </c>
      <c r="I40" s="36" t="s">
        <v>1986</v>
      </c>
      <c r="U40" s="36" t="s">
        <v>2384</v>
      </c>
      <c r="V40" s="36" t="str">
        <f t="shared" si="0"/>
        <v>{dwID=30002,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0" s="36" t="s">
        <v>1992</v>
      </c>
    </row>
    <row r="41" spans="3:23" s="36" customFormat="1" x14ac:dyDescent="0.15">
      <c r="C41" s="36">
        <v>30001</v>
      </c>
      <c r="D41" s="36">
        <v>52</v>
      </c>
      <c r="I41" s="36" t="s">
        <v>1986</v>
      </c>
      <c r="U41" s="36" t="s">
        <v>2384</v>
      </c>
      <c r="V41" s="36" t="str">
        <f t="shared" si="0"/>
        <v>{dwID=30001,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1" s="36" t="s">
        <v>1992</v>
      </c>
    </row>
    <row r="42" spans="3:23" s="36" customFormat="1" x14ac:dyDescent="0.15">
      <c r="C42" s="36">
        <v>66809</v>
      </c>
      <c r="D42" s="36">
        <v>57</v>
      </c>
      <c r="G42" s="36" t="s">
        <v>2068</v>
      </c>
      <c r="I42" s="36" t="s">
        <v>2069</v>
      </c>
      <c r="O42" s="36">
        <v>1</v>
      </c>
      <c r="U42" s="36" t="s">
        <v>2116</v>
      </c>
      <c r="V42" s="36" t="str">
        <f t="shared" si="0"/>
        <v>{dwID=66809,nFrame=57,szName="火圈",szNote="减疗火圈",[3]={bCenterAlarm=true,},[4]={},aFocus={{dwMapID=-1,szDisplay="火圈·减疗",nMaxDistance=8,tRelation={bAll=true,bEnemy=true,bAlly=true,},tLife={bEnable=false,szOperator="&gt;",nValue=0,},},},},</v>
      </c>
    </row>
    <row r="43" spans="3:23" s="36" customFormat="1" x14ac:dyDescent="0.15">
      <c r="C43" s="36">
        <v>36816</v>
      </c>
      <c r="D43" s="36">
        <v>52</v>
      </c>
      <c r="G43" s="36" t="s">
        <v>2078</v>
      </c>
      <c r="I43" s="36" t="s">
        <v>2071</v>
      </c>
      <c r="J43" s="51" t="s">
        <v>2641</v>
      </c>
      <c r="O43" s="36">
        <v>1</v>
      </c>
      <c r="P43" s="36">
        <v>1</v>
      </c>
      <c r="U43" s="36" t="s">
        <v>2061</v>
      </c>
      <c r="V43" s="36" t="str">
        <f t="shared" si="0"/>
        <v>{dwID=36816,nFrame=52,szName="恶人·摧城车",szNote="恶人·摧城车·底座",col={255,120,31,},[3]={bCenterAlarm=true,bScreenHead=true,},[4]={},aFocus={{dwMapID=-1,szDisplay="摧城车·恶人",nMaxDistance=60,tRelation={bAll=true,bEnemy=true,bAlly=true,},tLife={bEnable=false,szOperator="&gt;",nValue=0,},},},tCountdown={{nClass=12,nFrame=1,nIcon=15838,nTime=10,szName="恶人·摧城车·已摧毁",},},},</v>
      </c>
      <c r="W43" s="36" t="s">
        <v>2063</v>
      </c>
    </row>
    <row r="44" spans="3:23" s="36" customFormat="1" x14ac:dyDescent="0.15">
      <c r="C44" s="36">
        <v>36823</v>
      </c>
      <c r="D44" s="36">
        <v>52</v>
      </c>
      <c r="G44" s="36" t="s">
        <v>2077</v>
      </c>
      <c r="I44" s="36" t="s">
        <v>2070</v>
      </c>
      <c r="J44" s="50" t="s">
        <v>2640</v>
      </c>
      <c r="O44" s="36">
        <v>1</v>
      </c>
      <c r="P44" s="36">
        <v>1</v>
      </c>
      <c r="U44" s="36" t="s">
        <v>2060</v>
      </c>
      <c r="V44" s="36" t="str">
        <f t="shared" si="0"/>
        <v>{dwID=36823,nFrame=52,szName="浩气·摧城车",szNote="浩气·摧城车·底座",col={31,230,255,},[3]={bCenterAlarm=true,bScreenHead=true,},[4]={},aFocus={{dwMapID=-1,szDisplay="摧城车·浩气",nMaxDistance=60,tRelation={bAll=true,bEnemy=true,bAlly=true,},tLife={bEnable=false,szOperator="&gt;",nValue=0,},},},tCountdown={{nClass=12,nFrame=1,nIcon=15839,nTime=10,szName="浩气·摧城车·已摧毁",},},},</v>
      </c>
      <c r="W44" s="36" t="s">
        <v>2064</v>
      </c>
    </row>
    <row r="45" spans="3:23" s="36" customFormat="1" x14ac:dyDescent="0.15">
      <c r="C45" s="36">
        <v>36825</v>
      </c>
      <c r="D45" s="36">
        <v>52</v>
      </c>
      <c r="G45" s="36" t="s">
        <v>2027</v>
      </c>
      <c r="I45" s="36" t="s">
        <v>2028</v>
      </c>
      <c r="J45" s="36" t="s">
        <v>1964</v>
      </c>
      <c r="P45" s="36">
        <v>1</v>
      </c>
      <c r="U45" s="36" t="s">
        <v>2029</v>
      </c>
      <c r="V45" s="36" t="str">
        <f t="shared" si="0"/>
        <v>{dwID=36825,nFrame=52,szName="摧城车·组装中",szNote="摧城车·组装中",col={255,50,255,},[3]={bScreenHead=true,},[4]={},aFocus={{dwMapID=-1,szDisplay="摧城车·敌方·组装中",nMaxDistance=60,tRelation={bAll=false,bEnemy=true,bAlly=false,},tLife={bEnable=false,szOperator="&gt;",nValue=0,},},{dwMapID=-1,szDisplay="摧城车·组装中",nMaxDistance=60,tRelation={bAll=false,bEnemy=false,bAlly=true,},tLife={bEnable=false,szOperator="&gt;",nValue=0,},},},},</v>
      </c>
    </row>
    <row r="46" spans="3:23" s="36" customFormat="1" x14ac:dyDescent="0.15">
      <c r="C46" s="36">
        <v>36717</v>
      </c>
      <c r="D46" s="36">
        <v>52</v>
      </c>
      <c r="I46" s="36" t="s">
        <v>2030</v>
      </c>
      <c r="J46" s="36" t="s">
        <v>1964</v>
      </c>
      <c r="P46" s="36">
        <v>1</v>
      </c>
      <c r="U46" s="36" t="s">
        <v>2031</v>
      </c>
      <c r="V46" s="36" t="str">
        <f t="shared" si="0"/>
        <v>{dwID=36717,nFrame=52,szNote="摧城车",col={255,50,255,},[3]={bScreenHead=true,},[4]={},aFocus={{dwMapID=-1,szDisplay="摧城车·敌方",nMaxDistance=15,tRelation={bAll=false,bEnemy=true,bAlly=false,},tLife={bEnable=false,szOperator="&gt;",nValue=0,},},},tCountdown={{nClass=12,nFrame=1,nIcon=134,nTime=10,szName="模型·摧城车·已摧毁",},},},</v>
      </c>
      <c r="W46" s="36" t="s">
        <v>2087</v>
      </c>
    </row>
    <row r="47" spans="3:23" s="36" customFormat="1" x14ac:dyDescent="0.15">
      <c r="C47" s="36">
        <v>36467</v>
      </c>
      <c r="D47" s="36">
        <v>52</v>
      </c>
      <c r="G47" s="36" t="s">
        <v>2074</v>
      </c>
      <c r="I47" s="36" t="s">
        <v>2072</v>
      </c>
      <c r="J47" s="51" t="s">
        <v>2641</v>
      </c>
      <c r="P47" s="36">
        <v>1</v>
      </c>
      <c r="V47" s="36" t="str">
        <f t="shared" si="0"/>
        <v>{dwID=36467,nFrame=52,szName="恶人·神机车",szNote="恶人·神机车·底座",col={255,120,31,},[3]={bScreenHead=true,},[4]={},},</v>
      </c>
    </row>
    <row r="48" spans="3:23" s="36" customFormat="1" x14ac:dyDescent="0.15">
      <c r="C48" s="36">
        <v>27617</v>
      </c>
      <c r="D48" s="36">
        <v>52</v>
      </c>
      <c r="G48" s="36" t="s">
        <v>2067</v>
      </c>
      <c r="I48" s="36" t="s">
        <v>2073</v>
      </c>
      <c r="J48" s="50" t="s">
        <v>2640</v>
      </c>
      <c r="P48" s="36">
        <v>1</v>
      </c>
      <c r="V48" s="36" t="str">
        <f t="shared" si="0"/>
        <v>{dwID=27617,nFrame=52,szName="浩气·神机车",szNote="浩气·神机车·底座",col={31,230,255,},[3]={bScreenHead=true,},[4]={},},</v>
      </c>
    </row>
    <row r="49" spans="1:23" s="36" customFormat="1" x14ac:dyDescent="0.15">
      <c r="C49" s="36">
        <v>36562</v>
      </c>
      <c r="D49" s="36">
        <v>52</v>
      </c>
      <c r="G49" s="36" t="s">
        <v>2075</v>
      </c>
      <c r="I49" s="36" t="s">
        <v>2065</v>
      </c>
      <c r="J49" s="51" t="s">
        <v>2641</v>
      </c>
      <c r="P49" s="36">
        <v>1</v>
      </c>
      <c r="V49" s="36" t="str">
        <f t="shared" si="0"/>
        <v>{dwID=36562,nFrame=52,szName="恶人·组装神机车",szNote="恶人·神机车·组装中",col={255,120,31,},[3]={bScreenHead=true,},[4]={},},</v>
      </c>
    </row>
    <row r="50" spans="1:23" s="36" customFormat="1" x14ac:dyDescent="0.15">
      <c r="C50" s="36">
        <v>36561</v>
      </c>
      <c r="D50" s="36">
        <v>52</v>
      </c>
      <c r="G50" s="36" t="s">
        <v>2076</v>
      </c>
      <c r="I50" s="36" t="s">
        <v>2066</v>
      </c>
      <c r="J50" s="50" t="s">
        <v>2640</v>
      </c>
      <c r="P50" s="36">
        <v>1</v>
      </c>
      <c r="V50" s="36" t="str">
        <f t="shared" si="0"/>
        <v>{dwID=36561,nFrame=52,szName="浩气·组装神机车",szNote="浩气·神机车·组装中",col={31,230,255,},[3]={bScreenHead=true,},[4]={},},</v>
      </c>
    </row>
    <row r="51" spans="1:23" s="36" customFormat="1" x14ac:dyDescent="0.15">
      <c r="C51" s="36">
        <v>36396</v>
      </c>
      <c r="D51" s="36">
        <v>52</v>
      </c>
      <c r="G51" s="36" t="s">
        <v>2037</v>
      </c>
      <c r="I51" s="36" t="s">
        <v>2090</v>
      </c>
      <c r="O51" s="36">
        <v>1</v>
      </c>
      <c r="P51" s="36">
        <v>1</v>
      </c>
      <c r="U51" s="36" t="s">
        <v>2036</v>
      </c>
      <c r="V51" s="36" t="str">
        <f t="shared" si="0"/>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51" s="36" t="s">
        <v>2026</v>
      </c>
    </row>
    <row r="52" spans="1:23" s="36" customFormat="1" x14ac:dyDescent="0.15">
      <c r="C52" s="36">
        <v>36005</v>
      </c>
      <c r="D52" s="36">
        <v>52</v>
      </c>
      <c r="I52" s="36" t="s">
        <v>2088</v>
      </c>
      <c r="P52" s="36">
        <v>1</v>
      </c>
      <c r="V52" s="36" t="str">
        <f t="shared" si="0"/>
        <v>{dwID=36005,nFrame=52,szNote="神机台·没人状态",[3]={bScreenHead=true,},[4]={},},</v>
      </c>
    </row>
    <row r="53" spans="1:23" s="36" customFormat="1" x14ac:dyDescent="0.15">
      <c r="C53" s="36">
        <v>100133</v>
      </c>
      <c r="D53" s="36">
        <v>57</v>
      </c>
      <c r="I53" s="36" t="s">
        <v>2688</v>
      </c>
      <c r="P53" s="36">
        <v>1</v>
      </c>
      <c r="U53" s="36" t="s">
        <v>2689</v>
      </c>
      <c r="V53" s="36" t="str">
        <f t="shared" si="0"/>
        <v>{dwID=100133,nFrame=57,szNote="狼牙先锋首领",[3]={bScreenHead=true,},[4]={},aFocus={{dwMapID=-1,nMaxDistance=90,tRelation={bAll=false,bEnemy=true,bAlly=false,},tLife={bEnable=false,szOperator="&gt;",nValue=0,},},},},</v>
      </c>
    </row>
    <row r="54" spans="1:23" s="36" customFormat="1" x14ac:dyDescent="0.15">
      <c r="C54" s="36">
        <v>30310</v>
      </c>
      <c r="D54" s="36">
        <v>47</v>
      </c>
      <c r="I54" s="36" t="s">
        <v>1709</v>
      </c>
      <c r="P54" s="36">
        <v>1</v>
      </c>
      <c r="U54" s="36" t="s">
        <v>1770</v>
      </c>
      <c r="V54" s="36" t="str">
        <f t="shared" si="0"/>
        <v>{dwID=30310,nFrame=47,szNote="恶人谷大将",[3]={bScreenHead=true,},[4]={},aFocus={{dwMapID=-1,nMaxDistance=90,tRelation={bAll=false,bEnemy=true,bAlly=false,},tLife={bEnable=false,szOperator="&gt;",nValue=0,},},{dwMapID=-1,nMaxDistance=60,tRelation={bAll=false,bEnemy=fals,bAlly=true,},tLife={bEnable=true,szOperator="&lt;",nValue=100,},},},tCountdown={{nClass=12,nFrame=3,nIcon=18830,nTime=10,szName="恶人谷大将·退场",nRefresh=2,key="恶人谷大将",},},},</v>
      </c>
      <c r="W54" s="36" t="s">
        <v>2499</v>
      </c>
    </row>
    <row r="55" spans="1:23" s="36" customFormat="1" x14ac:dyDescent="0.15">
      <c r="C55" s="36">
        <v>30322</v>
      </c>
      <c r="D55" s="36">
        <v>47</v>
      </c>
      <c r="I55" s="36" t="s">
        <v>1710</v>
      </c>
      <c r="P55" s="36">
        <v>1</v>
      </c>
      <c r="U55" s="36" t="s">
        <v>1770</v>
      </c>
      <c r="V55" s="36" t="str">
        <f t="shared" si="0"/>
        <v>{dwID=30322,nFrame=47,szNote="浩气盟大将",[3]={bScreenHead=true,},[4]={},aFocus={{dwMapID=-1,nMaxDistance=90,tRelation={bAll=false,bEnemy=true,bAlly=false,},tLife={bEnable=false,szOperator="&gt;",nValue=0,},},{dwMapID=-1,nMaxDistance=60,tRelation={bAll=false,bEnemy=fals,bAlly=true,},tLife={bEnable=true,szOperator="&lt;",nValue=100,},},},tCountdown={{nClass=12,nFrame=7,nIcon=18829,nTime=10,szName="浩气盟大将·退场",nRefresh=2,key="浩气盟大将",},},},</v>
      </c>
      <c r="W55" s="36" t="s">
        <v>2498</v>
      </c>
    </row>
    <row r="56" spans="1:23" s="36" customFormat="1" x14ac:dyDescent="0.15">
      <c r="C56" s="36">
        <v>30597</v>
      </c>
      <c r="D56" s="36">
        <v>47</v>
      </c>
      <c r="I56" s="36" t="s">
        <v>1747</v>
      </c>
      <c r="J56" s="51" t="s">
        <v>2641</v>
      </c>
      <c r="P56" s="36">
        <v>1</v>
      </c>
      <c r="V56" s="36" t="str">
        <f t="shared" si="0"/>
        <v>{dwID=30597,nFrame=47,szNote="恶人谷货郎",col={255,120,31,},[3]={bScreenHead=true,},[4]={},},</v>
      </c>
    </row>
    <row r="57" spans="1:23" s="36" customFormat="1" x14ac:dyDescent="0.15">
      <c r="C57" s="36">
        <v>30596</v>
      </c>
      <c r="D57" s="36">
        <v>47</v>
      </c>
      <c r="I57" s="36" t="s">
        <v>1746</v>
      </c>
      <c r="J57" s="50" t="s">
        <v>2640</v>
      </c>
      <c r="P57" s="36">
        <v>1</v>
      </c>
      <c r="V57" s="36" t="str">
        <f t="shared" si="0"/>
        <v>{dwID=30596,nFrame=47,szNote="浩气盟货郎",col={31,230,255,},[3]={bScreenHead=true,},[4]={},},</v>
      </c>
    </row>
    <row r="58" spans="1:23" s="36" customFormat="1" x14ac:dyDescent="0.15">
      <c r="C58" s="36">
        <v>30537</v>
      </c>
      <c r="D58" s="36">
        <v>47</v>
      </c>
      <c r="I58" s="36" t="s">
        <v>1749</v>
      </c>
      <c r="J58" s="36" t="s">
        <v>1751</v>
      </c>
      <c r="P58" s="36">
        <v>1</v>
      </c>
      <c r="U58" s="36" t="s">
        <v>1750</v>
      </c>
      <c r="V58" s="36" t="str">
        <f t="shared" si="0"/>
        <v>{dwID=30537,nFrame=47,szNote="据点伙计",col={100,255,100,},[3]={bScreenHead=true,},[4]={},aFocus={{dwMapID=-1,nMaxDistance=10,tRelation={bAll=false,bEnemy=false,bAlly=true,},tLife={bEnable=false,szOperator="&gt;",nValue=0,},},},},</v>
      </c>
    </row>
    <row r="59" spans="1:23" s="36" customFormat="1" x14ac:dyDescent="0.15">
      <c r="C59" s="36">
        <v>36388</v>
      </c>
      <c r="D59" s="36">
        <v>47</v>
      </c>
      <c r="I59" s="36" t="s">
        <v>2186</v>
      </c>
      <c r="P59" s="36">
        <v>1</v>
      </c>
      <c r="V59" s="36" t="str">
        <f t="shared" si="0"/>
        <v>{dwID=36388,nFrame=47,szNote="浩气·据点总管",[3]={bScreenHead=true,},[4]={},},</v>
      </c>
    </row>
    <row r="60" spans="1:23" s="36" customFormat="1" x14ac:dyDescent="0.15">
      <c r="C60" s="36">
        <v>36387</v>
      </c>
      <c r="D60" s="36">
        <v>47</v>
      </c>
      <c r="I60" s="36" t="s">
        <v>2185</v>
      </c>
      <c r="P60" s="36">
        <v>1</v>
      </c>
      <c r="V60" s="36" t="str">
        <f t="shared" si="0"/>
        <v>{dwID=36387,nFrame=47,szNote="恶人·据点总管",[3]={bScreenHead=true,},[4]={},},</v>
      </c>
    </row>
    <row r="61" spans="1:23" s="36" customFormat="1" x14ac:dyDescent="0.15">
      <c r="A61" s="36" t="s">
        <v>1716</v>
      </c>
      <c r="B61" s="36">
        <v>-19</v>
      </c>
      <c r="V61" s="36" t="str">
        <f t="shared" si="0"/>
        <v>},[-19]={</v>
      </c>
    </row>
    <row r="62" spans="1:23" s="36" customFormat="1" x14ac:dyDescent="0.15">
      <c r="C62" s="36">
        <v>46194</v>
      </c>
      <c r="D62" s="36">
        <v>52</v>
      </c>
      <c r="G62" s="36" t="s">
        <v>2078</v>
      </c>
      <c r="I62" s="36" t="s">
        <v>2033</v>
      </c>
      <c r="J62" s="51" t="s">
        <v>2641</v>
      </c>
      <c r="O62" s="36">
        <v>1</v>
      </c>
      <c r="P62" s="36">
        <v>1</v>
      </c>
      <c r="U62" s="36" t="s">
        <v>2061</v>
      </c>
      <c r="V62" s="36" t="str">
        <f t="shared" si="0"/>
        <v>{dwID=46194,nFrame=52,szName="恶人·摧城车",szNote="摧城车底座-恶人",col={255,120,31,},[3]={bCenterAlarm=true,bScreenHead=true,},[4]={},aFocus={{dwMapID=-1,szDisplay="摧城车·恶人",nMaxDistance=60,tRelation={bAll=true,bEnemy=true,bAlly=true,},tLife={bEnable=false,szOperator="&gt;",nValue=0,},},},tCountdown={{nClass=12,nFrame=1,nIcon=15838,nTime=10,szName="恶人·摧城车·已摧毁",},},},</v>
      </c>
      <c r="W62" s="36" t="s">
        <v>2063</v>
      </c>
    </row>
    <row r="63" spans="1:23" s="36" customFormat="1" x14ac:dyDescent="0.15">
      <c r="C63" s="36">
        <v>46195</v>
      </c>
      <c r="D63" s="36">
        <v>52</v>
      </c>
      <c r="G63" s="36" t="s">
        <v>2077</v>
      </c>
      <c r="I63" s="36" t="s">
        <v>2032</v>
      </c>
      <c r="J63" s="50" t="s">
        <v>2640</v>
      </c>
      <c r="O63" s="36">
        <v>1</v>
      </c>
      <c r="P63" s="36">
        <v>1</v>
      </c>
      <c r="U63" s="36" t="s">
        <v>2060</v>
      </c>
      <c r="V63" s="36" t="str">
        <f t="shared" si="0"/>
        <v>{dwID=46195,nFrame=52,szName="浩气·摧城车",szNote="摧城车底座-浩气",col={31,230,255,},[3]={bCenterAlarm=true,bScreenHead=true,},[4]={},aFocus={{dwMapID=-1,szDisplay="摧城车·浩气",nMaxDistance=60,tRelation={bAll=true,bEnemy=true,bAlly=true,},tLife={bEnable=false,szOperator="&gt;",nValue=0,},},},tCountdown={{nClass=12,nFrame=1,nIcon=15839,nTime=10,szName="浩气·摧城车·已摧毁",},},},</v>
      </c>
      <c r="W63" s="36" t="s">
        <v>2064</v>
      </c>
    </row>
    <row r="64" spans="1:23" s="36" customFormat="1" x14ac:dyDescent="0.15">
      <c r="C64" s="36">
        <v>46193</v>
      </c>
      <c r="D64" s="36">
        <v>52</v>
      </c>
      <c r="I64" s="36" t="s">
        <v>2030</v>
      </c>
      <c r="J64" s="36" t="s">
        <v>1964</v>
      </c>
      <c r="P64" s="36">
        <v>1</v>
      </c>
      <c r="U64" s="36" t="s">
        <v>2062</v>
      </c>
      <c r="V64" s="36" t="str">
        <f t="shared" si="0"/>
        <v>{dwID=46193,nFrame=52,szNote="摧城车",col={255,50,255,},[3]={bScreenHead=true,},[4]={},aFocus={{dwMapID=-1,szDisplay="摧城车·敌方",nMaxDistance=30,tRelation={bAll=false,bEnemy=true,bAlly=false,},tLife={bEnable=false,szOperator="&gt;",nValue=0,},},{dwMapID=-1,szDisplay="摧城车·友方",nMaxDistance=15,tRelation={bAll=false,bEnemy=false,bAlly=true,},tLife={bEnable=false,szOperator="&gt;",nValue=0,},},},tCountdown={{nClass=12,nFrame=1,nIcon=134,nTime=10,szName="模型·摧城车·已摧毁",},},},</v>
      </c>
      <c r="W64" s="36" t="s">
        <v>2087</v>
      </c>
    </row>
    <row r="65" spans="1:23" s="36" customFormat="1" x14ac:dyDescent="0.15">
      <c r="C65" s="36">
        <v>45171</v>
      </c>
      <c r="D65" s="36">
        <v>52</v>
      </c>
      <c r="G65" s="36" t="s">
        <v>2037</v>
      </c>
      <c r="I65" s="36" t="s">
        <v>2089</v>
      </c>
      <c r="O65" s="36">
        <v>1</v>
      </c>
      <c r="P65" s="36">
        <v>1</v>
      </c>
      <c r="U65" s="36" t="s">
        <v>2036</v>
      </c>
      <c r="V65" s="36" t="str">
        <f t="shared" si="0"/>
        <v>{dwID=45171,nFrame=52,szName="神机台·有人",szNote="神机台·启动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65" s="36" t="s">
        <v>2026</v>
      </c>
    </row>
    <row r="66" spans="1:23" s="36" customFormat="1" x14ac:dyDescent="0.15">
      <c r="C66" s="36">
        <v>45170</v>
      </c>
      <c r="D66" s="36">
        <v>52</v>
      </c>
      <c r="I66" s="36" t="s">
        <v>2642</v>
      </c>
      <c r="P66" s="36">
        <v>1</v>
      </c>
      <c r="V66" s="36" t="str">
        <f t="shared" ref="V66:V129" si="1">IF(ISBLANK(B66)=FALSE,IF(ISBLANK(B65),"},["&amp;B66&amp;"]={","["&amp;B66&amp;"]={"),IF(AND(ISBLANK(B66),ISBLANK(D66),ISBLANK(C66),OR(ISBLANK(B65)=FALSE,ISBLANK(D65)=FALSE,ISBLANK(C65)=FALSE)),"},},}",IF(ISBLANK(C66),"","{dwID="&amp;C66&amp;","&amp;"nFrame="&amp;D66&amp;","&amp;IF(E66&gt;0,"nCount="&amp;E66&amp;",","")&amp;IF(F66&gt;0,"bAllLeave=true,","")&amp;IF(G66&lt;&gt;"","szName="""&amp;G66&amp;""",","")&amp;IF(H66&lt;&gt;"","tKungFu={"&amp;H66&amp;"},","")&amp;IF(I66&lt;&gt;"","szNote="""&amp;I66&amp;""",","")&amp;IF(J66&lt;&gt;"","col={"&amp;J66&amp;"},","")&amp;"[3]={"&amp;IF(K66&lt;&gt;"","tMark={"&amp;K66&amp;"},","")&amp;IF(L66&lt;&gt;"","szVoice="""&amp;L66&amp;""",","")&amp;IF(M66&gt;0,"bTeamChannel=true,","")&amp;IF(N66&gt;0,"bWhisperChannel=true,","")&amp;IF(O66&gt;0,"bCenterAlarm=true,","")&amp;IF(P66&gt;0,"bScreenHead=true,","")&amp;"},"&amp;"[4]={"&amp;IF(Q66&lt;&gt;"","szVoice="""&amp;Q66&amp;""",","")&amp;IF(R66&gt;0,"bTeamChannel=true,","")&amp;IF(S66&gt;0,"bWhisperChannel=true,","")&amp;IF(T66&gt;0,"bCenterAlarm=true,","")&amp;"},"&amp;IF(U66&lt;&gt;"","aFocus={"&amp;U66&amp;"},","")&amp;IF(W66&lt;&gt;"","tCountdown={"&amp;_xlfn.TEXTJOIN("",TRUE,W66:ZZ66)&amp;"},","")&amp;"},")))</f>
        <v>{dwID=45170,nFrame=52,szNote="神机台·无人状态",[3]={bScreenHead=true,},[4]={},},</v>
      </c>
    </row>
    <row r="67" spans="1:23" x14ac:dyDescent="0.15">
      <c r="C67">
        <v>46057</v>
      </c>
      <c r="D67">
        <v>47</v>
      </c>
      <c r="I67" t="s">
        <v>1600</v>
      </c>
      <c r="J67" s="51" t="s">
        <v>2641</v>
      </c>
      <c r="P67">
        <v>1</v>
      </c>
      <c r="U67" t="s">
        <v>1530</v>
      </c>
      <c r="V67" s="36" t="str">
        <f t="shared" si="1"/>
        <v>{dwID=46057,nFrame=47,szNote="恶人谷伍长",col={255,120,31,},[3]={bScreenHead=true,},[4]={},aFocus={{dwMapID=-1,nMaxDistance=10,tRelation={bAll=false,bEnemy=false,bAlly=true,},tLife={bEnable=false,szOperator="&gt;",nValue=0,},},},},</v>
      </c>
    </row>
    <row r="68" spans="1:23" x14ac:dyDescent="0.15">
      <c r="C68">
        <v>46058</v>
      </c>
      <c r="D68">
        <v>47</v>
      </c>
      <c r="I68" t="s">
        <v>1601</v>
      </c>
      <c r="J68" s="50" t="s">
        <v>2640</v>
      </c>
      <c r="P68">
        <v>1</v>
      </c>
      <c r="U68" t="s">
        <v>1530</v>
      </c>
      <c r="V68" s="36" t="str">
        <f t="shared" si="1"/>
        <v>{dwID=46058,nFrame=47,szNote="浩气盟伍长",col={31,230,255,},[3]={bScreenHead=true,},[4]={},aFocus={{dwMapID=-1,nMaxDistance=10,tRelation={bAll=false,bEnemy=false,bAlly=true,},tLife={bEnable=false,szOperator="&gt;",nValue=0,},},},},</v>
      </c>
    </row>
    <row r="69" spans="1:23" x14ac:dyDescent="0.15">
      <c r="C69">
        <v>46268</v>
      </c>
      <c r="D69">
        <v>47</v>
      </c>
      <c r="I69" t="s">
        <v>1602</v>
      </c>
      <c r="J69" t="s">
        <v>1964</v>
      </c>
      <c r="K69" s="36" t="s">
        <v>1985</v>
      </c>
      <c r="P69">
        <v>1</v>
      </c>
      <c r="U69" t="s">
        <v>2402</v>
      </c>
      <c r="V69" s="36" t="str">
        <f t="shared" si="1"/>
        <v>{dwID=46268,nFrame=47,szNote="物资车",col={255,50,255,},[3]={tMark={true,false,false,false,false,false,false,false,false,false,},bScreenHead=true,},[4]={},aFocus={{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v>
      </c>
    </row>
    <row r="70" spans="1:23" x14ac:dyDescent="0.15">
      <c r="A70" t="s">
        <v>8</v>
      </c>
      <c r="B70">
        <v>25</v>
      </c>
      <c r="V70" s="36" t="str">
        <f t="shared" si="1"/>
        <v>},[25]={</v>
      </c>
    </row>
    <row r="71" spans="1:23" s="36" customFormat="1" x14ac:dyDescent="0.15">
      <c r="C71" s="36">
        <v>43578</v>
      </c>
      <c r="D71" s="36">
        <v>52</v>
      </c>
      <c r="I71" s="36" t="s">
        <v>1905</v>
      </c>
      <c r="O71" s="36">
        <v>1</v>
      </c>
      <c r="P71" s="36">
        <v>1</v>
      </c>
      <c r="U71" s="36" t="s">
        <v>1906</v>
      </c>
      <c r="V71" s="36" t="str">
        <f t="shared" si="1"/>
        <v>{dwID=43578,nFrame=52,szNote="恶人战书",[3]={bCenterAlarm=true,bScreenHead=true,},[4]={},aFocus={{dwMapID=-1,szDisplay="恶人战书·黑白路",nMaxDistance=60,tRelation={bAll=true,bEnemy=false,bAlly=false,},tLife={bEnable=false,szOperator="&gt;",nValue=0,},},},},</v>
      </c>
    </row>
    <row r="72" spans="1:23" s="36" customFormat="1" x14ac:dyDescent="0.15">
      <c r="C72" s="36">
        <v>36388</v>
      </c>
      <c r="D72" s="36">
        <v>47</v>
      </c>
      <c r="I72" s="36" t="s">
        <v>2186</v>
      </c>
      <c r="P72" s="36">
        <v>1</v>
      </c>
      <c r="V72" s="36" t="str">
        <f t="shared" si="1"/>
        <v>{dwID=36388,nFrame=47,szNote="浩气·据点总管",[3]={bScreenHead=true,},[4]={},},</v>
      </c>
    </row>
    <row r="73" spans="1:23" s="36" customFormat="1" x14ac:dyDescent="0.15">
      <c r="C73" s="36">
        <v>5724</v>
      </c>
      <c r="D73" s="36">
        <v>47</v>
      </c>
      <c r="I73" s="36" t="s">
        <v>1714</v>
      </c>
      <c r="J73" s="36" t="s">
        <v>1715</v>
      </c>
      <c r="P73" s="36">
        <v>1</v>
      </c>
      <c r="U73" s="36" t="s">
        <v>1720</v>
      </c>
      <c r="V73" s="36" t="str">
        <f t="shared" si="1"/>
        <v>{dwID=5724,nFrame=47,szNote="铁铸刚",col={31,255,255,},[3]={bScreenHead=true,},[4]={},aFocus={{dwMapID=-1,nMaxDistance=60,tRelation={bAll=false,bEnemy=true,bAlly=false,},tLife={bEnable=true,szOperator="&gt;",nValue=98,},}},tCountdown={{nClass=12,nFrame=4,nIcon=13,nTime="180,铁铸刚·刷新剩余;182,铁铸刚·正在刷新",szName="铁铸刚·刷新剩余",nRefresh=0,key="铁铸刚",},},},</v>
      </c>
      <c r="W73" s="36" t="s">
        <v>2130</v>
      </c>
    </row>
    <row r="74" spans="1:23" x14ac:dyDescent="0.15">
      <c r="C74">
        <v>7607</v>
      </c>
      <c r="D74">
        <v>47</v>
      </c>
      <c r="I74" t="s">
        <v>1599</v>
      </c>
      <c r="J74" s="50" t="s">
        <v>2640</v>
      </c>
      <c r="P74">
        <v>1</v>
      </c>
      <c r="U74" t="s">
        <v>1543</v>
      </c>
      <c r="V74" s="36" t="str">
        <f t="shared" si="1"/>
        <v>{dwID=7607,nFrame=47,szNote="王洵",col={31,230,255,},[3]={bScreenHead=true,},[4]={},aFocus={{dwMapID=-1,szDisplay="王洵·阵营前置",nMaxDistance=10,tRelation={bAll=false,bEnemy=false,bAlly=true,},tLife={bEnable=false,szOperator="&gt;",nValue=0,},},},},</v>
      </c>
    </row>
    <row r="75" spans="1:23" x14ac:dyDescent="0.15">
      <c r="C75">
        <v>7606</v>
      </c>
      <c r="D75">
        <v>47</v>
      </c>
      <c r="I75" t="s">
        <v>1599</v>
      </c>
      <c r="J75" s="50" t="s">
        <v>2640</v>
      </c>
      <c r="P75">
        <v>1</v>
      </c>
      <c r="U75" t="s">
        <v>1543</v>
      </c>
      <c r="V75" s="36" t="str">
        <f t="shared" si="1"/>
        <v>{dwID=7606,nFrame=47,szNote="王洵",col={31,230,255,},[3]={bScreenHead=true,},[4]={},aFocus={{dwMapID=-1,szDisplay="王洵·阵营前置",nMaxDistance=10,tRelation={bAll=false,bEnemy=false,bAlly=true,},tLife={bEnable=false,szOperator="&gt;",nValue=0,},},},},</v>
      </c>
    </row>
    <row r="76" spans="1:23" x14ac:dyDescent="0.15">
      <c r="C76">
        <v>105586</v>
      </c>
      <c r="D76">
        <v>47</v>
      </c>
      <c r="I76" s="36" t="s">
        <v>2616</v>
      </c>
      <c r="J76" s="36" t="s">
        <v>1667</v>
      </c>
      <c r="K76" s="36"/>
      <c r="P76">
        <v>1</v>
      </c>
      <c r="U76" s="36" t="s">
        <v>2403</v>
      </c>
      <c r="V76" s="3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7" spans="1:23" x14ac:dyDescent="0.15">
      <c r="C77">
        <v>7779</v>
      </c>
      <c r="D77">
        <v>47</v>
      </c>
      <c r="I77" s="36" t="s">
        <v>2019</v>
      </c>
      <c r="J77" s="36" t="s">
        <v>1667</v>
      </c>
      <c r="K77" s="36"/>
      <c r="P77">
        <v>1</v>
      </c>
      <c r="U77" s="36" t="s">
        <v>2403</v>
      </c>
      <c r="V77" s="36" t="str">
        <f t="shared" si="1"/>
        <v>{dwID=7779,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8" spans="1:23" x14ac:dyDescent="0.15">
      <c r="C78">
        <v>16900</v>
      </c>
      <c r="D78">
        <v>47</v>
      </c>
      <c r="I78" s="36" t="s">
        <v>2019</v>
      </c>
      <c r="J78" s="36" t="s">
        <v>1667</v>
      </c>
      <c r="K78" s="36"/>
      <c r="P78">
        <v>1</v>
      </c>
      <c r="U78" s="36" t="s">
        <v>2403</v>
      </c>
      <c r="V78" s="36"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9" spans="1:23" x14ac:dyDescent="0.15">
      <c r="C79">
        <v>105828</v>
      </c>
      <c r="D79">
        <v>47</v>
      </c>
      <c r="I79" t="s">
        <v>2012</v>
      </c>
      <c r="J79" s="36" t="s">
        <v>1667</v>
      </c>
      <c r="K79" s="36"/>
      <c r="P79">
        <v>1</v>
      </c>
      <c r="U79" s="36" t="s">
        <v>2403</v>
      </c>
      <c r="V79" s="36"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0" spans="1:23" x14ac:dyDescent="0.15">
      <c r="C80">
        <v>105789</v>
      </c>
      <c r="D80">
        <v>47</v>
      </c>
      <c r="I80" s="36" t="s">
        <v>2615</v>
      </c>
      <c r="J80" s="36" t="s">
        <v>1667</v>
      </c>
      <c r="K80" s="36"/>
      <c r="P80">
        <v>1</v>
      </c>
      <c r="U80" s="36" t="s">
        <v>2403</v>
      </c>
      <c r="V80" s="36"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1" spans="3:22" x14ac:dyDescent="0.15">
      <c r="C81">
        <v>7777</v>
      </c>
      <c r="D81">
        <v>47</v>
      </c>
      <c r="I81" t="s">
        <v>2018</v>
      </c>
      <c r="J81" s="36" t="s">
        <v>1667</v>
      </c>
      <c r="K81" s="36"/>
      <c r="P81">
        <v>1</v>
      </c>
      <c r="U81" s="36" t="s">
        <v>2403</v>
      </c>
      <c r="V81" s="36"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2" spans="3:22" x14ac:dyDescent="0.15">
      <c r="C82">
        <v>16899</v>
      </c>
      <c r="D82">
        <v>47</v>
      </c>
      <c r="I82" t="s">
        <v>2018</v>
      </c>
      <c r="J82" s="36" t="s">
        <v>1667</v>
      </c>
      <c r="K82" s="36"/>
      <c r="P82">
        <v>1</v>
      </c>
      <c r="U82" s="36" t="s">
        <v>2403</v>
      </c>
      <c r="V82" s="36"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3" spans="3:22" x14ac:dyDescent="0.15">
      <c r="C83">
        <v>16905</v>
      </c>
      <c r="D83">
        <v>47</v>
      </c>
      <c r="I83" s="36" t="s">
        <v>2022</v>
      </c>
      <c r="J83" s="36" t="s">
        <v>1667</v>
      </c>
      <c r="K83" s="36"/>
      <c r="P83">
        <v>1</v>
      </c>
      <c r="U83" s="36" t="s">
        <v>2403</v>
      </c>
      <c r="V83" s="36" t="str">
        <f t="shared" si="1"/>
        <v>{dwID=16905,nFrame=47,szNote="主场·恶人·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4" spans="3:22" x14ac:dyDescent="0.15">
      <c r="C84">
        <v>7783</v>
      </c>
      <c r="D84">
        <v>47</v>
      </c>
      <c r="I84" s="36" t="s">
        <v>2020</v>
      </c>
      <c r="J84" s="36" t="s">
        <v>1667</v>
      </c>
      <c r="K84" s="36"/>
      <c r="P84">
        <v>1</v>
      </c>
      <c r="U84" s="36" t="s">
        <v>2403</v>
      </c>
      <c r="V84" s="36"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5" spans="3:22" x14ac:dyDescent="0.15">
      <c r="C85">
        <v>16902</v>
      </c>
      <c r="D85">
        <v>47</v>
      </c>
      <c r="I85" s="36" t="s">
        <v>2020</v>
      </c>
      <c r="J85" s="36" t="s">
        <v>1667</v>
      </c>
      <c r="K85" s="36"/>
      <c r="P85">
        <v>1</v>
      </c>
      <c r="U85" s="36" t="s">
        <v>2403</v>
      </c>
      <c r="V85" s="36"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6" spans="3:22" x14ac:dyDescent="0.15">
      <c r="C86">
        <v>7766</v>
      </c>
      <c r="D86">
        <v>47</v>
      </c>
      <c r="I86" s="36" t="s">
        <v>2013</v>
      </c>
      <c r="J86" s="36" t="s">
        <v>1667</v>
      </c>
      <c r="K86" s="36"/>
      <c r="P86">
        <v>1</v>
      </c>
      <c r="U86" s="36" t="s">
        <v>2403</v>
      </c>
      <c r="V86" s="36"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7" spans="3:22" x14ac:dyDescent="0.15">
      <c r="C87">
        <v>16893</v>
      </c>
      <c r="D87">
        <v>47</v>
      </c>
      <c r="I87" s="36" t="s">
        <v>2013</v>
      </c>
      <c r="J87" s="36" t="s">
        <v>1667</v>
      </c>
      <c r="K87" s="36"/>
      <c r="P87">
        <v>1</v>
      </c>
      <c r="U87" s="36" t="s">
        <v>2403</v>
      </c>
      <c r="V87" s="3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8" spans="3:22" x14ac:dyDescent="0.15">
      <c r="C88">
        <v>105585</v>
      </c>
      <c r="D88">
        <v>47</v>
      </c>
      <c r="I88" t="s">
        <v>2603</v>
      </c>
      <c r="J88" s="36" t="s">
        <v>1667</v>
      </c>
      <c r="K88" s="36"/>
      <c r="P88">
        <v>1</v>
      </c>
      <c r="U88" s="36" t="s">
        <v>2403</v>
      </c>
      <c r="V88" s="36" t="str">
        <f t="shared" si="1"/>
        <v>{dwID=105585,nFrame=47,szNote="主场·浩气·小七（穆玄英）·兰亭书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9" spans="3:22" x14ac:dyDescent="0.15">
      <c r="C89">
        <v>7776</v>
      </c>
      <c r="D89">
        <v>47</v>
      </c>
      <c r="I89" t="s">
        <v>2016</v>
      </c>
      <c r="J89" s="36" t="s">
        <v>1667</v>
      </c>
      <c r="K89" s="36"/>
      <c r="P89">
        <v>1</v>
      </c>
      <c r="U89" s="36" t="s">
        <v>2403</v>
      </c>
      <c r="V89" s="36" t="str">
        <f t="shared" si="1"/>
        <v>{dwID=7776,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0" spans="3:22" x14ac:dyDescent="0.15">
      <c r="C90">
        <v>106924</v>
      </c>
      <c r="D90">
        <v>47</v>
      </c>
      <c r="I90" s="36" t="s">
        <v>2021</v>
      </c>
      <c r="J90" s="36" t="s">
        <v>1667</v>
      </c>
      <c r="K90" s="36"/>
      <c r="P90">
        <v>1</v>
      </c>
      <c r="U90" s="36" t="s">
        <v>2403</v>
      </c>
      <c r="V90" s="36"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1" spans="3:22" x14ac:dyDescent="0.15">
      <c r="C91">
        <v>7770</v>
      </c>
      <c r="D91">
        <v>47</v>
      </c>
      <c r="I91" s="36" t="s">
        <v>2015</v>
      </c>
      <c r="J91" s="36" t="s">
        <v>1667</v>
      </c>
      <c r="K91" s="36"/>
      <c r="P91">
        <v>1</v>
      </c>
      <c r="U91" s="36" t="s">
        <v>2403</v>
      </c>
      <c r="V91" s="36" t="str">
        <f t="shared" si="1"/>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2" spans="3:22" x14ac:dyDescent="0.15">
      <c r="C92">
        <v>16896</v>
      </c>
      <c r="D92">
        <v>47</v>
      </c>
      <c r="I92" s="36" t="s">
        <v>2015</v>
      </c>
      <c r="J92" s="36" t="s">
        <v>1667</v>
      </c>
      <c r="K92" s="36"/>
      <c r="P92">
        <v>1</v>
      </c>
      <c r="U92" s="36" t="s">
        <v>2403</v>
      </c>
      <c r="V92" s="36" t="str">
        <f t="shared" si="1"/>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3" spans="3:22" x14ac:dyDescent="0.15">
      <c r="C93">
        <v>7767</v>
      </c>
      <c r="D93">
        <v>47</v>
      </c>
      <c r="I93" s="36" t="s">
        <v>2014</v>
      </c>
      <c r="J93" s="36" t="s">
        <v>1667</v>
      </c>
      <c r="P93">
        <v>1</v>
      </c>
      <c r="U93" s="36" t="s">
        <v>2403</v>
      </c>
      <c r="V93" s="36" t="str">
        <f t="shared" si="1"/>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4" spans="3:22" x14ac:dyDescent="0.15">
      <c r="C94">
        <v>16894</v>
      </c>
      <c r="D94">
        <v>47</v>
      </c>
      <c r="I94" s="36" t="s">
        <v>2014</v>
      </c>
      <c r="J94" s="36" t="s">
        <v>1667</v>
      </c>
      <c r="K94" s="36"/>
      <c r="P94">
        <v>1</v>
      </c>
      <c r="U94" s="36" t="s">
        <v>2403</v>
      </c>
      <c r="V94" s="36" t="str">
        <f t="shared" si="1"/>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5" spans="3:22" x14ac:dyDescent="0.15">
      <c r="C95">
        <v>105770</v>
      </c>
      <c r="D95">
        <v>47</v>
      </c>
      <c r="I95" s="36" t="s">
        <v>2605</v>
      </c>
      <c r="J95" s="36" t="s">
        <v>1667</v>
      </c>
      <c r="K95" s="36" t="s">
        <v>1985</v>
      </c>
      <c r="P95">
        <v>1</v>
      </c>
      <c r="U95" s="36" t="s">
        <v>2403</v>
      </c>
      <c r="V95" s="36" t="str">
        <f t="shared" si="1"/>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6" spans="3:22" x14ac:dyDescent="0.15">
      <c r="C96">
        <v>105701</v>
      </c>
      <c r="D96">
        <v>47</v>
      </c>
      <c r="I96" s="36" t="s">
        <v>1995</v>
      </c>
      <c r="J96" s="36" t="s">
        <v>1667</v>
      </c>
      <c r="K96" s="36" t="s">
        <v>1985</v>
      </c>
      <c r="P96">
        <v>1</v>
      </c>
      <c r="U96" s="36" t="s">
        <v>2403</v>
      </c>
      <c r="V96" s="36" t="str">
        <f t="shared" si="1"/>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7" spans="3:24" x14ac:dyDescent="0.15">
      <c r="C97">
        <v>105800</v>
      </c>
      <c r="D97">
        <v>47</v>
      </c>
      <c r="I97" s="36" t="s">
        <v>1996</v>
      </c>
      <c r="J97" s="36" t="s">
        <v>1667</v>
      </c>
      <c r="K97" s="36" t="s">
        <v>1985</v>
      </c>
      <c r="P97">
        <v>1</v>
      </c>
      <c r="U97" s="36" t="s">
        <v>2403</v>
      </c>
      <c r="V97" s="36" t="str">
        <f t="shared" si="1"/>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8" spans="3:24" x14ac:dyDescent="0.15">
      <c r="C98">
        <v>16903</v>
      </c>
      <c r="D98">
        <v>47</v>
      </c>
      <c r="I98" s="36" t="s">
        <v>1997</v>
      </c>
      <c r="J98" s="36" t="s">
        <v>1667</v>
      </c>
      <c r="K98" s="36" t="s">
        <v>1985</v>
      </c>
      <c r="P98">
        <v>1</v>
      </c>
      <c r="U98" s="36" t="s">
        <v>2403</v>
      </c>
      <c r="V98" s="36" t="str">
        <f t="shared" si="1"/>
        <v>{dwID=16903,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9" spans="3:24" x14ac:dyDescent="0.15">
      <c r="C99">
        <v>105673</v>
      </c>
      <c r="D99">
        <v>47</v>
      </c>
      <c r="I99" s="36" t="s">
        <v>1993</v>
      </c>
      <c r="J99" s="36" t="s">
        <v>1667</v>
      </c>
      <c r="K99" s="36" t="s">
        <v>1985</v>
      </c>
      <c r="P99">
        <v>1</v>
      </c>
      <c r="U99" s="36" t="s">
        <v>2403</v>
      </c>
      <c r="V99" s="36" t="str">
        <f t="shared" si="1"/>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0" spans="3:24" x14ac:dyDescent="0.15">
      <c r="C100">
        <v>105801</v>
      </c>
      <c r="D100">
        <v>47</v>
      </c>
      <c r="I100" s="36" t="s">
        <v>1998</v>
      </c>
      <c r="J100" s="36" t="s">
        <v>1667</v>
      </c>
      <c r="K100" s="36" t="s">
        <v>1985</v>
      </c>
      <c r="P100">
        <v>1</v>
      </c>
      <c r="U100" s="36" t="s">
        <v>2403</v>
      </c>
      <c r="V100" s="36" t="str">
        <f t="shared" si="1"/>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1" spans="3:24" x14ac:dyDescent="0.15">
      <c r="C101">
        <v>105790</v>
      </c>
      <c r="D101">
        <v>47</v>
      </c>
      <c r="I101" s="36" t="s">
        <v>2003</v>
      </c>
      <c r="J101" s="36" t="s">
        <v>1667</v>
      </c>
      <c r="K101" s="36" t="s">
        <v>1985</v>
      </c>
      <c r="P101">
        <v>1</v>
      </c>
      <c r="U101" s="36" t="s">
        <v>2403</v>
      </c>
      <c r="V101" s="36" t="str">
        <f t="shared" si="1"/>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2" spans="3:24" x14ac:dyDescent="0.15">
      <c r="C102">
        <v>105791</v>
      </c>
      <c r="D102">
        <v>47</v>
      </c>
      <c r="I102" s="36" t="s">
        <v>2620</v>
      </c>
      <c r="J102" s="36" t="s">
        <v>1667</v>
      </c>
      <c r="K102" s="36" t="s">
        <v>1985</v>
      </c>
      <c r="P102">
        <v>1</v>
      </c>
      <c r="U102" s="36" t="s">
        <v>2403</v>
      </c>
      <c r="V102" s="36" t="str">
        <f t="shared" si="1"/>
        <v>{dwID=105791,nFrame=47,szNote="奇袭·浩气·韩非池（小七）落雁城",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3" spans="3:24" x14ac:dyDescent="0.15">
      <c r="C103">
        <v>105700</v>
      </c>
      <c r="D103">
        <v>47</v>
      </c>
      <c r="I103" s="36" t="s">
        <v>2619</v>
      </c>
      <c r="J103" s="36" t="s">
        <v>1667</v>
      </c>
      <c r="K103" s="36" t="s">
        <v>1985</v>
      </c>
      <c r="P103">
        <v>1</v>
      </c>
      <c r="U103" s="36" t="s">
        <v>2403</v>
      </c>
      <c r="V103" s="36" t="str">
        <f t="shared" si="1"/>
        <v>{dwID=105700,nFrame=47,szNote="奇袭·浩气·穆玄英（谢铃儿）望影台",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4" spans="3:24" x14ac:dyDescent="0.15">
      <c r="C104">
        <v>105802</v>
      </c>
      <c r="D104">
        <v>47</v>
      </c>
      <c r="I104" s="36" t="s">
        <v>2001</v>
      </c>
      <c r="J104" s="36" t="s">
        <v>1667</v>
      </c>
      <c r="K104" s="36" t="s">
        <v>1985</v>
      </c>
      <c r="P104">
        <v>1</v>
      </c>
      <c r="U104" s="36" t="s">
        <v>2403</v>
      </c>
      <c r="V104" s="36" t="str">
        <f t="shared" si="1"/>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5" spans="3:24" x14ac:dyDescent="0.15">
      <c r="C105">
        <v>7775</v>
      </c>
      <c r="D105">
        <v>47</v>
      </c>
      <c r="I105" s="36" t="s">
        <v>1999</v>
      </c>
      <c r="J105" s="36" t="s">
        <v>1667</v>
      </c>
      <c r="K105" s="36" t="s">
        <v>1985</v>
      </c>
      <c r="P105">
        <v>1</v>
      </c>
      <c r="U105" s="36" t="s">
        <v>2403</v>
      </c>
      <c r="V105" s="36" t="str">
        <f t="shared" si="1"/>
        <v>{dwID=7775,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6" spans="3:24" x14ac:dyDescent="0.15">
      <c r="C106">
        <v>105627</v>
      </c>
      <c r="D106">
        <v>47</v>
      </c>
      <c r="I106" s="36" t="s">
        <v>2000</v>
      </c>
      <c r="J106" s="36" t="s">
        <v>1667</v>
      </c>
      <c r="K106" s="36" t="s">
        <v>1985</v>
      </c>
      <c r="P106">
        <v>1</v>
      </c>
      <c r="U106" s="36" t="s">
        <v>2403</v>
      </c>
      <c r="V106" s="36" t="str">
        <f t="shared" si="1"/>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7" spans="3:24" x14ac:dyDescent="0.15">
      <c r="C107">
        <v>17237</v>
      </c>
      <c r="D107">
        <v>47</v>
      </c>
      <c r="I107" s="36" t="s">
        <v>2004</v>
      </c>
      <c r="J107" s="36" t="s">
        <v>1667</v>
      </c>
      <c r="P107">
        <v>1</v>
      </c>
      <c r="U107" s="36" t="s">
        <v>2403</v>
      </c>
      <c r="V107" s="36" t="str">
        <f t="shared" si="1"/>
        <v>{dwID=17237,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7" s="36" t="s">
        <v>2733</v>
      </c>
      <c r="X107" s="36" t="s">
        <v>2732</v>
      </c>
    </row>
    <row r="108" spans="3:24" x14ac:dyDescent="0.15">
      <c r="C108">
        <v>17238</v>
      </c>
      <c r="D108">
        <v>47</v>
      </c>
      <c r="I108" s="36" t="s">
        <v>2005</v>
      </c>
      <c r="J108" s="36" t="s">
        <v>1667</v>
      </c>
      <c r="K108" s="36"/>
      <c r="P108">
        <v>1</v>
      </c>
      <c r="U108" s="36" t="s">
        <v>2403</v>
      </c>
      <c r="V108" s="36" t="str">
        <f t="shared" si="1"/>
        <v>{dwID=17238,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8" s="36" t="s">
        <v>2733</v>
      </c>
      <c r="X108" s="36" t="s">
        <v>2732</v>
      </c>
    </row>
    <row r="109" spans="3:24" x14ac:dyDescent="0.15">
      <c r="C109">
        <v>17240</v>
      </c>
      <c r="D109">
        <v>47</v>
      </c>
      <c r="I109" s="36" t="s">
        <v>2006</v>
      </c>
      <c r="J109" s="36" t="s">
        <v>1667</v>
      </c>
      <c r="K109" s="36"/>
      <c r="P109">
        <v>1</v>
      </c>
      <c r="U109" s="36" t="s">
        <v>2403</v>
      </c>
      <c r="V109" s="36" t="str">
        <f t="shared" si="1"/>
        <v>{dwID=17240,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9" s="36" t="s">
        <v>2733</v>
      </c>
      <c r="X109" s="36" t="s">
        <v>2732</v>
      </c>
    </row>
    <row r="110" spans="3:24" x14ac:dyDescent="0.15">
      <c r="C110">
        <v>17239</v>
      </c>
      <c r="D110">
        <v>47</v>
      </c>
      <c r="I110" s="36" t="s">
        <v>2007</v>
      </c>
      <c r="J110" s="36" t="s">
        <v>1667</v>
      </c>
      <c r="K110" s="36"/>
      <c r="P110">
        <v>1</v>
      </c>
      <c r="U110" s="36" t="s">
        <v>2403</v>
      </c>
      <c r="V110" s="36" t="str">
        <f t="shared" si="1"/>
        <v>{dwID=17239,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0" s="36" t="s">
        <v>2733</v>
      </c>
      <c r="X110" s="36" t="s">
        <v>2732</v>
      </c>
    </row>
    <row r="111" spans="3:24" x14ac:dyDescent="0.15">
      <c r="C111">
        <v>8954</v>
      </c>
      <c r="D111">
        <v>47</v>
      </c>
      <c r="I111" s="36" t="s">
        <v>2011</v>
      </c>
      <c r="J111" s="36" t="s">
        <v>1667</v>
      </c>
      <c r="K111" s="36"/>
      <c r="P111">
        <v>1</v>
      </c>
      <c r="U111" s="36" t="s">
        <v>2403</v>
      </c>
      <c r="V111" s="36" t="str">
        <f t="shared" si="1"/>
        <v>{dwID=8954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1" s="36" t="s">
        <v>2733</v>
      </c>
      <c r="X111" s="36" t="s">
        <v>2732</v>
      </c>
    </row>
    <row r="112" spans="3:24" x14ac:dyDescent="0.15">
      <c r="C112">
        <v>6230</v>
      </c>
      <c r="D112">
        <v>47</v>
      </c>
      <c r="I112" s="36" t="s">
        <v>2008</v>
      </c>
      <c r="J112" s="36" t="s">
        <v>1667</v>
      </c>
      <c r="K112" s="36"/>
      <c r="P112">
        <v>1</v>
      </c>
      <c r="U112" s="36" t="s">
        <v>2403</v>
      </c>
      <c r="V112" s="36" t="str">
        <f t="shared" si="1"/>
        <v>{dwID=6230,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2" s="36" t="s">
        <v>2733</v>
      </c>
      <c r="X112" s="36" t="s">
        <v>2732</v>
      </c>
    </row>
    <row r="113" spans="1:24" x14ac:dyDescent="0.15">
      <c r="C113">
        <v>8952</v>
      </c>
      <c r="D113">
        <v>47</v>
      </c>
      <c r="I113" s="36" t="s">
        <v>2010</v>
      </c>
      <c r="J113" s="36" t="s">
        <v>1667</v>
      </c>
      <c r="K113" s="36"/>
      <c r="P113">
        <v>1</v>
      </c>
      <c r="U113" s="36" t="s">
        <v>2403</v>
      </c>
      <c r="V113" s="36" t="str">
        <f t="shared" si="1"/>
        <v>{dwID=8952,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3" s="36" t="s">
        <v>2733</v>
      </c>
      <c r="X113" s="36" t="s">
        <v>2732</v>
      </c>
    </row>
    <row r="114" spans="1:24" x14ac:dyDescent="0.15">
      <c r="C114">
        <v>8953</v>
      </c>
      <c r="D114">
        <v>47</v>
      </c>
      <c r="I114" s="36" t="s">
        <v>2009</v>
      </c>
      <c r="J114" s="36" t="s">
        <v>1667</v>
      </c>
      <c r="K114" s="36"/>
      <c r="P114">
        <v>1</v>
      </c>
      <c r="U114" s="36" t="s">
        <v>2403</v>
      </c>
      <c r="V114" s="36" t="str">
        <f t="shared" si="1"/>
        <v>{dwID=8953,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4" s="36" t="s">
        <v>2733</v>
      </c>
      <c r="X114" s="36" t="s">
        <v>2732</v>
      </c>
    </row>
    <row r="115" spans="1:24" x14ac:dyDescent="0.15">
      <c r="A115" t="s">
        <v>9</v>
      </c>
      <c r="B115">
        <v>27</v>
      </c>
      <c r="V115" s="36" t="str">
        <f t="shared" si="1"/>
        <v>},[27]={</v>
      </c>
    </row>
    <row r="116" spans="1:24" s="36" customFormat="1" x14ac:dyDescent="0.15">
      <c r="C116" s="36">
        <v>43577</v>
      </c>
      <c r="D116" s="36">
        <v>52</v>
      </c>
      <c r="I116" s="36" t="s">
        <v>1903</v>
      </c>
      <c r="O116" s="36">
        <v>1</v>
      </c>
      <c r="P116" s="36">
        <v>1</v>
      </c>
      <c r="U116" s="36" t="s">
        <v>1904</v>
      </c>
      <c r="V116" s="36" t="str">
        <f t="shared" si="1"/>
        <v>{dwID=43577,nFrame=52,szNote="浩气战书",[3]={bCenterAlarm=true,bScreenHead=true,},[4]={},aFocus={{dwMapID=-1,szDisplay="浩气战书·黑白路",nMaxDistance=60,tRelation={bAll=true,bEnemy=false,bAlly=false,},tLife={bEnable=false,szOperator="&gt;",nValue=0,},},},},</v>
      </c>
    </row>
    <row r="117" spans="1:24" s="36" customFormat="1" x14ac:dyDescent="0.15">
      <c r="C117" s="36">
        <v>36387</v>
      </c>
      <c r="D117" s="36">
        <v>47</v>
      </c>
      <c r="I117" s="36" t="s">
        <v>2185</v>
      </c>
      <c r="P117" s="36">
        <v>1</v>
      </c>
      <c r="V117" s="36" t="str">
        <f t="shared" si="1"/>
        <v>{dwID=36387,nFrame=47,szNote="恶人·据点总管",[3]={bScreenHead=true,},[4]={},},</v>
      </c>
    </row>
    <row r="118" spans="1:24" x14ac:dyDescent="0.15">
      <c r="C118">
        <v>7604</v>
      </c>
      <c r="D118">
        <v>47</v>
      </c>
      <c r="I118" t="s">
        <v>1603</v>
      </c>
      <c r="J118" s="51" t="s">
        <v>2641</v>
      </c>
      <c r="P118">
        <v>1</v>
      </c>
      <c r="U118" t="s">
        <v>1544</v>
      </c>
      <c r="V118" s="36" t="str">
        <f t="shared" si="1"/>
        <v>{dwID=7604,nFrame=47,szNote="何非笑周日7604",col={255,120,31,},[3]={bScreenHead=true,},[4]={},aFocus={{dwMapID=-1,szDisplay="何非笑·阵营前置",nMaxDistance=10,tRelation={bAll=false,bEnemy=false,bAlly=true,},tLife={bEnable=false,szOperator="&gt;",nValue=0,},},},},</v>
      </c>
    </row>
    <row r="119" spans="1:24" x14ac:dyDescent="0.15">
      <c r="C119">
        <v>7605</v>
      </c>
      <c r="D119">
        <v>47</v>
      </c>
      <c r="I119" t="s">
        <v>1598</v>
      </c>
      <c r="J119" s="51" t="s">
        <v>2641</v>
      </c>
      <c r="P119">
        <v>1</v>
      </c>
      <c r="U119" t="s">
        <v>1544</v>
      </c>
      <c r="V119" s="36" t="str">
        <f t="shared" si="1"/>
        <v>{dwID=7605,nFrame=47,szNote="何非笑",col={255,120,31,},[3]={bScreenHead=true,},[4]={},aFocus={{dwMapID=-1,szDisplay="何非笑·阵营前置",nMaxDistance=10,tRelation={bAll=false,bEnemy=false,bAlly=true,},tLife={bEnable=false,szOperator="&gt;",nValue=0,},},},},</v>
      </c>
    </row>
    <row r="120" spans="1:24" x14ac:dyDescent="0.15">
      <c r="C120">
        <v>105586</v>
      </c>
      <c r="D120">
        <v>47</v>
      </c>
      <c r="I120" t="s">
        <v>2616</v>
      </c>
      <c r="J120" s="36" t="s">
        <v>1667</v>
      </c>
      <c r="K120" s="36"/>
      <c r="P120">
        <v>1</v>
      </c>
      <c r="U120" s="36" t="s">
        <v>2403</v>
      </c>
      <c r="V120" s="3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1" spans="1:24" x14ac:dyDescent="0.15">
      <c r="C121">
        <v>7779</v>
      </c>
      <c r="D121">
        <v>47</v>
      </c>
      <c r="I121" t="s">
        <v>2618</v>
      </c>
      <c r="J121" s="36" t="s">
        <v>1667</v>
      </c>
      <c r="K121" s="36"/>
      <c r="P121">
        <v>1</v>
      </c>
      <c r="U121" s="36" t="s">
        <v>2403</v>
      </c>
      <c r="V121" s="36" t="str">
        <f t="shared" si="1"/>
        <v>{dwID=7779,nFrame=47,szNote="主场·恶人·米丽古丽（周日恶人谷）",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2" spans="1:24" x14ac:dyDescent="0.15">
      <c r="C122">
        <v>16900</v>
      </c>
      <c r="D122">
        <v>47</v>
      </c>
      <c r="I122" t="s">
        <v>2019</v>
      </c>
      <c r="J122" s="36" t="s">
        <v>1667</v>
      </c>
      <c r="K122" s="36"/>
      <c r="P122">
        <v>1</v>
      </c>
      <c r="U122" s="36" t="s">
        <v>2403</v>
      </c>
      <c r="V122" s="36"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3" spans="1:24" x14ac:dyDescent="0.15">
      <c r="C123">
        <v>105828</v>
      </c>
      <c r="D123">
        <v>47</v>
      </c>
      <c r="I123" t="s">
        <v>2012</v>
      </c>
      <c r="J123" s="36" t="s">
        <v>1667</v>
      </c>
      <c r="K123" s="36"/>
      <c r="P123">
        <v>1</v>
      </c>
      <c r="U123" s="36" t="s">
        <v>2403</v>
      </c>
      <c r="V123" s="36"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4" spans="1:24" x14ac:dyDescent="0.15">
      <c r="C124">
        <v>105789</v>
      </c>
      <c r="D124">
        <v>47</v>
      </c>
      <c r="I124" s="36" t="s">
        <v>2615</v>
      </c>
      <c r="J124" s="36" t="s">
        <v>1667</v>
      </c>
      <c r="K124" s="36"/>
      <c r="P124">
        <v>1</v>
      </c>
      <c r="U124" s="36" t="s">
        <v>2403</v>
      </c>
      <c r="V124" s="36"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5" spans="1:24" x14ac:dyDescent="0.15">
      <c r="C125">
        <v>7777</v>
      </c>
      <c r="D125">
        <v>47</v>
      </c>
      <c r="I125" t="s">
        <v>2018</v>
      </c>
      <c r="J125" s="36" t="s">
        <v>1667</v>
      </c>
      <c r="K125" s="36"/>
      <c r="P125">
        <v>1</v>
      </c>
      <c r="U125" s="36" t="s">
        <v>2403</v>
      </c>
      <c r="V125" s="36"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6" spans="1:24" x14ac:dyDescent="0.15">
      <c r="C126">
        <v>16899</v>
      </c>
      <c r="D126">
        <v>47</v>
      </c>
      <c r="I126" t="s">
        <v>2018</v>
      </c>
      <c r="J126" s="36" t="s">
        <v>1667</v>
      </c>
      <c r="K126" s="36"/>
      <c r="P126">
        <v>1</v>
      </c>
      <c r="U126" s="36" t="s">
        <v>2403</v>
      </c>
      <c r="V126" s="36"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7" spans="1:24" x14ac:dyDescent="0.15">
      <c r="C127">
        <v>7783</v>
      </c>
      <c r="D127">
        <v>47</v>
      </c>
      <c r="I127" t="s">
        <v>2020</v>
      </c>
      <c r="J127" s="36" t="s">
        <v>1667</v>
      </c>
      <c r="K127" s="36"/>
      <c r="P127">
        <v>1</v>
      </c>
      <c r="U127" s="36" t="s">
        <v>2403</v>
      </c>
      <c r="V127" s="36"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8" spans="1:24" x14ac:dyDescent="0.15">
      <c r="C128">
        <v>16902</v>
      </c>
      <c r="D128">
        <v>47</v>
      </c>
      <c r="I128" t="s">
        <v>2020</v>
      </c>
      <c r="J128" s="36" t="s">
        <v>1667</v>
      </c>
      <c r="K128" s="36"/>
      <c r="P128">
        <v>1</v>
      </c>
      <c r="U128" s="36" t="s">
        <v>2403</v>
      </c>
      <c r="V128" s="36"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9" spans="3:22" x14ac:dyDescent="0.15">
      <c r="C129">
        <v>7766</v>
      </c>
      <c r="D129">
        <v>47</v>
      </c>
      <c r="I129" t="s">
        <v>2013</v>
      </c>
      <c r="J129" s="36" t="s">
        <v>1667</v>
      </c>
      <c r="K129" s="36"/>
      <c r="P129">
        <v>1</v>
      </c>
      <c r="U129" s="36" t="s">
        <v>2403</v>
      </c>
      <c r="V129" s="36"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0" spans="3:22" x14ac:dyDescent="0.15">
      <c r="C130">
        <v>16893</v>
      </c>
      <c r="D130">
        <v>47</v>
      </c>
      <c r="I130" t="s">
        <v>2013</v>
      </c>
      <c r="J130" s="36" t="s">
        <v>1667</v>
      </c>
      <c r="K130" s="36"/>
      <c r="P130">
        <v>1</v>
      </c>
      <c r="U130" s="36" t="s">
        <v>2403</v>
      </c>
      <c r="V130" s="36" t="str">
        <f t="shared" ref="V130:V193" si="2">IF(ISBLANK(B130)=FALSE,IF(ISBLANK(B129),"},["&amp;B130&amp;"]={","["&amp;B130&amp;"]={"),IF(AND(ISBLANK(B130),ISBLANK(D130),ISBLANK(C130),OR(ISBLANK(B129)=FALSE,ISBLANK(D129)=FALSE,ISBLANK(C129)=FALSE)),"},},}",IF(ISBLANK(C130),"","{dwID="&amp;C130&amp;","&amp;"nFrame="&amp;D130&amp;","&amp;IF(E130&gt;0,"nCount="&amp;E130&amp;",","")&amp;IF(F130&gt;0,"bAllLeave=true,","")&amp;IF(G130&lt;&gt;"","szName="""&amp;G130&amp;""",","")&amp;IF(H130&lt;&gt;"","tKungFu={"&amp;H130&amp;"},","")&amp;IF(I130&lt;&gt;"","szNote="""&amp;I130&amp;""",","")&amp;IF(J130&lt;&gt;"","col={"&amp;J130&amp;"},","")&amp;"[3]={"&amp;IF(K130&lt;&gt;"","tMark={"&amp;K130&amp;"},","")&amp;IF(L130&lt;&gt;"","szVoice="""&amp;L130&amp;""",","")&amp;IF(M130&gt;0,"bTeamChannel=true,","")&amp;IF(N130&gt;0,"bWhisperChannel=true,","")&amp;IF(O130&gt;0,"bCenterAlarm=true,","")&amp;IF(P130&gt;0,"bScreenHead=true,","")&amp;"},"&amp;"[4]={"&amp;IF(Q130&lt;&gt;"","szVoice="""&amp;Q130&amp;""",","")&amp;IF(R130&gt;0,"bTeamChannel=true,","")&amp;IF(S130&gt;0,"bWhisperChannel=true,","")&amp;IF(T130&gt;0,"bCenterAlarm=true,","")&amp;"},"&amp;IF(U130&lt;&gt;"","aFocus={"&amp;U130&amp;"},","")&amp;IF(W130&lt;&gt;"","tCountdown={"&amp;_xlfn.TEXTJOIN("",TRUE,W130:ZZ130)&amp;"},","")&amp;"},")))</f>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1" spans="3:22" x14ac:dyDescent="0.15">
      <c r="C131">
        <v>7786</v>
      </c>
      <c r="D131">
        <v>47</v>
      </c>
      <c r="I131" t="s">
        <v>2017</v>
      </c>
      <c r="J131" s="36" t="s">
        <v>1667</v>
      </c>
      <c r="K131" s="36"/>
      <c r="P131">
        <v>1</v>
      </c>
      <c r="U131" s="36" t="s">
        <v>2403</v>
      </c>
      <c r="V131" s="36" t="str">
        <f t="shared" si="2"/>
        <v>{dwID=7786,nFrame=47,szNote="主场·浩气·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2" spans="3:22" x14ac:dyDescent="0.15">
      <c r="C132">
        <v>105585</v>
      </c>
      <c r="D132">
        <v>47</v>
      </c>
      <c r="I132" t="s">
        <v>2617</v>
      </c>
      <c r="J132" s="36" t="s">
        <v>1667</v>
      </c>
      <c r="K132" s="36"/>
      <c r="P132">
        <v>1</v>
      </c>
      <c r="U132" s="36" t="s">
        <v>2403</v>
      </c>
      <c r="V132" s="36" t="str">
        <f t="shared" si="2"/>
        <v>{dwID=105585,nFrame=47,szNote="主场·浩气·小七（穆玄英）酒池峡",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3" spans="3:22" x14ac:dyDescent="0.15">
      <c r="C133">
        <v>16898</v>
      </c>
      <c r="D133">
        <v>47</v>
      </c>
      <c r="I133" t="s">
        <v>2016</v>
      </c>
      <c r="J133" s="36" t="s">
        <v>1667</v>
      </c>
      <c r="K133" s="36"/>
      <c r="P133">
        <v>1</v>
      </c>
      <c r="U133" s="36" t="s">
        <v>2403</v>
      </c>
      <c r="V133" s="36" t="str">
        <f t="shared" si="2"/>
        <v>{dwID=16898,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4" spans="3:22" x14ac:dyDescent="0.15">
      <c r="C134">
        <v>106924</v>
      </c>
      <c r="D134">
        <v>47</v>
      </c>
      <c r="I134" t="s">
        <v>2021</v>
      </c>
      <c r="J134" s="36" t="s">
        <v>1667</v>
      </c>
      <c r="K134" s="36"/>
      <c r="P134">
        <v>1</v>
      </c>
      <c r="U134" s="36" t="s">
        <v>2403</v>
      </c>
      <c r="V134" s="36" t="str">
        <f t="shared" si="2"/>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5" spans="3:22" x14ac:dyDescent="0.15">
      <c r="C135">
        <v>7770</v>
      </c>
      <c r="D135">
        <v>47</v>
      </c>
      <c r="I135" t="s">
        <v>2015</v>
      </c>
      <c r="J135" s="36" t="s">
        <v>1667</v>
      </c>
      <c r="K135" s="36"/>
      <c r="P135">
        <v>1</v>
      </c>
      <c r="U135" s="36" t="s">
        <v>2403</v>
      </c>
      <c r="V135" s="36" t="str">
        <f t="shared" si="2"/>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6" spans="3:22" x14ac:dyDescent="0.15">
      <c r="C136">
        <v>16896</v>
      </c>
      <c r="D136">
        <v>47</v>
      </c>
      <c r="I136" t="s">
        <v>2015</v>
      </c>
      <c r="J136" s="36" t="s">
        <v>1667</v>
      </c>
      <c r="K136" s="36"/>
      <c r="P136">
        <v>1</v>
      </c>
      <c r="U136" s="36" t="s">
        <v>2403</v>
      </c>
      <c r="V136" s="36" t="str">
        <f t="shared" si="2"/>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7" spans="3:22" x14ac:dyDescent="0.15">
      <c r="C137">
        <v>7767</v>
      </c>
      <c r="D137">
        <v>47</v>
      </c>
      <c r="I137" t="s">
        <v>2014</v>
      </c>
      <c r="J137" s="36" t="s">
        <v>1667</v>
      </c>
      <c r="P137">
        <v>1</v>
      </c>
      <c r="U137" s="36" t="s">
        <v>2403</v>
      </c>
      <c r="V137" s="36" t="str">
        <f t="shared" si="2"/>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8" spans="3:22" x14ac:dyDescent="0.15">
      <c r="C138">
        <v>16894</v>
      </c>
      <c r="D138">
        <v>47</v>
      </c>
      <c r="I138" t="s">
        <v>2014</v>
      </c>
      <c r="J138" s="36" t="s">
        <v>1667</v>
      </c>
      <c r="K138" s="36"/>
      <c r="P138">
        <v>1</v>
      </c>
      <c r="U138" s="36" t="s">
        <v>2403</v>
      </c>
      <c r="V138" s="36" t="str">
        <f t="shared" si="2"/>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9" spans="3:22" x14ac:dyDescent="0.15">
      <c r="C139">
        <v>105770</v>
      </c>
      <c r="D139">
        <v>47</v>
      </c>
      <c r="I139" t="s">
        <v>2604</v>
      </c>
      <c r="J139" s="36" t="s">
        <v>1667</v>
      </c>
      <c r="K139" s="36" t="s">
        <v>1985</v>
      </c>
      <c r="P139">
        <v>1</v>
      </c>
      <c r="U139" s="36" t="s">
        <v>2403</v>
      </c>
      <c r="V139" s="36" t="str">
        <f t="shared" si="2"/>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0" spans="3:22" x14ac:dyDescent="0.15">
      <c r="C140">
        <v>105701</v>
      </c>
      <c r="D140">
        <v>47</v>
      </c>
      <c r="I140" t="s">
        <v>1995</v>
      </c>
      <c r="J140" s="36" t="s">
        <v>1667</v>
      </c>
      <c r="K140" s="36" t="s">
        <v>1985</v>
      </c>
      <c r="P140">
        <v>1</v>
      </c>
      <c r="U140" s="36" t="s">
        <v>2403</v>
      </c>
      <c r="V140" s="36" t="str">
        <f t="shared" si="2"/>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1" spans="3:22" x14ac:dyDescent="0.15">
      <c r="C141">
        <v>105800</v>
      </c>
      <c r="D141">
        <v>47</v>
      </c>
      <c r="I141" t="s">
        <v>1996</v>
      </c>
      <c r="J141" s="36" t="s">
        <v>1667</v>
      </c>
      <c r="K141" s="36" t="s">
        <v>1985</v>
      </c>
      <c r="P141">
        <v>1</v>
      </c>
      <c r="U141" s="36" t="s">
        <v>2403</v>
      </c>
      <c r="V141" s="36" t="str">
        <f t="shared" si="2"/>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2" spans="3:22" x14ac:dyDescent="0.15">
      <c r="C142">
        <v>7784</v>
      </c>
      <c r="D142">
        <v>47</v>
      </c>
      <c r="I142" t="s">
        <v>1997</v>
      </c>
      <c r="J142" s="36" t="s">
        <v>1667</v>
      </c>
      <c r="K142" s="36" t="s">
        <v>1985</v>
      </c>
      <c r="P142">
        <v>1</v>
      </c>
      <c r="U142" s="36" t="s">
        <v>2403</v>
      </c>
      <c r="V142" s="36" t="str">
        <f t="shared" si="2"/>
        <v>{dwID=7784,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3" spans="3:22" x14ac:dyDescent="0.15">
      <c r="C143">
        <v>105673</v>
      </c>
      <c r="D143">
        <v>47</v>
      </c>
      <c r="I143" t="s">
        <v>1993</v>
      </c>
      <c r="J143" s="36" t="s">
        <v>1667</v>
      </c>
      <c r="K143" s="36" t="s">
        <v>1985</v>
      </c>
      <c r="P143">
        <v>1</v>
      </c>
      <c r="U143" s="36" t="s">
        <v>2403</v>
      </c>
      <c r="V143" s="36" t="str">
        <f t="shared" si="2"/>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4" spans="3:22" x14ac:dyDescent="0.15">
      <c r="C144">
        <v>105801</v>
      </c>
      <c r="D144">
        <v>47</v>
      </c>
      <c r="I144" t="s">
        <v>1998</v>
      </c>
      <c r="J144" s="36" t="s">
        <v>1667</v>
      </c>
      <c r="K144" s="36" t="s">
        <v>1985</v>
      </c>
      <c r="P144">
        <v>1</v>
      </c>
      <c r="U144" s="36" t="s">
        <v>2403</v>
      </c>
      <c r="V144" s="36" t="str">
        <f t="shared" si="2"/>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5" spans="1:24" x14ac:dyDescent="0.15">
      <c r="C145">
        <v>105790</v>
      </c>
      <c r="D145">
        <v>47</v>
      </c>
      <c r="I145" t="s">
        <v>2003</v>
      </c>
      <c r="J145" s="36" t="s">
        <v>1667</v>
      </c>
      <c r="K145" s="36" t="s">
        <v>1985</v>
      </c>
      <c r="P145">
        <v>1</v>
      </c>
      <c r="U145" s="36" t="s">
        <v>2403</v>
      </c>
      <c r="V145" s="36" t="str">
        <f t="shared" si="2"/>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6" spans="1:24" x14ac:dyDescent="0.15">
      <c r="C146">
        <v>105791</v>
      </c>
      <c r="D146">
        <v>47</v>
      </c>
      <c r="I146" t="s">
        <v>1994</v>
      </c>
      <c r="J146" s="36" t="s">
        <v>1667</v>
      </c>
      <c r="K146" s="36" t="s">
        <v>1985</v>
      </c>
      <c r="P146">
        <v>1</v>
      </c>
      <c r="U146" s="36" t="s">
        <v>2403</v>
      </c>
      <c r="V146" s="36" t="str">
        <f t="shared" si="2"/>
        <v>{dwID=105791,nFrame=47,szNote="奇袭·浩气·韩非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7" spans="1:24" x14ac:dyDescent="0.15">
      <c r="C147">
        <v>105700</v>
      </c>
      <c r="D147">
        <v>47</v>
      </c>
      <c r="I147" t="s">
        <v>2002</v>
      </c>
      <c r="J147" s="36" t="s">
        <v>1667</v>
      </c>
      <c r="K147" s="36" t="s">
        <v>1985</v>
      </c>
      <c r="P147">
        <v>1</v>
      </c>
      <c r="U147" s="36" t="s">
        <v>2403</v>
      </c>
      <c r="V147" s="36" t="str">
        <f t="shared" si="2"/>
        <v>{dwID=105700,nFrame=47,szNote="奇袭·浩气·穆玄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8" spans="1:24" x14ac:dyDescent="0.15">
      <c r="C148">
        <v>105802</v>
      </c>
      <c r="D148">
        <v>47</v>
      </c>
      <c r="I148" t="s">
        <v>2001</v>
      </c>
      <c r="J148" s="36" t="s">
        <v>1667</v>
      </c>
      <c r="K148" s="36" t="s">
        <v>1985</v>
      </c>
      <c r="P148">
        <v>1</v>
      </c>
      <c r="U148" s="36" t="s">
        <v>2403</v>
      </c>
      <c r="V148" s="36" t="str">
        <f t="shared" si="2"/>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9" spans="1:24" x14ac:dyDescent="0.15">
      <c r="C149">
        <v>16897</v>
      </c>
      <c r="D149">
        <v>47</v>
      </c>
      <c r="I149" t="s">
        <v>1999</v>
      </c>
      <c r="J149" s="36" t="s">
        <v>1667</v>
      </c>
      <c r="K149" s="36" t="s">
        <v>1985</v>
      </c>
      <c r="P149">
        <v>1</v>
      </c>
      <c r="U149" s="36" t="s">
        <v>2403</v>
      </c>
      <c r="V149" s="36" t="str">
        <f t="shared" si="2"/>
        <v>{dwID=16897,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50" spans="1:24" x14ac:dyDescent="0.15">
      <c r="C150">
        <v>105627</v>
      </c>
      <c r="D150">
        <v>47</v>
      </c>
      <c r="I150" t="s">
        <v>2000</v>
      </c>
      <c r="J150" s="36" t="s">
        <v>1667</v>
      </c>
      <c r="K150" s="36" t="s">
        <v>1985</v>
      </c>
      <c r="P150">
        <v>1</v>
      </c>
      <c r="U150" s="36" t="s">
        <v>2403</v>
      </c>
      <c r="V150" s="36" t="str">
        <f t="shared" si="2"/>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51" spans="1:24" x14ac:dyDescent="0.15">
      <c r="C151">
        <v>6233</v>
      </c>
      <c r="D151">
        <v>47</v>
      </c>
      <c r="I151" t="s">
        <v>2004</v>
      </c>
      <c r="J151" s="36" t="s">
        <v>1667</v>
      </c>
      <c r="K151" s="36"/>
      <c r="P151">
        <v>1</v>
      </c>
      <c r="U151" s="36" t="s">
        <v>2403</v>
      </c>
      <c r="V151" s="36" t="str">
        <f t="shared" si="2"/>
        <v>{dwID=6233,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1" s="36" t="s">
        <v>2733</v>
      </c>
      <c r="X151" s="36" t="s">
        <v>2732</v>
      </c>
    </row>
    <row r="152" spans="1:24" x14ac:dyDescent="0.15">
      <c r="C152">
        <v>8956</v>
      </c>
      <c r="D152">
        <v>47</v>
      </c>
      <c r="I152" t="s">
        <v>2005</v>
      </c>
      <c r="J152" s="36" t="s">
        <v>1667</v>
      </c>
      <c r="K152" s="36"/>
      <c r="P152">
        <v>1</v>
      </c>
      <c r="U152" s="36" t="s">
        <v>2403</v>
      </c>
      <c r="V152" s="36" t="str">
        <f t="shared" si="2"/>
        <v>{dwID=8956,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2" s="36" t="s">
        <v>2733</v>
      </c>
      <c r="X152" s="36" t="s">
        <v>2732</v>
      </c>
    </row>
    <row r="153" spans="1:24" x14ac:dyDescent="0.15">
      <c r="C153">
        <v>8955</v>
      </c>
      <c r="D153">
        <v>47</v>
      </c>
      <c r="I153" t="s">
        <v>2006</v>
      </c>
      <c r="J153" s="36" t="s">
        <v>1667</v>
      </c>
      <c r="K153" s="36"/>
      <c r="P153">
        <v>1</v>
      </c>
      <c r="U153" s="36" t="s">
        <v>2403</v>
      </c>
      <c r="V153" s="36" t="str">
        <f t="shared" si="2"/>
        <v>{dwID=8955,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3" s="36" t="s">
        <v>2733</v>
      </c>
      <c r="X153" s="36" t="s">
        <v>2732</v>
      </c>
    </row>
    <row r="154" spans="1:24" x14ac:dyDescent="0.15">
      <c r="C154">
        <v>8957</v>
      </c>
      <c r="D154">
        <v>47</v>
      </c>
      <c r="I154" t="s">
        <v>2007</v>
      </c>
      <c r="J154" s="36" t="s">
        <v>1667</v>
      </c>
      <c r="K154" s="36"/>
      <c r="P154">
        <v>1</v>
      </c>
      <c r="U154" s="36" t="s">
        <v>2403</v>
      </c>
      <c r="V154" s="36" t="str">
        <f t="shared" si="2"/>
        <v>{dwID=8957,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4" s="36" t="s">
        <v>2733</v>
      </c>
      <c r="X154" s="36" t="s">
        <v>2732</v>
      </c>
    </row>
    <row r="155" spans="1:24" x14ac:dyDescent="0.15">
      <c r="C155">
        <v>17234</v>
      </c>
      <c r="D155">
        <v>47</v>
      </c>
      <c r="I155" t="s">
        <v>2011</v>
      </c>
      <c r="J155" s="36" t="s">
        <v>1667</v>
      </c>
      <c r="K155" s="36"/>
      <c r="P155">
        <v>1</v>
      </c>
      <c r="U155" s="36" t="s">
        <v>2403</v>
      </c>
      <c r="V155" s="36" t="str">
        <f t="shared" si="2"/>
        <v>{dwID=17234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5" s="36" t="s">
        <v>2733</v>
      </c>
      <c r="X155" s="36" t="s">
        <v>2732</v>
      </c>
    </row>
    <row r="156" spans="1:24" x14ac:dyDescent="0.15">
      <c r="C156">
        <v>17233</v>
      </c>
      <c r="D156">
        <v>47</v>
      </c>
      <c r="I156" t="s">
        <v>2008</v>
      </c>
      <c r="J156" s="36" t="s">
        <v>1667</v>
      </c>
      <c r="K156" s="36"/>
      <c r="P156">
        <v>1</v>
      </c>
      <c r="U156" s="36" t="s">
        <v>2403</v>
      </c>
      <c r="V156" s="36" t="str">
        <f t="shared" si="2"/>
        <v>{dwID=17233,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6" s="36" t="s">
        <v>2733</v>
      </c>
      <c r="X156" s="36" t="s">
        <v>2732</v>
      </c>
    </row>
    <row r="157" spans="1:24" x14ac:dyDescent="0.15">
      <c r="C157">
        <v>17236</v>
      </c>
      <c r="D157">
        <v>47</v>
      </c>
      <c r="I157" t="s">
        <v>2010</v>
      </c>
      <c r="J157" s="36" t="s">
        <v>1667</v>
      </c>
      <c r="K157" s="36"/>
      <c r="P157">
        <v>1</v>
      </c>
      <c r="U157" s="36" t="s">
        <v>2403</v>
      </c>
      <c r="V157" s="36" t="str">
        <f t="shared" si="2"/>
        <v>{dwID=17236,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7" s="36" t="s">
        <v>2733</v>
      </c>
      <c r="X157" s="36" t="s">
        <v>2732</v>
      </c>
    </row>
    <row r="158" spans="1:24" x14ac:dyDescent="0.15">
      <c r="C158">
        <v>17235</v>
      </c>
      <c r="D158">
        <v>47</v>
      </c>
      <c r="I158" t="s">
        <v>2009</v>
      </c>
      <c r="J158" s="36" t="s">
        <v>1667</v>
      </c>
      <c r="K158" s="36"/>
      <c r="P158">
        <v>1</v>
      </c>
      <c r="U158" s="36" t="s">
        <v>2403</v>
      </c>
      <c r="V158" s="36" t="str">
        <f t="shared" si="2"/>
        <v>{dwID=17235,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8" s="36" t="s">
        <v>2733</v>
      </c>
      <c r="X158" s="36" t="s">
        <v>2732</v>
      </c>
    </row>
    <row r="159" spans="1:24" x14ac:dyDescent="0.15">
      <c r="A159" t="s">
        <v>1805</v>
      </c>
      <c r="B159">
        <v>22</v>
      </c>
      <c r="V159" s="36" t="str">
        <f t="shared" si="2"/>
        <v>},[22]={</v>
      </c>
    </row>
    <row r="160" spans="1:24" x14ac:dyDescent="0.15">
      <c r="C160">
        <v>7605</v>
      </c>
      <c r="D160">
        <v>47</v>
      </c>
      <c r="I160" t="s">
        <v>1692</v>
      </c>
      <c r="J160" s="51" t="s">
        <v>2641</v>
      </c>
      <c r="P160">
        <v>1</v>
      </c>
      <c r="U160" t="s">
        <v>1696</v>
      </c>
      <c r="V160" s="36" t="str">
        <f t="shared" si="2"/>
        <v>{dwID=7605,nFrame=47,szNote="何非笑·阵营前置",col={255,120,31,},[3]={bScreenHead=true,},[4]={},aFocus={{dwMapID=-1,szDisplay="何非笑·阵营前置",nMaxDistance=0,tRelation={bAll=false,bEnemy=false,bAlly=true,},tLife={bEnable=false,szOperator="&gt;",nValue=0,},},},},</v>
      </c>
    </row>
    <row r="161" spans="1:24" x14ac:dyDescent="0.15">
      <c r="C161">
        <v>7606</v>
      </c>
      <c r="D161">
        <v>47</v>
      </c>
      <c r="I161" t="s">
        <v>1690</v>
      </c>
      <c r="J161" s="50" t="s">
        <v>2640</v>
      </c>
      <c r="P161">
        <v>1</v>
      </c>
      <c r="U161" t="s">
        <v>1697</v>
      </c>
      <c r="V161" s="36" t="str">
        <f t="shared" si="2"/>
        <v>{dwID=7606,nFrame=47,szNote="王洵·阵营前置",col={31,230,255,},[3]={bScreenHead=true,},[4]={},aFocus={{dwMapID=-1,szDisplay="王洵·阵营前置",nMaxDistance=20,tRelation={bAll=false,bEnemy=false,bAlly=true,},tLife={bEnable=false,szOperator="&gt;",nValue=0,},},},},</v>
      </c>
    </row>
    <row r="162" spans="1:24" x14ac:dyDescent="0.15">
      <c r="C162">
        <v>64733</v>
      </c>
      <c r="D162">
        <v>52</v>
      </c>
      <c r="I162" t="s">
        <v>1694</v>
      </c>
      <c r="P162">
        <v>1</v>
      </c>
      <c r="U162" t="s">
        <v>1536</v>
      </c>
      <c r="V162" s="36" t="str">
        <f t="shared" si="2"/>
        <v>{dwID=64733,nFrame=52,szNote="浩气牛车",[3]={bScreenHead=true,},[4]={},aFocus={{dwMapID=-1,szDisplay="浩气牛车·粮草先行",nMaxDistance=0,tRelation={bAll=true,bEnemy=false,bAlly=false,},tLife={bEnable=false,szOperator="&gt;",nValue=0,},},},},</v>
      </c>
    </row>
    <row r="163" spans="1:24" x14ac:dyDescent="0.15">
      <c r="C163">
        <v>64732</v>
      </c>
      <c r="D163">
        <v>52</v>
      </c>
      <c r="I163" t="s">
        <v>1695</v>
      </c>
      <c r="P163">
        <v>1</v>
      </c>
      <c r="U163" t="s">
        <v>1537</v>
      </c>
      <c r="V163" s="36" t="str">
        <f t="shared" si="2"/>
        <v>{dwID=64732,nFrame=52,szNote="恶人牛车",[3]={bScreenHead=true,},[4]={},aFocus={{dwMapID=-1,szDisplay="恶人牛车·粮草先行",nMaxDistance=0,tRelation={bAll=true,bEnemy=false,bAlly=false,},tLife={bEnable=false,szOperator="&gt;",nValue=0,},},},},</v>
      </c>
    </row>
    <row r="164" spans="1:24" x14ac:dyDescent="0.15">
      <c r="C164">
        <v>64731</v>
      </c>
      <c r="D164">
        <v>47</v>
      </c>
      <c r="I164" t="s">
        <v>1538</v>
      </c>
      <c r="P164">
        <v>1</v>
      </c>
      <c r="U164" t="s">
        <v>1539</v>
      </c>
      <c r="V164" s="36" t="str">
        <f t="shared" si="2"/>
        <v>{dwID=64731,nFrame=47,szNote="管良沧·粮草先行",[3]={bScreenHead=true,},[4]={},aFocus={{dwMapID=-1,szDisplay="管良沧·粮草先行",nMaxDistance=60,tRelation={bAll=false,bEnemy=false,bAlly=true,},tLife={bEnable=false,szOperator="&gt;",nValue=0,},},},},</v>
      </c>
    </row>
    <row r="165" spans="1:24" x14ac:dyDescent="0.15">
      <c r="C165">
        <v>64730</v>
      </c>
      <c r="D165">
        <v>47</v>
      </c>
      <c r="I165" t="s">
        <v>1540</v>
      </c>
      <c r="P165">
        <v>1</v>
      </c>
      <c r="U165" t="s">
        <v>1541</v>
      </c>
      <c r="V165" s="36" t="str">
        <f t="shared" si="2"/>
        <v>{dwID=64730,nFrame=47,szNote="苏才寥·粮草先行",[3]={bScreenHead=true,},[4]={},aFocus={{dwMapID=-1,szDisplay="苏才寥·粮草先行",nMaxDistance=60,tRelation={bAll=false,bEnemy=false,bAlly=true,},tLife={bEnable=false,szOperator="&gt;",nValue=0,},},},},</v>
      </c>
    </row>
    <row r="166" spans="1:24" x14ac:dyDescent="0.15">
      <c r="C166">
        <v>1317</v>
      </c>
      <c r="D166">
        <v>47</v>
      </c>
      <c r="I166" s="36" t="s">
        <v>1597</v>
      </c>
      <c r="P166">
        <v>1</v>
      </c>
      <c r="U166" t="s">
        <v>1533</v>
      </c>
      <c r="V166" s="36" t="str">
        <f t="shared" si="2"/>
        <v>{dwID=1317,nFrame=47,szNote="左破天",[3]={bScreenHead=true,},[4]={},aFocus={{dwMapID=-1,szDisplay="左破天·阵营前置",nMaxDistance=0,tRelation={bAll=true,bEnemy=false,bAlly=false,},tLife={bEnable=false,szOperator="&gt;",nValue=0,},},},tCountdown={{nClass=12,nIcon=13,nFrame=4,szName="左破天·刷新剩余",nTime=10.1,},},},</v>
      </c>
      <c r="W166" t="s">
        <v>1675</v>
      </c>
    </row>
    <row r="167" spans="1:24" x14ac:dyDescent="0.15">
      <c r="C167">
        <v>1308</v>
      </c>
      <c r="D167">
        <v>47</v>
      </c>
      <c r="I167" s="36" t="s">
        <v>1701</v>
      </c>
      <c r="P167">
        <v>1</v>
      </c>
      <c r="U167" t="s">
        <v>1532</v>
      </c>
      <c r="V167" s="36" t="str">
        <f t="shared" si="2"/>
        <v>{dwID=1308,nFrame=47,szNote="郭海宾",[3]={bScreenHead=true,},[4]={},aFocus={{dwMapID=-1,szDisplay="郭海宾·阵营前置",nMaxDistance=0,tRelation={bAll=true,bEnemy=false,bAlly=false,},tLife={bEnable=false,szOperator="&gt;",nValue=0,},},},tCountdown={{nClass=12,nIcon=13,nFrame=4,szName="郭海宾·刷新剩余",nTime=10.1,},},},</v>
      </c>
      <c r="W167" t="s">
        <v>1674</v>
      </c>
    </row>
    <row r="168" spans="1:24" x14ac:dyDescent="0.15">
      <c r="C168">
        <v>6220</v>
      </c>
      <c r="D168">
        <v>47</v>
      </c>
      <c r="I168" t="s">
        <v>1702</v>
      </c>
      <c r="P168">
        <v>1</v>
      </c>
      <c r="U168" t="s">
        <v>1700</v>
      </c>
      <c r="V168" s="36" t="str">
        <f t="shared" si="2"/>
        <v>{dwID=6220,nFrame=47,szNote="赵新宇·阵营前置",[3]={bScreenHead=true,},[4]={},aFocus={{dwMapID=-1,szDisplay="赵新宇·阵营前置",nMaxDistance=0,tRelation={bAll=true,bEnemy=false,bAlly=false,},tLife={bEnable=false,szOperator="&gt;",nValue=0,},},},},</v>
      </c>
    </row>
    <row r="169" spans="1:24" x14ac:dyDescent="0.15">
      <c r="C169">
        <v>6219</v>
      </c>
      <c r="D169">
        <v>47</v>
      </c>
      <c r="I169" t="s">
        <v>1703</v>
      </c>
      <c r="P169">
        <v>1</v>
      </c>
      <c r="U169" t="s">
        <v>1699</v>
      </c>
      <c r="V169" s="36" t="str">
        <f t="shared" si="2"/>
        <v>{dwID=6219,nFrame=47,szNote="方超·阵营前置",[3]={bScreenHead=true,},[4]={},aFocus={{dwMapID=-1,szDisplay="方超·阵营前置",nMaxDistance=0,tRelation={bAll=true,bEnemy=false,bAlly=false,},tLife={bEnable=false,szOperator="&gt;",nValue=0,},},},},</v>
      </c>
    </row>
    <row r="170" spans="1:24" s="36" customFormat="1" x14ac:dyDescent="0.15">
      <c r="C170" s="36">
        <v>59845</v>
      </c>
      <c r="D170" s="36">
        <v>47</v>
      </c>
      <c r="I170" s="38" t="s">
        <v>2316</v>
      </c>
      <c r="J170" s="50" t="s">
        <v>2640</v>
      </c>
      <c r="P170" s="36">
        <v>1</v>
      </c>
      <c r="V170" s="36" t="str">
        <f t="shared" si="2"/>
        <v>{dwID=59845,nFrame=47,szNote="浩气盟精锐队长",col={31,230,255,},[3]={bScreenHead=true,},[4]={},},</v>
      </c>
    </row>
    <row r="171" spans="1:24" x14ac:dyDescent="0.15">
      <c r="C171">
        <v>36413</v>
      </c>
      <c r="D171">
        <v>52</v>
      </c>
      <c r="I171" t="s">
        <v>1862</v>
      </c>
      <c r="J171" t="s">
        <v>1527</v>
      </c>
      <c r="U171" t="s">
        <v>1835</v>
      </c>
      <c r="V171" s="36" t="str">
        <f t="shared" si="2"/>
        <v>{dwID=36413,nFrame=52,szNote="大旗·武王城",col={0,255,0,},[3]={},[4]={},aFocus={{dwMapID=-1,szDisplay="大旗·武王城",nMaxDistance=1,tRelation={bAll=true,bEnemy=false,bAlly=false,},tLife={bEnable=false,szOperator="&gt;",nValue=0,},},},tCountdown={{nClass=3,nIcon=3445,nFrame=3,szName="武王城·浩气大旗被夺",nTime=-1,key="武王城·浩气大旗",},{nClass=3,nIcon=3444,nFrame=7,szName="武王城·恶人大旗被夺",nTime=-1,key="武王城·恶人大旗",},},},</v>
      </c>
      <c r="W171" s="36" t="s">
        <v>2234</v>
      </c>
      <c r="X171" s="36" t="s">
        <v>2263</v>
      </c>
    </row>
    <row r="172" spans="1:24" x14ac:dyDescent="0.15">
      <c r="A172" t="s">
        <v>1806</v>
      </c>
      <c r="B172">
        <v>30</v>
      </c>
      <c r="V172" s="36" t="str">
        <f t="shared" si="2"/>
        <v>},[30]={</v>
      </c>
    </row>
    <row r="173" spans="1:24" x14ac:dyDescent="0.15">
      <c r="C173">
        <v>7604</v>
      </c>
      <c r="D173">
        <v>47</v>
      </c>
      <c r="I173" t="s">
        <v>1692</v>
      </c>
      <c r="J173" s="51" t="s">
        <v>2641</v>
      </c>
      <c r="P173">
        <v>1</v>
      </c>
      <c r="U173" t="s">
        <v>1693</v>
      </c>
      <c r="V173" s="36" t="str">
        <f t="shared" si="2"/>
        <v>{dwID=7604,nFrame=47,szNote="何非笑·阵营前置",col={255,120,31,},[3]={bScreenHead=true,},[4]={},aFocus={{dwMapID=-1,szDisplay="何非笑·阵营前置",nMaxDistance=60,tRelation={bAll=false,bEnemy=false,bAlly=true,},tLife={bEnable=false,szOperator="&gt;",nValue=0,},},},},</v>
      </c>
    </row>
    <row r="174" spans="1:24" x14ac:dyDescent="0.15">
      <c r="C174">
        <v>7607</v>
      </c>
      <c r="D174">
        <v>47</v>
      </c>
      <c r="I174" t="s">
        <v>1690</v>
      </c>
      <c r="J174" s="50" t="s">
        <v>2640</v>
      </c>
      <c r="P174">
        <v>1</v>
      </c>
      <c r="U174" t="s">
        <v>1688</v>
      </c>
      <c r="V174" s="36" t="str">
        <f t="shared" si="2"/>
        <v>{dwID=7607,nFrame=47,szNote="王洵·阵营前置",col={31,230,255,},[3]={bScreenHead=true,},[4]={},aFocus={{dwMapID=-1,szDisplay="王洵·阵营前置",nMaxDistance=60,tRelation={bAll=false,bEnemy=false,bAlly=true,},tLife={bEnable=false,szOperator="&gt;",nValue=0,},},},},</v>
      </c>
    </row>
    <row r="175" spans="1:24" x14ac:dyDescent="0.15">
      <c r="C175">
        <v>64733</v>
      </c>
      <c r="D175">
        <v>52</v>
      </c>
      <c r="I175" t="s">
        <v>1694</v>
      </c>
      <c r="P175">
        <v>1</v>
      </c>
      <c r="U175" t="s">
        <v>1536</v>
      </c>
      <c r="V175" s="36" t="str">
        <f t="shared" si="2"/>
        <v>{dwID=64733,nFrame=52,szNote="浩气牛车",[3]={bScreenHead=true,},[4]={},aFocus={{dwMapID=-1,szDisplay="浩气牛车·粮草先行",nMaxDistance=0,tRelation={bAll=true,bEnemy=false,bAlly=false,},tLife={bEnable=false,szOperator="&gt;",nValue=0,},},},},</v>
      </c>
    </row>
    <row r="176" spans="1:24" x14ac:dyDescent="0.15">
      <c r="C176">
        <v>64732</v>
      </c>
      <c r="D176">
        <v>52</v>
      </c>
      <c r="I176" t="s">
        <v>1695</v>
      </c>
      <c r="P176">
        <v>1</v>
      </c>
      <c r="U176" t="s">
        <v>1537</v>
      </c>
      <c r="V176" s="36" t="str">
        <f t="shared" si="2"/>
        <v>{dwID=64732,nFrame=52,szNote="恶人牛车",[3]={bScreenHead=true,},[4]={},aFocus={{dwMapID=-1,szDisplay="恶人牛车·粮草先行",nMaxDistance=0,tRelation={bAll=true,bEnemy=false,bAlly=false,},tLife={bEnable=false,szOperator="&gt;",nValue=0,},},},},</v>
      </c>
    </row>
    <row r="177" spans="3:24" x14ac:dyDescent="0.15">
      <c r="C177">
        <v>64731</v>
      </c>
      <c r="D177">
        <v>47</v>
      </c>
      <c r="I177" t="s">
        <v>1538</v>
      </c>
      <c r="P177">
        <v>1</v>
      </c>
      <c r="U177" t="s">
        <v>1539</v>
      </c>
      <c r="V177" s="36" t="str">
        <f t="shared" si="2"/>
        <v>{dwID=64731,nFrame=47,szNote="管良沧·粮草先行",[3]={bScreenHead=true,},[4]={},aFocus={{dwMapID=-1,szDisplay="管良沧·粮草先行",nMaxDistance=60,tRelation={bAll=false,bEnemy=false,bAlly=true,},tLife={bEnable=false,szOperator="&gt;",nValue=0,},},},},</v>
      </c>
    </row>
    <row r="178" spans="3:24" x14ac:dyDescent="0.15">
      <c r="C178">
        <v>64730</v>
      </c>
      <c r="D178">
        <v>47</v>
      </c>
      <c r="I178" t="s">
        <v>1540</v>
      </c>
      <c r="P178">
        <v>1</v>
      </c>
      <c r="U178" t="s">
        <v>1541</v>
      </c>
      <c r="V178" s="36" t="str">
        <f t="shared" si="2"/>
        <v>{dwID=64730,nFrame=47,szNote="苏才寥·粮草先行",[3]={bScreenHead=true,},[4]={},aFocus={{dwMapID=-1,szDisplay="苏才寥·粮草先行",nMaxDistance=60,tRelation={bAll=false,bEnemy=false,bAlly=true,},tLife={bEnable=false,szOperator="&gt;",nValue=0,},},},},</v>
      </c>
    </row>
    <row r="179" spans="3:24" x14ac:dyDescent="0.15">
      <c r="C179">
        <v>1215</v>
      </c>
      <c r="D179">
        <v>47</v>
      </c>
      <c r="I179" t="s">
        <v>1678</v>
      </c>
      <c r="P179">
        <v>1</v>
      </c>
      <c r="U179" t="s">
        <v>1528</v>
      </c>
      <c r="V179" s="36" t="str">
        <f t="shared" si="2"/>
        <v>{dwID=1215,nFrame=47,szNote="于成仇",[3]={bScreenHead=true,},[4]={},aFocus={{dwMapID=-1,nMaxDistance=0,tRelation={bAll=false,bEnemy=true,bAlly=false,},tLife={bEnable=false,szOperator="&gt;",nValue=0,},},},tCountdown={{nClass=12,nIcon=13,nFrame=4,szName="于成仇·刷新剩余",nTime=10.1,},},},</v>
      </c>
      <c r="W179" t="s">
        <v>1676</v>
      </c>
    </row>
    <row r="180" spans="3:24" x14ac:dyDescent="0.15">
      <c r="C180">
        <v>1217</v>
      </c>
      <c r="D180">
        <v>47</v>
      </c>
      <c r="I180" t="s">
        <v>1679</v>
      </c>
      <c r="P180">
        <v>1</v>
      </c>
      <c r="U180" t="s">
        <v>1528</v>
      </c>
      <c r="V180" s="36" t="str">
        <f t="shared" si="2"/>
        <v>{dwID=1217,nFrame=47,szNote="阎世通",[3]={bScreenHead=true,},[4]={},aFocus={{dwMapID=-1,nMaxDistance=0,tRelation={bAll=false,bEnemy=true,bAlly=false,},tLife={bEnable=false,szOperator="&gt;",nValue=0,},},},tCountdown={{nClass=12,nIcon=13,nFrame=4,szName="阎世通·刷新剩余",nTime=10.1,},},},</v>
      </c>
      <c r="W180" t="s">
        <v>1677</v>
      </c>
    </row>
    <row r="181" spans="3:24" x14ac:dyDescent="0.15">
      <c r="C181">
        <v>6222</v>
      </c>
      <c r="D181">
        <v>47</v>
      </c>
      <c r="I181" t="s">
        <v>1687</v>
      </c>
      <c r="P181">
        <v>1</v>
      </c>
      <c r="U181" t="s">
        <v>1686</v>
      </c>
      <c r="V181" s="36" t="str">
        <f t="shared" si="2"/>
        <v>{dwID=6222,nFrame=47,szNote="霸图·阵营前置",[3]={bScreenHead=true,},[4]={},aFocus={{dwMapID=-1,szDisplay="霸图·阵营前置",nMaxDistance=0,tRelation={bAll=true,bEnemy=false,bAlly=false,},tLife={bEnable=false,szOperator="&gt;",nValue=0,},},},},</v>
      </c>
    </row>
    <row r="182" spans="3:24" x14ac:dyDescent="0.15">
      <c r="C182">
        <v>6221</v>
      </c>
      <c r="D182">
        <v>47</v>
      </c>
      <c r="I182" t="s">
        <v>1685</v>
      </c>
      <c r="P182">
        <v>1</v>
      </c>
      <c r="U182" t="s">
        <v>1684</v>
      </c>
      <c r="V182" s="36" t="str">
        <f t="shared" si="2"/>
        <v>{dwID=6221,nFrame=47,szNote="孙永恒·阵营前置",[3]={bScreenHead=true,},[4]={},aFocus={{dwMapID=-1,szDisplay="孙永恒·阵营前置",nMaxDistance=0,tRelation={bAll=true,bEnemy=false,bAlly=false,},tLife={bEnable=false,szOperator="&gt;",nValue=0,},},},},</v>
      </c>
    </row>
    <row r="183" spans="3:24" x14ac:dyDescent="0.15">
      <c r="C183">
        <v>5656</v>
      </c>
      <c r="D183">
        <v>47</v>
      </c>
      <c r="I183" t="s">
        <v>1682</v>
      </c>
      <c r="J183" t="s">
        <v>1527</v>
      </c>
      <c r="P183">
        <v>1</v>
      </c>
      <c r="U183" t="s">
        <v>1606</v>
      </c>
      <c r="V183" s="36" t="str">
        <f t="shared" si="2"/>
        <v>{dwID=5656,nFrame=47,szNote="长乐坊村民",col={0,255,0,},[3]={bScreenHead=true,},[4]={},aFocus={{dwMapID=-1,nMaxDistance=35,tRelation={bAll=false,bEnemy=false,bAlly=true,},tLife={bEnable=true,szOperator="==",nValue=100,},},},},</v>
      </c>
    </row>
    <row r="184" spans="3:24" x14ac:dyDescent="0.15">
      <c r="C184">
        <v>1193</v>
      </c>
      <c r="D184">
        <v>47</v>
      </c>
      <c r="I184" t="s">
        <v>1683</v>
      </c>
      <c r="J184" t="s">
        <v>1527</v>
      </c>
      <c r="P184">
        <v>1</v>
      </c>
      <c r="U184" t="s">
        <v>1542</v>
      </c>
      <c r="V184" s="36" t="str">
        <f t="shared" si="2"/>
        <v>{dwID=1193,nFrame=47,szNote="被虏的江湖人士",col={0,255,0,},[3]={bScreenHead=true,},[4]={},aFocus={{dwMapID=-1,nMaxDistance=3,tRelation={bAll=false,bEnemy=false,bAlly=true,},tLife={bEnable=false,szOperator="&gt;",nValue=0,},},},},</v>
      </c>
    </row>
    <row r="185" spans="3:24" s="36" customFormat="1" x14ac:dyDescent="0.15">
      <c r="C185" s="36">
        <v>59858</v>
      </c>
      <c r="D185" s="36">
        <v>47</v>
      </c>
      <c r="I185" s="38" t="s">
        <v>2315</v>
      </c>
      <c r="J185" s="51" t="s">
        <v>2641</v>
      </c>
      <c r="P185" s="36">
        <v>1</v>
      </c>
      <c r="V185" s="36" t="str">
        <f t="shared" si="2"/>
        <v>{dwID=59858,nFrame=47,szNote="恶人谷精锐队长",col={255,120,31,},[3]={bScreenHead=true,},[4]={},},</v>
      </c>
    </row>
    <row r="186" spans="3:24" x14ac:dyDescent="0.15">
      <c r="C186">
        <v>36412</v>
      </c>
      <c r="D186">
        <v>52</v>
      </c>
      <c r="I186" t="s">
        <v>1863</v>
      </c>
      <c r="J186" t="s">
        <v>1527</v>
      </c>
      <c r="U186" t="s">
        <v>1836</v>
      </c>
      <c r="V186" s="36" t="str">
        <f t="shared" si="2"/>
        <v>{dwID=36412,nFrame=52,szNote="大旗·凛风堡",col={0,255,0,},[3]={},[4]={},aFocus={{dwMapID=-1,szDisplay="大旗·凛风堡",nMaxDistance=1,tRelation={bAll=true,bEnemy=false,bAlly=false,},tLife={bEnable=false,szOperator="&gt;",nValue=0,},},},tCountdown={{nClass=3,nIcon=3445,nFrame=3,szName="凛风堡·浩气大旗被夺",nTime=-1,key="凛风堡·浩气大旗",},{nClass=3,nIcon=3444,nFrame=7,szName="凛风堡·恶人大旗被夺",nTime=-1,key="凛风堡·恶人大旗",},},},</v>
      </c>
      <c r="W186" s="36" t="s">
        <v>2235</v>
      </c>
      <c r="X186" s="36" t="s">
        <v>2264</v>
      </c>
    </row>
    <row r="187" spans="3:24" s="36" customFormat="1" x14ac:dyDescent="0.15">
      <c r="C187" s="36">
        <v>30041</v>
      </c>
      <c r="D187" s="36">
        <v>52</v>
      </c>
      <c r="I187" s="36" t="s">
        <v>2154</v>
      </c>
      <c r="U187" s="36" t="s">
        <v>2384</v>
      </c>
      <c r="V187" s="36" t="str">
        <f t="shared" si="2"/>
        <v>{dwID=30041,nFrame=52,szNote="城门·昆仑",[3]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7" s="36" t="s">
        <v>1992</v>
      </c>
    </row>
    <row r="188" spans="3:24" s="36" customFormat="1" x14ac:dyDescent="0.15">
      <c r="C188" s="36">
        <v>29801</v>
      </c>
      <c r="D188" s="36">
        <v>52</v>
      </c>
      <c r="I188" s="36" t="s">
        <v>2142</v>
      </c>
      <c r="U188" s="36" t="s">
        <v>2684</v>
      </c>
      <c r="V188" s="36" t="str">
        <f t="shared" si="2"/>
        <v>{dwID=29801,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9" spans="3:24" s="36" customFormat="1" x14ac:dyDescent="0.15">
      <c r="C189" s="36">
        <v>29802</v>
      </c>
      <c r="D189" s="36">
        <v>52</v>
      </c>
      <c r="I189" s="36" t="s">
        <v>2142</v>
      </c>
      <c r="U189" s="36" t="s">
        <v>2684</v>
      </c>
      <c r="V189" s="36" t="str">
        <f t="shared" si="2"/>
        <v>{dwID=29802,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0" spans="3:24" s="36" customFormat="1" x14ac:dyDescent="0.15">
      <c r="C190" s="36">
        <v>29803</v>
      </c>
      <c r="D190" s="36">
        <v>52</v>
      </c>
      <c r="I190" s="36" t="s">
        <v>2142</v>
      </c>
      <c r="U190" s="36" t="s">
        <v>2684</v>
      </c>
      <c r="V190" s="36" t="str">
        <f t="shared" si="2"/>
        <v>{dwID=29803,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1" spans="3:24" s="36" customFormat="1" x14ac:dyDescent="0.15">
      <c r="C191" s="36">
        <v>29804</v>
      </c>
      <c r="D191" s="36">
        <v>52</v>
      </c>
      <c r="I191" s="36" t="s">
        <v>2142</v>
      </c>
      <c r="U191" s="36" t="s">
        <v>2684</v>
      </c>
      <c r="V191" s="36" t="str">
        <f t="shared" si="2"/>
        <v>{dwID=29804,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2" spans="3:24" s="36" customFormat="1" x14ac:dyDescent="0.15">
      <c r="C192" s="40">
        <v>29601</v>
      </c>
      <c r="D192" s="36">
        <v>52</v>
      </c>
      <c r="I192" s="36" t="s">
        <v>2158</v>
      </c>
      <c r="U192" s="36" t="s">
        <v>2684</v>
      </c>
      <c r="V192" s="36" t="str">
        <f t="shared" si="2"/>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3" spans="1:24" s="36" customFormat="1" x14ac:dyDescent="0.15">
      <c r="C193" s="40">
        <v>29602</v>
      </c>
      <c r="D193" s="36">
        <v>52</v>
      </c>
      <c r="I193" s="36" t="s">
        <v>2158</v>
      </c>
      <c r="U193" s="36" t="s">
        <v>2684</v>
      </c>
      <c r="V193" s="36" t="str">
        <f t="shared" si="2"/>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4" spans="1:24" s="36" customFormat="1" x14ac:dyDescent="0.15">
      <c r="C194" s="40">
        <v>29603</v>
      </c>
      <c r="D194" s="36">
        <v>52</v>
      </c>
      <c r="I194" s="36" t="s">
        <v>2158</v>
      </c>
      <c r="U194" s="36" t="s">
        <v>2684</v>
      </c>
      <c r="V194" s="36" t="str">
        <f t="shared" ref="V194:V257" si="3">IF(ISBLANK(B194)=FALSE,IF(ISBLANK(B193),"},["&amp;B194&amp;"]={","["&amp;B194&amp;"]={"),IF(AND(ISBLANK(B194),ISBLANK(D194),ISBLANK(C194),OR(ISBLANK(B193)=FALSE,ISBLANK(D193)=FALSE,ISBLANK(C193)=FALSE)),"},},}",IF(ISBLANK(C194),"","{dwID="&amp;C194&amp;","&amp;"nFrame="&amp;D194&amp;","&amp;IF(E194&gt;0,"nCount="&amp;E194&amp;",","")&amp;IF(F194&gt;0,"bAllLeave=true,","")&amp;IF(G194&lt;&gt;"","szName="""&amp;G194&amp;""",","")&amp;IF(H194&lt;&gt;"","tKungFu={"&amp;H194&amp;"},","")&amp;IF(I194&lt;&gt;"","szNote="""&amp;I194&amp;""",","")&amp;IF(J194&lt;&gt;"","col={"&amp;J194&amp;"},","")&amp;"[3]={"&amp;IF(K194&lt;&gt;"","tMark={"&amp;K194&amp;"},","")&amp;IF(L194&lt;&gt;"","szVoice="""&amp;L194&amp;""",","")&amp;IF(M194&gt;0,"bTeamChannel=true,","")&amp;IF(N194&gt;0,"bWhisperChannel=true,","")&amp;IF(O194&gt;0,"bCenterAlarm=true,","")&amp;IF(P194&gt;0,"bScreenHead=true,","")&amp;"},"&amp;"[4]={"&amp;IF(Q194&lt;&gt;"","szVoice="""&amp;Q194&amp;""",","")&amp;IF(R194&gt;0,"bTeamChannel=true,","")&amp;IF(S194&gt;0,"bWhisperChannel=true,","")&amp;IF(T194&gt;0,"bCenterAlarm=true,","")&amp;"},"&amp;IF(U194&lt;&gt;"","aFocus={"&amp;U194&amp;"},","")&amp;IF(W194&lt;&gt;"","tCountdown={"&amp;_xlfn.TEXTJOIN("",TRUE,W194:ZZ194)&amp;"},","")&amp;"},")))</f>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5" spans="1:24" s="36" customFormat="1" x14ac:dyDescent="0.15">
      <c r="C195" s="40">
        <v>29604</v>
      </c>
      <c r="D195" s="36">
        <v>52</v>
      </c>
      <c r="I195" s="36" t="s">
        <v>2158</v>
      </c>
      <c r="U195" s="36" t="s">
        <v>2684</v>
      </c>
      <c r="V195" s="36" t="str">
        <f t="shared" si="3"/>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6" spans="1:24" s="36" customFormat="1" x14ac:dyDescent="0.15">
      <c r="C196" s="40">
        <v>29605</v>
      </c>
      <c r="D196" s="36">
        <v>52</v>
      </c>
      <c r="I196" s="36" t="s">
        <v>2158</v>
      </c>
      <c r="U196" s="36" t="s">
        <v>2684</v>
      </c>
      <c r="V196" s="36" t="str">
        <f t="shared" si="3"/>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7" spans="1:24" s="36" customFormat="1" x14ac:dyDescent="0.15">
      <c r="C197" s="40">
        <v>29701</v>
      </c>
      <c r="D197" s="36">
        <v>52</v>
      </c>
      <c r="I197" s="36" t="s">
        <v>2158</v>
      </c>
      <c r="U197" s="36" t="s">
        <v>2684</v>
      </c>
      <c r="V197" s="36" t="str">
        <f t="shared" si="3"/>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8" spans="1:24" x14ac:dyDescent="0.15">
      <c r="A198" t="s">
        <v>1807</v>
      </c>
      <c r="B198">
        <v>21</v>
      </c>
      <c r="V198" s="36" t="str">
        <f t="shared" si="3"/>
        <v>},[21]={</v>
      </c>
    </row>
    <row r="199" spans="1:24" s="36" customFormat="1" x14ac:dyDescent="0.15">
      <c r="C199" s="36">
        <v>59845</v>
      </c>
      <c r="D199" s="36">
        <v>47</v>
      </c>
      <c r="I199" s="38" t="s">
        <v>2316</v>
      </c>
      <c r="J199" s="50" t="s">
        <v>2640</v>
      </c>
      <c r="P199" s="36">
        <v>1</v>
      </c>
      <c r="V199" s="36" t="str">
        <f t="shared" si="3"/>
        <v>{dwID=59845,nFrame=47,szNote="浩气盟精锐队长",col={31,230,255,},[3]={bScreenHead=true,},[4]={},},</v>
      </c>
    </row>
    <row r="200" spans="1:24" x14ac:dyDescent="0.15">
      <c r="C200">
        <v>36434</v>
      </c>
      <c r="D200">
        <v>52</v>
      </c>
      <c r="I200" t="s">
        <v>1865</v>
      </c>
      <c r="J200" t="s">
        <v>1527</v>
      </c>
      <c r="U200" t="s">
        <v>1837</v>
      </c>
      <c r="V200" s="36" t="str">
        <f t="shared" si="3"/>
        <v>{dwID=36434,nFrame=52,szNote="大旗·盘龙坞",col={0,255,0,},[3]={},[4]={},aFocus={{dwMapID=-1,szDisplay="大旗·盘龙坞",nMaxDistance=1,tRelation={bAll=true,bEnemy=false,bAlly=false,},tLife={bEnable=false,szOperator="&gt;",nValue=0,},},},tCountdown={{nClass=3,nIcon=3445,nFrame=3,szName="盘龙坞·浩气大旗被夺",nTime=-1,key="盘龙坞·浩气大旗",},{nClass=3,nIcon=3444,nFrame=7,szName="盘龙坞·恶人大旗被夺",nTime=-1,key="盘龙坞·恶人大旗",},},},</v>
      </c>
      <c r="W200" s="36" t="s">
        <v>2236</v>
      </c>
      <c r="X200" s="36" t="s">
        <v>2265</v>
      </c>
    </row>
    <row r="201" spans="1:24" x14ac:dyDescent="0.15">
      <c r="C201">
        <v>36435</v>
      </c>
      <c r="D201">
        <v>52</v>
      </c>
      <c r="I201" t="s">
        <v>1866</v>
      </c>
      <c r="J201" t="s">
        <v>1527</v>
      </c>
      <c r="U201" t="s">
        <v>1838</v>
      </c>
      <c r="V201" s="36" t="str">
        <f t="shared" si="3"/>
        <v>{dwID=36435,nFrame=52,szNote="大旗·逐鹿坪",col={0,255,0,},[3]={},[4]={},aFocus={{dwMapID=-1,szDisplay="大旗·逐鹿坪",nMaxDistance=1,tRelation={bAll=true,bEnemy=false,bAlly=false,},tLife={bEnable=false,szOperator="&gt;",nValue=0,},},},tCountdown={{nClass=3,nIcon=3445,nFrame=3,szName="逐鹿坪·浩气大旗被夺",nTime=-1,key="逐鹿坪·浩气大旗",},{nClass=3,nIcon=3444,nFrame=7,szName="逐鹿坪·恶人大旗被夺",nTime=-1,key="逐鹿坪·恶人大旗",},},},</v>
      </c>
      <c r="W201" s="36" t="s">
        <v>2237</v>
      </c>
      <c r="X201" s="36" t="s">
        <v>2266</v>
      </c>
    </row>
    <row r="202" spans="1:24" x14ac:dyDescent="0.15">
      <c r="C202">
        <v>1317</v>
      </c>
      <c r="D202">
        <v>47</v>
      </c>
      <c r="I202" t="s">
        <v>1763</v>
      </c>
      <c r="P202">
        <v>1</v>
      </c>
      <c r="U202" t="s">
        <v>1533</v>
      </c>
      <c r="V202" s="36" t="str">
        <f t="shared" si="3"/>
        <v>{dwID=1317,nFrame=47,szNote="左破天·阵营前置",[3]={bScreenHead=true,},[4]={},aFocus={{dwMapID=-1,szDisplay="左破天·阵营前置",nMaxDistance=0,tRelation={bAll=true,bEnemy=false,bAlly=false,},tLife={bEnable=false,szOperator="&gt;",nValue=0,},},},tCountdown={{nClass=12,nIcon=13,nFrame=4,szName="左破天·刷新剩余",nTime=10.1,},},},</v>
      </c>
      <c r="W202" s="36" t="s">
        <v>1675</v>
      </c>
    </row>
    <row r="203" spans="1:24" x14ac:dyDescent="0.15">
      <c r="C203">
        <v>1308</v>
      </c>
      <c r="D203">
        <v>47</v>
      </c>
      <c r="I203" t="s">
        <v>1764</v>
      </c>
      <c r="P203">
        <v>1</v>
      </c>
      <c r="U203" t="s">
        <v>1532</v>
      </c>
      <c r="V203" s="36" t="str">
        <f t="shared" si="3"/>
        <v>{dwID=1308,nFrame=47,szNote="郭海宾·阵营前置",[3]={bScreenHead=true,},[4]={},aFocus={{dwMapID=-1,szDisplay="郭海宾·阵营前置",nMaxDistance=0,tRelation={bAll=true,bEnemy=false,bAlly=false,},tLife={bEnable=false,szOperator="&gt;",nValue=0,},},},tCountdown={{nClass=12,nIcon=13,nFrame=4,szName="郭海宾·刷新剩余",nTime=10.1,},},},</v>
      </c>
      <c r="W203" s="36" t="s">
        <v>1674</v>
      </c>
    </row>
    <row r="204" spans="1:24" x14ac:dyDescent="0.15">
      <c r="C204">
        <v>6220</v>
      </c>
      <c r="D204">
        <v>47</v>
      </c>
      <c r="I204" t="s">
        <v>1702</v>
      </c>
      <c r="P204">
        <v>1</v>
      </c>
      <c r="U204" t="s">
        <v>1534</v>
      </c>
      <c r="V204" s="36" t="str">
        <f t="shared" si="3"/>
        <v>{dwID=6220,nFrame=47,szNote="赵新宇·阵营前置",[3]={bScreenHead=true,},[4]={},aFocus={{dwMapID=-1,szDisplay="赵新宇·阵营前置",nMaxDistance=0,tRelation={bAll=true,bEnemy=false,bAlly=false,},tLife={bEnable=false,szOperator="&gt;",nValue=0,},},},},</v>
      </c>
    </row>
    <row r="205" spans="1:24" x14ac:dyDescent="0.15">
      <c r="C205">
        <v>6219</v>
      </c>
      <c r="D205">
        <v>47</v>
      </c>
      <c r="I205" t="s">
        <v>1703</v>
      </c>
      <c r="P205">
        <v>1</v>
      </c>
      <c r="U205" t="s">
        <v>1535</v>
      </c>
      <c r="V205" s="36" t="str">
        <f t="shared" si="3"/>
        <v>{dwID=6219,nFrame=47,szNote="方超·阵营前置",[3]={bScreenHead=true,},[4]={},aFocus={{dwMapID=-1,szDisplay="方超··阵营前置",nMaxDistance=0,tRelation={bAll=true,bEnemy=false,bAlly=false,},tLife={bEnable=false,szOperator="&gt;",nValue=0,},},},},</v>
      </c>
    </row>
    <row r="206" spans="1:24" x14ac:dyDescent="0.15">
      <c r="C206">
        <v>7605</v>
      </c>
      <c r="D206">
        <v>47</v>
      </c>
      <c r="I206" t="s">
        <v>1692</v>
      </c>
      <c r="J206" t="s">
        <v>1432</v>
      </c>
      <c r="P206">
        <v>1</v>
      </c>
      <c r="U206" t="s">
        <v>1696</v>
      </c>
      <c r="V206" s="36" t="str">
        <f t="shared" si="3"/>
        <v>{dwID=7605,nFrame=47,szNote="何非笑·阵营前置",col={255,255,100,},[3]={bScreenHead=true,},[4]={},aFocus={{dwMapID=-1,szDisplay="何非笑·阵营前置",nMaxDistance=0,tRelation={bAll=false,bEnemy=false,bAlly=true,},tLife={bEnable=false,szOperator="&gt;",nValue=0,},},},},</v>
      </c>
    </row>
    <row r="207" spans="1:24" x14ac:dyDescent="0.15">
      <c r="C207">
        <v>7606</v>
      </c>
      <c r="D207">
        <v>47</v>
      </c>
      <c r="I207" t="s">
        <v>1690</v>
      </c>
      <c r="J207" t="s">
        <v>1531</v>
      </c>
      <c r="P207">
        <v>1</v>
      </c>
      <c r="U207" t="s">
        <v>1697</v>
      </c>
      <c r="V207" s="36" t="str">
        <f t="shared" si="3"/>
        <v>{dwID=7606,nFrame=47,szNote="王洵·阵营前置",col={100,255,255,},[3]={bScreenHead=true,},[4]={},aFocus={{dwMapID=-1,szDisplay="王洵·阵营前置",nMaxDistance=20,tRelation={bAll=false,bEnemy=false,bAlly=true,},tLife={bEnable=false,szOperator="&gt;",nValue=0,},},},},</v>
      </c>
    </row>
    <row r="208" spans="1:24" x14ac:dyDescent="0.15">
      <c r="A208" t="s">
        <v>1808</v>
      </c>
      <c r="B208">
        <v>23</v>
      </c>
      <c r="V208" s="36" t="str">
        <f t="shared" si="3"/>
        <v>},[23]={</v>
      </c>
    </row>
    <row r="209" spans="3:24" s="36" customFormat="1" x14ac:dyDescent="0.15">
      <c r="C209" s="36">
        <v>59858</v>
      </c>
      <c r="D209" s="36">
        <v>47</v>
      </c>
      <c r="I209" s="38" t="s">
        <v>2315</v>
      </c>
      <c r="J209" s="51" t="s">
        <v>2641</v>
      </c>
      <c r="P209" s="36">
        <v>1</v>
      </c>
      <c r="V209" s="36" t="str">
        <f t="shared" si="3"/>
        <v>{dwID=59858,nFrame=47,szNote="恶人谷精锐队长",col={255,120,31,},[3]={bScreenHead=true,},[4]={},},</v>
      </c>
    </row>
    <row r="210" spans="3:24" x14ac:dyDescent="0.15">
      <c r="C210">
        <v>36414</v>
      </c>
      <c r="D210">
        <v>52</v>
      </c>
      <c r="I210" t="s">
        <v>1878</v>
      </c>
      <c r="J210" t="s">
        <v>1527</v>
      </c>
      <c r="U210" t="s">
        <v>1839</v>
      </c>
      <c r="V210" s="36" t="str">
        <f t="shared" si="3"/>
        <v>{dwID=36414,nFrame=52,szNote="大旗·龙门镇",col={0,255,0,},[3]={},[4]={},aFocus={{dwMapID=-1,szDisplay="大旗·龙门镇",nMaxDistance=1,tRelation={bAll=true,bEnemy=false,bAlly=false,},tLife={bEnable=false,szOperator="&gt;",nValue=0,},},},tCountdown={{nClass=3,nIcon=3445,nFrame=3,szName="龙门镇·浩气大旗被夺",nTime=-1,key="龙门镇·浩气大旗",},{nClass=3,nIcon=3444,nFrame=7,szName="龙门镇·恶人大旗被夺",nTime=-1,key="龙门镇·恶人大旗",},},},</v>
      </c>
      <c r="W210" s="36" t="s">
        <v>2238</v>
      </c>
      <c r="X210" s="36" t="s">
        <v>2267</v>
      </c>
    </row>
    <row r="211" spans="3:24" x14ac:dyDescent="0.15">
      <c r="C211">
        <v>36415</v>
      </c>
      <c r="D211">
        <v>52</v>
      </c>
      <c r="I211" t="s">
        <v>1877</v>
      </c>
      <c r="J211" t="s">
        <v>1527</v>
      </c>
      <c r="U211" t="s">
        <v>1840</v>
      </c>
      <c r="V211" s="36" t="str">
        <f t="shared" si="3"/>
        <v>{dwID=36415,nFrame=52,szNote="大旗·飞沙关",col={0,255,0,},[3]={},[4]={},aFocus={{dwMapID=-1,szDisplay="大旗·飞沙关",nMaxDistance=1,tRelation={bAll=true,bEnemy=false,bAlly=false,},tLife={bEnable=false,szOperator="&gt;",nValue=0,},},},tCountdown={{nClass=3,nIcon=3445,nFrame=3,szName="飞沙关·浩气大旗被夺",nTime=-1,key="飞沙关·浩气大旗",},{nClass=3,nIcon=3444,nFrame=7,szName="飞沙关·恶人大旗被夺",nTime=-1,key="飞沙关·恶人大旗",},},},</v>
      </c>
      <c r="W211" s="36" t="s">
        <v>2239</v>
      </c>
      <c r="X211" s="36" t="s">
        <v>2268</v>
      </c>
    </row>
    <row r="212" spans="3:24" x14ac:dyDescent="0.15">
      <c r="C212">
        <v>7604</v>
      </c>
      <c r="D212">
        <v>47</v>
      </c>
      <c r="I212" t="s">
        <v>1691</v>
      </c>
      <c r="J212" t="s">
        <v>1432</v>
      </c>
      <c r="P212">
        <v>1</v>
      </c>
      <c r="U212" t="s">
        <v>1696</v>
      </c>
      <c r="V212" s="36" t="str">
        <f t="shared" si="3"/>
        <v>{dwID=7604,nFrame=47,szNote="何非笑·阵营前置",col={255,255,100,},[3]={bScreenHead=true,},[4]={},aFocus={{dwMapID=-1,szDisplay="何非笑·阵营前置",nMaxDistance=0,tRelation={bAll=false,bEnemy=false,bAlly=true,},tLife={bEnable=false,szOperator="&gt;",nValue=0,},},},},</v>
      </c>
    </row>
    <row r="213" spans="3:24" x14ac:dyDescent="0.15">
      <c r="C213">
        <v>7607</v>
      </c>
      <c r="D213">
        <v>47</v>
      </c>
      <c r="I213" t="s">
        <v>1689</v>
      </c>
      <c r="J213" t="s">
        <v>1531</v>
      </c>
      <c r="P213">
        <v>1</v>
      </c>
      <c r="U213" t="s">
        <v>1697</v>
      </c>
      <c r="V213" s="36" t="str">
        <f t="shared" si="3"/>
        <v>{dwID=7607,nFrame=47,szNote="王洵·阵营前置",col={100,255,255,},[3]={bScreenHead=true,},[4]={},aFocus={{dwMapID=-1,szDisplay="王洵·阵营前置",nMaxDistance=20,tRelation={bAll=false,bEnemy=false,bAlly=true,},tLife={bEnable=false,szOperator="&gt;",nValue=0,},},},},</v>
      </c>
    </row>
    <row r="214" spans="3:24" x14ac:dyDescent="0.15">
      <c r="C214">
        <v>1215</v>
      </c>
      <c r="D214">
        <v>47</v>
      </c>
      <c r="I214" t="s">
        <v>1765</v>
      </c>
      <c r="P214">
        <v>1</v>
      </c>
      <c r="U214" t="s">
        <v>1528</v>
      </c>
      <c r="V214" s="36" t="str">
        <f t="shared" si="3"/>
        <v>{dwID=1215,nFrame=47,szNote="于成仇·阵营前置",[3]={bScreenHead=true,},[4]={},aFocus={{dwMapID=-1,nMaxDistance=0,tRelation={bAll=false,bEnemy=true,bAlly=false,},tLife={bEnable=false,szOperator="&gt;",nValue=0,},},},tCountdown={{nClass=12,nIcon=13,nFrame=4,szName="于成仇·刷新剩余",nTime=10.1,},},},</v>
      </c>
      <c r="W214" s="36" t="s">
        <v>1676</v>
      </c>
    </row>
    <row r="215" spans="3:24" x14ac:dyDescent="0.15">
      <c r="C215">
        <v>1217</v>
      </c>
      <c r="D215">
        <v>47</v>
      </c>
      <c r="I215" t="s">
        <v>1766</v>
      </c>
      <c r="P215">
        <v>1</v>
      </c>
      <c r="U215" t="s">
        <v>1528</v>
      </c>
      <c r="V215" s="36" t="str">
        <f t="shared" si="3"/>
        <v>{dwID=1217,nFrame=47,szNote="阎世通·阵营前置",[3]={bScreenHead=true,},[4]={},aFocus={{dwMapID=-1,nMaxDistance=0,tRelation={bAll=false,bEnemy=true,bAlly=false,},tLife={bEnable=false,szOperator="&gt;",nValue=0,},},},tCountdown={{nClass=12,nIcon=13,nFrame=4,szName="阎世通·刷新剩余",nTime=10.1,},},},</v>
      </c>
      <c r="W215" s="36" t="s">
        <v>1677</v>
      </c>
    </row>
    <row r="216" spans="3:24" x14ac:dyDescent="0.15">
      <c r="C216">
        <v>6222</v>
      </c>
      <c r="D216">
        <v>47</v>
      </c>
      <c r="I216" t="s">
        <v>1762</v>
      </c>
      <c r="P216">
        <v>1</v>
      </c>
      <c r="U216" t="s">
        <v>1686</v>
      </c>
      <c r="V216" s="36" t="str">
        <f t="shared" si="3"/>
        <v>{dwID=6222,nFrame=47,szNote="霸图·阵营前置",[3]={bScreenHead=true,},[4]={},aFocus={{dwMapID=-1,szDisplay="霸图·阵营前置",nMaxDistance=0,tRelation={bAll=true,bEnemy=false,bAlly=false,},tLife={bEnable=false,szOperator="&gt;",nValue=0,},},},},</v>
      </c>
    </row>
    <row r="217" spans="3:24" x14ac:dyDescent="0.15">
      <c r="C217">
        <v>6221</v>
      </c>
      <c r="D217">
        <v>47</v>
      </c>
      <c r="I217" t="s">
        <v>1685</v>
      </c>
      <c r="P217">
        <v>1</v>
      </c>
      <c r="U217" t="s">
        <v>1684</v>
      </c>
      <c r="V217" s="36" t="str">
        <f t="shared" si="3"/>
        <v>{dwID=6221,nFrame=47,szNote="孙永恒·阵营前置",[3]={bScreenHead=true,},[4]={},aFocus={{dwMapID=-1,szDisplay="孙永恒·阵营前置",nMaxDistance=0,tRelation={bAll=true,bEnemy=false,bAlly=false,},tLife={bEnable=false,szOperator="&gt;",nValue=0,},},},},</v>
      </c>
    </row>
    <row r="218" spans="3:24" x14ac:dyDescent="0.15">
      <c r="C218">
        <v>56418</v>
      </c>
      <c r="D218">
        <v>47</v>
      </c>
      <c r="I218" t="s">
        <v>1698</v>
      </c>
      <c r="J218" t="s">
        <v>1527</v>
      </c>
      <c r="P218">
        <v>1</v>
      </c>
      <c r="U218" t="s">
        <v>1605</v>
      </c>
      <c r="V218" s="36" t="str">
        <f t="shared" si="3"/>
        <v>{dwID=56418,nFrame=47,szNote="休憩的商人",col={0,255,0,},[3]={bScreenHead=true,},[4]={},aFocus={{dwMapID=-1,nMaxDistance=10,tRelation={bAll=false,bEnemy=false,bAlly=true,},tLife={bEnable=true,szOperator="==",nValue=100,},},},},</v>
      </c>
    </row>
    <row r="219" spans="3:24" x14ac:dyDescent="0.15">
      <c r="C219">
        <v>1193</v>
      </c>
      <c r="D219">
        <v>47</v>
      </c>
      <c r="I219" t="s">
        <v>1683</v>
      </c>
      <c r="J219" t="s">
        <v>1527</v>
      </c>
      <c r="P219">
        <v>1</v>
      </c>
      <c r="U219" t="s">
        <v>1542</v>
      </c>
      <c r="V219" s="36" t="str">
        <f t="shared" si="3"/>
        <v>{dwID=1193,nFrame=47,szNote="被虏的江湖人士",col={0,255,0,},[3]={bScreenHead=true,},[4]={},aFocus={{dwMapID=-1,nMaxDistance=3,tRelation={bAll=false,bEnemy=false,bAlly=true,},tLife={bEnable=false,szOperator="&gt;",nValue=0,},},},},</v>
      </c>
    </row>
    <row r="220" spans="3:24" s="36" customFormat="1" x14ac:dyDescent="0.15">
      <c r="C220" s="36">
        <v>30021</v>
      </c>
      <c r="D220" s="36">
        <v>52</v>
      </c>
      <c r="I220" s="36" t="s">
        <v>2156</v>
      </c>
      <c r="U220" s="36" t="s">
        <v>2384</v>
      </c>
      <c r="V220" s="36" t="str">
        <f t="shared" si="3"/>
        <v>{dwID=30021,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0" s="36" t="s">
        <v>1992</v>
      </c>
    </row>
    <row r="221" spans="3:24" s="36" customFormat="1" x14ac:dyDescent="0.15">
      <c r="C221" s="36">
        <v>30022</v>
      </c>
      <c r="D221" s="36">
        <v>52</v>
      </c>
      <c r="I221" s="36" t="s">
        <v>2156</v>
      </c>
      <c r="U221" s="36" t="s">
        <v>2384</v>
      </c>
      <c r="V221" s="36" t="str">
        <f t="shared" si="3"/>
        <v>{dwID=30022,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1" s="36" t="s">
        <v>1992</v>
      </c>
    </row>
    <row r="222" spans="3:24" s="36" customFormat="1" x14ac:dyDescent="0.15">
      <c r="C222" s="36">
        <v>30023</v>
      </c>
      <c r="D222" s="36">
        <v>52</v>
      </c>
      <c r="I222" s="36" t="s">
        <v>2156</v>
      </c>
      <c r="U222" s="36" t="s">
        <v>2384</v>
      </c>
      <c r="V222" s="36" t="str">
        <f t="shared" si="3"/>
        <v>{dwID=30023,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2" s="36" t="s">
        <v>1992</v>
      </c>
    </row>
    <row r="223" spans="3:24" s="36" customFormat="1" x14ac:dyDescent="0.15">
      <c r="C223" s="36">
        <v>30024</v>
      </c>
      <c r="D223" s="36">
        <v>52</v>
      </c>
      <c r="I223" s="36" t="s">
        <v>2156</v>
      </c>
      <c r="U223" s="36" t="s">
        <v>2384</v>
      </c>
      <c r="V223" s="36" t="str">
        <f t="shared" si="3"/>
        <v>{dwID=30024,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3" s="36" t="s">
        <v>1992</v>
      </c>
    </row>
    <row r="224" spans="3:24" s="36" customFormat="1" x14ac:dyDescent="0.15">
      <c r="C224" s="36">
        <v>30221</v>
      </c>
      <c r="D224" s="36">
        <v>52</v>
      </c>
      <c r="I224" s="36" t="s">
        <v>2147</v>
      </c>
      <c r="U224" s="36" t="s">
        <v>2682</v>
      </c>
      <c r="V224" s="36" t="str">
        <f t="shared" si="3"/>
        <v>{dwID=30221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5" spans="3:22" s="36" customFormat="1" x14ac:dyDescent="0.15">
      <c r="C225" s="36">
        <v>30222</v>
      </c>
      <c r="D225" s="36">
        <v>52</v>
      </c>
      <c r="I225" s="36" t="s">
        <v>2147</v>
      </c>
      <c r="U225" s="36" t="s">
        <v>2682</v>
      </c>
      <c r="V225" s="36" t="str">
        <f t="shared" si="3"/>
        <v>{dwID=30222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6" spans="3:22" s="36" customFormat="1" x14ac:dyDescent="0.15">
      <c r="C226" s="36">
        <v>30231</v>
      </c>
      <c r="D226" s="36">
        <v>52</v>
      </c>
      <c r="I226" s="36" t="s">
        <v>2147</v>
      </c>
      <c r="U226" s="36" t="s">
        <v>2682</v>
      </c>
      <c r="V226" s="36" t="str">
        <f t="shared" si="3"/>
        <v>{dwID=30231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7" spans="3:22" s="36" customFormat="1" x14ac:dyDescent="0.15">
      <c r="C227" s="36">
        <v>30232</v>
      </c>
      <c r="D227" s="36">
        <v>52</v>
      </c>
      <c r="I227" s="36" t="s">
        <v>2147</v>
      </c>
      <c r="U227" s="36" t="s">
        <v>2682</v>
      </c>
      <c r="V227" s="36" t="str">
        <f t="shared" si="3"/>
        <v>{dwID=30232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8" spans="3:22" s="36" customFormat="1" x14ac:dyDescent="0.15">
      <c r="C228" s="36">
        <v>30121</v>
      </c>
      <c r="D228" s="36">
        <v>52</v>
      </c>
      <c r="I228" s="36" t="s">
        <v>2149</v>
      </c>
      <c r="U228" s="36" t="s">
        <v>2682</v>
      </c>
      <c r="V228" s="36" t="str">
        <f t="shared" si="3"/>
        <v>{dwID=30121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9" spans="3:22" s="36" customFormat="1" x14ac:dyDescent="0.15">
      <c r="C229" s="36">
        <v>30123</v>
      </c>
      <c r="D229" s="36">
        <v>52</v>
      </c>
      <c r="I229" s="36" t="s">
        <v>2149</v>
      </c>
      <c r="U229" s="36" t="s">
        <v>2682</v>
      </c>
      <c r="V229" s="36" t="str">
        <f t="shared" si="3"/>
        <v>{dwID=30123,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0" spans="3:22" s="36" customFormat="1" x14ac:dyDescent="0.15">
      <c r="C230" s="36">
        <v>30131</v>
      </c>
      <c r="D230" s="36">
        <v>52</v>
      </c>
      <c r="I230" s="36" t="s">
        <v>2149</v>
      </c>
      <c r="U230" s="36" t="s">
        <v>2682</v>
      </c>
      <c r="V230" s="36" t="str">
        <f t="shared" si="3"/>
        <v>{dwID=30131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1" spans="3:22" s="36" customFormat="1" x14ac:dyDescent="0.15">
      <c r="C231" s="36">
        <v>29301</v>
      </c>
      <c r="D231" s="36">
        <v>52</v>
      </c>
      <c r="I231" s="36" t="s">
        <v>2141</v>
      </c>
      <c r="U231" s="36" t="s">
        <v>2684</v>
      </c>
      <c r="V231" s="36" t="str">
        <f t="shared" si="3"/>
        <v>{dwID=29301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2" spans="3:22" s="36" customFormat="1" x14ac:dyDescent="0.15">
      <c r="C232" s="36">
        <v>29302</v>
      </c>
      <c r="D232" s="36">
        <v>52</v>
      </c>
      <c r="I232" s="36" t="s">
        <v>2141</v>
      </c>
      <c r="U232" s="36" t="s">
        <v>2684</v>
      </c>
      <c r="V232" s="36" t="str">
        <f t="shared" si="3"/>
        <v>{dwID=29302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3" spans="3:22" s="36" customFormat="1" x14ac:dyDescent="0.15">
      <c r="C233" s="36">
        <v>29303</v>
      </c>
      <c r="D233" s="36">
        <v>52</v>
      </c>
      <c r="I233" s="36" t="s">
        <v>2141</v>
      </c>
      <c r="U233" s="36" t="s">
        <v>2684</v>
      </c>
      <c r="V233" s="36" t="str">
        <f t="shared" si="3"/>
        <v>{dwID=29303,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4" spans="3:22" s="36" customFormat="1" x14ac:dyDescent="0.15">
      <c r="C234" s="36">
        <v>29304</v>
      </c>
      <c r="D234" s="36">
        <v>52</v>
      </c>
      <c r="I234" s="36" t="s">
        <v>2141</v>
      </c>
      <c r="U234" s="36" t="s">
        <v>2684</v>
      </c>
      <c r="V234" s="36" t="str">
        <f t="shared" si="3"/>
        <v>{dwID=29304,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5" spans="3:22" s="36" customFormat="1" x14ac:dyDescent="0.15">
      <c r="C235" s="36">
        <v>29305</v>
      </c>
      <c r="D235" s="36">
        <v>52</v>
      </c>
      <c r="I235" s="36" t="s">
        <v>2141</v>
      </c>
      <c r="U235" s="36" t="s">
        <v>2684</v>
      </c>
      <c r="V235" s="36" t="str">
        <f t="shared" si="3"/>
        <v>{dwID=29305,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6" spans="3:22" s="36" customFormat="1" x14ac:dyDescent="0.15">
      <c r="C236" s="36">
        <v>29306</v>
      </c>
      <c r="D236" s="36">
        <v>52</v>
      </c>
      <c r="I236" s="36" t="s">
        <v>2141</v>
      </c>
      <c r="U236" s="36" t="s">
        <v>2684</v>
      </c>
      <c r="V236" s="36" t="str">
        <f t="shared" si="3"/>
        <v>{dwID=29306,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7" spans="3:22" s="36" customFormat="1" x14ac:dyDescent="0.15">
      <c r="C237" s="36">
        <v>29307</v>
      </c>
      <c r="D237" s="36">
        <v>52</v>
      </c>
      <c r="I237" s="36" t="s">
        <v>2141</v>
      </c>
      <c r="U237" s="36" t="s">
        <v>2684</v>
      </c>
      <c r="V237" s="36" t="str">
        <f t="shared" si="3"/>
        <v>{dwID=29307,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8" spans="3:22" s="36" customFormat="1" x14ac:dyDescent="0.15">
      <c r="C238" s="36">
        <v>29308</v>
      </c>
      <c r="D238" s="36">
        <v>52</v>
      </c>
      <c r="I238" s="36" t="s">
        <v>2141</v>
      </c>
      <c r="U238" s="36" t="s">
        <v>2684</v>
      </c>
      <c r="V238" s="36" t="str">
        <f t="shared" si="3"/>
        <v>{dwID=29308,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9" spans="3:22" s="36" customFormat="1" x14ac:dyDescent="0.15">
      <c r="C239" s="36">
        <v>29309</v>
      </c>
      <c r="D239" s="36">
        <v>52</v>
      </c>
      <c r="I239" s="36" t="s">
        <v>2141</v>
      </c>
      <c r="U239" s="36" t="s">
        <v>2684</v>
      </c>
      <c r="V239" s="36" t="str">
        <f t="shared" si="3"/>
        <v>{dwID=29309,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0" spans="3:22" s="36" customFormat="1" x14ac:dyDescent="0.15">
      <c r="C240" s="36">
        <v>29401</v>
      </c>
      <c r="D240" s="36">
        <v>52</v>
      </c>
      <c r="I240" s="36" t="s">
        <v>2141</v>
      </c>
      <c r="U240" s="36" t="s">
        <v>2684</v>
      </c>
      <c r="V240" s="36" t="str">
        <f t="shared" si="3"/>
        <v>{dwID=29401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1" spans="1:24" s="36" customFormat="1" x14ac:dyDescent="0.15">
      <c r="C241" s="40">
        <v>29501</v>
      </c>
      <c r="D241" s="36">
        <v>52</v>
      </c>
      <c r="I241" s="36" t="s">
        <v>2159</v>
      </c>
      <c r="U241" s="36" t="s">
        <v>2684</v>
      </c>
      <c r="V241" s="36" t="str">
        <f t="shared" si="3"/>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2" spans="1:24" s="36" customFormat="1" x14ac:dyDescent="0.15">
      <c r="C242" s="36">
        <v>29502</v>
      </c>
      <c r="D242" s="36">
        <v>52</v>
      </c>
      <c r="I242" s="36" t="s">
        <v>2141</v>
      </c>
      <c r="U242" s="36" t="s">
        <v>2684</v>
      </c>
      <c r="V242" s="36" t="str">
        <f t="shared" si="3"/>
        <v>{dwID=29502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3" spans="1:24" x14ac:dyDescent="0.15">
      <c r="A243" t="s">
        <v>1809</v>
      </c>
      <c r="B243">
        <v>9</v>
      </c>
      <c r="V243" s="36" t="str">
        <f t="shared" si="3"/>
        <v>},[9]={</v>
      </c>
    </row>
    <row r="244" spans="1:24" s="36" customFormat="1" x14ac:dyDescent="0.15">
      <c r="C244" s="36">
        <v>59845</v>
      </c>
      <c r="D244" s="36">
        <v>47</v>
      </c>
      <c r="I244" s="38" t="s">
        <v>2316</v>
      </c>
      <c r="J244" s="50" t="s">
        <v>2640</v>
      </c>
      <c r="P244" s="36">
        <v>1</v>
      </c>
      <c r="V244" s="36" t="str">
        <f t="shared" si="3"/>
        <v>{dwID=59845,nFrame=47,szNote="浩气盟精锐队长",col={31,230,255,},[3]={bScreenHead=true,},[4]={},},</v>
      </c>
    </row>
    <row r="245" spans="1:24" x14ac:dyDescent="0.15">
      <c r="C245">
        <v>36433</v>
      </c>
      <c r="D245">
        <v>52</v>
      </c>
      <c r="I245" t="s">
        <v>1880</v>
      </c>
      <c r="J245" t="s">
        <v>1527</v>
      </c>
      <c r="U245" t="s">
        <v>1841</v>
      </c>
      <c r="V245" s="36" t="str">
        <f t="shared" si="3"/>
        <v>{dwID=36433,nFrame=52,szNote="大旗·红莲岗",col={0,255,0,},[3]={},[4]={},aFocus={{dwMapID=-1,szDisplay="大旗·红莲岗",nMaxDistance=1,tRelation={bAll=true,bEnemy=false,bAlly=false,},tLife={bEnable=false,szOperator="&gt;",nValue=0,},},},tCountdown={{nClass=3,nIcon=3445,nFrame=3,szName="红莲岗·浩气大旗被夺",nTime=-1,key="红莲岗·浩气大旗",},{nClass=3,nIcon=3444,nFrame=7,szName="红莲岗·恶人大旗被夺",nTime=-1,key="红莲岗·恶人大旗",},},},</v>
      </c>
      <c r="W245" s="36" t="s">
        <v>2240</v>
      </c>
      <c r="X245" s="36" t="s">
        <v>2269</v>
      </c>
    </row>
    <row r="246" spans="1:24" x14ac:dyDescent="0.15">
      <c r="C246">
        <v>36432</v>
      </c>
      <c r="D246">
        <v>52</v>
      </c>
      <c r="I246" t="s">
        <v>1876</v>
      </c>
      <c r="J246" t="s">
        <v>1527</v>
      </c>
      <c r="U246" t="s">
        <v>1842</v>
      </c>
      <c r="V246" s="36" t="str">
        <f t="shared" si="3"/>
        <v>{dwID=36432,nFrame=52,szNote="大旗·秋雨堡",col={0,255,0,},[3]={},[4]={},aFocus={{dwMapID=-1,szDisplay="大旗·秋雨堡",nMaxDistance=1,tRelation={bAll=true,bEnemy=false,bAlly=false,},tLife={bEnable=false,szOperator="&gt;",nValue=0,},},},tCountdown={{nClass=3,nIcon=3445,nFrame=3,szName="秋雨堡·浩气大旗被夺",nTime=-1,key="秋雨堡·浩气大旗",},{nClass=3,nIcon=3444,nFrame=7,szName="秋雨堡·恶人大旗被夺",nTime=-1,key="秋雨堡·恶人大旗",},},},</v>
      </c>
      <c r="W246" s="36" t="s">
        <v>2241</v>
      </c>
      <c r="X246" s="36" t="s">
        <v>2270</v>
      </c>
    </row>
    <row r="247" spans="1:24" x14ac:dyDescent="0.15">
      <c r="A247" t="s">
        <v>1810</v>
      </c>
      <c r="B247">
        <v>13</v>
      </c>
      <c r="V247" s="36" t="str">
        <f t="shared" si="3"/>
        <v>},[13]={</v>
      </c>
    </row>
    <row r="248" spans="1:24" x14ac:dyDescent="0.15">
      <c r="C248">
        <v>36430</v>
      </c>
      <c r="D248">
        <v>52</v>
      </c>
      <c r="I248" t="s">
        <v>1681</v>
      </c>
      <c r="J248" t="s">
        <v>1527</v>
      </c>
      <c r="U248" t="s">
        <v>1843</v>
      </c>
      <c r="V248" s="36" t="str">
        <f t="shared" si="3"/>
        <v>{dwID=36430,nFrame=52,szNote="大旗·金门关",col={0,255,0,},[3]={},[4]={},aFocus={{dwMapID=-1,szDisplay="大旗·金门关",nMaxDistance=1,tRelation={bAll=true,bEnemy=false,bAlly=false,},tLife={bEnable=false,szOperator="&gt;",nValue=0,},},},tCountdown={{nClass=3,nIcon=3445,nFrame=3,szName="金门关·浩气大旗被夺",nTime=-1,key="金门关·浩气大旗",},{nClass=3,nIcon=3444,nFrame=7,szName="金门关·恶人大旗被夺",nTime=-1,key="金门关·恶人大旗",},},},</v>
      </c>
      <c r="W248" s="36" t="s">
        <v>2242</v>
      </c>
      <c r="X248" s="36" t="s">
        <v>2271</v>
      </c>
    </row>
    <row r="249" spans="1:24" x14ac:dyDescent="0.15">
      <c r="C249">
        <v>36431</v>
      </c>
      <c r="D249">
        <v>52</v>
      </c>
      <c r="I249" t="s">
        <v>1680</v>
      </c>
      <c r="J249" t="s">
        <v>1527</v>
      </c>
      <c r="U249" t="s">
        <v>1844</v>
      </c>
      <c r="V249" s="36" t="str">
        <f t="shared" si="3"/>
        <v>{dwID=36431,nFrame=52,szNote="大旗·青云坞",col={0,255,0,},[3]={},[4]={},aFocus={{dwMapID=-1,szDisplay="大旗·青云坞",nMaxDistance=1,tRelation={bAll=true,bEnemy=false,bAlly=false,},tLife={bEnable=false,szOperator="&gt;",nValue=0,},},},tCountdown={{nClass=3,nIcon=3445,nFrame=3,szName="青云坞·浩气大旗被夺",nTime=-1,key="青云坞·浩气大旗",},{nClass=3,nIcon=3444,nFrame=7,szName="青云坞·恶人大旗被夺",nTime=-1,key="青云坞·恶人大旗",},},},</v>
      </c>
      <c r="W249" s="36" t="s">
        <v>2243</v>
      </c>
      <c r="X249" s="36" t="s">
        <v>2272</v>
      </c>
    </row>
    <row r="250" spans="1:24" x14ac:dyDescent="0.15">
      <c r="A250" t="s">
        <v>1811</v>
      </c>
      <c r="B250">
        <v>35</v>
      </c>
      <c r="V250" s="36" t="str">
        <f t="shared" si="3"/>
        <v>},[35]={</v>
      </c>
    </row>
    <row r="251" spans="1:24" x14ac:dyDescent="0.15">
      <c r="C251">
        <v>36425</v>
      </c>
      <c r="D251">
        <v>52</v>
      </c>
      <c r="I251" t="s">
        <v>1883</v>
      </c>
      <c r="J251" t="s">
        <v>1527</v>
      </c>
      <c r="U251" t="s">
        <v>1845</v>
      </c>
      <c r="V251" s="36" t="str">
        <f t="shared" si="3"/>
        <v>{dwID=36425,nFrame=52,szNote="大旗·激流坞",col={0,255,0,},[3]={},[4]={},aFocus={{dwMapID=-1,szDisplay="大旗·激流坞",nMaxDistance=1,tRelation={bAll=true,bEnemy=false,bAlly=false,},tLife={bEnable=false,szOperator="&gt;",nValue=0,},},},tCountdown={{nClass=3,nIcon=3445,nFrame=3,szName="激流坞·浩气大旗被夺",nTime=-1,key="激流坞·浩气大旗",},{nClass=3,nIcon=3444,nFrame=7,szName="激流坞·恶人大旗被夺",nTime=-1,key="激流坞·恶人大旗",},},},</v>
      </c>
      <c r="W251" s="36" t="s">
        <v>2244</v>
      </c>
      <c r="X251" s="36" t="s">
        <v>2273</v>
      </c>
    </row>
    <row r="252" spans="1:24" x14ac:dyDescent="0.15">
      <c r="C252">
        <v>36424</v>
      </c>
      <c r="D252">
        <v>52</v>
      </c>
      <c r="I252" t="s">
        <v>1875</v>
      </c>
      <c r="J252" t="s">
        <v>1527</v>
      </c>
      <c r="U252" t="s">
        <v>1846</v>
      </c>
      <c r="V252" s="36" t="str">
        <f t="shared" si="3"/>
        <v>{dwID=36424,nFrame=52,szNote="大旗·不空关",col={0,255,0,},[3]={},[4]={},aFocus={{dwMapID=-1,szDisplay="大旗·不空关",nMaxDistance=1,tRelation={bAll=true,bEnemy=false,bAlly=false,},tLife={bEnable=false,szOperator="&gt;",nValue=0,},},},tCountdown={{nClass=3,nIcon=3445,nFrame=3,szName="不空关·浩气大旗被夺",nTime=-1,key="不空关·浩气大旗",},{nClass=3,nIcon=3444,nFrame=7,szName="不空关·恶人大旗被夺",nTime=-1,key="不空关·恶人大旗",},},},</v>
      </c>
      <c r="W252" s="36" t="s">
        <v>2245</v>
      </c>
      <c r="X252" s="36" t="s">
        <v>2274</v>
      </c>
    </row>
    <row r="253" spans="1:24" s="36" customFormat="1" x14ac:dyDescent="0.15">
      <c r="C253" s="40">
        <v>29202</v>
      </c>
      <c r="D253" s="36">
        <v>52</v>
      </c>
      <c r="I253" s="36" t="s">
        <v>2157</v>
      </c>
      <c r="U253" s="36" t="s">
        <v>2684</v>
      </c>
      <c r="V253" s="36"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4" spans="1:24" s="36" customFormat="1" x14ac:dyDescent="0.15">
      <c r="C254" s="36">
        <v>29203</v>
      </c>
      <c r="D254" s="36">
        <v>52</v>
      </c>
      <c r="I254" s="36" t="s">
        <v>2143</v>
      </c>
      <c r="U254" s="36" t="s">
        <v>2684</v>
      </c>
      <c r="V254" s="36" t="str">
        <f t="shared" si="3"/>
        <v>{dwID=29203,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5" spans="1:24" s="36" customFormat="1" x14ac:dyDescent="0.15">
      <c r="C255" s="36">
        <v>29204</v>
      </c>
      <c r="D255" s="36">
        <v>52</v>
      </c>
      <c r="I255" s="36" t="s">
        <v>2143</v>
      </c>
      <c r="U255" s="36" t="s">
        <v>2684</v>
      </c>
      <c r="V255" s="36" t="str">
        <f t="shared" si="3"/>
        <v>{dwID=29204,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6" spans="1:24" s="36" customFormat="1" x14ac:dyDescent="0.15">
      <c r="C256" s="36">
        <v>29205</v>
      </c>
      <c r="D256" s="36">
        <v>52</v>
      </c>
      <c r="I256" s="36" t="s">
        <v>2143</v>
      </c>
      <c r="U256" s="36" t="s">
        <v>2684</v>
      </c>
      <c r="V256" s="36" t="str">
        <f t="shared" si="3"/>
        <v>{dwID=29205,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7" spans="1:24" s="36" customFormat="1" x14ac:dyDescent="0.15">
      <c r="C257" s="36">
        <v>29206</v>
      </c>
      <c r="D257" s="36">
        <v>52</v>
      </c>
      <c r="I257" s="36" t="s">
        <v>2143</v>
      </c>
      <c r="U257" s="36" t="s">
        <v>2684</v>
      </c>
      <c r="V257" s="36" t="str">
        <f t="shared" si="3"/>
        <v>{dwID=29206,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8" spans="1:24" x14ac:dyDescent="0.15">
      <c r="A258" t="s">
        <v>1812</v>
      </c>
      <c r="B258">
        <v>100</v>
      </c>
      <c r="V258" s="36" t="str">
        <f t="shared" ref="V258:V321" si="4">IF(ISBLANK(B258)=FALSE,IF(ISBLANK(B257),"},["&amp;B258&amp;"]={","["&amp;B258&amp;"]={"),IF(AND(ISBLANK(B258),ISBLANK(D258),ISBLANK(C258),OR(ISBLANK(B257)=FALSE,ISBLANK(D257)=FALSE,ISBLANK(C257)=FALSE)),"},},}",IF(ISBLANK(C258),"","{dwID="&amp;C258&amp;","&amp;"nFrame="&amp;D258&amp;","&amp;IF(E258&gt;0,"nCount="&amp;E258&amp;",","")&amp;IF(F258&gt;0,"bAllLeave=true,","")&amp;IF(G258&lt;&gt;"","szName="""&amp;G258&amp;""",","")&amp;IF(H258&lt;&gt;"","tKungFu={"&amp;H258&amp;"},","")&amp;IF(I258&lt;&gt;"","szNote="""&amp;I258&amp;""",","")&amp;IF(J258&lt;&gt;"","col={"&amp;J258&amp;"},","")&amp;"[3]={"&amp;IF(K258&lt;&gt;"","tMark={"&amp;K258&amp;"},","")&amp;IF(L258&lt;&gt;"","szVoice="""&amp;L258&amp;""",","")&amp;IF(M258&gt;0,"bTeamChannel=true,","")&amp;IF(N258&gt;0,"bWhisperChannel=true,","")&amp;IF(O258&gt;0,"bCenterAlarm=true,","")&amp;IF(P258&gt;0,"bScreenHead=true,","")&amp;"},"&amp;"[4]={"&amp;IF(Q258&lt;&gt;"","szVoice="""&amp;Q258&amp;""",","")&amp;IF(R258&gt;0,"bTeamChannel=true,","")&amp;IF(S258&gt;0,"bWhisperChannel=true,","")&amp;IF(T258&gt;0,"bCenterAlarm=true,","")&amp;"},"&amp;IF(U258&lt;&gt;"","aFocus={"&amp;U258&amp;"},","")&amp;IF(W258&lt;&gt;"","tCountdown={"&amp;_xlfn.TEXTJOIN("",TRUE,W258:ZZ258)&amp;"},","")&amp;"},")))</f>
        <v>},[100]={</v>
      </c>
    </row>
    <row r="259" spans="1:24" x14ac:dyDescent="0.15">
      <c r="C259">
        <v>36427</v>
      </c>
      <c r="D259">
        <v>52</v>
      </c>
      <c r="I259" t="s">
        <v>1885</v>
      </c>
      <c r="J259" t="s">
        <v>1527</v>
      </c>
      <c r="U259" t="s">
        <v>1847</v>
      </c>
      <c r="V259" s="36" t="str">
        <f t="shared" si="4"/>
        <v>{dwID=36427,nFrame=52,szNote="大旗·日月崖",col={0,255,0,},[3]={},[4]={},aFocus={{dwMapID=-1,szDisplay="大旗·日月崖",nMaxDistance=1,tRelation={bAll=true,bEnemy=false,bAlly=false,},tLife={bEnable=false,szOperator="&gt;",nValue=0,},},},tCountdown={{nClass=3,nIcon=3445,nFrame=3,szName="日月崖·浩气大旗被夺",nTime=-1,key="日月崖·浩气大旗",},{nClass=3,nIcon=3444,nFrame=7,szName="日月崖·恶人大旗被夺",nTime=-1,key="日月崖·恶人大旗",},},},</v>
      </c>
      <c r="W259" s="36" t="s">
        <v>2246</v>
      </c>
      <c r="X259" s="36" t="s">
        <v>2275</v>
      </c>
    </row>
    <row r="260" spans="1:24" x14ac:dyDescent="0.15">
      <c r="C260">
        <v>36426</v>
      </c>
      <c r="D260">
        <v>52</v>
      </c>
      <c r="I260" t="s">
        <v>1874</v>
      </c>
      <c r="J260" t="s">
        <v>1527</v>
      </c>
      <c r="U260" t="s">
        <v>1848</v>
      </c>
      <c r="V260" s="36" t="str">
        <f t="shared" si="4"/>
        <v>{dwID=36426,nFrame=52,szNote="大旗·卧龙坡",col={0,255,0,},[3]={},[4]={},aFocus={{dwMapID=-1,szDisplay="大旗·卧龙坡",nMaxDistance=1,tRelation={bAll=true,bEnemy=false,bAlly=false,},tLife={bEnable=false,szOperator="&gt;",nValue=0,},},},tCountdown={{nClass=3,nIcon=3445,nFrame=3,szName="卧龙坡·浩气大旗被夺",nTime=-1,key="卧龙坡·浩气大旗",},{nClass=3,nIcon=3444,nFrame=7,szName="卧龙坡·恶人大旗被夺",nTime=-1,key="卧龙坡·恶人大旗",},},},</v>
      </c>
      <c r="W260" s="36" t="s">
        <v>2247</v>
      </c>
      <c r="X260" s="36" t="s">
        <v>2276</v>
      </c>
    </row>
    <row r="261" spans="1:24" x14ac:dyDescent="0.15">
      <c r="A261" t="s">
        <v>1813</v>
      </c>
      <c r="B261">
        <v>101</v>
      </c>
      <c r="V261" s="36" t="str">
        <f t="shared" si="4"/>
        <v>},[101]={</v>
      </c>
    </row>
    <row r="262" spans="1:24" x14ac:dyDescent="0.15">
      <c r="C262">
        <v>36428</v>
      </c>
      <c r="D262">
        <v>52</v>
      </c>
      <c r="I262" t="s">
        <v>1887</v>
      </c>
      <c r="J262" t="s">
        <v>1527</v>
      </c>
      <c r="U262" t="s">
        <v>1849</v>
      </c>
      <c r="V262" s="36" t="str">
        <f t="shared" si="4"/>
        <v>{dwID=36428,nFrame=52,szNote="大旗·霜戈堡",col={0,255,0,},[3]={},[4]={},aFocus={{dwMapID=-1,szDisplay="大旗·霜戈堡",nMaxDistance=1,tRelation={bAll=true,bEnemy=false,bAlly=false,},tLife={bEnable=false,szOperator="&gt;",nValue=0,},},},tCountdown={{nClass=3,nIcon=3445,nFrame=3,szName="霜戈堡·浩气大旗被夺",nTime=-1,key="霜戈堡·浩气大旗",},{nClass=3,nIcon=3444,nFrame=7,szName="霜戈堡·恶人大旗被夺",nTime=-1,key="霜戈堡·恶人大旗",},},},</v>
      </c>
      <c r="W262" s="36" t="s">
        <v>2248</v>
      </c>
      <c r="X262" s="36" t="s">
        <v>2277</v>
      </c>
    </row>
    <row r="263" spans="1:24" x14ac:dyDescent="0.15">
      <c r="C263">
        <v>36429</v>
      </c>
      <c r="D263">
        <v>52</v>
      </c>
      <c r="I263" t="s">
        <v>1873</v>
      </c>
      <c r="J263" t="s">
        <v>1527</v>
      </c>
      <c r="U263" t="s">
        <v>1850</v>
      </c>
      <c r="V263" s="36" t="str">
        <f t="shared" si="4"/>
        <v>{dwID=36429,nFrame=52,szNote="大旗·澜沧城",col={0,255,0,},[3]={},[4]={},aFocus={{dwMapID=-1,szDisplay="大旗·澜沧城",nMaxDistance=1,tRelation={bAll=true,bEnemy=false,bAlly=false,},tLife={bEnable=false,szOperator="&gt;",nValue=0,},},},tCountdown={{nClass=3,nIcon=3445,nFrame=3,szName="澜沧城·浩气大旗被夺",nTime=-1,key="澜沧城·浩气大旗",},{nClass=3,nIcon=3444,nFrame=7,szName="澜沧城·恶人大旗被夺",nTime=-1,key="澜沧城·恶人大旗",},},},</v>
      </c>
      <c r="W263" s="36" t="s">
        <v>2249</v>
      </c>
      <c r="X263" s="36" t="s">
        <v>2278</v>
      </c>
    </row>
    <row r="264" spans="1:24" s="36" customFormat="1" x14ac:dyDescent="0.15">
      <c r="C264" s="36">
        <v>30006</v>
      </c>
      <c r="D264" s="36">
        <v>52</v>
      </c>
      <c r="I264" s="36" t="s">
        <v>2155</v>
      </c>
      <c r="U264" s="36" t="s">
        <v>2384</v>
      </c>
      <c r="V264" s="36" t="str">
        <f t="shared" si="4"/>
        <v>{dwID=30006,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4" s="36" t="s">
        <v>1992</v>
      </c>
    </row>
    <row r="265" spans="1:24" s="36" customFormat="1" x14ac:dyDescent="0.15">
      <c r="C265" s="36">
        <v>30007</v>
      </c>
      <c r="D265" s="36">
        <v>52</v>
      </c>
      <c r="I265" s="36" t="s">
        <v>2155</v>
      </c>
      <c r="U265" s="36" t="s">
        <v>2384</v>
      </c>
      <c r="V265" s="36" t="str">
        <f t="shared" si="4"/>
        <v>{dwID=30007,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5" s="36" t="s">
        <v>1992</v>
      </c>
    </row>
    <row r="266" spans="1:24" s="36" customFormat="1" x14ac:dyDescent="0.15">
      <c r="C266" s="36">
        <v>30008</v>
      </c>
      <c r="D266" s="36">
        <v>52</v>
      </c>
      <c r="I266" s="36" t="s">
        <v>2155</v>
      </c>
      <c r="U266" s="36" t="s">
        <v>2384</v>
      </c>
      <c r="V266" s="36" t="str">
        <f t="shared" si="4"/>
        <v>{dwID=30008,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6" s="36" t="s">
        <v>1992</v>
      </c>
    </row>
    <row r="267" spans="1:24" s="36" customFormat="1" x14ac:dyDescent="0.15">
      <c r="C267" s="36">
        <v>29014</v>
      </c>
      <c r="D267" s="36">
        <v>52</v>
      </c>
      <c r="I267" s="36" t="s">
        <v>2144</v>
      </c>
      <c r="U267" s="36" t="s">
        <v>2684</v>
      </c>
      <c r="V267" s="36" t="str">
        <f t="shared" si="4"/>
        <v>{dwID=29014,nFrame=52,szNote="箭塔·无量山",[3]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8" spans="1:24" x14ac:dyDescent="0.15">
      <c r="A268" t="s">
        <v>1814</v>
      </c>
      <c r="B268">
        <v>103</v>
      </c>
      <c r="V268" s="36" t="str">
        <f t="shared" si="4"/>
        <v>},[103]={</v>
      </c>
    </row>
    <row r="269" spans="1:24" s="36" customFormat="1" x14ac:dyDescent="0.15">
      <c r="C269" s="36">
        <v>59858</v>
      </c>
      <c r="D269" s="36">
        <v>47</v>
      </c>
      <c r="I269" s="38" t="s">
        <v>2315</v>
      </c>
      <c r="J269" s="51" t="s">
        <v>2641</v>
      </c>
      <c r="P269" s="36">
        <v>1</v>
      </c>
      <c r="V269" s="36" t="str">
        <f t="shared" si="4"/>
        <v>{dwID=59858,nFrame=47,szNote="恶人谷精锐队长",col={255,120,31,},[3]={bScreenHead=true,},[4]={},},</v>
      </c>
    </row>
    <row r="270" spans="1:24" x14ac:dyDescent="0.15">
      <c r="C270">
        <v>36418</v>
      </c>
      <c r="D270">
        <v>52</v>
      </c>
      <c r="I270" t="s">
        <v>1889</v>
      </c>
      <c r="J270" t="s">
        <v>1527</v>
      </c>
      <c r="U270" t="s">
        <v>1851</v>
      </c>
      <c r="V270" s="36" t="str">
        <f t="shared" si="4"/>
        <v>{dwID=36418,nFrame=52,szNote="大旗·神池岭",col={0,255,0,},[3]={},[4]={},aFocus={{dwMapID=-1,szDisplay="大旗·神池岭",nMaxDistance=1,tRelation={bAll=true,bEnemy=false,bAlly=false,},tLife={bEnable=false,szOperator="&gt;",nValue=0,},},},tCountdown={{nClass=3,nIcon=3445,nFrame=3,szName="神池岭·浩气大旗被夺",nTime=-1,key="神池岭·浩气大旗",},{nClass=3,nIcon=3444,nFrame=7,szName="神池岭·恶人大旗被夺",nTime=-1,key="神池岭·恶人大旗",},},},</v>
      </c>
      <c r="W270" s="36" t="s">
        <v>2250</v>
      </c>
      <c r="X270" s="36" t="s">
        <v>2279</v>
      </c>
    </row>
    <row r="271" spans="1:24" x14ac:dyDescent="0.15">
      <c r="C271">
        <v>36419</v>
      </c>
      <c r="D271">
        <v>52</v>
      </c>
      <c r="I271" t="s">
        <v>1872</v>
      </c>
      <c r="J271" t="s">
        <v>1527</v>
      </c>
      <c r="U271" t="s">
        <v>1852</v>
      </c>
      <c r="V271" s="36" t="str">
        <f t="shared" si="4"/>
        <v>{dwID=36419,nFrame=52,szNote="大旗·烈日岗",col={0,255,0,},[3]={},[4]={},aFocus={{dwMapID=-1,szDisplay="大旗·烈日岗",nMaxDistance=1,tRelation={bAll=true,bEnemy=false,bAlly=false,},tLife={bEnable=false,szOperator="&gt;",nValue=0,},},},tCountdown={{nClass=3,nIcon=3445,nFrame=3,szName="烈日岗·浩气大旗被夺",nTime=-1,key="烈日岗·浩气大旗",},{nClass=3,nIcon=3444,nFrame=7,szName="烈日岗·恶人大旗被夺",nTime=-1,key="烈日岗·恶人大旗",},},},</v>
      </c>
      <c r="W271" s="36" t="s">
        <v>2251</v>
      </c>
      <c r="X271" s="36" t="s">
        <v>2280</v>
      </c>
    </row>
    <row r="272" spans="1:24" x14ac:dyDescent="0.15">
      <c r="A272" t="s">
        <v>1815</v>
      </c>
      <c r="B272">
        <v>104</v>
      </c>
      <c r="V272" s="36" t="str">
        <f t="shared" si="4"/>
        <v>},[104]={</v>
      </c>
    </row>
    <row r="273" spans="1:24" x14ac:dyDescent="0.15">
      <c r="C273">
        <v>36421</v>
      </c>
      <c r="D273">
        <v>52</v>
      </c>
      <c r="I273" t="s">
        <v>1891</v>
      </c>
      <c r="J273" t="s">
        <v>1527</v>
      </c>
      <c r="U273" t="s">
        <v>1853</v>
      </c>
      <c r="V273" s="36" t="str">
        <f t="shared" si="4"/>
        <v>{dwID=36421,nFrame=52,szNote="大旗·凤鸣堡",col={0,255,0,},[3]={},[4]={},aFocus={{dwMapID=-1,szDisplay="大旗·凤鸣堡",nMaxDistance=1,tRelation={bAll=true,bEnemy=false,bAlly=false,},tLife={bEnable=false,szOperator="&gt;",nValue=0,},},},tCountdown={{nClass=3,nIcon=3445,nFrame=3,szName="凤鸣堡·浩气大旗被夺",nTime=-1,key="凤鸣堡·浩气大旗",},{nClass=3,nIcon=3444,nFrame=7,szName="凤鸣堡·恶人大旗被夺",nTime=-1,key="凤鸣堡·恶人大旗",},},},</v>
      </c>
      <c r="W273" s="36" t="s">
        <v>2252</v>
      </c>
      <c r="X273" s="36" t="s">
        <v>2281</v>
      </c>
    </row>
    <row r="274" spans="1:24" x14ac:dyDescent="0.15">
      <c r="C274">
        <v>36420</v>
      </c>
      <c r="D274">
        <v>52</v>
      </c>
      <c r="I274" t="s">
        <v>1871</v>
      </c>
      <c r="J274" t="s">
        <v>1527</v>
      </c>
      <c r="U274" t="s">
        <v>1854</v>
      </c>
      <c r="V274" s="36" t="str">
        <f t="shared" si="4"/>
        <v>{dwID=36420,nFrame=52,szNote="大旗·惊虬谷",col={0,255,0,},[3]={},[4]={},aFocus={{dwMapID=-1,szDisplay="大旗·惊虬谷",nMaxDistance=1,tRelation={bAll=true,bEnemy=false,bAlly=false,},tLife={bEnable=false,szOperator="&gt;",nValue=0,},},},tCountdown={{nClass=3,nIcon=3445,nFrame=3,szName="惊虬谷·浩气大旗被夺",nTime=-1,key="惊虬谷·浩气大旗",},{nClass=3,nIcon=3444,nFrame=7,szName="惊虬谷·恶人大旗被夺",nTime=-1,key="惊虬谷·恶人大旗",},},},</v>
      </c>
      <c r="W274" s="36" t="s">
        <v>2253</v>
      </c>
      <c r="X274" s="36" t="s">
        <v>2282</v>
      </c>
    </row>
    <row r="275" spans="1:24" x14ac:dyDescent="0.15">
      <c r="A275" t="s">
        <v>1816</v>
      </c>
      <c r="B275">
        <v>105</v>
      </c>
      <c r="V275" s="36" t="str">
        <f t="shared" si="4"/>
        <v>},[105]={</v>
      </c>
    </row>
    <row r="276" spans="1:24" s="36" customFormat="1" x14ac:dyDescent="0.15">
      <c r="C276" s="36">
        <v>59845</v>
      </c>
      <c r="D276" s="36">
        <v>47</v>
      </c>
      <c r="I276" s="38" t="s">
        <v>2316</v>
      </c>
      <c r="J276" s="50" t="s">
        <v>2640</v>
      </c>
      <c r="P276" s="36">
        <v>1</v>
      </c>
      <c r="V276" s="36" t="str">
        <f t="shared" si="4"/>
        <v>{dwID=59845,nFrame=47,szNote="浩气盟精锐队长",col={31,230,255,},[3]={bScreenHead=true,},[4]={},},</v>
      </c>
    </row>
    <row r="277" spans="1:24" x14ac:dyDescent="0.15">
      <c r="C277">
        <v>36436</v>
      </c>
      <c r="D277">
        <v>52</v>
      </c>
      <c r="I277" t="s">
        <v>1893</v>
      </c>
      <c r="J277" t="s">
        <v>1527</v>
      </c>
      <c r="U277" t="s">
        <v>1855</v>
      </c>
      <c r="V277" s="36" t="str">
        <f t="shared" si="4"/>
        <v>{dwID=36436,nFrame=52,szNote="大旗·大理山城",col={0,255,0,},[3]={},[4]={},aFocus={{dwMapID=-1,szDisplay="大旗·大理山城",nMaxDistance=1,tRelation={bAll=true,bEnemy=false,bAlly=false,},tLife={bEnable=false,szOperator="&gt;",nValue=0,},},},tCountdown={{nClass=3,nIcon=3445,nFrame=3,szName="大理山城·浩气大旗被夺",nTime=-1,key="大理山城·浩气大旗",},{nClass=3,nIcon=3444,nFrame=7,szName="大理山城·恶人大旗被夺",nTime=-1,key="大理山城·恶人大旗",},},},</v>
      </c>
      <c r="W277" s="36" t="s">
        <v>2254</v>
      </c>
      <c r="X277" s="36" t="s">
        <v>2283</v>
      </c>
    </row>
    <row r="278" spans="1:24" x14ac:dyDescent="0.15">
      <c r="C278">
        <v>36437</v>
      </c>
      <c r="D278">
        <v>52</v>
      </c>
      <c r="I278" t="s">
        <v>1712</v>
      </c>
      <c r="J278" t="s">
        <v>1527</v>
      </c>
      <c r="U278" t="s">
        <v>1856</v>
      </c>
      <c r="V278" s="36" t="str">
        <f t="shared" si="4"/>
        <v>{dwID=36437,nFrame=52,szNote="大旗·千岩关",col={0,255,0,},[3]={},[4]={},aFocus={{dwMapID=-1,szDisplay="大旗·千岩关",nMaxDistance=1,tRelation={bAll=true,bEnemy=false,bAlly=false,},tLife={bEnable=false,szOperator="&gt;",nValue=0,},},},tCountdown={{nClass=3,nIcon=3445,nFrame=3,szName="千岩关·浩气大旗被夺",nTime=-1,key="千岩关·浩气大旗",},{nClass=3,nIcon=3444,nFrame=7,szName="千岩关·恶人大旗被夺",nTime=-1,key="千岩关·恶人大旗",},},},</v>
      </c>
      <c r="W278" s="36" t="s">
        <v>2255</v>
      </c>
      <c r="X278" s="36" t="s">
        <v>2284</v>
      </c>
    </row>
    <row r="279" spans="1:24" s="36" customFormat="1" x14ac:dyDescent="0.15">
      <c r="C279" s="36">
        <v>30045</v>
      </c>
      <c r="D279" s="36">
        <v>52</v>
      </c>
      <c r="I279" s="36" t="s">
        <v>1987</v>
      </c>
      <c r="U279" s="36" t="s">
        <v>2384</v>
      </c>
      <c r="V279" s="36" t="str">
        <f t="shared" si="4"/>
        <v>{dwID=30045,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9" s="36" t="s">
        <v>1992</v>
      </c>
    </row>
    <row r="280" spans="1:24" s="36" customFormat="1" x14ac:dyDescent="0.15">
      <c r="C280" s="36">
        <v>30044</v>
      </c>
      <c r="D280" s="36">
        <v>52</v>
      </c>
      <c r="I280" s="36" t="s">
        <v>1987</v>
      </c>
      <c r="U280" s="36" t="s">
        <v>2384</v>
      </c>
      <c r="V280" s="36" t="str">
        <f t="shared" si="4"/>
        <v>{dwID=30044,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0" s="36" t="s">
        <v>1992</v>
      </c>
    </row>
    <row r="281" spans="1:24" s="36" customFormat="1" x14ac:dyDescent="0.15">
      <c r="C281" s="36">
        <v>30043</v>
      </c>
      <c r="D281" s="36">
        <v>52</v>
      </c>
      <c r="I281" s="36" t="s">
        <v>1987</v>
      </c>
      <c r="U281" s="36" t="s">
        <v>2384</v>
      </c>
      <c r="V281" s="36" t="str">
        <f t="shared" si="4"/>
        <v>{dwID=30043,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1" s="36" t="s">
        <v>1992</v>
      </c>
    </row>
    <row r="282" spans="1:24" s="36" customFormat="1" x14ac:dyDescent="0.15">
      <c r="C282" s="36">
        <v>30042</v>
      </c>
      <c r="D282" s="36">
        <v>52</v>
      </c>
      <c r="I282" s="36" t="s">
        <v>1987</v>
      </c>
      <c r="U282" s="36" t="s">
        <v>2384</v>
      </c>
      <c r="V282" s="36" t="str">
        <f t="shared" si="4"/>
        <v>{dwID=30042,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2" s="36" t="s">
        <v>1992</v>
      </c>
    </row>
    <row r="283" spans="1:24" s="36" customFormat="1" x14ac:dyDescent="0.15">
      <c r="C283" s="36">
        <v>30041</v>
      </c>
      <c r="D283" s="36">
        <v>52</v>
      </c>
      <c r="I283" s="36" t="s">
        <v>1987</v>
      </c>
      <c r="U283" s="36" t="s">
        <v>2384</v>
      </c>
      <c r="V283" s="36" t="str">
        <f t="shared" si="4"/>
        <v>{dwID=30041,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3" s="36" t="s">
        <v>1992</v>
      </c>
    </row>
    <row r="284" spans="1:24" s="36" customFormat="1" x14ac:dyDescent="0.15">
      <c r="C284" s="36">
        <v>30242</v>
      </c>
      <c r="D284" s="36">
        <v>52</v>
      </c>
      <c r="I284" s="36" t="s">
        <v>2151</v>
      </c>
      <c r="U284" s="36" t="s">
        <v>2682</v>
      </c>
      <c r="V284" s="36" t="str">
        <f t="shared" si="4"/>
        <v>{dwID=30242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5" spans="1:24" s="36" customFormat="1" x14ac:dyDescent="0.15">
      <c r="C285" s="36">
        <v>30252</v>
      </c>
      <c r="D285" s="36">
        <v>52</v>
      </c>
      <c r="I285" s="36" t="s">
        <v>2151</v>
      </c>
      <c r="U285" s="36" t="s">
        <v>2682</v>
      </c>
      <c r="V285" s="36" t="str">
        <f t="shared" si="4"/>
        <v>{dwID=30252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6" spans="1:24" s="36" customFormat="1" x14ac:dyDescent="0.15">
      <c r="C286" s="36">
        <v>30142</v>
      </c>
      <c r="D286" s="36">
        <v>52</v>
      </c>
      <c r="I286" s="36" t="s">
        <v>2150</v>
      </c>
      <c r="U286" s="36" t="s">
        <v>2682</v>
      </c>
      <c r="V286" s="36" t="str">
        <f t="shared" si="4"/>
        <v>{dwID=30142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7" spans="1:24" s="36" customFormat="1" x14ac:dyDescent="0.15">
      <c r="C287" s="36">
        <v>30152</v>
      </c>
      <c r="D287" s="36">
        <v>52</v>
      </c>
      <c r="I287" s="36" t="s">
        <v>2150</v>
      </c>
      <c r="U287" s="36" t="s">
        <v>2682</v>
      </c>
      <c r="V287" s="36" t="str">
        <f t="shared" si="4"/>
        <v>{dwID=30152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8" spans="1:24" s="36" customFormat="1" x14ac:dyDescent="0.15">
      <c r="C288" s="40">
        <v>29601</v>
      </c>
      <c r="D288" s="36">
        <v>52</v>
      </c>
      <c r="I288" s="36" t="s">
        <v>2158</v>
      </c>
      <c r="U288" s="36" t="s">
        <v>2684</v>
      </c>
      <c r="V288" s="36" t="str">
        <f t="shared" si="4"/>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9" spans="1:24" s="36" customFormat="1" x14ac:dyDescent="0.15">
      <c r="C289" s="40">
        <v>29602</v>
      </c>
      <c r="D289" s="36">
        <v>52</v>
      </c>
      <c r="I289" s="36" t="s">
        <v>2158</v>
      </c>
      <c r="U289" s="36" t="s">
        <v>2684</v>
      </c>
      <c r="V289" s="36" t="str">
        <f t="shared" si="4"/>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0" spans="1:24" s="36" customFormat="1" x14ac:dyDescent="0.15">
      <c r="C290" s="40">
        <v>29603</v>
      </c>
      <c r="D290" s="36">
        <v>52</v>
      </c>
      <c r="I290" s="36" t="s">
        <v>2158</v>
      </c>
      <c r="U290" s="36" t="s">
        <v>2684</v>
      </c>
      <c r="V290" s="36" t="str">
        <f t="shared" si="4"/>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1" spans="1:24" s="36" customFormat="1" x14ac:dyDescent="0.15">
      <c r="C291" s="40">
        <v>29604</v>
      </c>
      <c r="D291" s="36">
        <v>52</v>
      </c>
      <c r="I291" s="36" t="s">
        <v>2158</v>
      </c>
      <c r="U291" s="36" t="s">
        <v>2684</v>
      </c>
      <c r="V291" s="36" t="str">
        <f t="shared" si="4"/>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2" spans="1:24" s="36" customFormat="1" x14ac:dyDescent="0.15">
      <c r="C292" s="40">
        <v>29605</v>
      </c>
      <c r="D292" s="36">
        <v>52</v>
      </c>
      <c r="I292" s="36" t="s">
        <v>2158</v>
      </c>
      <c r="U292" s="36" t="s">
        <v>2684</v>
      </c>
      <c r="V292" s="36" t="str">
        <f t="shared" si="4"/>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3" spans="1:24" s="36" customFormat="1" x14ac:dyDescent="0.15">
      <c r="C293" s="40">
        <v>29701</v>
      </c>
      <c r="D293" s="36">
        <v>52</v>
      </c>
      <c r="I293" s="36" t="s">
        <v>2158</v>
      </c>
      <c r="U293" s="36" t="s">
        <v>2684</v>
      </c>
      <c r="V293" s="36" t="str">
        <f t="shared" si="4"/>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4" spans="1:24" s="36" customFormat="1" x14ac:dyDescent="0.15">
      <c r="C294" s="36">
        <v>29606</v>
      </c>
      <c r="D294" s="36">
        <v>52</v>
      </c>
      <c r="I294" s="36" t="s">
        <v>2145</v>
      </c>
      <c r="U294" s="36" t="s">
        <v>2684</v>
      </c>
      <c r="V294" s="36" t="str">
        <f t="shared" si="4"/>
        <v>{dwID=29606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5" spans="1:24" s="36" customFormat="1" x14ac:dyDescent="0.15">
      <c r="C295" s="36">
        <v>29607</v>
      </c>
      <c r="D295" s="36">
        <v>52</v>
      </c>
      <c r="I295" s="36" t="s">
        <v>2145</v>
      </c>
      <c r="U295" s="36" t="s">
        <v>2684</v>
      </c>
      <c r="V295" s="36" t="str">
        <f t="shared" si="4"/>
        <v>{dwID=29607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6" spans="1:24" s="36" customFormat="1" x14ac:dyDescent="0.15">
      <c r="C296" s="36">
        <v>29702</v>
      </c>
      <c r="D296" s="36">
        <v>52</v>
      </c>
      <c r="I296" s="36" t="s">
        <v>2145</v>
      </c>
      <c r="U296" s="36" t="s">
        <v>2684</v>
      </c>
      <c r="V296" s="36" t="str">
        <f t="shared" si="4"/>
        <v>{dwID=29702,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7" spans="1:24" s="36" customFormat="1" x14ac:dyDescent="0.15">
      <c r="C297" s="36">
        <v>29703</v>
      </c>
      <c r="D297" s="36">
        <v>52</v>
      </c>
      <c r="I297" s="36" t="s">
        <v>2145</v>
      </c>
      <c r="U297" s="36" t="s">
        <v>2684</v>
      </c>
      <c r="V297" s="36" t="str">
        <f t="shared" si="4"/>
        <v>{dwID=29703,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8" spans="1:24" s="36" customFormat="1" x14ac:dyDescent="0.15">
      <c r="C298" s="36">
        <v>29704</v>
      </c>
      <c r="D298" s="36">
        <v>52</v>
      </c>
      <c r="I298" s="36" t="s">
        <v>2145</v>
      </c>
      <c r="U298" s="36" t="s">
        <v>2684</v>
      </c>
      <c r="V298" s="36" t="str">
        <f t="shared" si="4"/>
        <v>{dwID=29704,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9" spans="1:24" s="36" customFormat="1" x14ac:dyDescent="0.15">
      <c r="C299" s="36">
        <v>29705</v>
      </c>
      <c r="D299" s="36">
        <v>52</v>
      </c>
      <c r="I299" s="36" t="s">
        <v>2145</v>
      </c>
      <c r="U299" s="36" t="s">
        <v>2684</v>
      </c>
      <c r="V299" s="36" t="str">
        <f t="shared" si="4"/>
        <v>{dwID=29705,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0" spans="1:24" s="36" customFormat="1" x14ac:dyDescent="0.15">
      <c r="C300" s="36">
        <v>29706</v>
      </c>
      <c r="D300" s="36">
        <v>52</v>
      </c>
      <c r="I300" s="36" t="s">
        <v>2145</v>
      </c>
      <c r="U300" s="36" t="s">
        <v>2684</v>
      </c>
      <c r="V300" s="36" t="str">
        <f t="shared" si="4"/>
        <v>{dwID=29706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1" spans="1:24" s="36" customFormat="1" x14ac:dyDescent="0.15">
      <c r="C301" s="36">
        <v>29707</v>
      </c>
      <c r="D301" s="36">
        <v>52</v>
      </c>
      <c r="I301" s="36" t="s">
        <v>2145</v>
      </c>
      <c r="U301" s="36" t="s">
        <v>2684</v>
      </c>
      <c r="V301" s="36" t="str">
        <f t="shared" si="4"/>
        <v>{dwID=29707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2" spans="1:24" s="36" customFormat="1" x14ac:dyDescent="0.15">
      <c r="A302" s="36" t="s">
        <v>1817</v>
      </c>
      <c r="B302" s="36">
        <v>139</v>
      </c>
      <c r="V302" s="36" t="str">
        <f t="shared" si="4"/>
        <v>},[139]={</v>
      </c>
    </row>
    <row r="303" spans="1:24" s="36" customFormat="1" x14ac:dyDescent="0.15">
      <c r="C303" s="36">
        <v>36423</v>
      </c>
      <c r="D303" s="36">
        <v>52</v>
      </c>
      <c r="I303" s="36" t="s">
        <v>1895</v>
      </c>
      <c r="J303" s="36" t="s">
        <v>1527</v>
      </c>
      <c r="U303" s="36" t="s">
        <v>1857</v>
      </c>
      <c r="V303" s="36" t="str">
        <f t="shared" si="4"/>
        <v>{dwID=36423,nFrame=52,szNote="大旗·枫湖寨",col={0,255,0,},[3]={},[4]={},aFocus={{dwMapID=-1,szDisplay="大旗·枫湖寨",nMaxDistance=1,tRelation={bAll=true,bEnemy=false,bAlly=false,},tLife={bEnable=false,szOperator="&gt;",nValue=0,},},},tCountdown={{nClass=3,nIcon=3445,nFrame=3,szName="枫湖寨·浩气大旗被夺",nTime=-1,key="枫湖寨·浩气大旗",},{nClass=3,nIcon=3444,nFrame=7,szName="枫湖寨·恶人大旗被夺",nTime=-1,key="枫湖寨·恶人大旗",},},},</v>
      </c>
      <c r="W303" s="36" t="s">
        <v>2256</v>
      </c>
      <c r="X303" s="36" t="s">
        <v>2285</v>
      </c>
    </row>
    <row r="304" spans="1:24" s="36" customFormat="1" x14ac:dyDescent="0.15">
      <c r="C304" s="36">
        <v>36422</v>
      </c>
      <c r="D304" s="36">
        <v>52</v>
      </c>
      <c r="I304" s="36" t="s">
        <v>1713</v>
      </c>
      <c r="J304" s="36" t="s">
        <v>1527</v>
      </c>
      <c r="U304" s="36" t="s">
        <v>1858</v>
      </c>
      <c r="V304" s="36" t="str">
        <f t="shared" si="4"/>
        <v>{dwID=36422,nFrame=52,szNote="大旗·啖杏林",col={0,255,0,},[3]={},[4]={},aFocus={{dwMapID=-1,szDisplay="大旗·啖杏林",nMaxDistance=1,tRelation={bAll=true,bEnemy=false,bAlly=false,},tLife={bEnable=false,szOperator="&gt;",nValue=0,},},},tCountdown={{nClass=3,nIcon=3445,nFrame=3,szName="啖杏林·浩气大旗被夺",nTime=-1,key="啖杏林·浩气大旗",},{nClass=3,nIcon=3444,nFrame=7,szName="啖杏林·恶人大旗被夺",nTime=-1,key="啖杏林·恶人大旗",},},},</v>
      </c>
      <c r="W304" s="36" t="s">
        <v>2257</v>
      </c>
      <c r="X304" s="36" t="s">
        <v>2286</v>
      </c>
    </row>
    <row r="305" spans="1:24" s="36" customFormat="1" x14ac:dyDescent="0.15">
      <c r="C305" s="40">
        <v>29202</v>
      </c>
      <c r="D305" s="36">
        <v>52</v>
      </c>
      <c r="I305" s="36" t="s">
        <v>2157</v>
      </c>
      <c r="U305" s="36" t="s">
        <v>2684</v>
      </c>
      <c r="V305" s="36" t="str">
        <f t="shared" si="4"/>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6" spans="1:24" x14ac:dyDescent="0.15">
      <c r="A306" t="s">
        <v>1818</v>
      </c>
      <c r="B306">
        <v>153</v>
      </c>
      <c r="V306" s="36" t="str">
        <f t="shared" si="4"/>
        <v>},[153]={</v>
      </c>
    </row>
    <row r="307" spans="1:24" s="36" customFormat="1" x14ac:dyDescent="0.15">
      <c r="C307" s="36">
        <v>59858</v>
      </c>
      <c r="D307" s="36">
        <v>47</v>
      </c>
      <c r="I307" s="38" t="s">
        <v>2315</v>
      </c>
      <c r="J307" s="51" t="s">
        <v>2641</v>
      </c>
      <c r="P307" s="36">
        <v>1</v>
      </c>
      <c r="V307" s="36" t="str">
        <f t="shared" si="4"/>
        <v>{dwID=59858,nFrame=47,szNote="恶人谷精锐队长",col={255,120,31,},[3]={bScreenHead=true,},[4]={},},</v>
      </c>
    </row>
    <row r="308" spans="1:24" x14ac:dyDescent="0.15">
      <c r="C308">
        <v>36417</v>
      </c>
      <c r="D308">
        <v>52</v>
      </c>
      <c r="I308" t="s">
        <v>1867</v>
      </c>
      <c r="J308" t="s">
        <v>1527</v>
      </c>
      <c r="U308" t="s">
        <v>1859</v>
      </c>
      <c r="V308" s="36" t="str">
        <f t="shared" si="4"/>
        <v>{dwID=36417,nFrame=52,szNote="大旗·扶风郡",col={0,255,0,},[3]={},[4]={},aFocus={{dwMapID=-1,szDisplay="大旗·扶风郡",nMaxDistance=1,tRelation={bAll=true,bEnemy=false,bAlly=false,},tLife={bEnable=false,szOperator="&gt;",nValue=0,},},},tCountdown={{nClass=3,nIcon=3445,nFrame=3,szName="扶风郡·浩气大旗被夺",nTime=-1,key="扶风郡·浩气大旗",},{nClass=3,nIcon=3444,nFrame=7,szName="扶风郡·恶人大旗被夺",nTime=-1,key="扶风郡·恶人大旗",},},},</v>
      </c>
      <c r="W308" s="36" t="s">
        <v>2258</v>
      </c>
      <c r="X308" s="36" t="s">
        <v>2287</v>
      </c>
    </row>
    <row r="309" spans="1:24" x14ac:dyDescent="0.15">
      <c r="C309">
        <v>36416</v>
      </c>
      <c r="D309">
        <v>52</v>
      </c>
      <c r="I309" t="s">
        <v>1869</v>
      </c>
      <c r="J309" t="s">
        <v>1527</v>
      </c>
      <c r="U309" t="s">
        <v>1860</v>
      </c>
      <c r="V309" s="36" t="str">
        <f t="shared" si="4"/>
        <v>{dwID=36416,nFrame=52,szNote="大旗·世外坡",col={0,255,0,},[3]={},[4]={},aFocus={{dwMapID=-1,szDisplay="大旗·世外坡",nMaxDistance=1,tRelation={bAll=true,bEnemy=false,bAlly=false,},tLife={bEnable=false,szOperator="&gt;",nValue=0,},},},tCountdown={{nClass=3,nIcon=3445,nFrame=3,szName="世外坡·浩气大旗被夺",nTime=-1,key="世外坡·浩气大旗",},{nClass=3,nIcon=3444,nFrame=7,szName="世外坡·恶人大旗被夺",nTime=-1,key="世外坡·恶人大旗",},},},</v>
      </c>
      <c r="W309" s="36" t="s">
        <v>2259</v>
      </c>
      <c r="X309" s="36" t="s">
        <v>2288</v>
      </c>
    </row>
    <row r="310" spans="1:24" s="36" customFormat="1" x14ac:dyDescent="0.15">
      <c r="C310" s="36">
        <v>30063</v>
      </c>
      <c r="D310" s="36">
        <v>52</v>
      </c>
      <c r="I310" s="36" t="s">
        <v>1991</v>
      </c>
      <c r="U310" s="36" t="s">
        <v>2384</v>
      </c>
      <c r="V310" s="36" t="str">
        <f t="shared" si="4"/>
        <v>{dwID=30063,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0" s="36" t="s">
        <v>1992</v>
      </c>
    </row>
    <row r="311" spans="1:24" s="36" customFormat="1" x14ac:dyDescent="0.15">
      <c r="C311" s="36">
        <v>30062</v>
      </c>
      <c r="D311" s="36">
        <v>52</v>
      </c>
      <c r="I311" s="36" t="s">
        <v>1991</v>
      </c>
      <c r="U311" s="36" t="s">
        <v>2384</v>
      </c>
      <c r="V311" s="36" t="str">
        <f t="shared" si="4"/>
        <v>{dwID=30062,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1" s="36" t="s">
        <v>1992</v>
      </c>
    </row>
    <row r="312" spans="1:24" s="36" customFormat="1" x14ac:dyDescent="0.15">
      <c r="C312" s="36">
        <v>30061</v>
      </c>
      <c r="D312" s="36">
        <v>52</v>
      </c>
      <c r="I312" s="36" t="s">
        <v>1991</v>
      </c>
      <c r="U312" s="36" t="s">
        <v>2384</v>
      </c>
      <c r="V312" s="36" t="str">
        <f t="shared" si="4"/>
        <v>{dwID=30061,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2" s="36" t="s">
        <v>1992</v>
      </c>
    </row>
    <row r="313" spans="1:24" s="36" customFormat="1" x14ac:dyDescent="0.15">
      <c r="C313" s="36">
        <v>30103</v>
      </c>
      <c r="D313" s="36">
        <v>52</v>
      </c>
      <c r="I313" s="36" t="s">
        <v>2152</v>
      </c>
      <c r="U313" s="36" t="s">
        <v>2682</v>
      </c>
      <c r="V313" s="36" t="str">
        <f t="shared" si="4"/>
        <v>{dwID=30103,nFrame=52,szNote="粮仓·马嵬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14" spans="1:24" s="36" customFormat="1" x14ac:dyDescent="0.15">
      <c r="C314" s="40">
        <v>29501</v>
      </c>
      <c r="D314" s="36">
        <v>52</v>
      </c>
      <c r="I314" s="36" t="s">
        <v>2159</v>
      </c>
      <c r="U314" s="36" t="s">
        <v>2684</v>
      </c>
      <c r="V314" s="36" t="str">
        <f t="shared" si="4"/>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5" spans="1:24" s="36" customFormat="1" x14ac:dyDescent="0.15">
      <c r="A315" s="36" t="s">
        <v>1767</v>
      </c>
      <c r="B315" s="36">
        <v>214</v>
      </c>
      <c r="V315" s="36" t="str">
        <f t="shared" si="4"/>
        <v>},[214]={</v>
      </c>
    </row>
    <row r="316" spans="1:24" s="36" customFormat="1" x14ac:dyDescent="0.15">
      <c r="C316" s="36">
        <v>47749</v>
      </c>
      <c r="D316" s="36">
        <v>47</v>
      </c>
      <c r="I316" s="36" t="s">
        <v>1768</v>
      </c>
      <c r="J316" s="36" t="s">
        <v>1751</v>
      </c>
      <c r="P316" s="36">
        <v>1</v>
      </c>
      <c r="U316" s="36" t="s">
        <v>1547</v>
      </c>
      <c r="V316" s="36" t="str">
        <f t="shared" si="4"/>
        <v>{dwID=47749,nFrame=47,szNote="阴山商路·木博",col={100,255,100,},[3]={bScreenHead=true,},[4]={},aFocus={{dwMapID=-1,szDisplay="夏洛特·阴山商路补货",nMaxDistance=20,tRelation={bAll=true,bEnemy=false,bAlly=false,},tLife={bEnable=false,szOperator="&gt;",nValue=0,},},},},</v>
      </c>
    </row>
    <row r="317" spans="1:24" s="36" customFormat="1" x14ac:dyDescent="0.15">
      <c r="C317" s="36">
        <v>47408</v>
      </c>
      <c r="D317" s="36">
        <v>47</v>
      </c>
      <c r="I317" s="36" t="s">
        <v>1759</v>
      </c>
      <c r="J317" s="36" t="s">
        <v>1527</v>
      </c>
      <c r="O317" s="36">
        <v>1</v>
      </c>
      <c r="P317" s="36">
        <v>1</v>
      </c>
      <c r="U317" s="36" t="s">
        <v>1545</v>
      </c>
      <c r="V317" s="36" t="str">
        <f t="shared" si="4"/>
        <v>{dwID=47408,nFrame=47,szNote="阴山商路·散落的货物",col={0,255,0,},[3]={bCenterAlarm=true,bScreenHead=true,},[4]={},aFocus={{dwMapID=-1,nMaxDistance=0,tRelation={bAll=true,bEnemy=false,bAlly=false,},tLife={bEnable=false,szOperator="&gt;",nValue=0,},},},},</v>
      </c>
    </row>
    <row r="318" spans="1:24" s="36" customFormat="1" x14ac:dyDescent="0.15">
      <c r="C318" s="36">
        <v>47859</v>
      </c>
      <c r="D318" s="36">
        <v>47</v>
      </c>
      <c r="I318" s="36" t="s">
        <v>1758</v>
      </c>
      <c r="U318" s="36" t="s">
        <v>1546</v>
      </c>
      <c r="V318" s="36" t="str">
        <f t="shared" si="4"/>
        <v>{dwID=47859,nFrame=47,szNote="阴山商路·浩气盟镖车",[3]={},[4]={},aFocus={{dwMapID=-1,nMaxDistance=10,tRelation={bAll=false,bEnemy=true,bAlly=false,},tLife={bEnable=false,szOperator="&gt;",nValue=0,},},},},</v>
      </c>
    </row>
    <row r="319" spans="1:24" s="36" customFormat="1" x14ac:dyDescent="0.15">
      <c r="C319" s="36">
        <v>47032</v>
      </c>
      <c r="D319" s="36">
        <v>47</v>
      </c>
      <c r="I319" s="36" t="s">
        <v>1760</v>
      </c>
      <c r="U319" s="36" t="s">
        <v>1546</v>
      </c>
      <c r="V319" s="36" t="str">
        <f t="shared" si="4"/>
        <v>{dwID=47032,nFrame=47,szNote="阴山商路·恶人谷镖车",[3]={},[4]={},aFocus={{dwMapID=-1,nMaxDistance=10,tRelation={bAll=false,bEnemy=true,bAlly=false,},tLife={bEnable=false,szOperator="&gt;",nValue=0,},},},},</v>
      </c>
    </row>
    <row r="320" spans="1:24" x14ac:dyDescent="0.15">
      <c r="A320" t="s">
        <v>19</v>
      </c>
      <c r="B320">
        <v>217</v>
      </c>
      <c r="V320" s="36" t="str">
        <f t="shared" si="4"/>
        <v>},[217]={</v>
      </c>
    </row>
    <row r="321" spans="1:24" x14ac:dyDescent="0.15">
      <c r="C321">
        <v>101012</v>
      </c>
      <c r="D321">
        <v>47</v>
      </c>
      <c r="I321" t="s">
        <v>1707</v>
      </c>
      <c r="J321" s="51" t="s">
        <v>2641</v>
      </c>
      <c r="P321">
        <v>1</v>
      </c>
      <c r="U321" t="s">
        <v>1706</v>
      </c>
      <c r="V321" s="36" t="str">
        <f t="shared" si="4"/>
        <v>{dwID=101012,nFrame=47,szNote="烽烟再起·郭戈",col={255,120,31,},[3]={bScreenHead=true,},[4]={},aFocus={{dwMapID=-1,szDisplay="郭戈·烽烟再起",nMaxDistance=10,tRelation={bAll=false,bEnemy=false,bAlly=true,},tLife={bEnable=false,szOperator="&gt;",nValue=0,},},},},</v>
      </c>
    </row>
    <row r="322" spans="1:24" x14ac:dyDescent="0.15">
      <c r="C322">
        <v>101011</v>
      </c>
      <c r="D322">
        <v>47</v>
      </c>
      <c r="I322" t="s">
        <v>1708</v>
      </c>
      <c r="J322" s="50" t="s">
        <v>2640</v>
      </c>
      <c r="P322">
        <v>1</v>
      </c>
      <c r="U322" t="s">
        <v>1549</v>
      </c>
      <c r="V322" s="36" t="str">
        <f t="shared" ref="V322:V385" si="5">IF(ISBLANK(B322)=FALSE,IF(ISBLANK(B321),"},["&amp;B322&amp;"]={","["&amp;B322&amp;"]={"),IF(AND(ISBLANK(B322),ISBLANK(D322),ISBLANK(C322),OR(ISBLANK(B321)=FALSE,ISBLANK(D321)=FALSE,ISBLANK(C321)=FALSE)),"},},}",IF(ISBLANK(C322),"","{dwID="&amp;C322&amp;","&amp;"nFrame="&amp;D322&amp;","&amp;IF(E322&gt;0,"nCount="&amp;E322&amp;",","")&amp;IF(F322&gt;0,"bAllLeave=true,","")&amp;IF(G322&lt;&gt;"","szName="""&amp;G322&amp;""",","")&amp;IF(H322&lt;&gt;"","tKungFu={"&amp;H322&amp;"},","")&amp;IF(I322&lt;&gt;"","szNote="""&amp;I322&amp;""",","")&amp;IF(J322&lt;&gt;"","col={"&amp;J322&amp;"},","")&amp;"[3]={"&amp;IF(K322&lt;&gt;"","tMark={"&amp;K322&amp;"},","")&amp;IF(L322&lt;&gt;"","szVoice="""&amp;L322&amp;""",","")&amp;IF(M322&gt;0,"bTeamChannel=true,","")&amp;IF(N322&gt;0,"bWhisperChannel=true,","")&amp;IF(O322&gt;0,"bCenterAlarm=true,","")&amp;IF(P322&gt;0,"bScreenHead=true,","")&amp;"},"&amp;"[4]={"&amp;IF(Q322&lt;&gt;"","szVoice="""&amp;Q322&amp;""",","")&amp;IF(R322&gt;0,"bTeamChannel=true,","")&amp;IF(S322&gt;0,"bWhisperChannel=true,","")&amp;IF(T322&gt;0,"bCenterAlarm=true,","")&amp;"},"&amp;IF(U322&lt;&gt;"","aFocus={"&amp;U322&amp;"},","")&amp;IF(W322&lt;&gt;"","tCountdown={"&amp;_xlfn.TEXTJOIN("",TRUE,W322:ZZ322)&amp;"},","")&amp;"},")))</f>
        <v>{dwID=101011,nFrame=47,szNote="烽烟再起·蒋征南",col={31,230,255,},[3]={bScreenHead=true,},[4]={},aFocus={{dwMapID=-1,szDisplay="蒋征南·烽烟再起",nMaxDistance=10,tRelation={bAll=false,bEnemy=false,bAlly=true,},tLife={bEnable=false,szOperator="&gt;",nValue=0,},},},},</v>
      </c>
    </row>
    <row r="323" spans="1:24" x14ac:dyDescent="0.15">
      <c r="C323">
        <v>47744</v>
      </c>
      <c r="D323">
        <v>47</v>
      </c>
      <c r="I323" t="s">
        <v>2313</v>
      </c>
      <c r="J323" s="51" t="s">
        <v>2641</v>
      </c>
      <c r="P323">
        <v>1</v>
      </c>
      <c r="U323" t="s">
        <v>2372</v>
      </c>
      <c r="V323" s="36" t="str">
        <f t="shared" si="5"/>
        <v>{dwID=47744,nFrame=47,szNote="阴山商路·恶人·谷艾",col={255,120,31,},[3]={bScreenHead=true,},[4]={},aFocus={{dwMapID=-1,szDisplay="谷艾·阴山商路·主簿",nMaxDistance=20,tRelation={bAll=false,bEnemy=false,bAlly=true,},tLife={bEnable=false,szOperator="&gt;",nValue=0,},},},},</v>
      </c>
    </row>
    <row r="324" spans="1:24" x14ac:dyDescent="0.15">
      <c r="C324">
        <v>47858</v>
      </c>
      <c r="D324">
        <v>47</v>
      </c>
      <c r="I324" t="s">
        <v>2314</v>
      </c>
      <c r="J324" s="50" t="s">
        <v>2640</v>
      </c>
      <c r="P324">
        <v>1</v>
      </c>
      <c r="U324" t="s">
        <v>2373</v>
      </c>
      <c r="V324" s="36" t="str">
        <f t="shared" si="5"/>
        <v>{dwID=47858,nFrame=47,szNote="阴山商路·浩气·宋涛",col={31,230,255,},[3]={bScreenHead=true,},[4]={},aFocus={{dwMapID=-1,szDisplay="宋涛·阴山商路·主簿",nMaxDistance=20,tRelation={bAll=false,bEnemy=false,bAlly=true,},tLife={bEnable=false,szOperator="&gt;",nValue=0,},},},},</v>
      </c>
    </row>
    <row r="325" spans="1:24" x14ac:dyDescent="0.15">
      <c r="C325">
        <v>47408</v>
      </c>
      <c r="D325">
        <v>47</v>
      </c>
      <c r="I325" t="s">
        <v>1759</v>
      </c>
      <c r="J325" t="s">
        <v>1527</v>
      </c>
      <c r="O325">
        <v>1</v>
      </c>
      <c r="P325">
        <v>1</v>
      </c>
      <c r="U325" t="s">
        <v>1654</v>
      </c>
      <c r="V325" s="36" t="str">
        <f t="shared" si="5"/>
        <v>{dwID=47408,nFrame=47,szNote="阴山商路·散落的货物",col={0,255,0,},[3]={bCenterAlarm=true,bScreenHead=true,},[4]={},aFocus={{dwMapID=-1,nMaxDistance=0,tRelation={bAll=true,bEnemy=false,bAlly=false,},tLife={bEnable=false,szOperator="&gt;",nValue=0,},},},},</v>
      </c>
    </row>
    <row r="326" spans="1:24" x14ac:dyDescent="0.15">
      <c r="A326" t="s">
        <v>18</v>
      </c>
      <c r="B326">
        <v>216</v>
      </c>
      <c r="V326" s="36" t="str">
        <f t="shared" si="5"/>
        <v>},[216]={</v>
      </c>
    </row>
    <row r="327" spans="1:24" x14ac:dyDescent="0.15">
      <c r="C327">
        <v>123840</v>
      </c>
      <c r="D327">
        <v>52</v>
      </c>
      <c r="I327" t="s">
        <v>1912</v>
      </c>
      <c r="J327" t="s">
        <v>1527</v>
      </c>
      <c r="O327">
        <v>1</v>
      </c>
      <c r="P327">
        <v>1</v>
      </c>
      <c r="U327" t="s">
        <v>1975</v>
      </c>
      <c r="V327" s="36" t="str">
        <f t="shared" si="5"/>
        <v>{dwID=123840,nFrame=52,szNote="大旗·云台营",col={0,255,0,},[3]={bCenterAlarm=true,bScreenHead=true,},[4]={},aFocus={{dwMapID=-1,szDisplay="大旗·云台营",nMaxDistance=30,tRelation={bAll=true,bEnemy=false,bAlly=false,},tLife={bEnable=false,szOperator="&gt;",nValue=0,},},},tCountdown={{nClass=3,nIcon=3445,nFrame=3,szName="云台营·浩气大旗被夺",nTime=-1,key="云台营·浩气大旗",},{nClass=3,nIcon=3444,nFrame=7,szName="云台营·恶人大旗被夺",nTime=-1,key="云台营·恶人大旗",},},},</v>
      </c>
      <c r="W327" s="36" t="s">
        <v>2260</v>
      </c>
      <c r="X327" s="36" t="s">
        <v>2289</v>
      </c>
    </row>
    <row r="328" spans="1:24" x14ac:dyDescent="0.15">
      <c r="C328">
        <v>123841</v>
      </c>
      <c r="D328">
        <v>52</v>
      </c>
      <c r="I328" t="s">
        <v>1913</v>
      </c>
      <c r="J328" t="s">
        <v>1527</v>
      </c>
      <c r="O328">
        <v>1</v>
      </c>
      <c r="P328">
        <v>1</v>
      </c>
      <c r="U328" t="s">
        <v>1976</v>
      </c>
      <c r="V328" s="36" t="str">
        <f t="shared" si="5"/>
        <v>{dwID=123841,nFrame=52,szNote="大旗·高阳营",col={0,255,0,},[3]={bCenterAlarm=true,bScreenHead=true,},[4]={},aFocus={{dwMapID=-1,szDisplay="大旗·高阳营",nMaxDistance=30,tRelation={bAll=true,bEnemy=false,bAlly=false,},tLife={bEnable=false,szOperator="&gt;",nValue=0,},},},tCountdown={{nClass=3,nIcon=3445,nFrame=3,szName="高阳营·浩气大旗被夺",nTime=-1,key="高阳营·浩气大旗",},{nClass=3,nIcon=3444,nFrame=7,szName="高阳营·恶人大旗被夺",nTime=-1,key="高阳营·恶人大旗",},},},</v>
      </c>
      <c r="W328" s="36" t="s">
        <v>2261</v>
      </c>
      <c r="X328" s="36" t="s">
        <v>2262</v>
      </c>
    </row>
    <row r="329" spans="1:24" x14ac:dyDescent="0.15">
      <c r="C329">
        <v>101012</v>
      </c>
      <c r="D329">
        <v>47</v>
      </c>
      <c r="I329" t="s">
        <v>1707</v>
      </c>
      <c r="J329" s="51" t="s">
        <v>2641</v>
      </c>
      <c r="P329">
        <v>1</v>
      </c>
      <c r="U329" t="s">
        <v>1706</v>
      </c>
      <c r="V329" s="36" t="str">
        <f t="shared" si="5"/>
        <v>{dwID=101012,nFrame=47,szNote="烽烟再起·郭戈",col={255,120,31,},[3]={bScreenHead=true,},[4]={},aFocus={{dwMapID=-1,szDisplay="郭戈·烽烟再起",nMaxDistance=10,tRelation={bAll=false,bEnemy=false,bAlly=true,},tLife={bEnable=false,szOperator="&gt;",nValue=0,},},},},</v>
      </c>
    </row>
    <row r="330" spans="1:24" x14ac:dyDescent="0.15">
      <c r="C330">
        <v>101011</v>
      </c>
      <c r="D330">
        <v>47</v>
      </c>
      <c r="I330" t="s">
        <v>1708</v>
      </c>
      <c r="J330" s="50" t="s">
        <v>2640</v>
      </c>
      <c r="P330">
        <v>1</v>
      </c>
      <c r="U330" t="s">
        <v>1711</v>
      </c>
      <c r="V330" s="36" t="str">
        <f t="shared" si="5"/>
        <v>{dwID=101011,nFrame=47,szNote="烽烟再起·蒋征南",col={31,230,255,},[3]={bScreenHead=true,},[4]={},aFocus={{dwMapID=-1,szDisplay="蒋征南·烽烟再起",nMaxDistance=10,tRelation={bAll=false,bEnemy=false,bAlly=true,},tLife={bEnable=false,szOperator="&gt;",nValue=0,},},},},</v>
      </c>
    </row>
    <row r="331" spans="1:24" x14ac:dyDescent="0.15">
      <c r="C331">
        <v>47888</v>
      </c>
      <c r="D331">
        <v>47</v>
      </c>
      <c r="I331" t="s">
        <v>1761</v>
      </c>
      <c r="J331" t="s">
        <v>1751</v>
      </c>
      <c r="P331">
        <v>1</v>
      </c>
      <c r="U331" t="s">
        <v>1547</v>
      </c>
      <c r="V331" s="36" t="str">
        <f t="shared" si="5"/>
        <v>{dwID=47888,nFrame=47,szNote="阴山商路·夏洛特",col={100,255,100,},[3]={bScreenHead=true,},[4]={},aFocus={{dwMapID=-1,szDisplay="夏洛特·阴山商路补货",nMaxDistance=20,tRelation={bAll=true,bEnemy=false,bAlly=false,},tLife={bEnable=false,szOperator="&gt;",nValue=0,},},},},</v>
      </c>
    </row>
    <row r="332" spans="1:24" x14ac:dyDescent="0.15">
      <c r="C332">
        <v>47408</v>
      </c>
      <c r="D332">
        <v>47</v>
      </c>
      <c r="I332" s="36" t="s">
        <v>1759</v>
      </c>
      <c r="J332" t="s">
        <v>1527</v>
      </c>
      <c r="O332">
        <v>1</v>
      </c>
      <c r="P332">
        <v>1</v>
      </c>
      <c r="U332" t="s">
        <v>1545</v>
      </c>
      <c r="V332" s="36" t="str">
        <f t="shared" si="5"/>
        <v>{dwID=47408,nFrame=47,szNote="阴山商路·散落的货物",col={0,255,0,},[3]={bCenterAlarm=true,bScreenHead=true,},[4]={},aFocus={{dwMapID=-1,nMaxDistance=0,tRelation={bAll=true,bEnemy=false,bAlly=false,},tLife={bEnable=false,szOperator="&gt;",nValue=0,},},},},</v>
      </c>
    </row>
    <row r="333" spans="1:24" x14ac:dyDescent="0.15">
      <c r="C333">
        <v>47859</v>
      </c>
      <c r="D333">
        <v>47</v>
      </c>
      <c r="I333" t="s">
        <v>1758</v>
      </c>
      <c r="U333" t="s">
        <v>1546</v>
      </c>
      <c r="V333" s="36" t="str">
        <f t="shared" si="5"/>
        <v>{dwID=47859,nFrame=47,szNote="阴山商路·浩气盟镖车",[3]={},[4]={},aFocus={{dwMapID=-1,nMaxDistance=10,tRelation={bAll=false,bEnemy=true,bAlly=false,},tLife={bEnable=false,szOperator="&gt;",nValue=0,},},},},</v>
      </c>
    </row>
    <row r="334" spans="1:24" x14ac:dyDescent="0.15">
      <c r="C334">
        <v>47032</v>
      </c>
      <c r="D334">
        <v>47</v>
      </c>
      <c r="I334" t="s">
        <v>1760</v>
      </c>
      <c r="U334" t="s">
        <v>1546</v>
      </c>
      <c r="V334" s="36" t="str">
        <f t="shared" si="5"/>
        <v>{dwID=47032,nFrame=47,szNote="阴山商路·恶人谷镖车",[3]={},[4]={},aFocus={{dwMapID=-1,nMaxDistance=10,tRelation={bAll=false,bEnemy=true,bAlly=false,},tLife={bEnable=false,szOperator="&gt;",nValue=0,},},},},</v>
      </c>
    </row>
    <row r="335" spans="1:24" x14ac:dyDescent="0.15">
      <c r="C335">
        <v>56526</v>
      </c>
      <c r="D335">
        <v>52</v>
      </c>
      <c r="I335" t="s">
        <v>1694</v>
      </c>
      <c r="P335">
        <v>1</v>
      </c>
      <c r="U335" t="s">
        <v>1548</v>
      </c>
      <c r="V335" s="36" t="str">
        <f t="shared" si="5"/>
        <v>{dwID=56526,nFrame=52,szNote="浩气牛车",[3]={bScreenHead=true,},[4]={},aFocus={{dwMapID=-1,nMaxDistance=40,tRelation={bAll=true,bEnemy=false,bAlly=false,},tLife={bEnable=false,szOperator="&gt;",nValue=0,},},},},</v>
      </c>
    </row>
    <row r="336" spans="1:24" x14ac:dyDescent="0.15">
      <c r="C336">
        <v>56527</v>
      </c>
      <c r="D336">
        <v>52</v>
      </c>
      <c r="I336" t="s">
        <v>1695</v>
      </c>
      <c r="P336">
        <v>1</v>
      </c>
      <c r="U336" t="s">
        <v>1548</v>
      </c>
      <c r="V336" s="36" t="str">
        <f t="shared" si="5"/>
        <v>{dwID=56527,nFrame=52,szNote="恶人牛车",[3]={bScreenHead=true,},[4]={},aFocus={{dwMapID=-1,nMaxDistance=40,tRelation={bAll=true,bEnemy=false,bAlly=false,},tLife={bEnable=false,szOperator="&gt;",nValue=0,},},},},</v>
      </c>
    </row>
    <row r="337" spans="3:23" x14ac:dyDescent="0.15">
      <c r="C337">
        <v>123976</v>
      </c>
      <c r="D337">
        <v>47</v>
      </c>
      <c r="I337" t="s">
        <v>1709</v>
      </c>
      <c r="P337">
        <v>1</v>
      </c>
      <c r="U337" t="s">
        <v>1769</v>
      </c>
      <c r="V337" s="36"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37" s="36" t="s">
        <v>2499</v>
      </c>
    </row>
    <row r="338" spans="3:23" x14ac:dyDescent="0.15">
      <c r="C338">
        <v>123975</v>
      </c>
      <c r="D338">
        <v>47</v>
      </c>
      <c r="I338" t="s">
        <v>1710</v>
      </c>
      <c r="P338">
        <v>1</v>
      </c>
      <c r="U338" t="s">
        <v>1769</v>
      </c>
      <c r="V338" s="36"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38" s="36" t="s">
        <v>2498</v>
      </c>
    </row>
    <row r="339" spans="3:23" s="36" customFormat="1" x14ac:dyDescent="0.15">
      <c r="C339" s="36">
        <v>124104</v>
      </c>
      <c r="D339" s="36">
        <v>52</v>
      </c>
      <c r="I339" s="36" t="s">
        <v>1990</v>
      </c>
      <c r="U339" s="36" t="s">
        <v>2384</v>
      </c>
      <c r="V339" s="36" t="str">
        <f t="shared" si="5"/>
        <v>{dwID=124104,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9" s="36" t="s">
        <v>1992</v>
      </c>
    </row>
    <row r="340" spans="3:23" s="36" customFormat="1" x14ac:dyDescent="0.15">
      <c r="C340" s="36">
        <v>124103</v>
      </c>
      <c r="D340" s="36">
        <v>52</v>
      </c>
      <c r="I340" s="36" t="s">
        <v>1990</v>
      </c>
      <c r="U340" s="36" t="s">
        <v>2384</v>
      </c>
      <c r="V340" s="36" t="str">
        <f t="shared" si="5"/>
        <v>{dwID=124103,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40" s="36" t="s">
        <v>1992</v>
      </c>
    </row>
    <row r="341" spans="3:23" s="36" customFormat="1" x14ac:dyDescent="0.15">
      <c r="C341" s="36">
        <v>124102</v>
      </c>
      <c r="D341" s="36">
        <v>52</v>
      </c>
      <c r="I341" s="36" t="s">
        <v>1990</v>
      </c>
      <c r="U341" s="36" t="s">
        <v>2384</v>
      </c>
      <c r="V341" s="36" t="str">
        <f t="shared" si="5"/>
        <v>{dwID=124102,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41" s="36" t="s">
        <v>1992</v>
      </c>
    </row>
    <row r="342" spans="3:23" s="36" customFormat="1" x14ac:dyDescent="0.15">
      <c r="C342" s="36">
        <v>124101</v>
      </c>
      <c r="D342" s="36">
        <v>52</v>
      </c>
      <c r="I342" s="36" t="s">
        <v>1990</v>
      </c>
      <c r="U342" s="36" t="s">
        <v>2384</v>
      </c>
      <c r="V342" s="36" t="str">
        <f t="shared" si="5"/>
        <v>{dwID=124101,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42" s="36" t="s">
        <v>1992</v>
      </c>
    </row>
    <row r="343" spans="3:23" x14ac:dyDescent="0.15">
      <c r="C343">
        <v>124280</v>
      </c>
      <c r="D343">
        <v>52</v>
      </c>
      <c r="I343" t="s">
        <v>1752</v>
      </c>
      <c r="U343" s="36" t="s">
        <v>2682</v>
      </c>
      <c r="V343" s="36" t="str">
        <f t="shared" si="5"/>
        <v>{dwID=124280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4" spans="3:23" x14ac:dyDescent="0.15">
      <c r="C344">
        <v>124281</v>
      </c>
      <c r="D344">
        <v>52</v>
      </c>
      <c r="I344" s="36" t="s">
        <v>1752</v>
      </c>
      <c r="U344" s="36" t="s">
        <v>2682</v>
      </c>
      <c r="V344" s="36" t="str">
        <f t="shared" si="5"/>
        <v>{dwID=124281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5" spans="3:23" x14ac:dyDescent="0.15">
      <c r="C345">
        <v>124290</v>
      </c>
      <c r="D345">
        <v>52</v>
      </c>
      <c r="I345" s="36" t="s">
        <v>1752</v>
      </c>
      <c r="U345" s="36" t="s">
        <v>2682</v>
      </c>
      <c r="V345" s="36" t="str">
        <f t="shared" si="5"/>
        <v>{dwID=124290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6" spans="3:23" x14ac:dyDescent="0.15">
      <c r="C346">
        <v>124291</v>
      </c>
      <c r="D346">
        <v>52</v>
      </c>
      <c r="I346" s="36" t="s">
        <v>1752</v>
      </c>
      <c r="U346" s="36" t="s">
        <v>2682</v>
      </c>
      <c r="V346" s="36" t="str">
        <f t="shared" si="5"/>
        <v>{dwID=124291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7" spans="3:23" x14ac:dyDescent="0.15">
      <c r="C347">
        <v>124260</v>
      </c>
      <c r="D347">
        <v>52</v>
      </c>
      <c r="I347" t="s">
        <v>1753</v>
      </c>
      <c r="U347" s="36" t="s">
        <v>2682</v>
      </c>
      <c r="V347" s="36" t="str">
        <f t="shared" si="5"/>
        <v>{dwID=124260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8" spans="3:23" x14ac:dyDescent="0.15">
      <c r="C348">
        <v>124261</v>
      </c>
      <c r="D348">
        <v>52</v>
      </c>
      <c r="I348" s="36" t="s">
        <v>1753</v>
      </c>
      <c r="U348" s="36" t="s">
        <v>2682</v>
      </c>
      <c r="V348" s="36" t="str">
        <f t="shared" si="5"/>
        <v>{dwID=124261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9" spans="3:23" x14ac:dyDescent="0.15">
      <c r="C349">
        <v>124270</v>
      </c>
      <c r="D349">
        <v>52</v>
      </c>
      <c r="I349" s="36" t="s">
        <v>1753</v>
      </c>
      <c r="U349" s="36" t="s">
        <v>2682</v>
      </c>
      <c r="V349" s="36" t="str">
        <f t="shared" si="5"/>
        <v>{dwID=124270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50" spans="3:23" x14ac:dyDescent="0.15">
      <c r="C350">
        <v>124271</v>
      </c>
      <c r="D350">
        <v>52</v>
      </c>
      <c r="I350" s="36" t="s">
        <v>1753</v>
      </c>
      <c r="U350" s="36" t="s">
        <v>2682</v>
      </c>
      <c r="V350" s="36" t="str">
        <f t="shared" si="5"/>
        <v>{dwID=124271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51" spans="3:23" x14ac:dyDescent="0.15">
      <c r="C351">
        <v>124124</v>
      </c>
      <c r="D351">
        <v>52</v>
      </c>
      <c r="I351" t="s">
        <v>1757</v>
      </c>
      <c r="U351" s="36" t="s">
        <v>2684</v>
      </c>
      <c r="V351" s="36" t="str">
        <f t="shared" si="5"/>
        <v>{dwID=124124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2" spans="3:23" x14ac:dyDescent="0.15">
      <c r="C352">
        <v>124109</v>
      </c>
      <c r="D352">
        <v>52</v>
      </c>
      <c r="I352" s="36" t="s">
        <v>1757</v>
      </c>
      <c r="U352" s="36" t="s">
        <v>2684</v>
      </c>
      <c r="V352" s="36" t="str">
        <f t="shared" si="5"/>
        <v>{dwID=124109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3" spans="3:22" x14ac:dyDescent="0.15">
      <c r="C353">
        <v>124110</v>
      </c>
      <c r="D353">
        <v>52</v>
      </c>
      <c r="I353" s="36" t="s">
        <v>1757</v>
      </c>
      <c r="U353" s="36" t="s">
        <v>2684</v>
      </c>
      <c r="V353" s="36" t="str">
        <f t="shared" si="5"/>
        <v>{dwID=124110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4" spans="3:22" x14ac:dyDescent="0.15">
      <c r="C354">
        <v>124111</v>
      </c>
      <c r="D354">
        <v>52</v>
      </c>
      <c r="I354" s="36" t="s">
        <v>1757</v>
      </c>
      <c r="U354" s="36" t="s">
        <v>2684</v>
      </c>
      <c r="V354" s="36" t="str">
        <f t="shared" si="5"/>
        <v>{dwID=124111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5" spans="3:22" x14ac:dyDescent="0.15">
      <c r="C355">
        <v>124112</v>
      </c>
      <c r="D355">
        <v>52</v>
      </c>
      <c r="I355" s="36" t="s">
        <v>1757</v>
      </c>
      <c r="U355" s="36" t="s">
        <v>2684</v>
      </c>
      <c r="V355" s="36" t="str">
        <f t="shared" si="5"/>
        <v>{dwID=124112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6" spans="3:22" x14ac:dyDescent="0.15">
      <c r="C356">
        <v>124113</v>
      </c>
      <c r="D356">
        <v>52</v>
      </c>
      <c r="I356" s="36" t="s">
        <v>1757</v>
      </c>
      <c r="U356" s="36" t="s">
        <v>2684</v>
      </c>
      <c r="V356" s="36" t="str">
        <f t="shared" si="5"/>
        <v>{dwID=124113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7" spans="3:22" x14ac:dyDescent="0.15">
      <c r="C357">
        <v>124114</v>
      </c>
      <c r="D357">
        <v>52</v>
      </c>
      <c r="I357" s="36" t="s">
        <v>1757</v>
      </c>
      <c r="U357" s="36" t="s">
        <v>2684</v>
      </c>
      <c r="V357" s="36" t="str">
        <f t="shared" si="5"/>
        <v>{dwID=124114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8" spans="3:22" x14ac:dyDescent="0.15">
      <c r="C358">
        <v>124115</v>
      </c>
      <c r="D358">
        <v>52</v>
      </c>
      <c r="I358" s="36" t="s">
        <v>1757</v>
      </c>
      <c r="U358" s="36" t="s">
        <v>2684</v>
      </c>
      <c r="V358" s="36" t="str">
        <f t="shared" si="5"/>
        <v>{dwID=124115,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9" spans="3:22" x14ac:dyDescent="0.15">
      <c r="C359">
        <v>124116</v>
      </c>
      <c r="D359">
        <v>52</v>
      </c>
      <c r="I359" s="36" t="s">
        <v>1757</v>
      </c>
      <c r="U359" s="36" t="s">
        <v>2684</v>
      </c>
      <c r="V359" s="36" t="str">
        <f t="shared" si="5"/>
        <v>{dwID=124116,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0" spans="3:22" x14ac:dyDescent="0.15">
      <c r="C360">
        <v>124117</v>
      </c>
      <c r="D360">
        <v>52</v>
      </c>
      <c r="I360" s="36" t="s">
        <v>1757</v>
      </c>
      <c r="U360" s="36" t="s">
        <v>2684</v>
      </c>
      <c r="V360" s="36" t="str">
        <f t="shared" si="5"/>
        <v>{dwID=124117,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1" spans="3:22" x14ac:dyDescent="0.15">
      <c r="C361">
        <v>124118</v>
      </c>
      <c r="D361">
        <v>52</v>
      </c>
      <c r="I361" s="36" t="s">
        <v>1757</v>
      </c>
      <c r="U361" s="36" t="s">
        <v>2684</v>
      </c>
      <c r="V361" s="36" t="str">
        <f t="shared" si="5"/>
        <v>{dwID=124118,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2" spans="3:22" x14ac:dyDescent="0.15">
      <c r="C362">
        <v>124119</v>
      </c>
      <c r="D362">
        <v>52</v>
      </c>
      <c r="I362" s="36" t="s">
        <v>1757</v>
      </c>
      <c r="U362" s="36" t="s">
        <v>2684</v>
      </c>
      <c r="V362" s="36" t="str">
        <f t="shared" si="5"/>
        <v>{dwID=124119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3" spans="3:22" x14ac:dyDescent="0.15">
      <c r="C363">
        <v>124120</v>
      </c>
      <c r="D363">
        <v>52</v>
      </c>
      <c r="I363" s="36" t="s">
        <v>1757</v>
      </c>
      <c r="U363" s="36" t="s">
        <v>2684</v>
      </c>
      <c r="V363" s="36" t="str">
        <f t="shared" si="5"/>
        <v>{dwID=124120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4" spans="3:22" x14ac:dyDescent="0.15">
      <c r="C364">
        <v>124121</v>
      </c>
      <c r="D364">
        <v>52</v>
      </c>
      <c r="I364" s="36" t="s">
        <v>1757</v>
      </c>
      <c r="U364" s="36" t="s">
        <v>2684</v>
      </c>
      <c r="V364" s="36" t="str">
        <f t="shared" si="5"/>
        <v>{dwID=124121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5" spans="3:22" x14ac:dyDescent="0.15">
      <c r="C365">
        <v>124122</v>
      </c>
      <c r="D365">
        <v>52</v>
      </c>
      <c r="I365" s="36" t="s">
        <v>1757</v>
      </c>
      <c r="U365" s="36" t="s">
        <v>2684</v>
      </c>
      <c r="V365" s="36" t="str">
        <f t="shared" si="5"/>
        <v>{dwID=124122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6" spans="3:22" x14ac:dyDescent="0.15">
      <c r="C366">
        <v>124123</v>
      </c>
      <c r="D366">
        <v>52</v>
      </c>
      <c r="I366" s="36" t="s">
        <v>1757</v>
      </c>
      <c r="U366" s="36" t="s">
        <v>2684</v>
      </c>
      <c r="V366" s="36" t="str">
        <f t="shared" si="5"/>
        <v>{dwID=124123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7" spans="3:22" x14ac:dyDescent="0.15">
      <c r="C367">
        <v>123871</v>
      </c>
      <c r="D367">
        <v>47</v>
      </c>
      <c r="I367" t="s">
        <v>1704</v>
      </c>
      <c r="U367" t="s">
        <v>1921</v>
      </c>
      <c r="V367" s="36" t="str">
        <f t="shared" si="5"/>
        <v>{dwID=123871,nFrame=47,szNote="小珍",[3]={},[4]={},aFocus={{dwMapID=-1,szDisplay="分线·传送",nMaxDistance=12,tRelation={bAll=false,bEnemy=false,bAlly=true,},tLife={bEnable=false,szOperator="&gt;",nValue=0,},},},},</v>
      </c>
    </row>
    <row r="368" spans="3:22" x14ac:dyDescent="0.15">
      <c r="C368">
        <v>123867</v>
      </c>
      <c r="D368">
        <v>47</v>
      </c>
      <c r="I368" t="s">
        <v>1705</v>
      </c>
      <c r="U368" t="s">
        <v>1921</v>
      </c>
      <c r="V368" s="36" t="str">
        <f t="shared" si="5"/>
        <v>{dwID=123867,nFrame=47,szNote="小曾",[3]={},[4]={},aFocus={{dwMapID=-1,szDisplay="分线·传送",nMaxDistance=12,tRelation={bAll=false,bEnemy=false,bAlly=true,},tLife={bEnable=false,szOperator="&gt;",nValue=0,},},},},</v>
      </c>
    </row>
    <row r="369" spans="1:23" s="36" customFormat="1" x14ac:dyDescent="0.15">
      <c r="C369" s="40">
        <v>66809</v>
      </c>
      <c r="D369" s="36">
        <v>57</v>
      </c>
      <c r="G369" s="36" t="s">
        <v>2068</v>
      </c>
      <c r="I369" s="36" t="s">
        <v>2069</v>
      </c>
      <c r="O369" s="36">
        <v>1</v>
      </c>
      <c r="U369" s="36" t="s">
        <v>2116</v>
      </c>
      <c r="V369" s="36" t="str">
        <f t="shared" si="5"/>
        <v>{dwID=66809,nFrame=57,szName="火圈",szNote="减疗火圈",[3]={bCenterAlarm=true,},[4]={},aFocus={{dwMapID=-1,szDisplay="火圈·减疗",nMaxDistance=8,tRelation={bAll=true,bEnemy=true,bAlly=true,},tLife={bEnable=false,szOperator="&gt;",nValue=0,},},},},</v>
      </c>
    </row>
    <row r="370" spans="1:23" s="36" customFormat="1" x14ac:dyDescent="0.15">
      <c r="C370" s="40">
        <v>36396</v>
      </c>
      <c r="D370" s="36">
        <v>52</v>
      </c>
      <c r="G370" s="36" t="s">
        <v>2037</v>
      </c>
      <c r="I370" s="36" t="s">
        <v>2090</v>
      </c>
      <c r="O370" s="36">
        <v>1</v>
      </c>
      <c r="P370" s="36">
        <v>1</v>
      </c>
      <c r="U370" s="36" t="s">
        <v>2036</v>
      </c>
      <c r="V370" s="36"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70" s="36" t="s">
        <v>2026</v>
      </c>
    </row>
    <row r="371" spans="1:23" s="36" customFormat="1" x14ac:dyDescent="0.15">
      <c r="C371" s="40">
        <v>36005</v>
      </c>
      <c r="D371" s="36">
        <v>52</v>
      </c>
      <c r="I371" s="36" t="s">
        <v>2088</v>
      </c>
      <c r="P371" s="36">
        <v>1</v>
      </c>
      <c r="V371" s="36" t="str">
        <f t="shared" si="5"/>
        <v>{dwID=36005,nFrame=52,szNote="神机台·没人状态",[3]={bScreenHead=true,},[4]={},},</v>
      </c>
    </row>
    <row r="372" spans="1:23" s="36" customFormat="1" x14ac:dyDescent="0.15">
      <c r="C372" s="40">
        <v>100133</v>
      </c>
      <c r="D372" s="36">
        <v>57</v>
      </c>
      <c r="I372" s="36" t="s">
        <v>2688</v>
      </c>
      <c r="P372" s="36">
        <v>1</v>
      </c>
      <c r="U372" s="36" t="s">
        <v>2689</v>
      </c>
      <c r="V372" s="36" t="str">
        <f t="shared" si="5"/>
        <v>{dwID=100133,nFrame=57,szNote="狼牙先锋首领",[3]={bScreenHead=true,},[4]={},aFocus={{dwMapID=-1,nMaxDistance=90,tRelation={bAll=false,bEnemy=true,bAlly=false,},tLife={bEnable=false,szOperator="&gt;",nValue=0,},},},},</v>
      </c>
    </row>
    <row r="373" spans="1:23" s="36" customFormat="1" x14ac:dyDescent="0.15">
      <c r="C373" s="40">
        <v>30537</v>
      </c>
      <c r="D373" s="36">
        <v>47</v>
      </c>
      <c r="I373" s="36" t="s">
        <v>1749</v>
      </c>
      <c r="J373" s="36" t="s">
        <v>1751</v>
      </c>
      <c r="P373" s="36">
        <v>1</v>
      </c>
      <c r="U373" s="36" t="s">
        <v>1750</v>
      </c>
      <c r="V373" s="36" t="str">
        <f t="shared" si="5"/>
        <v>{dwID=30537,nFrame=47,szNote="据点伙计",col={100,255,100,},[3]={bScreenHead=true,},[4]={},aFocus={{dwMapID=-1,nMaxDistance=10,tRelation={bAll=false,bEnemy=false,bAlly=true,},tLife={bEnable=false,szOperator="&gt;",nValue=0,},},},},</v>
      </c>
    </row>
    <row r="374" spans="1:23" x14ac:dyDescent="0.15">
      <c r="A374" t="s">
        <v>1988</v>
      </c>
      <c r="B374">
        <v>656</v>
      </c>
      <c r="V374" s="36" t="str">
        <f t="shared" si="5"/>
        <v>},[656]={</v>
      </c>
    </row>
    <row r="375" spans="1:23" x14ac:dyDescent="0.15">
      <c r="C375">
        <v>123840</v>
      </c>
      <c r="D375">
        <v>52</v>
      </c>
      <c r="I375" t="s">
        <v>1912</v>
      </c>
      <c r="J375" t="s">
        <v>1527</v>
      </c>
      <c r="O375">
        <v>1</v>
      </c>
      <c r="P375">
        <v>1</v>
      </c>
      <c r="U375" t="s">
        <v>1975</v>
      </c>
      <c r="V375" s="36" t="str">
        <f t="shared" si="5"/>
        <v>{dwID=123840,nFrame=52,szNote="大旗·云台营",col={0,255,0,},[3]={bCenterAlarm=true,bScreenHead=true,},[4]={},aFocus={{dwMapID=-1,szDisplay="大旗·云台营",nMaxDistance=30,tRelation={bAll=true,bEnemy=false,bAlly=false,},tLife={bEnable=false,szOperator="&gt;",nValue=0,},},},},</v>
      </c>
    </row>
    <row r="376" spans="1:23" x14ac:dyDescent="0.15">
      <c r="C376">
        <v>123841</v>
      </c>
      <c r="D376">
        <v>52</v>
      </c>
      <c r="I376" t="s">
        <v>1913</v>
      </c>
      <c r="J376" t="s">
        <v>1527</v>
      </c>
      <c r="O376">
        <v>1</v>
      </c>
      <c r="P376">
        <v>1</v>
      </c>
      <c r="U376" t="s">
        <v>1976</v>
      </c>
      <c r="V376" s="36" t="str">
        <f t="shared" si="5"/>
        <v>{dwID=123841,nFrame=52,szNote="大旗·高阳营",col={0,255,0,},[3]={bCenterAlarm=true,bScreenHead=true,},[4]={},aFocus={{dwMapID=-1,szDisplay="大旗·高阳营",nMaxDistance=30,tRelation={bAll=true,bEnemy=false,bAlly=false,},tLife={bEnable=false,szOperator="&gt;",nValue=0,},},},},</v>
      </c>
    </row>
    <row r="377" spans="1:23" x14ac:dyDescent="0.15">
      <c r="C377">
        <v>123976</v>
      </c>
      <c r="D377">
        <v>47</v>
      </c>
      <c r="I377" t="s">
        <v>1709</v>
      </c>
      <c r="P377">
        <v>1</v>
      </c>
      <c r="U377" t="s">
        <v>1769</v>
      </c>
      <c r="V377" s="36"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77" s="36" t="s">
        <v>2499</v>
      </c>
    </row>
    <row r="378" spans="1:23" x14ac:dyDescent="0.15">
      <c r="C378">
        <v>123975</v>
      </c>
      <c r="D378">
        <v>47</v>
      </c>
      <c r="I378" t="s">
        <v>1710</v>
      </c>
      <c r="P378">
        <v>1</v>
      </c>
      <c r="U378" t="s">
        <v>1769</v>
      </c>
      <c r="V378" s="36"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78" s="36" t="s">
        <v>2498</v>
      </c>
    </row>
    <row r="379" spans="1:23" s="36" customFormat="1" x14ac:dyDescent="0.15">
      <c r="C379" s="36">
        <v>124104</v>
      </c>
      <c r="D379" s="36">
        <v>52</v>
      </c>
      <c r="I379" s="36" t="s">
        <v>1989</v>
      </c>
      <c r="U379" s="36" t="s">
        <v>2384</v>
      </c>
      <c r="V379" s="36" t="str">
        <f t="shared" si="5"/>
        <v>{dwID=124104,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9" s="36" t="s">
        <v>1992</v>
      </c>
    </row>
    <row r="380" spans="1:23" s="36" customFormat="1" x14ac:dyDescent="0.15">
      <c r="C380" s="36">
        <v>124103</v>
      </c>
      <c r="D380" s="36">
        <v>52</v>
      </c>
      <c r="I380" s="36" t="s">
        <v>1989</v>
      </c>
      <c r="U380" s="36" t="s">
        <v>2384</v>
      </c>
      <c r="V380" s="36" t="str">
        <f t="shared" si="5"/>
        <v>{dwID=124103,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0" s="36" t="s">
        <v>1992</v>
      </c>
    </row>
    <row r="381" spans="1:23" s="36" customFormat="1" x14ac:dyDescent="0.15">
      <c r="C381" s="36">
        <v>124102</v>
      </c>
      <c r="D381" s="36">
        <v>52</v>
      </c>
      <c r="I381" s="36" t="s">
        <v>1989</v>
      </c>
      <c r="U381" s="36" t="s">
        <v>2384</v>
      </c>
      <c r="V381" s="36" t="str">
        <f t="shared" si="5"/>
        <v>{dwID=124102,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1" s="36" t="s">
        <v>1992</v>
      </c>
    </row>
    <row r="382" spans="1:23" s="36" customFormat="1" x14ac:dyDescent="0.15">
      <c r="C382" s="36">
        <v>124101</v>
      </c>
      <c r="D382" s="36">
        <v>52</v>
      </c>
      <c r="I382" s="36" t="s">
        <v>1989</v>
      </c>
      <c r="U382" s="36" t="s">
        <v>2384</v>
      </c>
      <c r="V382" s="36" t="str">
        <f t="shared" si="5"/>
        <v>{dwID=124101,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2" s="36" t="s">
        <v>1992</v>
      </c>
    </row>
    <row r="383" spans="1:23" x14ac:dyDescent="0.15">
      <c r="C383">
        <v>124280</v>
      </c>
      <c r="D383">
        <v>52</v>
      </c>
      <c r="I383" t="s">
        <v>1754</v>
      </c>
      <c r="U383" s="36" t="s">
        <v>2682</v>
      </c>
      <c r="V383" s="36" t="str">
        <f t="shared" si="5"/>
        <v>{dwID=124280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4" spans="1:23" x14ac:dyDescent="0.15">
      <c r="C384">
        <v>124281</v>
      </c>
      <c r="D384">
        <v>52</v>
      </c>
      <c r="I384" s="36" t="s">
        <v>1754</v>
      </c>
      <c r="U384" s="36" t="s">
        <v>2682</v>
      </c>
      <c r="V384" s="36" t="str">
        <f t="shared" si="5"/>
        <v>{dwID=124281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5" spans="3:22" x14ac:dyDescent="0.15">
      <c r="C385">
        <v>124290</v>
      </c>
      <c r="D385">
        <v>52</v>
      </c>
      <c r="I385" s="36" t="s">
        <v>1754</v>
      </c>
      <c r="U385" s="36" t="s">
        <v>2682</v>
      </c>
      <c r="V385" s="36" t="str">
        <f t="shared" si="5"/>
        <v>{dwID=124290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6" spans="3:22" x14ac:dyDescent="0.15">
      <c r="C386">
        <v>124291</v>
      </c>
      <c r="D386">
        <v>52</v>
      </c>
      <c r="I386" s="36" t="s">
        <v>1754</v>
      </c>
      <c r="U386" s="36" t="s">
        <v>2682</v>
      </c>
      <c r="V386" s="36" t="str">
        <f t="shared" ref="V386:V414" si="6">IF(ISBLANK(B386)=FALSE,IF(ISBLANK(B385),"},["&amp;B386&amp;"]={","["&amp;B386&amp;"]={"),IF(AND(ISBLANK(B386),ISBLANK(D386),ISBLANK(C386),OR(ISBLANK(B385)=FALSE,ISBLANK(D385)=FALSE,ISBLANK(C385)=FALSE)),"},},}",IF(ISBLANK(C386),"","{dwID="&amp;C386&amp;","&amp;"nFrame="&amp;D386&amp;","&amp;IF(E386&gt;0,"nCount="&amp;E386&amp;",","")&amp;IF(F386&gt;0,"bAllLeave=true,","")&amp;IF(G386&lt;&gt;"","szName="""&amp;G386&amp;""",","")&amp;IF(H386&lt;&gt;"","tKungFu={"&amp;H386&amp;"},","")&amp;IF(I386&lt;&gt;"","szNote="""&amp;I386&amp;""",","")&amp;IF(J386&lt;&gt;"","col={"&amp;J386&amp;"},","")&amp;"[3]={"&amp;IF(K386&lt;&gt;"","tMark={"&amp;K386&amp;"},","")&amp;IF(L386&lt;&gt;"","szVoice="""&amp;L386&amp;""",","")&amp;IF(M386&gt;0,"bTeamChannel=true,","")&amp;IF(N386&gt;0,"bWhisperChannel=true,","")&amp;IF(O386&gt;0,"bCenterAlarm=true,","")&amp;IF(P386&gt;0,"bScreenHead=true,","")&amp;"},"&amp;"[4]={"&amp;IF(Q386&lt;&gt;"","szVoice="""&amp;Q386&amp;""",","")&amp;IF(R386&gt;0,"bTeamChannel=true,","")&amp;IF(S386&gt;0,"bWhisperChannel=true,","")&amp;IF(T386&gt;0,"bCenterAlarm=true,","")&amp;"},"&amp;IF(U386&lt;&gt;"","aFocus={"&amp;U386&amp;"},","")&amp;IF(W386&lt;&gt;"","tCountdown={"&amp;_xlfn.TEXTJOIN("",TRUE,W386:ZZ386)&amp;"},","")&amp;"},")))</f>
        <v>{dwID=124291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7" spans="3:22" x14ac:dyDescent="0.15">
      <c r="C387">
        <v>124260</v>
      </c>
      <c r="D387">
        <v>52</v>
      </c>
      <c r="I387" t="s">
        <v>1755</v>
      </c>
      <c r="U387" s="36" t="s">
        <v>2682</v>
      </c>
      <c r="V387" s="36" t="str">
        <f t="shared" si="6"/>
        <v>{dwID=124260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8" spans="3:22" x14ac:dyDescent="0.15">
      <c r="C388">
        <v>124261</v>
      </c>
      <c r="D388">
        <v>52</v>
      </c>
      <c r="I388" s="36" t="s">
        <v>1755</v>
      </c>
      <c r="U388" s="36" t="s">
        <v>2682</v>
      </c>
      <c r="V388" s="36" t="str">
        <f t="shared" si="6"/>
        <v>{dwID=124261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9" spans="3:22" x14ac:dyDescent="0.15">
      <c r="C389">
        <v>124270</v>
      </c>
      <c r="D389">
        <v>52</v>
      </c>
      <c r="I389" s="36" t="s">
        <v>1755</v>
      </c>
      <c r="U389" s="36" t="s">
        <v>2682</v>
      </c>
      <c r="V389" s="36" t="str">
        <f t="shared" si="6"/>
        <v>{dwID=124270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90" spans="3:22" x14ac:dyDescent="0.15">
      <c r="C390">
        <v>124271</v>
      </c>
      <c r="D390">
        <v>52</v>
      </c>
      <c r="I390" s="36" t="s">
        <v>1755</v>
      </c>
      <c r="U390" s="36" t="s">
        <v>2682</v>
      </c>
      <c r="V390" s="36" t="str">
        <f t="shared" si="6"/>
        <v>{dwID=124271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91" spans="3:22" x14ac:dyDescent="0.15">
      <c r="C391">
        <v>124109</v>
      </c>
      <c r="D391">
        <v>52</v>
      </c>
      <c r="I391" t="s">
        <v>1756</v>
      </c>
      <c r="U391" s="36" t="s">
        <v>2684</v>
      </c>
      <c r="V391" s="36" t="str">
        <f t="shared" si="6"/>
        <v>{dwID=124109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2" spans="3:22" x14ac:dyDescent="0.15">
      <c r="C392">
        <v>124110</v>
      </c>
      <c r="D392">
        <v>52</v>
      </c>
      <c r="I392" s="36" t="s">
        <v>1756</v>
      </c>
      <c r="U392" s="36" t="s">
        <v>2684</v>
      </c>
      <c r="V392" s="36" t="str">
        <f t="shared" si="6"/>
        <v>{dwID=124110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3" spans="3:22" x14ac:dyDescent="0.15">
      <c r="C393">
        <v>124111</v>
      </c>
      <c r="D393">
        <v>52</v>
      </c>
      <c r="I393" s="36" t="s">
        <v>1756</v>
      </c>
      <c r="U393" s="36" t="s">
        <v>2684</v>
      </c>
      <c r="V393" s="36" t="str">
        <f t="shared" si="6"/>
        <v>{dwID=124111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4" spans="3:22" x14ac:dyDescent="0.15">
      <c r="C394">
        <v>124112</v>
      </c>
      <c r="D394">
        <v>52</v>
      </c>
      <c r="I394" s="36" t="s">
        <v>1756</v>
      </c>
      <c r="U394" s="36" t="s">
        <v>2684</v>
      </c>
      <c r="V394" s="36" t="str">
        <f t="shared" si="6"/>
        <v>{dwID=124112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5" spans="3:22" x14ac:dyDescent="0.15">
      <c r="C395">
        <v>124113</v>
      </c>
      <c r="D395">
        <v>52</v>
      </c>
      <c r="I395" s="36" t="s">
        <v>1756</v>
      </c>
      <c r="U395" s="36" t="s">
        <v>2684</v>
      </c>
      <c r="V395" s="36" t="str">
        <f t="shared" si="6"/>
        <v>{dwID=124113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6" spans="3:22" x14ac:dyDescent="0.15">
      <c r="C396">
        <v>124114</v>
      </c>
      <c r="D396">
        <v>52</v>
      </c>
      <c r="I396" s="36" t="s">
        <v>1756</v>
      </c>
      <c r="U396" s="36" t="s">
        <v>2684</v>
      </c>
      <c r="V396" s="36" t="str">
        <f t="shared" si="6"/>
        <v>{dwID=124114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7" spans="3:22" x14ac:dyDescent="0.15">
      <c r="C397">
        <v>124115</v>
      </c>
      <c r="D397">
        <v>52</v>
      </c>
      <c r="I397" s="36" t="s">
        <v>1756</v>
      </c>
      <c r="U397" s="36" t="s">
        <v>2684</v>
      </c>
      <c r="V397" s="36" t="str">
        <f t="shared" si="6"/>
        <v>{dwID=124115,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8" spans="3:22" x14ac:dyDescent="0.15">
      <c r="C398">
        <v>124116</v>
      </c>
      <c r="D398">
        <v>52</v>
      </c>
      <c r="I398" s="36" t="s">
        <v>1756</v>
      </c>
      <c r="U398" s="36" t="s">
        <v>2684</v>
      </c>
      <c r="V398" s="36" t="str">
        <f t="shared" si="6"/>
        <v>{dwID=124116,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9" spans="3:22" x14ac:dyDescent="0.15">
      <c r="C399">
        <v>124117</v>
      </c>
      <c r="D399">
        <v>52</v>
      </c>
      <c r="I399" s="36" t="s">
        <v>1756</v>
      </c>
      <c r="U399" s="36" t="s">
        <v>2684</v>
      </c>
      <c r="V399" s="36" t="str">
        <f t="shared" si="6"/>
        <v>{dwID=124117,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0" spans="3:22" x14ac:dyDescent="0.15">
      <c r="C400">
        <v>124118</v>
      </c>
      <c r="D400">
        <v>52</v>
      </c>
      <c r="I400" s="36" t="s">
        <v>1756</v>
      </c>
      <c r="U400" s="36" t="s">
        <v>2684</v>
      </c>
      <c r="V400" s="36" t="str">
        <f t="shared" si="6"/>
        <v>{dwID=124118,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1" spans="3:23" x14ac:dyDescent="0.15">
      <c r="C401">
        <v>124119</v>
      </c>
      <c r="D401">
        <v>52</v>
      </c>
      <c r="I401" s="36" t="s">
        <v>1756</v>
      </c>
      <c r="U401" s="36" t="s">
        <v>2684</v>
      </c>
      <c r="V401" s="36" t="str">
        <f t="shared" si="6"/>
        <v>{dwID=124119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2" spans="3:23" x14ac:dyDescent="0.15">
      <c r="C402">
        <v>124120</v>
      </c>
      <c r="D402">
        <v>52</v>
      </c>
      <c r="I402" s="36" t="s">
        <v>1756</v>
      </c>
      <c r="U402" s="36" t="s">
        <v>2684</v>
      </c>
      <c r="V402" s="36" t="str">
        <f t="shared" si="6"/>
        <v>{dwID=124120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3" spans="3:23" x14ac:dyDescent="0.15">
      <c r="C403">
        <v>124121</v>
      </c>
      <c r="D403">
        <v>52</v>
      </c>
      <c r="I403" s="36" t="s">
        <v>1756</v>
      </c>
      <c r="U403" s="36" t="s">
        <v>2684</v>
      </c>
      <c r="V403" s="36" t="str">
        <f t="shared" si="6"/>
        <v>{dwID=124121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4" spans="3:23" x14ac:dyDescent="0.15">
      <c r="C404">
        <v>124122</v>
      </c>
      <c r="D404">
        <v>52</v>
      </c>
      <c r="I404" s="36" t="s">
        <v>1756</v>
      </c>
      <c r="U404" s="36" t="s">
        <v>2684</v>
      </c>
      <c r="V404" s="36" t="str">
        <f t="shared" si="6"/>
        <v>{dwID=124122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5" spans="3:23" x14ac:dyDescent="0.15">
      <c r="C405">
        <v>124123</v>
      </c>
      <c r="D405">
        <v>52</v>
      </c>
      <c r="I405" s="36" t="s">
        <v>1756</v>
      </c>
      <c r="U405" s="36" t="s">
        <v>2684</v>
      </c>
      <c r="V405" s="36" t="str">
        <f t="shared" si="6"/>
        <v>{dwID=124123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6" spans="3:23" x14ac:dyDescent="0.15">
      <c r="C406">
        <v>124124</v>
      </c>
      <c r="D406">
        <v>52</v>
      </c>
      <c r="I406" s="36" t="s">
        <v>1756</v>
      </c>
      <c r="U406" s="36" t="s">
        <v>2684</v>
      </c>
      <c r="V406" s="36" t="str">
        <f t="shared" si="6"/>
        <v>{dwID=124124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7" spans="3:23" x14ac:dyDescent="0.15">
      <c r="C407">
        <v>123871</v>
      </c>
      <c r="D407">
        <v>47</v>
      </c>
      <c r="I407" t="s">
        <v>1704</v>
      </c>
      <c r="U407" t="s">
        <v>1921</v>
      </c>
      <c r="V407" s="36" t="str">
        <f t="shared" si="6"/>
        <v>{dwID=123871,nFrame=47,szNote="小珍",[3]={},[4]={},aFocus={{dwMapID=-1,szDisplay="分线·传送",nMaxDistance=12,tRelation={bAll=false,bEnemy=false,bAlly=true,},tLife={bEnable=false,szOperator="&gt;",nValue=0,},},},},</v>
      </c>
    </row>
    <row r="408" spans="3:23" x14ac:dyDescent="0.15">
      <c r="C408">
        <v>123867</v>
      </c>
      <c r="D408">
        <v>47</v>
      </c>
      <c r="I408" t="s">
        <v>1705</v>
      </c>
      <c r="U408" t="s">
        <v>1921</v>
      </c>
      <c r="V408" s="36" t="str">
        <f t="shared" si="6"/>
        <v>{dwID=123867,nFrame=47,szNote="小曾",[3]={},[4]={},aFocus={{dwMapID=-1,szDisplay="分线·传送",nMaxDistance=12,tRelation={bAll=false,bEnemy=false,bAlly=true,},tLife={bEnable=false,szOperator="&gt;",nValue=0,},},},},</v>
      </c>
    </row>
    <row r="409" spans="3:23" s="36" customFormat="1" x14ac:dyDescent="0.15">
      <c r="C409" s="40">
        <v>66809</v>
      </c>
      <c r="D409" s="36">
        <v>57</v>
      </c>
      <c r="G409" s="36" t="s">
        <v>2068</v>
      </c>
      <c r="I409" s="36" t="s">
        <v>2069</v>
      </c>
      <c r="O409" s="36">
        <v>1</v>
      </c>
      <c r="U409" s="36" t="s">
        <v>2116</v>
      </c>
      <c r="V409" s="36" t="str">
        <f t="shared" si="6"/>
        <v>{dwID=66809,nFrame=57,szName="火圈",szNote="减疗火圈",[3]={bCenterAlarm=true,},[4]={},aFocus={{dwMapID=-1,szDisplay="火圈·减疗",nMaxDistance=8,tRelation={bAll=true,bEnemy=true,bAlly=true,},tLife={bEnable=false,szOperator="&gt;",nValue=0,},},},},</v>
      </c>
    </row>
    <row r="410" spans="3:23" s="36" customFormat="1" x14ac:dyDescent="0.15">
      <c r="C410" s="40">
        <v>36396</v>
      </c>
      <c r="D410" s="36">
        <v>52</v>
      </c>
      <c r="G410" s="36" t="s">
        <v>2037</v>
      </c>
      <c r="I410" s="36" t="s">
        <v>2090</v>
      </c>
      <c r="O410" s="36">
        <v>1</v>
      </c>
      <c r="P410" s="36">
        <v>1</v>
      </c>
      <c r="U410" s="36" t="s">
        <v>2036</v>
      </c>
      <c r="V410" s="36" t="str">
        <f t="shared" si="6"/>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410" s="36" t="s">
        <v>2026</v>
      </c>
    </row>
    <row r="411" spans="3:23" s="36" customFormat="1" x14ac:dyDescent="0.15">
      <c r="C411" s="40">
        <v>36005</v>
      </c>
      <c r="D411" s="36">
        <v>52</v>
      </c>
      <c r="I411" s="36" t="s">
        <v>2088</v>
      </c>
      <c r="P411" s="36">
        <v>1</v>
      </c>
      <c r="V411" s="36" t="str">
        <f t="shared" si="6"/>
        <v>{dwID=36005,nFrame=52,szNote="神机台·没人状态",[3]={bScreenHead=true,},[4]={},},</v>
      </c>
    </row>
    <row r="412" spans="3:23" s="36" customFormat="1" x14ac:dyDescent="0.15">
      <c r="C412" s="40">
        <v>100133</v>
      </c>
      <c r="D412" s="36">
        <v>57</v>
      </c>
      <c r="I412" s="36" t="s">
        <v>2688</v>
      </c>
      <c r="P412" s="36">
        <v>1</v>
      </c>
      <c r="U412" s="36" t="s">
        <v>2689</v>
      </c>
      <c r="V412" s="36" t="str">
        <f t="shared" si="6"/>
        <v>{dwID=100133,nFrame=57,szNote="狼牙先锋首领",[3]={bScreenHead=true,},[4]={},aFocus={{dwMapID=-1,nMaxDistance=90,tRelation={bAll=false,bEnemy=true,bAlly=false,},tLife={bEnable=false,szOperator="&gt;",nValue=0,},},},},</v>
      </c>
    </row>
    <row r="413" spans="3:23" s="36" customFormat="1" x14ac:dyDescent="0.15">
      <c r="C413" s="40">
        <v>30537</v>
      </c>
      <c r="D413" s="36">
        <v>47</v>
      </c>
      <c r="I413" s="36" t="s">
        <v>1749</v>
      </c>
      <c r="J413" s="36" t="s">
        <v>1751</v>
      </c>
      <c r="P413" s="36">
        <v>1</v>
      </c>
      <c r="U413" s="36" t="s">
        <v>1750</v>
      </c>
      <c r="V413" s="36" t="str">
        <f t="shared" si="6"/>
        <v>{dwID=30537,nFrame=47,szNote="据点伙计",col={100,255,100,},[3]={bScreenHead=true,},[4]={},aFocus={{dwMapID=-1,nMaxDistance=10,tRelation={bAll=false,bEnemy=false,bAlly=true,},tLife={bEnable=false,szOperator="&gt;",nValue=0,},},},},</v>
      </c>
    </row>
    <row r="414" spans="3:23" x14ac:dyDescent="0.15">
      <c r="V414" s="36" t="str">
        <f t="shared" si="6"/>
        <v>},},}</v>
      </c>
    </row>
  </sheetData>
  <autoFilter ref="A1:X409" xr:uid="{10984C6C-FFE6-4A9E-B65E-B3CAE577EA25}"/>
  <sortState xmlns:xlrd2="http://schemas.microsoft.com/office/spreadsheetml/2017/richdata2" ref="A151:X158">
    <sortCondition ref="I151:I158"/>
    <sortCondition ref="C151:C158"/>
  </sortState>
  <phoneticPr fontId="18" type="noConversion"/>
  <pageMargins left="0.7" right="0.7" top="0.75" bottom="0.75" header="0.3" footer="0.3"/>
  <pageSetup paperSize="9" orientation="portrait" horizontalDpi="1200" verticalDpi="1200" r:id="rId1"/>
</worksheet>
</file>

<file path=xl/worksheets/sheet7.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56E80-FE58-4391-84D2-3D9CC8390F37}">
  <dimension ref="A1:V39"/>
  <sheetViews>
    <sheetView workbookViewId="0">
      <selection activeCell="F25" sqref="F25"/>
    </sheetView>
  </sheetViews>
  <sheetFormatPr defaultRowHeight="13.5" x14ac:dyDescent="0.15"/>
  <cols>
    <col min="1" max="8" width="9" style="36"/>
    <col min="9" max="9" width="13.25" style="36" customWidth="1"/>
    <col min="10" max="16384" width="9" style="36"/>
  </cols>
  <sheetData>
    <row r="1" spans="1:22" x14ac:dyDescent="0.15">
      <c r="A1" s="36" t="s">
        <v>0</v>
      </c>
      <c r="B1" s="36" t="s">
        <v>1420</v>
      </c>
      <c r="C1" s="36" t="s">
        <v>1</v>
      </c>
      <c r="D1" s="36" t="s">
        <v>1512</v>
      </c>
      <c r="E1" s="36" t="s">
        <v>1513</v>
      </c>
      <c r="F1" s="36" t="s">
        <v>1514</v>
      </c>
      <c r="G1" s="36" t="s">
        <v>1515</v>
      </c>
      <c r="H1" s="36" t="s">
        <v>3</v>
      </c>
      <c r="I1" s="36" t="s">
        <v>1421</v>
      </c>
      <c r="J1" s="36" t="s">
        <v>2651</v>
      </c>
      <c r="K1" s="36" t="s">
        <v>2652</v>
      </c>
      <c r="L1" s="36" t="s">
        <v>2653</v>
      </c>
      <c r="M1" s="36" t="s">
        <v>2654</v>
      </c>
      <c r="N1" s="36" t="s">
        <v>2655</v>
      </c>
      <c r="O1" s="36" t="s">
        <v>2656</v>
      </c>
      <c r="P1" s="36" t="s">
        <v>2657</v>
      </c>
      <c r="Q1" s="36" t="s">
        <v>2658</v>
      </c>
      <c r="R1" s="36" t="s">
        <v>2659</v>
      </c>
      <c r="S1" s="36" t="s">
        <v>2660</v>
      </c>
      <c r="T1" s="36" t="s">
        <v>1526</v>
      </c>
      <c r="U1" s="36" t="s">
        <v>2661</v>
      </c>
      <c r="V1" s="36" t="s">
        <v>1422</v>
      </c>
    </row>
    <row r="2" spans="1:22" x14ac:dyDescent="0.15">
      <c r="A2" s="36" t="s">
        <v>2662</v>
      </c>
      <c r="B2" s="36">
        <v>-19</v>
      </c>
      <c r="U2" s="36" t="str">
        <f t="shared" ref="U2:U39" si="0">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[-19]={</v>
      </c>
    </row>
    <row r="3" spans="1:22" x14ac:dyDescent="0.15">
      <c r="C3" s="36">
        <v>5693</v>
      </c>
      <c r="F3" s="36" t="s">
        <v>1561</v>
      </c>
      <c r="I3" s="36" t="s">
        <v>2663</v>
      </c>
      <c r="N3" s="36">
        <v>1</v>
      </c>
      <c r="T3" s="36" t="s">
        <v>2664</v>
      </c>
      <c r="U3" s="36" t="str">
        <f t="shared" si="0"/>
        <v>{dwID=5693,szName="物资堆·物资车",col={100,255,100,},[17]={bScreenHead=true,},[18]={},aFocus={{dwMapID=-1,szDisplay="物资堆·物资车",nMaxDistance=60,tRelation={bAll=true,bEnemy=false,bAlly=false,},tLife={bEnable=false,szOperator="&gt;",nValue=0,},},},},</v>
      </c>
    </row>
    <row r="4" spans="1:22" x14ac:dyDescent="0.15">
      <c r="C4" s="36">
        <v>5625</v>
      </c>
      <c r="F4" s="36" t="s">
        <v>1562</v>
      </c>
      <c r="I4" s="36" t="s">
        <v>2663</v>
      </c>
      <c r="N4" s="36">
        <v>1</v>
      </c>
      <c r="T4" s="36" t="s">
        <v>1563</v>
      </c>
      <c r="U4" s="36" t="str">
        <f t="shared" si="0"/>
        <v>{dwID=5625,szName="物资箱·复活点",col={100,255,100,},[17]={bScreenHead=true,},[18]={},aFocus={{dwMapID=-1,szDisplay="物资箱·复活点",nMaxDistance=30,tRelation={bAll=true,bEnemy=false,bAlly=false,},tLife={bEnable=false,szOperator="&gt;",nValue=0,},},},},</v>
      </c>
    </row>
    <row r="5" spans="1:22" x14ac:dyDescent="0.15">
      <c r="C5" s="36">
        <v>7518</v>
      </c>
      <c r="F5" s="36" t="s">
        <v>2665</v>
      </c>
      <c r="I5" s="36" t="s">
        <v>2663</v>
      </c>
      <c r="M5" s="36">
        <v>1</v>
      </c>
      <c r="N5" s="36">
        <v>1</v>
      </c>
      <c r="T5" s="36" t="s">
        <v>2666</v>
      </c>
      <c r="U5" s="36" t="str">
        <f t="shared" si="0"/>
        <v>{dwID=7518,szName="物资堆·助战掉落",col={100,255,100,},[17]={bCenterAlarm=true,bScreenHead=true,},[18]={},aFocus={{dwMapID=-1,szDisplay="物资堆·助战掉落",nMaxDistance=0,tRelation={bAll=true,bEnemy=false,bAlly=false,},tLife={bEnable=false,szOperator="&gt;",nValue=0,},},},},</v>
      </c>
    </row>
    <row r="6" spans="1:22" x14ac:dyDescent="0.15">
      <c r="C6" s="36">
        <v>5626</v>
      </c>
      <c r="F6" s="36" t="s">
        <v>2667</v>
      </c>
      <c r="I6" s="36" t="s">
        <v>2663</v>
      </c>
      <c r="M6" s="36">
        <v>1</v>
      </c>
      <c r="N6" s="36">
        <v>1</v>
      </c>
      <c r="T6" s="36" t="s">
        <v>2668</v>
      </c>
      <c r="U6" s="36" t="str">
        <f t="shared" si="0"/>
        <v>{dwID=5626,szName="物资堆·首领掉落",col={100,255,100,},[17]={bCenterAlarm=true,bScreenHead=true,},[18]={},aFocus={{dwMapID=-1,szDisplay="物资堆·首领掉落",nMaxDistance=0,tRelation={bAll=true,bEnemy=false,bAlly=false,},tLife={bEnable=false,szOperator="&gt;",nValue=0,},},},},</v>
      </c>
    </row>
    <row r="7" spans="1:22" x14ac:dyDescent="0.15">
      <c r="A7" s="36" t="s">
        <v>2685</v>
      </c>
      <c r="B7" s="36">
        <v>-20</v>
      </c>
      <c r="U7" s="36" t="str">
        <f t="shared" si="0"/>
        <v>},[-20]={</v>
      </c>
    </row>
    <row r="8" spans="1:22" x14ac:dyDescent="0.15">
      <c r="C8" s="36">
        <v>7011</v>
      </c>
      <c r="H8" s="36" t="s">
        <v>1978</v>
      </c>
      <c r="I8" s="51" t="s">
        <v>2641</v>
      </c>
      <c r="N8" s="36">
        <v>1</v>
      </c>
      <c r="T8" s="36" t="s">
        <v>2669</v>
      </c>
      <c r="U8" s="36" t="str">
        <f t="shared" si="0"/>
        <v>{dwID=7011,szNote="祭天护送恶人宝箱",col={255,120,31,},[17]={bScreenHead=true,},[18]={},aFocus={{dwMapID=-1,nMaxDistance=60,tRelation={bAll=true,bEnemy=false,bAlly=false,},tLife={bEnable=false,szOperator="&gt;",nValue=0,},},},},</v>
      </c>
    </row>
    <row r="9" spans="1:22" x14ac:dyDescent="0.15">
      <c r="C9" s="36">
        <v>7010</v>
      </c>
      <c r="H9" s="36" t="s">
        <v>1979</v>
      </c>
      <c r="I9" s="50" t="s">
        <v>2640</v>
      </c>
      <c r="N9" s="36">
        <v>1</v>
      </c>
      <c r="T9" s="36" t="s">
        <v>2669</v>
      </c>
      <c r="U9" s="36" t="str">
        <f t="shared" si="0"/>
        <v>{dwID=7010,szNote="祭天护送浩气宝箱",col={31,230,255,},[17]={bScreenHead=true,},[18]={},aFocus={{dwMapID=-1,nMaxDistance=60,tRelation={bAll=true,bEnemy=false,bAlly=false,},tLife={bEnable=false,szOperator="&gt;",nValue=0,},},},},</v>
      </c>
    </row>
    <row r="10" spans="1:22" x14ac:dyDescent="0.15">
      <c r="C10" s="36">
        <v>8418</v>
      </c>
      <c r="F10" s="36" t="s">
        <v>1550</v>
      </c>
      <c r="I10" s="36" t="s">
        <v>2663</v>
      </c>
      <c r="M10" s="36">
        <v>1</v>
      </c>
      <c r="N10" s="36">
        <v>1</v>
      </c>
      <c r="T10" s="36" t="s">
        <v>1551</v>
      </c>
      <c r="U10" s="36" t="str">
        <f t="shared" si="0"/>
        <v>{dwID=8418,szName="狼牙先锋首领掉落",col={100,255,100,},[17]={bCenterAlarm=true,bScreenHead=true,},[18]={},aFocus={{dwMapID=-1,szDisplay="狼牙先锋首领·掉落",nMaxDistance=0,tRelation={bAll=true,bEnemy=false,bAlly=false,},tLife={bEnable=false,szOperator="&gt;",nValue=0,},},},},</v>
      </c>
    </row>
    <row r="11" spans="1:22" x14ac:dyDescent="0.15">
      <c r="C11" s="36">
        <v>6971</v>
      </c>
      <c r="F11" s="36" t="s">
        <v>1552</v>
      </c>
      <c r="I11" s="36" t="s">
        <v>2663</v>
      </c>
      <c r="M11" s="36">
        <v>1</v>
      </c>
      <c r="N11" s="36">
        <v>1</v>
      </c>
      <c r="T11" s="36" t="s">
        <v>1553</v>
      </c>
      <c r="U11" s="36" t="str">
        <f t="shared" si="0"/>
        <v>{dwID=6971,szName="粮仓宝堆",col={100,255,100,},[17]={bCenterAlarm=true,bScreenHead=true,},[18]={},aFocus={{dwMapID=-1,szDisplay="粮仓宝堆",nMaxDistance=0,tRelation={bAll=true,bEnemy=false,bAlly=false,},tLife={bEnable=false,szOperator="&gt;",nValue=0,},},},},</v>
      </c>
    </row>
    <row r="12" spans="1:22" x14ac:dyDescent="0.15">
      <c r="A12" s="36" t="s">
        <v>1819</v>
      </c>
      <c r="B12" s="36">
        <v>216</v>
      </c>
      <c r="U12" s="36" t="str">
        <f t="shared" si="0"/>
        <v>},[216]={</v>
      </c>
    </row>
    <row r="13" spans="1:22" x14ac:dyDescent="0.15">
      <c r="C13" s="40">
        <v>8418</v>
      </c>
      <c r="F13" s="36" t="s">
        <v>1550</v>
      </c>
      <c r="I13" s="36" t="s">
        <v>2663</v>
      </c>
      <c r="M13" s="36">
        <v>1</v>
      </c>
      <c r="N13" s="36">
        <v>1</v>
      </c>
      <c r="T13" s="36" t="s">
        <v>1551</v>
      </c>
      <c r="U13" s="36" t="str">
        <f t="shared" si="0"/>
        <v>{dwID=8418,szName="狼牙先锋首领掉落",col={100,255,100,},[17]={bCenterAlarm=true,bScreenHead=true,},[18]={},aFocus={{dwMapID=-1,szDisplay="狼牙先锋首领·掉落",nMaxDistance=0,tRelation={bAll=true,bEnemy=false,bAlly=false,},tLife={bEnable=false,szOperator="&gt;",nValue=0,},},},},</v>
      </c>
    </row>
    <row r="14" spans="1:22" x14ac:dyDescent="0.15">
      <c r="C14" s="40">
        <v>6971</v>
      </c>
      <c r="F14" s="36" t="s">
        <v>1552</v>
      </c>
      <c r="I14" s="36" t="s">
        <v>2663</v>
      </c>
      <c r="M14" s="36">
        <v>1</v>
      </c>
      <c r="N14" s="36">
        <v>1</v>
      </c>
      <c r="T14" s="36" t="s">
        <v>1553</v>
      </c>
      <c r="U14" s="36" t="str">
        <f t="shared" si="0"/>
        <v>{dwID=6971,szName="粮仓宝堆",col={100,255,100,},[17]={bCenterAlarm=true,bScreenHead=true,},[18]={},aFocus={{dwMapID=-1,szDisplay="粮仓宝堆",nMaxDistance=0,tRelation={bAll=true,bEnemy=false,bAlly=false,},tLife={bEnable=false,szOperator="&gt;",nValue=0,},},},},</v>
      </c>
    </row>
    <row r="15" spans="1:22" x14ac:dyDescent="0.15">
      <c r="A15" s="36" t="s">
        <v>613</v>
      </c>
      <c r="B15" s="36">
        <v>656</v>
      </c>
      <c r="U15" s="36" t="str">
        <f t="shared" si="0"/>
        <v>},[656]={</v>
      </c>
    </row>
    <row r="16" spans="1:22" x14ac:dyDescent="0.15">
      <c r="C16" s="40">
        <v>8418</v>
      </c>
      <c r="F16" s="36" t="s">
        <v>1550</v>
      </c>
      <c r="I16" s="36" t="s">
        <v>2663</v>
      </c>
      <c r="M16" s="36">
        <v>1</v>
      </c>
      <c r="N16" s="36">
        <v>1</v>
      </c>
      <c r="T16" s="36" t="s">
        <v>1551</v>
      </c>
      <c r="U16" s="36" t="str">
        <f t="shared" si="0"/>
        <v>{dwID=8418,szName="狼牙先锋首领掉落",col={100,255,100,},[17]={bCenterAlarm=true,bScreenHead=true,},[18]={},aFocus={{dwMapID=-1,szDisplay="狼牙先锋首领·掉落",nMaxDistance=0,tRelation={bAll=true,bEnemy=false,bAlly=false,},tLife={bEnable=false,szOperator="&gt;",nValue=0,},},},},</v>
      </c>
    </row>
    <row r="17" spans="1:21" x14ac:dyDescent="0.15">
      <c r="C17" s="40">
        <v>6971</v>
      </c>
      <c r="F17" s="36" t="s">
        <v>1552</v>
      </c>
      <c r="I17" s="36" t="s">
        <v>2663</v>
      </c>
      <c r="M17" s="36">
        <v>1</v>
      </c>
      <c r="N17" s="36">
        <v>1</v>
      </c>
      <c r="T17" s="36" t="s">
        <v>1553</v>
      </c>
      <c r="U17" s="36" t="str">
        <f t="shared" si="0"/>
        <v>{dwID=6971,szName="粮仓宝堆",col={100,255,100,},[17]={bCenterAlarm=true,bScreenHead=true,},[18]={},aFocus={{dwMapID=-1,szDisplay="粮仓宝堆",nMaxDistance=0,tRelation={bAll=true,bEnemy=false,bAlly=false,},tLife={bEnable=false,szOperator="&gt;",nValue=0,},},},},</v>
      </c>
    </row>
    <row r="18" spans="1:21" x14ac:dyDescent="0.15">
      <c r="A18" s="36" t="s">
        <v>131</v>
      </c>
      <c r="B18" s="36">
        <v>21</v>
      </c>
      <c r="U18" s="36" t="str">
        <f t="shared" si="0"/>
        <v>},[21]={</v>
      </c>
    </row>
    <row r="19" spans="1:21" x14ac:dyDescent="0.15">
      <c r="C19" s="36">
        <v>3444</v>
      </c>
      <c r="H19" s="36" t="s">
        <v>2670</v>
      </c>
      <c r="I19" s="51" t="s">
        <v>2641</v>
      </c>
      <c r="M19" s="36">
        <v>1</v>
      </c>
      <c r="N19" s="36">
        <v>1</v>
      </c>
      <c r="T19" s="36" t="s">
        <v>1554</v>
      </c>
      <c r="U19" s="36" t="str">
        <f t="shared" si="0"/>
        <v>{dwID=3444,szNote="方超的信物",col={255,120,31,},[17]={bCenterAlarm=true,bScreenHead=true,},[18]={},aFocus={{dwMapID=-1,szDisplay="方超信物·阵营前置",nMaxDistance=0,tRelation={bAll=true,bEnemy=false,bAlly=false,},tLife={bEnable=false,szOperator="&gt;",nValue=0,},},},},</v>
      </c>
    </row>
    <row r="20" spans="1:21" x14ac:dyDescent="0.15">
      <c r="C20" s="36">
        <v>3443</v>
      </c>
      <c r="H20" s="36" t="s">
        <v>2671</v>
      </c>
      <c r="I20" s="50" t="s">
        <v>2640</v>
      </c>
      <c r="M20" s="36">
        <v>1</v>
      </c>
      <c r="N20" s="36">
        <v>1</v>
      </c>
      <c r="T20" s="36" t="s">
        <v>1555</v>
      </c>
      <c r="U20" s="36" t="str">
        <f t="shared" si="0"/>
        <v>{dwID=3443,szNote="赵新宇的信物",col={31,230,255,},[17]={bCenterAlarm=true,bScreenHead=true,},[18]={},aFocus={{dwMapID=-1,szDisplay="赵新宇信物·阵营前置",nMaxDistance=0,tRelation={bAll=true,bEnemy=false,bAlly=false,},tLife={bEnable=false,szOperator="&gt;",nValue=0,},},},},</v>
      </c>
    </row>
    <row r="21" spans="1:21" x14ac:dyDescent="0.15">
      <c r="C21" s="36">
        <v>843</v>
      </c>
      <c r="H21" s="36" t="s">
        <v>2672</v>
      </c>
      <c r="I21" s="36" t="s">
        <v>2663</v>
      </c>
      <c r="N21" s="36">
        <v>1</v>
      </c>
      <c r="T21" s="36" t="s">
        <v>1556</v>
      </c>
      <c r="U21" s="36" t="str">
        <f t="shared" si="0"/>
        <v>{dwID=843,szNote="河底的沙石",col={100,255,100,},[17]={bScreenHead=true,},[18]={},aFocus={{dwMapID=-1,szDisplay="河底的沙石·前置",nMaxDistance=20,tRelation={bAll=false,bEnemy=true,bAlly=false,},tLife={bEnable=false,szOperator="&gt;",nValue=0,},},},},</v>
      </c>
    </row>
    <row r="22" spans="1:21" x14ac:dyDescent="0.15">
      <c r="A22" s="36" t="s">
        <v>132</v>
      </c>
      <c r="B22" s="36">
        <v>22</v>
      </c>
      <c r="U22" s="36" t="str">
        <f t="shared" si="0"/>
        <v>},[22]={</v>
      </c>
    </row>
    <row r="23" spans="1:21" x14ac:dyDescent="0.15">
      <c r="C23" s="36">
        <v>843</v>
      </c>
      <c r="H23" s="36" t="s">
        <v>2672</v>
      </c>
      <c r="I23" s="36" t="s">
        <v>2663</v>
      </c>
      <c r="N23" s="36">
        <v>1</v>
      </c>
      <c r="T23" s="36" t="s">
        <v>1556</v>
      </c>
      <c r="U23" s="36" t="str">
        <f t="shared" si="0"/>
        <v>{dwID=843,szNote="河底的沙石",col={100,255,100,},[17]={bScreenHead=true,},[18]={},aFocus={{dwMapID=-1,szDisplay="河底的沙石·前置",nMaxDistance=20,tRelation={bAll=false,bEnemy=true,bAlly=false,},tLife={bEnable=false,szOperator="&gt;",nValue=0,},},},},</v>
      </c>
    </row>
    <row r="24" spans="1:21" x14ac:dyDescent="0.15">
      <c r="C24" s="36">
        <v>7662</v>
      </c>
      <c r="H24" s="36" t="s">
        <v>2673</v>
      </c>
      <c r="I24" s="36" t="s">
        <v>2663</v>
      </c>
      <c r="M24" s="36">
        <v>1</v>
      </c>
      <c r="N24" s="36">
        <v>1</v>
      </c>
      <c r="T24" s="36" t="s">
        <v>1557</v>
      </c>
      <c r="U24" s="36" t="str">
        <f t="shared" si="0"/>
        <v>{dwID=7662,szNote="护送奖赏",col={100,255,100,},[17]={bCenterAlarm=true,bScreenHead=true,},[18]={},aFocus={{dwMapID=-1,szDisplay="护送奖赏·粮草先行",nMaxDistance=0,tRelation={bAll=true,bEnemy=false,bAlly=false,},tLife={bEnable=false,szOperator="&gt;",nValue=0,},},},},</v>
      </c>
    </row>
    <row r="25" spans="1:21" x14ac:dyDescent="0.15">
      <c r="C25" s="36">
        <v>7663</v>
      </c>
      <c r="H25" s="36" t="s">
        <v>2674</v>
      </c>
      <c r="I25" s="36" t="s">
        <v>2663</v>
      </c>
      <c r="M25" s="36">
        <v>1</v>
      </c>
      <c r="N25" s="36">
        <v>1</v>
      </c>
      <c r="T25" s="36" t="s">
        <v>1604</v>
      </c>
      <c r="U25" s="36" t="str">
        <f t="shared" si="0"/>
        <v>{dwID=7663,szNote="拦截奖赏",col={100,255,100,},[17]={bCenterAlarm=true,bScreenHead=true,},[18]={},aFocus={{dwMapID=-1,szDisplay="拦截奖赏·粮草先行",nMaxDistance=0,tRelation={bAll=true,bEnemy=false,bAlly=false,},tLife={bEnable=false,szOperator="&gt;",nValue=0,},},},},</v>
      </c>
    </row>
    <row r="26" spans="1:21" x14ac:dyDescent="0.15">
      <c r="C26" s="36">
        <v>3444</v>
      </c>
      <c r="H26" s="36" t="s">
        <v>2670</v>
      </c>
      <c r="I26" s="51" t="s">
        <v>2641</v>
      </c>
      <c r="M26" s="36">
        <v>1</v>
      </c>
      <c r="N26" s="36">
        <v>1</v>
      </c>
      <c r="T26" s="36" t="s">
        <v>1554</v>
      </c>
      <c r="U26" s="36" t="str">
        <f t="shared" si="0"/>
        <v>{dwID=3444,szNote="方超的信物",col={255,120,31,},[17]={bCenterAlarm=true,bScreenHead=true,},[18]={},aFocus={{dwMapID=-1,szDisplay="方超信物·阵营前置",nMaxDistance=0,tRelation={bAll=true,bEnemy=false,bAlly=false,},tLife={bEnable=false,szOperator="&gt;",nValue=0,},},},},</v>
      </c>
    </row>
    <row r="27" spans="1:21" x14ac:dyDescent="0.15">
      <c r="C27" s="36">
        <v>3443</v>
      </c>
      <c r="H27" s="36" t="s">
        <v>2671</v>
      </c>
      <c r="I27" s="50" t="s">
        <v>2640</v>
      </c>
      <c r="M27" s="36">
        <v>1</v>
      </c>
      <c r="N27" s="36">
        <v>1</v>
      </c>
      <c r="T27" s="36" t="s">
        <v>1555</v>
      </c>
      <c r="U27" s="36" t="str">
        <f t="shared" si="0"/>
        <v>{dwID=3443,szNote="赵新宇的信物",col={31,230,255,},[17]={bCenterAlarm=true,bScreenHead=true,},[18]={},aFocus={{dwMapID=-1,szDisplay="赵新宇信物·阵营前置",nMaxDistance=0,tRelation={bAll=true,bEnemy=false,bAlly=false,},tLife={bEnable=false,szOperator="&gt;",nValue=0,},},},},</v>
      </c>
    </row>
    <row r="28" spans="1:21" x14ac:dyDescent="0.15">
      <c r="A28" s="36" t="s">
        <v>7</v>
      </c>
      <c r="B28" s="36">
        <v>23</v>
      </c>
      <c r="N28" s="36">
        <v>1</v>
      </c>
      <c r="U28" s="36" t="str">
        <f t="shared" si="0"/>
        <v>},[23]={</v>
      </c>
    </row>
    <row r="29" spans="1:21" x14ac:dyDescent="0.15">
      <c r="C29" s="36">
        <v>3445</v>
      </c>
      <c r="H29" s="36" t="s">
        <v>2675</v>
      </c>
      <c r="I29" s="51" t="s">
        <v>2641</v>
      </c>
      <c r="M29" s="36">
        <v>1</v>
      </c>
      <c r="N29" s="36">
        <v>1</v>
      </c>
      <c r="T29" s="36" t="s">
        <v>1558</v>
      </c>
      <c r="U29" s="36" t="str">
        <f t="shared" si="0"/>
        <v>{dwID=3445,szNote="孙永恒的信物",col={255,120,31,},[17]={bCenterAlarm=true,bScreenHead=true,},[18]={},aFocus={{dwMapID=-1,szDisplay="孙永恒信物·阵营前置",nMaxDistance=0,tRelation={bAll=true,bEnemy=false,bAlly=false,},tLife={bEnable=false,szOperator="&gt;",nValue=0,},},},},</v>
      </c>
    </row>
    <row r="30" spans="1:21" x14ac:dyDescent="0.15">
      <c r="C30" s="36">
        <v>3442</v>
      </c>
      <c r="H30" s="36" t="s">
        <v>2676</v>
      </c>
      <c r="I30" s="50" t="s">
        <v>2640</v>
      </c>
      <c r="M30" s="36">
        <v>1</v>
      </c>
      <c r="N30" s="36">
        <v>1</v>
      </c>
      <c r="T30" s="36" t="s">
        <v>1559</v>
      </c>
      <c r="U30" s="36" t="str">
        <f t="shared" si="0"/>
        <v>{dwID=3442,szNote="霸图的信物",col={31,230,255,},[17]={bCenterAlarm=true,bScreenHead=true,},[18]={},aFocus={{dwMapID=-1,szDisplay="霸图的信物·阵营前置",nMaxDistance=0,tRelation={bAll=true,bEnemy=false,bAlly=false,},tLife={bEnable=false,szOperator="&gt;",nValue=0,},},},},</v>
      </c>
    </row>
    <row r="31" spans="1:21" x14ac:dyDescent="0.15">
      <c r="C31" s="36">
        <v>6474</v>
      </c>
      <c r="H31" s="36" t="s">
        <v>2677</v>
      </c>
      <c r="I31" s="36" t="s">
        <v>2663</v>
      </c>
      <c r="T31" s="36" t="s">
        <v>1560</v>
      </c>
      <c r="U31" s="36" t="str">
        <f t="shared" si="0"/>
        <v>{dwID=6474,szNote="散落的冰魂货箱",col={100,255,100,},[17]={},[18]={},aFocus={{dwMapID=-1,szDisplay="散落的冰魂货箱·前置",nMaxDistance=20,tRelation={bAll=true,bEnemy=false,bAlly=false,},tLife={bEnable=false,szOperator="&gt;",nValue=0,},},},},</v>
      </c>
    </row>
    <row r="32" spans="1:21" x14ac:dyDescent="0.15">
      <c r="A32" s="36" t="s">
        <v>136</v>
      </c>
      <c r="B32" s="36">
        <v>30</v>
      </c>
      <c r="U32" s="36" t="str">
        <f t="shared" si="0"/>
        <v>},[30]={</v>
      </c>
    </row>
    <row r="33" spans="3:21" x14ac:dyDescent="0.15">
      <c r="C33" s="36">
        <v>1519</v>
      </c>
      <c r="H33" s="36" t="s">
        <v>2678</v>
      </c>
      <c r="I33" s="36" t="s">
        <v>2663</v>
      </c>
      <c r="N33" s="36">
        <v>1</v>
      </c>
      <c r="T33" s="36" t="s">
        <v>1564</v>
      </c>
      <c r="U33" s="36" t="str">
        <f t="shared" si="0"/>
        <v>{dwID=1519,szNote="冰魂",col={100,255,100,},[17]={bScreenHead=true,},[18]={},aFocus={{dwMapID=-1,szDisplay="冰魂·阵营前置",nMaxDistance=60,tRelation={bAll=true,bEnemy=false,bAlly=false,},tLife={bEnable=false,szOperator="&gt;",nValue=0,},},},},</v>
      </c>
    </row>
    <row r="34" spans="3:21" x14ac:dyDescent="0.15">
      <c r="C34" s="36">
        <v>7662</v>
      </c>
      <c r="H34" s="36" t="s">
        <v>2673</v>
      </c>
      <c r="I34" s="36" t="s">
        <v>2663</v>
      </c>
      <c r="M34" s="36">
        <v>1</v>
      </c>
      <c r="N34" s="36">
        <v>1</v>
      </c>
      <c r="T34" s="36" t="s">
        <v>1557</v>
      </c>
      <c r="U34" s="36" t="str">
        <f t="shared" si="0"/>
        <v>{dwID=7662,szNote="护送奖赏",col={100,255,100,},[17]={bCenterAlarm=true,bScreenHead=true,},[18]={},aFocus={{dwMapID=-1,szDisplay="护送奖赏·粮草先行",nMaxDistance=0,tRelation={bAll=true,bEnemy=false,bAlly=false,},tLife={bEnable=false,szOperator="&gt;",nValue=0,},},},},</v>
      </c>
    </row>
    <row r="35" spans="3:21" x14ac:dyDescent="0.15">
      <c r="C35" s="36">
        <v>7663</v>
      </c>
      <c r="H35" s="36" t="s">
        <v>2674</v>
      </c>
      <c r="I35" s="36" t="s">
        <v>2663</v>
      </c>
      <c r="M35" s="36">
        <v>1</v>
      </c>
      <c r="N35" s="36">
        <v>1</v>
      </c>
      <c r="T35" s="36" t="s">
        <v>1604</v>
      </c>
      <c r="U35" s="36" t="str">
        <f t="shared" si="0"/>
        <v>{dwID=7663,szNote="拦截奖赏",col={100,255,100,},[17]={bCenterAlarm=true,bScreenHead=true,},[18]={},aFocus={{dwMapID=-1,szDisplay="拦截奖赏·粮草先行",nMaxDistance=0,tRelation={bAll=true,bEnemy=false,bAlly=false,},tLife={bEnable=false,szOperator="&gt;",nValue=0,},},},},</v>
      </c>
    </row>
    <row r="36" spans="3:21" x14ac:dyDescent="0.15">
      <c r="C36" s="36">
        <v>3445</v>
      </c>
      <c r="H36" s="36" t="s">
        <v>2675</v>
      </c>
      <c r="I36" s="51" t="s">
        <v>2641</v>
      </c>
      <c r="M36" s="36">
        <v>1</v>
      </c>
      <c r="N36" s="36">
        <v>1</v>
      </c>
      <c r="T36" s="36" t="s">
        <v>1558</v>
      </c>
      <c r="U36" s="36" t="str">
        <f t="shared" si="0"/>
        <v>{dwID=3445,szNote="孙永恒的信物",col={255,120,31,},[17]={bCenterAlarm=true,bScreenHead=true,},[18]={},aFocus={{dwMapID=-1,szDisplay="孙永恒信物·阵营前置",nMaxDistance=0,tRelation={bAll=true,bEnemy=false,bAlly=false,},tLife={bEnable=false,szOperator="&gt;",nValue=0,},},},},</v>
      </c>
    </row>
    <row r="37" spans="3:21" x14ac:dyDescent="0.15">
      <c r="C37" s="36">
        <v>3442</v>
      </c>
      <c r="H37" s="36" t="s">
        <v>2676</v>
      </c>
      <c r="I37" s="50" t="s">
        <v>2640</v>
      </c>
      <c r="M37" s="36">
        <v>1</v>
      </c>
      <c r="N37" s="36">
        <v>1</v>
      </c>
      <c r="T37" s="36" t="s">
        <v>1559</v>
      </c>
      <c r="U37" s="36" t="str">
        <f t="shared" si="0"/>
        <v>{dwID=3442,szNote="霸图的信物",col={31,230,255,},[17]={bCenterAlarm=true,bScreenHead=true,},[18]={},aFocus={{dwMapID=-1,szDisplay="霸图的信物·阵营前置",nMaxDistance=0,tRelation={bAll=true,bEnemy=false,bAlly=false,},tLife={bEnable=false,szOperator="&gt;",nValue=0,},},},},</v>
      </c>
    </row>
    <row r="38" spans="3:21" x14ac:dyDescent="0.15">
      <c r="U38" s="36" t="str">
        <f t="shared" si="0"/>
        <v>},},}</v>
      </c>
    </row>
    <row r="39" spans="3:21" x14ac:dyDescent="0.15">
      <c r="U39" s="36" t="str">
        <f t="shared" si="0"/>
        <v/>
      </c>
    </row>
  </sheetData>
  <phoneticPr fontId="18" type="noConversion"/>
  <pageMargins left="0.7" right="0.7" top="0.75" bottom="0.75" header="0.3" footer="0.3"/>
  <pageSetup paperSize="9" orientation="portrait" verticalDpi="0" r:id="rId1"/>
</worksheet>
</file>

<file path=xl/worksheets/sheet8.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0CAB81-FD57-4F97-A85B-88A947D91C00}">
  <dimension ref="A1:BM195"/>
  <sheetViews>
    <sheetView topLeftCell="X1" zoomScale="80" zoomScaleNormal="80" workbookViewId="0">
      <pane ySplit="1" topLeftCell="A2" activePane="bottomLeft" state="frozen"/>
      <selection activeCell="E1" sqref="E1"/>
      <selection pane="bottomLeft" activeCell="Y14" sqref="Y14"/>
    </sheetView>
  </sheetViews>
  <sheetFormatPr defaultRowHeight="13.5" x14ac:dyDescent="0.15"/>
  <cols>
    <col min="4" max="4" width="52.125" customWidth="1"/>
    <col min="5" max="5" width="50" customWidth="1"/>
    <col min="6" max="6" width="10.625" customWidth="1"/>
    <col min="7" max="7" width="10.625" style="36" customWidth="1"/>
    <col min="8" max="8" width="10.625" customWidth="1"/>
    <col min="9" max="9" width="10.625" style="36" customWidth="1"/>
    <col min="10" max="10" width="10.625" customWidth="1"/>
    <col min="11" max="11" width="10.625" style="36" customWidth="1"/>
    <col min="12" max="12" width="10.625" customWidth="1"/>
    <col min="13" max="14" width="9" customWidth="1"/>
    <col min="15" max="15" width="8.625" customWidth="1"/>
    <col min="16" max="16" width="9" customWidth="1"/>
    <col min="17" max="17" width="11.25" customWidth="1"/>
    <col min="18" max="18" width="9" customWidth="1"/>
    <col min="19" max="19" width="7.25" customWidth="1"/>
    <col min="20" max="20" width="9.5" customWidth="1"/>
    <col min="21" max="21" width="7.875" style="36" customWidth="1"/>
    <col min="22" max="22" width="26.125" customWidth="1"/>
    <col min="23" max="23" width="109.75" customWidth="1"/>
    <col min="24" max="24" width="106.25" customWidth="1"/>
    <col min="25" max="25" width="119.125" customWidth="1"/>
    <col min="26" max="26" width="92.875" customWidth="1"/>
  </cols>
  <sheetData>
    <row r="1" spans="1:65" x14ac:dyDescent="0.15">
      <c r="A1" t="s">
        <v>0</v>
      </c>
      <c r="B1" t="s">
        <v>1420</v>
      </c>
      <c r="C1" t="s">
        <v>839</v>
      </c>
      <c r="D1" t="s">
        <v>1423</v>
      </c>
      <c r="E1" t="s">
        <v>3</v>
      </c>
      <c r="F1" t="s">
        <v>1740</v>
      </c>
      <c r="G1" s="36" t="s">
        <v>1741</v>
      </c>
      <c r="H1" t="s">
        <v>1478</v>
      </c>
      <c r="I1" s="36" t="s">
        <v>1608</v>
      </c>
      <c r="J1" t="s">
        <v>1467</v>
      </c>
      <c r="K1" s="36" t="s">
        <v>1719</v>
      </c>
      <c r="L1" t="s">
        <v>1468</v>
      </c>
      <c r="M1" t="s">
        <v>1421</v>
      </c>
      <c r="N1" t="s">
        <v>1424</v>
      </c>
      <c r="O1" t="s">
        <v>1425</v>
      </c>
      <c r="P1" t="s">
        <v>1426</v>
      </c>
      <c r="Q1" t="s">
        <v>1427</v>
      </c>
      <c r="R1" t="s">
        <v>1428</v>
      </c>
      <c r="S1" t="s">
        <v>1429</v>
      </c>
      <c r="T1" t="s">
        <v>1430</v>
      </c>
      <c r="U1" s="36" t="s">
        <v>1969</v>
      </c>
      <c r="V1" t="s">
        <v>1927</v>
      </c>
      <c r="W1" t="s">
        <v>1422</v>
      </c>
    </row>
    <row r="2" spans="1:65" s="36" customFormat="1" x14ac:dyDescent="0.15">
      <c r="A2" s="36" t="s">
        <v>1716</v>
      </c>
      <c r="B2" s="36">
        <v>-19</v>
      </c>
      <c r="V2" s="36" t="str">
        <f>IF(ISBLANK(B2)=FALSE,IF(ISBLANK(B1),"},["&amp;B2&amp;"]={","["&amp;B2&amp;"]={"),IF(AND(ISBLANK(B2),ISBLANK(D2),ISBLANK(N2),ISBLANK(O2),OR(ISBLANK(B1)=FALSE,ISBLANK(D1)=FALSE,ISBLANK(N1)=FALSE,ISBLANK(O1)=FALSE)),"},},}",IF(ISBLANK(D2),"","{szContent="""&amp;D2&amp;""","&amp;IF(C2&lt;&gt;"","szTarget="""&amp;C2&amp;""",","")&amp;IF(E2&lt;&gt;"","szNote="""&amp;E2&amp;""",","")&amp;IF(M2&lt;&gt;"","col={"&amp;M2&amp;"},","")&amp;IF(N2&gt;0,"bSearch=true,","")&amp;IF(O2&gt;0,"bReg=true,","")&amp;"[14]={"&amp;IF(P2&gt;0,"szVoice="""&amp;P2&amp;""",","")&amp;IF(Q2&gt;0,"bTeamChannel=true,","")&amp;IF(R2&gt;0,"bWhisperChannel=true,","")&amp;IF(S2&gt;0,"bCenterAlarm=true,","")&amp;IF(T2&gt;0,"bScreenHead=true,","")&amp;IF(U2&gt;0,"bFullScreen=true,","")&amp;"},"&amp;IF(W2&lt;&gt;"","tCountdown={"&amp;_xlfn.TEXTJOIN("",TRUE,W2:AAH2)&amp;"},","")&amp;"},")))</f>
        <v>[-19]={</v>
      </c>
    </row>
    <row r="3" spans="1:65" s="36" customFormat="1" x14ac:dyDescent="0.15">
      <c r="D3" s="36" t="s">
        <v>2059</v>
      </c>
      <c r="E3" s="36" t="s">
        <v>2058</v>
      </c>
      <c r="M3" s="36" t="s">
        <v>1748</v>
      </c>
      <c r="O3" s="36">
        <v>1</v>
      </c>
      <c r="V3" s="36" t="str">
        <f t="shared" ref="V3:V66" si="0">IF(ISBLANK(B3)=FALSE,IF(ISBLANK(B2),"},["&amp;B3&amp;"]={","["&amp;B3&amp;"]={"),IF(AND(ISBLANK(B3),ISBLANK(D3),ISBLANK(N3),ISBLANK(O3),OR(ISBLANK(B2)=FALSE,ISBLANK(D2)=FALSE,ISBLANK(N2)=FALSE,ISBLANK(O2)=FALSE)),"},},}",IF(ISBLANK(D3),"","{szContent="""&amp;D3&amp;""","&amp;IF(C3&lt;&gt;"","szTarget="""&amp;C3&amp;""",","")&amp;IF(E3&lt;&gt;"","szNote="""&amp;E3&amp;""",","")&amp;IF(M3&lt;&gt;"","col={"&amp;M3&amp;"},","")&amp;IF(N3&gt;0,"bSearch=true,","")&amp;IF(O3&gt;0,"bReg=true,","")&amp;"[14]={"&amp;IF(P3&gt;0,"szVoice="""&amp;P3&amp;""",","")&amp;IF(Q3&gt;0,"bTeamChannel=true,","")&amp;IF(R3&gt;0,"bWhisperChannel=true,","")&amp;IF(S3&gt;0,"bCenterAlarm=true,","")&amp;IF(T3&gt;0,"bScreenHead=true,","")&amp;IF(U3&gt;0,"bFullScreen=true,","")&amp;"},"&amp;IF(W3&lt;&gt;"","tCountdown={"&amp;_xlfn.TEXTJOIN("",TRUE,W3:AAH3)&amp;"},","")&amp;"},")))</f>
        <v>{szContent="放置一辆摧城车，本日本阵营还可放置(%d-)辆摧城车。",szNote="放置·摧城车",col={255,255,100,},bReg=true,[14]={},tCountdown={{nClass=14,nIcon=6158,nFrame=1,szName="摧城车·本日剩余·{$1}辆",nTime=10,key="摧城车",},},},</v>
      </c>
      <c r="W3" s="36" t="s">
        <v>2092</v>
      </c>
    </row>
    <row r="4" spans="1:65" s="36" customFormat="1" x14ac:dyDescent="0.15">
      <c r="D4" s="36" t="s">
        <v>2170</v>
      </c>
      <c r="E4" s="36" t="s">
        <v>2172</v>
      </c>
      <c r="M4" s="36" t="s">
        <v>1748</v>
      </c>
      <c r="V4" s="36" t="str">
        <f t="shared" si="0"/>
        <v>{szContent="五分钟内只可拾取一次对立阵营首领仓皇撤退留下的物资。",szNote="主场·助战首领堆·拾取间隔",col={255,255,100,},[14]={},tCountdown={{nClass=14,nIcon=13,szName="首领拾取间隔",nTime=-2,key="首领拾取间隔",},},},</v>
      </c>
      <c r="W4" s="36" t="s">
        <v>2171</v>
      </c>
    </row>
    <row r="5" spans="1:65" s="36" customFormat="1" x14ac:dyDescent="0.15">
      <c r="C5" s="36" t="s">
        <v>2188</v>
      </c>
      <c r="D5" s="43" t="s">
        <v>2709</v>
      </c>
      <c r="E5" s="36" t="s">
        <v>2714</v>
      </c>
      <c r="M5" s="36" t="s">
        <v>1432</v>
      </c>
      <c r="O5" s="36">
        <v>1</v>
      </c>
      <c r="S5" s="36">
        <v>1</v>
      </c>
      <c r="V5" s="36" t="str">
        <f t="shared" si="0"/>
        <v>{szContent="^本场攻防“(.-)”“(.-)·(.-)”已结束，(.-)存活首领及拥有据点数为(%d-)，获得(%d-)分；(.-)存活首领及拥有据点数为(%d-)，获得(%d-)分。请再接再厉！",szTarget="%",szNote="{$2}·{$3}·[{$4}·{$6}]:[{$7}·{$9}]",col={255,255,100,},bReg=true,[14]={bCenterAlarm=true,},tCountdown={{nClass=14,nIcon=2401,nFrame=-1,nTime=0,szName="阵营活动",key="阵营活动",},{nClass=14,nIcon=2397,nFrame=-1,nTime=-1,szName="破阵点将·一",nRefresh=2,key="破阵点将·一",},{nClass=14,nIcon=2398,nFrame=-1,nTime=-1,szName="破阵点将·二",nRefresh=2,key="破阵点将·二",},{nClass=14,nIcon=2396,nFrame=-1,nTime=-2,szName="{$2}·{$3}",key="{$2}·{$3}",},{nClass=14,nIcon=2401,nFrame=-1,nTime="60,{$4}·{$6}分·{$7}·{$9}分;840,阶段·物资车2·出发剩余;850,阶段·物资车2·正在出发;900,阶段·首领出战·助战剩余;905,阶段·首领出战·助战结束;2700,阶段·破阵点将2·结算剩余;2702,阶段·破阵点将2·正在结算;2710,阶段·物资车3·正在出发;4500,阶段·本场攻防·结束剩余;4505,阶段·本场攻防·已经结束",szName="{$4}·{$6}分·{$7}·{$9}分",nRefresh=1,key="破阵点将·一",},{nClass=14,nIcon=2401,nFrame=-1,nTime="60,{$4}·{$6}分·{$7}·{$9}分;1800,阶段·本场攻防·结束剩余;1805,阶段·本场攻防·已经结束",szName="{$4}·{$6}分·{$7}·{$9}分",nRefresh=1,key="破阵点将·二",},},},</v>
      </c>
      <c r="W5" s="36" t="s">
        <v>2710</v>
      </c>
      <c r="X5" s="36" t="s">
        <v>2713</v>
      </c>
      <c r="Y5" s="36" t="s">
        <v>2711</v>
      </c>
      <c r="Z5" s="36" t="s">
        <v>2712</v>
      </c>
      <c r="AA5" s="36" t="s">
        <v>2719</v>
      </c>
      <c r="AB5" s="36" t="s">
        <v>2720</v>
      </c>
    </row>
    <row r="6" spans="1:65" s="36" customFormat="1" x14ac:dyDescent="0.15">
      <c r="C6" s="36" t="s">
        <v>1431</v>
      </c>
      <c r="D6" s="43" t="s">
        <v>2579</v>
      </c>
      <c r="E6" s="36" t="s">
        <v>2580</v>
      </c>
      <c r="M6" s="36" t="s">
        <v>1432</v>
      </c>
      <c r="O6" s="36">
        <v>1</v>
      </c>
      <c r="S6" s="36">
        <v>1</v>
      </c>
      <c r="V6" s="36" t="str">
        <f t="shared" si="0"/>
        <v>{szContent="^本周累计从(.-)奖励堆获得战阶：(%d-)/(%d+)",szTarget="%",szNote="{$1}·累计奖励堆·[{$2}/{$3}]",col={255,255,100,},bReg=true,[14]={bCenterAlarm=true,},},</v>
      </c>
    </row>
    <row r="7" spans="1:65" s="36" customFormat="1" x14ac:dyDescent="0.15">
      <c r="C7" s="36" t="s">
        <v>1431</v>
      </c>
      <c r="D7" s="43" t="s">
        <v>2582</v>
      </c>
      <c r="E7" s="36" t="s">
        <v>2583</v>
      </c>
      <c r="M7" s="36" t="s">
        <v>1432</v>
      </c>
      <c r="S7" s="36">
        <v>1</v>
      </c>
      <c r="V7" s="36" t="str">
        <f t="shared" si="0"/>
        <v>{szContent="本周累计从奇袭场奖励堆获得战阶：20000/20000",szTarget="%",szNote="奇袭场·奖励堆·战阶已上限",col={255,255,100,},[14]={bCenterAlarm=true,},},</v>
      </c>
    </row>
    <row r="8" spans="1:65" s="36" customFormat="1" x14ac:dyDescent="0.15">
      <c r="C8" s="36" t="s">
        <v>1431</v>
      </c>
      <c r="D8" s="36" t="s">
        <v>2085</v>
      </c>
      <c r="E8" s="36" t="s">
        <v>2086</v>
      </c>
      <c r="M8" s="36" t="s">
        <v>1432</v>
      </c>
      <c r="O8" s="36">
        <v>1</v>
      </c>
      <c r="V8" s="36" t="str">
        <f t="shared" si="0"/>
        <v>{szContent="([浩气恶人]-)前线战况焦灼，(.-)，有劳你速速前往支援！",szTarget="%",szNote="{$1}·{$2}·即将到达",col={255,255,100,},bReg=true,[14]={},tCountdown={{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v>
      </c>
      <c r="W8" s="52" t="s">
        <v>2648</v>
      </c>
    </row>
    <row r="9" spans="1:65" x14ac:dyDescent="0.15">
      <c r="C9" s="36" t="s">
        <v>1431</v>
      </c>
      <c r="D9" t="s">
        <v>1437</v>
      </c>
      <c r="E9" t="s">
        <v>1661</v>
      </c>
      <c r="G9"/>
      <c r="I9"/>
      <c r="M9" t="s">
        <v>1432</v>
      </c>
      <c r="O9">
        <v>1</v>
      </c>
      <c r="S9" s="36"/>
      <c r="T9" s="36"/>
      <c r="V9" s="36" t="str">
        <f t="shared" si="0"/>
        <v>{szContent="(.-)力不能敌，暂时败退。(.-)进攻顺利，此战有功，请即刻回营，准备下一步战略。",szTarget="%",szNote="{$1}·败退|{$2}·回营",col={255,255,100,},bReg=true,[14]={},tCountdown={{nClass=14,nIcon=13,nFrame=7,szName="浩气·{$2}·助战",nTime=0,key="浩气·{$2}·助战",},{nClass=14,nIcon=13,nFrame=3,szName="恶人·{$2}·助战",nTime=0,key="恶人·{$2}·助战",},{nClass=14,nIcon=16834,nFrame=8,szName="{$2}·助战胜利·已回营",nTime=10,key="{$2}·助战",},},},</v>
      </c>
      <c r="W9" t="s">
        <v>2549</v>
      </c>
      <c r="X9" t="s">
        <v>2550</v>
      </c>
      <c r="Y9" s="36" t="s">
        <v>2551</v>
      </c>
      <c r="Z9" s="36"/>
      <c r="AA9" s="36"/>
    </row>
    <row r="10" spans="1:65" x14ac:dyDescent="0.15">
      <c r="C10" s="36" t="s">
        <v>1431</v>
      </c>
      <c r="D10" t="s">
        <v>2180</v>
      </c>
      <c r="E10" t="s">
        <v>1662</v>
      </c>
      <c r="G10"/>
      <c r="I10"/>
      <c r="M10" t="s">
        <v>1432</v>
      </c>
      <c r="O10">
        <v>1</v>
      </c>
      <c r="S10" s="36"/>
      <c r="T10" s="36"/>
      <c r="V10" s="36" t="str">
        <f t="shared" si="0"/>
        <v>{szContent="(.-)误入埋伏，防守不利，暂时败退。请(.-)暂且撤回驻守之地，务必小心防守。",szTarget="%",szNote="{$1}·败退|{$2}·回防",col={255,255,100,},bReg=true,[14]={},tCountdown={{nClass=14,nIcon=13,nFrame=7,szName="浩气·{$2}·助战",nTime=0,key="浩气·{$2}·助战",},{nClass=14,nIcon=13,nFrame=3,szName="恶人·{$2}·助战",nTime=0,key="恶人·{$2}·助战",},{nClass=14,nIcon=16834,nFrame=8,szName="{$2}·助战退场·易伤30%",nTime=10,key="{$2}·助战",},},},</v>
      </c>
      <c r="W10" t="s">
        <v>2549</v>
      </c>
      <c r="X10" t="s">
        <v>2550</v>
      </c>
      <c r="Y10" s="36" t="s">
        <v>2691</v>
      </c>
      <c r="Z10" s="36"/>
      <c r="AA10" s="36"/>
    </row>
    <row r="11" spans="1:65" x14ac:dyDescent="0.15">
      <c r="C11" s="36" t="s">
        <v>1431</v>
      </c>
      <c r="D11" t="s">
        <v>2181</v>
      </c>
      <c r="E11" t="s">
        <v>2183</v>
      </c>
      <c r="G11"/>
      <c r="I11"/>
      <c r="M11" t="s">
        <v>1432</v>
      </c>
      <c r="O11">
        <v>1</v>
      </c>
      <c r="S11" s="36"/>
      <c r="T11" s="36"/>
      <c r="V11" s="36" t="str">
        <f t="shared" si="0"/>
        <v>{szContent="(.-)出手协助众人酣战一场，其力有所不支，暂且从前线撤回。",szTarget="%",szNote="{$1}·助战失利·回营",col={255,255,100,},bReg=true,[14]={},tCountdown={{nClass=14,nIcon=13,nFrame=7,szName="浩气·{$1}·助战",nTime=0,key="浩气·{$1}·助战",},{nClass=14,nIcon=13,nFrame=3,szName="恶人·{$1}·助战",nTime=0,key="恶人·{$1}·助战",},{nClass=14,nIcon=16834,nFrame=8,szName="{$1}·助战失利·易伤30%",nTime=10,key="{$1}·助战",},},},</v>
      </c>
      <c r="W11" t="s">
        <v>2552</v>
      </c>
      <c r="X11" t="s">
        <v>2553</v>
      </c>
      <c r="Y11" s="36" t="s">
        <v>2692</v>
      </c>
      <c r="Z11" s="36"/>
      <c r="AA11" s="36"/>
    </row>
    <row r="12" spans="1:65" s="36" customFormat="1" x14ac:dyDescent="0.15">
      <c r="C12" s="36" t="s">
        <v>1431</v>
      </c>
      <c r="D12" s="36" t="s">
        <v>2182</v>
      </c>
      <c r="E12" s="36" t="s">
        <v>2184</v>
      </c>
      <c r="M12" s="36" t="s">
        <v>1432</v>
      </c>
      <c r="O12" s="36">
        <v>1</v>
      </c>
      <c r="V12" s="36" t="str">
        <f t="shared" si="0"/>
        <v>{szContent="(.-)出手协助众人酣战一场，回到驻守之地。",szTarget="%",szNote="{$1}·助战结束·回营",col={255,255,100,},bReg=true,[14]={},tCountdown={{nClass=14,nIcon=13,nFrame=7,szName="浩气·{$1}·助战",nTime=0,key="浩气·{$1}·助战",},{nClass=14,nIcon=13,nFrame=3,szName="恶人·{$1}·助战",nTime=0,key="恶人·{$1}·助战",},{nClass=14,nIcon=16834,nFrame=8,szName="{$1}·助战结束·易伤30%",nTime=10,key="{$1}·助战",},},},</v>
      </c>
      <c r="W12" s="36" t="s">
        <v>2552</v>
      </c>
      <c r="X12" s="36" t="s">
        <v>2553</v>
      </c>
      <c r="Y12" s="36" t="s">
        <v>2693</v>
      </c>
    </row>
    <row r="13" spans="1:65" x14ac:dyDescent="0.15">
      <c r="C13" t="s">
        <v>1431</v>
      </c>
      <c r="D13" t="s">
        <v>1433</v>
      </c>
      <c r="E13" t="s">
        <v>1434</v>
      </c>
      <c r="M13" t="s">
        <v>1432</v>
      </c>
      <c r="O13">
        <v>1</v>
      </c>
      <c r="Q13">
        <v>1</v>
      </c>
      <c r="S13">
        <v>1</v>
      </c>
      <c r="T13" s="36"/>
      <c r="V13" s="36" t="str">
        <f t="shared" si="0"/>
        <v>{szContent="(.-)已经尽力，请暂且退回疗伤。",szTarget="%",szNote="{$1}·败退",col={255,255,100,},bReg=true,[14]={bTeamChannel=true,bCenterAlarm=true,},tCountdown={{nClass=14,nIcon=13,nFrame=7,szName="谢渊·{$1}·减伤",nTime=-1,nRefresh=2,key="谢渊·{$1}·减伤",},{nClass=14,nIcon=13,nFrame=3,szName="王遗风·{$1}·减伤",nTime=-1,nRefresh=2,key="王遗风·{$1}·减伤",},{nClass=14,nIcon=13,nFrame=-1,szName="{$sender}·{$1}·减伤",nTime=-2,key="{$sender}·{$1}·减伤",},{nClass=14,nIcon=18829,nFrame=7,szName="浩气·{$1}·败退·易伤30%",nTime=10,nRefresh=5,key="谢渊·{$1}·减伤",},{nClass=14,nIcon=18830,nFrame=3,szName="恶人·{$1}·败退·易伤30%",nTime=10,nRefresh=5,key="王遗风·{$1}·减伤",},},},</v>
      </c>
      <c r="W13" t="s">
        <v>2408</v>
      </c>
      <c r="X13" t="s">
        <v>2409</v>
      </c>
      <c r="Y13" t="s">
        <v>1508</v>
      </c>
      <c r="Z13" t="s">
        <v>2694</v>
      </c>
      <c r="AA13" t="s">
        <v>2695</v>
      </c>
      <c r="AB13" s="36"/>
      <c r="AZ13" s="36"/>
      <c r="BA13" s="36"/>
      <c r="BB13" s="36"/>
      <c r="BC13" s="36"/>
      <c r="BD13" s="36"/>
      <c r="BE13" s="36"/>
      <c r="BF13" s="36"/>
      <c r="BG13" s="36"/>
      <c r="BH13" s="36"/>
      <c r="BI13" s="36"/>
      <c r="BJ13" s="36"/>
      <c r="BK13" s="36"/>
      <c r="BL13" s="36"/>
      <c r="BM13" s="36"/>
    </row>
    <row r="14" spans="1:65" s="36" customFormat="1" x14ac:dyDescent="0.15">
      <c r="C14" s="36" t="s">
        <v>1431</v>
      </c>
      <c r="D14" s="36" t="s">
        <v>2512</v>
      </c>
      <c r="E14" s="36" t="s">
        <v>2513</v>
      </c>
      <c r="M14" s="36" t="s">
        <v>1432</v>
      </c>
      <c r="V14" s="36" t="str">
        <f t="shared" si="0"/>
        <v>{szContent="兄弟们，辛苦了，在此谢过。",szTarget="%",szNote="{$sender}·撤退",col={255,255,100,},[14]={},tCountdown={{nClass=14,nIcon=13,szName="谢渊·{$sender}·减伤",nTime=-1,key="谢渊·{$sender}·减伤",},{nClass=14,nIcon=13,szName="王遗风·{$sender}·减伤",nTime=-1,key="王遗风·{$sender}·减伤",},{nClass=14,nIcon=13,nTime=-1,szName="屹立不倒",nRefresh=14400,key="屹立不倒",},},},</v>
      </c>
      <c r="W14" s="36" t="s">
        <v>2514</v>
      </c>
      <c r="X14" s="36" t="s">
        <v>2515</v>
      </c>
      <c r="Y14" s="36" t="s">
        <v>2626</v>
      </c>
    </row>
    <row r="15" spans="1:65" x14ac:dyDescent="0.15">
      <c r="C15" t="s">
        <v>1431</v>
      </c>
      <c r="D15" t="s">
        <v>1435</v>
      </c>
      <c r="E15" t="s">
        <v>1436</v>
      </c>
      <c r="M15" t="s">
        <v>1432</v>
      </c>
      <c r="N15">
        <v>1</v>
      </c>
      <c r="S15">
        <v>1</v>
      </c>
      <c r="T15" s="36"/>
      <c r="V15" s="36" t="str">
        <f t="shared" si="0"/>
        <v>{szContent="罢了，青山不改，绿水长流，后会有期！",szTarget="%",szNote="{$sender}·败退",col={255,255,100,},bSearch=true,[14]={bCenterAlarm=true,},tCountdown={{nClass=14,nIcon=13,szName="谢渊·{$sender}·减伤",nTime=-2,key="谢渊·{$sender}·减伤",},{nClass=14,nIcon=13,szName="王遗风·{$sender}·减伤",nTime=-2,key="王遗风·{$sender}·减伤",},},},</v>
      </c>
      <c r="W15" t="s">
        <v>2630</v>
      </c>
      <c r="X15" t="s">
        <v>2631</v>
      </c>
    </row>
    <row r="16" spans="1:65" s="39" customFormat="1" x14ac:dyDescent="0.15">
      <c r="C16" s="38" t="str">
        <f>L16</f>
        <v>谢渊</v>
      </c>
      <c r="D16" s="38" t="s">
        <v>1435</v>
      </c>
      <c r="E16" s="39" t="str">
        <f>K16&amp;"·"&amp;L16&amp;"·败退"</f>
        <v>浩气·谢渊·败退</v>
      </c>
      <c r="F16" s="39" t="s">
        <v>1446</v>
      </c>
      <c r="G16" s="39" t="s">
        <v>1444</v>
      </c>
      <c r="I16" s="39" t="s">
        <v>1607</v>
      </c>
      <c r="J16" s="39" t="s">
        <v>1444</v>
      </c>
      <c r="K16" s="39" t="s">
        <v>1609</v>
      </c>
      <c r="L16" s="39" t="s">
        <v>1446</v>
      </c>
      <c r="M16" s="39" t="s">
        <v>1454</v>
      </c>
      <c r="N16" s="39">
        <v>1</v>
      </c>
      <c r="S16" s="39">
        <v>1</v>
      </c>
      <c r="T16" s="36"/>
      <c r="V16" s="36" t="str">
        <f t="shared" si="0"/>
        <v>{szContent="罢了，青山不改，绿水长流，后会有期！",szTarget="谢渊",szNote="浩气·谢渊·败退",col={100,100,255,},bSearch=true,[14]={bCenterAlarm=true,},tCountdown={{nClass=14,nIcon=13,szName="谢渊·谢渊·减伤",nTime=-2,key="谢渊·谢渊·减伤",},{nClass=14,nIcon=13,szName="王遗风·王遗风·减伤",nTime=-2,key="王遗风·王遗风·减伤",},{nClass=14,nIcon=18829,nFrame=7,szName="浩气·谢渊·退场·易伤30%",nTime=10,nRefresh=5,key="谢渊·谢渊·减伤",},{nClass=14,nIcon=2992,nFrame=3,szName="王遗风·王遗风·减伤",nTime="300,恶人·王遗风·减伤3层;600,恶人·王遗风·减伤2层;900,恶人·王遗风·减伤1层;910,恶人·王遗风·减伤消失",nRefresh=5,key="王遗风·王遗风·减伤",},},},</v>
      </c>
      <c r="W16" s="39" t="str">
        <f>"{nClass=14,nIcon=13,szName="""&amp;F16&amp;"·"&amp;L16&amp;"·减伤"""&amp;",nTime=-2,key="""&amp;F16&amp;"·"&amp;L16&amp;"·减伤"""&amp;",},"</f>
        <v>{nClass=14,nIcon=13,szName="谢渊·谢渊·减伤",nTime=-2,key="谢渊·谢渊·减伤",},</v>
      </c>
      <c r="X16" s="39" t="str">
        <f>"{nClass=14,nIcon=13,szName="""&amp;""&amp;G16&amp;"·"&amp;""&amp;J16&amp;"·减伤"""&amp;",nTime=-2,key="""&amp;""&amp;G16&amp;"·"&amp;""&amp;J16&amp;"·减伤"""&amp;",},"</f>
        <v>{nClass=14,nIcon=13,szName="王遗风·王遗风·减伤",nTime=-2,key="王遗风·王遗风·减伤",},</v>
      </c>
      <c r="Y16" s="39" t="str">
        <f>"{nClass=14,nIcon=18829,nFrame=7,szName="""&amp;""&amp;K16&amp;"·"&amp;L16&amp;"·退场·易伤30%"",nTime=10,nRefresh=5,key="""&amp;""&amp;F16&amp;"·"&amp;L16&amp;"·减伤"""&amp;",},"</f>
        <v>{nClass=14,nIcon=18829,nFrame=7,szName="浩气·谢渊·退场·易伤30%",nTime=10,nRefresh=5,key="谢渊·谢渊·减伤",},</v>
      </c>
      <c r="Z16" s="39" t="str">
        <f>"{nClass=14,nIcon=2992,nFrame=3,szName="""&amp;G16&amp;"·"&amp;""&amp;J16&amp;"·减伤"""&amp;",nTime="""&amp;"300,"&amp;I16&amp;"·"&amp;J16&amp;"·减伤3层;600,"&amp;I16&amp;"·"&amp;J16&amp;"·减伤2层;900,"&amp;I16&amp;"·"&amp;J16&amp;"·减伤1层;910,"&amp;I16&amp;"·"&amp;J16&amp;"·减伤消失"""&amp;",nRefresh=5,key="""&amp;""&amp;G16&amp;"·"&amp;""&amp;J16&amp;"·减伤"""&amp;",},"</f>
        <v>{nClass=14,nIcon=2992,nFrame=3,szName="王遗风·王遗风·减伤",nTime="300,恶人·王遗风·减伤3层;600,恶人·王遗风·减伤2层;900,恶人·王遗风·减伤1层;910,恶人·王遗风·减伤消失",nRefresh=5,key="王遗风·王遗风·减伤",},</v>
      </c>
    </row>
    <row r="17" spans="3:28" s="39" customFormat="1" x14ac:dyDescent="0.15">
      <c r="C17" s="38" t="str">
        <f>L17</f>
        <v>王遗风</v>
      </c>
      <c r="D17" s="38" t="s">
        <v>1435</v>
      </c>
      <c r="E17" s="39" t="str">
        <f>K17&amp;"·"&amp;L17&amp;"·败退"</f>
        <v>恶人·王遗风·败退</v>
      </c>
      <c r="F17" s="39" t="s">
        <v>1444</v>
      </c>
      <c r="G17" s="39" t="s">
        <v>1446</v>
      </c>
      <c r="I17" s="39" t="s">
        <v>1609</v>
      </c>
      <c r="J17" s="39" t="s">
        <v>1446</v>
      </c>
      <c r="K17" s="39" t="s">
        <v>1607</v>
      </c>
      <c r="L17" s="39" t="s">
        <v>1444</v>
      </c>
      <c r="M17" s="39" t="s">
        <v>1486</v>
      </c>
      <c r="N17" s="39">
        <v>1</v>
      </c>
      <c r="S17" s="39">
        <v>1</v>
      </c>
      <c r="T17" s="36"/>
      <c r="V17" s="36" t="str">
        <f t="shared" si="0"/>
        <v>{szContent="罢了，青山不改，绿水长流，后会有期！",szTarget="王遗风",szNote="恶人·王遗风·败退",col={255,100,100,},bSearch=true,[14]={bCenterAlarm=true,},tCountdown={{nClass=14,nIcon=13,szName="王遗风·王遗风·减伤",nTime=-2,key="王遗风·王遗风·减伤",},{nClass=14,nIcon=13,szName="谢渊·谢渊·减伤",nTime=-2,key="谢渊·谢渊·减伤",},{nClass=14,nIcon=18830,nFrame=3,szName="恶人·王遗风·退场·易伤30%",nTime=10,nRefresh=5,key="王遗风·王遗风·减伤",},{nClass=14,nIcon=2939,nFrame=7,szName="谢渊·谢渊·减伤",nTime="300,浩气·谢渊·减伤3层;600,浩气·谢渊·减伤2层;900,浩气·谢渊·减伤1层;910,浩气·谢渊·减伤消失",nRefresh=5,key="谢渊·谢渊·减伤",},},},</v>
      </c>
      <c r="W17" s="39" t="str">
        <f t="shared" ref="W17:W28" si="1">"{nClass=14,nIcon=13,szName="""&amp;F17&amp;"·"&amp;L17&amp;"·减伤"""&amp;",nTime=-2,key="""&amp;F17&amp;"·"&amp;L17&amp;"·减伤"""&amp;",},"</f>
        <v>{nClass=14,nIcon=13,szName="王遗风·王遗风·减伤",nTime=-2,key="王遗风·王遗风·减伤",},</v>
      </c>
      <c r="X17" s="39" t="str">
        <f t="shared" ref="X17:X28" si="2">"{nClass=14,nIcon=13,szName="""&amp;""&amp;G17&amp;"·"&amp;""&amp;J17&amp;"·减伤"""&amp;",nTime=-2,key="""&amp;""&amp;G17&amp;"·"&amp;""&amp;J17&amp;"·减伤"""&amp;",},"</f>
        <v>{nClass=14,nIcon=13,szName="谢渊·谢渊·减伤",nTime=-2,key="谢渊·谢渊·减伤",},</v>
      </c>
      <c r="Y17" s="39" t="str">
        <f>"{nClass=14,nIcon=18830,nFrame=3,szName="""&amp;""&amp;K17&amp;"·"&amp;L17&amp;"·退场·易伤30%"",nTime=10,nRefresh=5,key="""&amp;""&amp;F17&amp;"·"&amp;L17&amp;"·减伤"""&amp;",},"</f>
        <v>{nClass=14,nIcon=18830,nFrame=3,szName="恶人·王遗风·退场·易伤30%",nTime=10,nRefresh=5,key="王遗风·王遗风·减伤",},</v>
      </c>
      <c r="Z17" s="39" t="str">
        <f>"{nClass=14,nIcon=2939,nFrame=7,szName="""&amp;G17&amp;"·"&amp;""&amp;J17&amp;"·减伤"""&amp;",nTime="""&amp;"300,"&amp;I17&amp;"·"&amp;J17&amp;"·减伤3层;600,"&amp;I17&amp;"·"&amp;J17&amp;"·减伤2层;900,"&amp;I17&amp;"·"&amp;J17&amp;"·减伤1层;910,"&amp;I17&amp;"·"&amp;J17&amp;"·减伤消失"""&amp;",nRefresh=5,key="""&amp;""&amp;G17&amp;"·"&amp;""&amp;J17&amp;"·减伤"""&amp;",},"</f>
        <v>{nClass=14,nIcon=2939,nFrame=7,szName="谢渊·谢渊·减伤",nTime="300,浩气·谢渊·减伤3层;600,浩气·谢渊·减伤2层;900,浩气·谢渊·减伤1层;910,浩气·谢渊·减伤消失",nRefresh=5,key="谢渊·谢渊·减伤",},</v>
      </c>
    </row>
    <row r="18" spans="3:28" s="39" customFormat="1" x14ac:dyDescent="0.15">
      <c r="C18" s="38" t="str">
        <f>L18</f>
        <v>小七</v>
      </c>
      <c r="D18" s="38" t="s">
        <v>1435</v>
      </c>
      <c r="E18" s="39" t="str">
        <f t="shared" ref="E18:E28" si="3">K18&amp;"·"&amp;L18&amp;"·败退"</f>
        <v>浩气·小七·败退</v>
      </c>
      <c r="F18" s="39" t="s">
        <v>1446</v>
      </c>
      <c r="G18" s="39" t="s">
        <v>1444</v>
      </c>
      <c r="I18" s="39" t="s">
        <v>1607</v>
      </c>
      <c r="J18" s="39" t="s">
        <v>1610</v>
      </c>
      <c r="K18" s="39" t="s">
        <v>1609</v>
      </c>
      <c r="L18" s="39" t="s">
        <v>1718</v>
      </c>
      <c r="M18" s="39" t="s">
        <v>1454</v>
      </c>
      <c r="N18" s="39">
        <v>1</v>
      </c>
      <c r="S18" s="39">
        <v>1</v>
      </c>
      <c r="T18" s="36"/>
      <c r="V18" s="36" t="str">
        <f t="shared" si="0"/>
        <v>{szContent="罢了，青山不改，绿水长流，后会有期！",szTarget="小七",szNote="浩气·小七·败退",col={100,100,255,},bSearch=true,[14]={bCenterAlarm=true,},tCountdown={{nClass=14,nIcon=13,szName="谢渊·小七·减伤",nTime=-2,key="谢渊·小七·减伤",},{nClass=14,nIcon=13,szName="王遗风·伊夜·减伤",nTime=-2,key="王遗风·伊夜·减伤",},{nClass=14,nIcon=18829,nFrame=7,szName="浩气·小七·退场·易伤30%",nTime=10,nRefresh=5,key="谢渊·小七·减伤",},{nClass=14,nIcon=2992,nFrame=3,szName="王遗风·伊夜·减伤",nTime="300,恶人·伊夜·减伤3层;600,恶人·伊夜·减伤2层;900,恶人·伊夜·减伤1层;910,恶人·伊夜·减伤消失",nRefresh=5,key="王遗风·伊夜·减伤",},},},</v>
      </c>
      <c r="W18" s="39" t="str">
        <f t="shared" si="1"/>
        <v>{nClass=14,nIcon=13,szName="谢渊·小七·减伤",nTime=-2,key="谢渊·小七·减伤",},</v>
      </c>
      <c r="X18" s="39" t="str">
        <f t="shared" si="2"/>
        <v>{nClass=14,nIcon=13,szName="王遗风·伊夜·减伤",nTime=-2,key="王遗风·伊夜·减伤",},</v>
      </c>
      <c r="Y18" s="39" t="str">
        <f t="shared" ref="Y18:Y23" si="4">"{nClass=14,nIcon=18829,nFrame=7,szName="""&amp;""&amp;K18&amp;"·"&amp;L18&amp;"·退场·易伤30%"",nTime=10,nRefresh=5,key="""&amp;""&amp;F18&amp;"·"&amp;L18&amp;"·减伤"""&amp;",},"</f>
        <v>{nClass=14,nIcon=18829,nFrame=7,szName="浩气·小七·退场·易伤30%",nTime=10,nRefresh=5,key="谢渊·小七·减伤",},</v>
      </c>
      <c r="Z18" s="39" t="str">
        <f t="shared" ref="Z18:Z23" si="5">"{nClass=14,nIcon=2992,nFrame=3,szName="""&amp;G18&amp;"·"&amp;""&amp;J18&amp;"·减伤"""&amp;",nTime="""&amp;"300,"&amp;I18&amp;"·"&amp;J18&amp;"·减伤3层;600,"&amp;I18&amp;"·"&amp;J18&amp;"·减伤2层;900,"&amp;I18&amp;"·"&amp;J18&amp;"·减伤1层;910,"&amp;I18&amp;"·"&amp;J18&amp;"·减伤消失"""&amp;",nRefresh=5,key="""&amp;""&amp;G18&amp;"·"&amp;""&amp;J18&amp;"·减伤"""&amp;",},"</f>
        <v>{nClass=14,nIcon=2992,nFrame=3,szName="王遗风·伊夜·减伤",nTime="300,恶人·伊夜·减伤3层;600,恶人·伊夜·减伤2层;900,恶人·伊夜·减伤1层;910,恶人·伊夜·减伤消失",nRefresh=5,key="王遗风·伊夜·减伤",},</v>
      </c>
    </row>
    <row r="19" spans="3:28" s="39" customFormat="1" x14ac:dyDescent="0.15">
      <c r="C19" s="38" t="str">
        <f t="shared" ref="C19:C29" si="6">L19</f>
        <v>赵紫儿</v>
      </c>
      <c r="D19" s="38" t="s">
        <v>1435</v>
      </c>
      <c r="E19" s="39" t="str">
        <f t="shared" si="3"/>
        <v>浩气·赵紫儿·败退</v>
      </c>
      <c r="F19" s="39" t="s">
        <v>1446</v>
      </c>
      <c r="G19" s="39" t="s">
        <v>1444</v>
      </c>
      <c r="I19" s="39" t="s">
        <v>1607</v>
      </c>
      <c r="J19" s="39" t="s">
        <v>1464</v>
      </c>
      <c r="K19" s="39" t="s">
        <v>1609</v>
      </c>
      <c r="L19" s="39" t="s">
        <v>1456</v>
      </c>
      <c r="M19" s="39" t="s">
        <v>1454</v>
      </c>
      <c r="N19" s="39">
        <v>1</v>
      </c>
      <c r="S19" s="39">
        <v>1</v>
      </c>
      <c r="T19" s="36"/>
      <c r="V19" s="36" t="str">
        <f t="shared" si="0"/>
        <v>{szContent="罢了，青山不改，绿水长流，后会有期！",szTarget="赵紫儿",szNote="浩气·赵紫儿·败退",col={100,100,255,},bSearch=true,[14]={bCenterAlarm=true,},tCountdown={{nClass=14,nIcon=13,szName="谢渊·赵紫儿·减伤",nTime=-2,key="谢渊·赵紫儿·减伤",},{nClass=14,nIcon=13,szName="王遗风·丁丁·减伤",nTime=-2,key="王遗风·丁丁·减伤",},{nClass=14,nIcon=18829,nFrame=7,szName="浩气·赵紫儿·退场·易伤30%",nTime=10,nRefresh=5,key="谢渊·赵紫儿·减伤",},{nClass=14,nIcon=2992,nFrame=3,szName="王遗风·丁丁·减伤",nTime="300,恶人·丁丁·减伤3层;600,恶人·丁丁·减伤2层;900,恶人·丁丁·减伤1层;910,恶人·丁丁·减伤消失",nRefresh=5,key="王遗风·丁丁·减伤",},},},</v>
      </c>
      <c r="W19" s="39" t="str">
        <f t="shared" si="1"/>
        <v>{nClass=14,nIcon=13,szName="谢渊·赵紫儿·减伤",nTime=-2,key="谢渊·赵紫儿·减伤",},</v>
      </c>
      <c r="X19" s="39" t="str">
        <f t="shared" si="2"/>
        <v>{nClass=14,nIcon=13,szName="王遗风·丁丁·减伤",nTime=-2,key="王遗风·丁丁·减伤",},</v>
      </c>
      <c r="Y19" s="39" t="str">
        <f t="shared" si="4"/>
        <v>{nClass=14,nIcon=18829,nFrame=7,szName="浩气·赵紫儿·退场·易伤30%",nTime=10,nRefresh=5,key="谢渊·赵紫儿·减伤",},</v>
      </c>
      <c r="Z19" s="39" t="str">
        <f t="shared" si="5"/>
        <v>{nClass=14,nIcon=2992,nFrame=3,szName="王遗风·丁丁·减伤",nTime="300,恶人·丁丁·减伤3层;600,恶人·丁丁·减伤2层;900,恶人·丁丁·减伤1层;910,恶人·丁丁·减伤消失",nRefresh=5,key="王遗风·丁丁·减伤",},</v>
      </c>
    </row>
    <row r="20" spans="3:28" s="39" customFormat="1" x14ac:dyDescent="0.15">
      <c r="C20" s="38" t="str">
        <f t="shared" si="6"/>
        <v>影</v>
      </c>
      <c r="D20" s="38" t="s">
        <v>1435</v>
      </c>
      <c r="E20" s="39" t="str">
        <f t="shared" si="3"/>
        <v>浩气·影·败退</v>
      </c>
      <c r="F20" s="39" t="s">
        <v>1446</v>
      </c>
      <c r="G20" s="39" t="s">
        <v>1444</v>
      </c>
      <c r="I20" s="39" t="s">
        <v>1607</v>
      </c>
      <c r="J20" s="39" t="s">
        <v>1462</v>
      </c>
      <c r="K20" s="39" t="s">
        <v>1609</v>
      </c>
      <c r="L20" s="39" t="s">
        <v>1459</v>
      </c>
      <c r="M20" s="39" t="s">
        <v>1454</v>
      </c>
      <c r="N20" s="39">
        <v>1</v>
      </c>
      <c r="S20" s="39">
        <v>1</v>
      </c>
      <c r="T20" s="36"/>
      <c r="V20" s="36" t="str">
        <f t="shared" si="0"/>
        <v>{szContent="罢了，青山不改，绿水长流，后会有期！",szTarget="影",szNote="浩气·影·败退",col={100,100,255,},bSearch=true,[14]={bCenterAlarm=true,},tCountdown={{nClass=14,nIcon=13,szName="谢渊·影·减伤",nTime=-2,key="谢渊·影·减伤",},{nClass=14,nIcon=13,szName="王遗风·独孤修·减伤",nTime=-2,key="王遗风·独孤修·减伤",},{nClass=14,nIcon=18829,nFrame=7,szName="浩气·影·退场·易伤30%",nTime=10,nRefresh=5,key="谢渊·影·减伤",},{nClass=14,nIcon=2992,nFrame=3,szName="王遗风·独孤修·减伤",nTime="300,恶人·独孤修·减伤3层;600,恶人·独孤修·减伤2层;900,恶人·独孤修·减伤1层;910,恶人·独孤修·减伤消失",nRefresh=5,key="王遗风·独孤修·减伤",},},},</v>
      </c>
      <c r="W20" s="39" t="str">
        <f t="shared" si="1"/>
        <v>{nClass=14,nIcon=13,szName="谢渊·影·减伤",nTime=-2,key="谢渊·影·减伤",},</v>
      </c>
      <c r="X20" s="39" t="str">
        <f t="shared" si="2"/>
        <v>{nClass=14,nIcon=13,szName="王遗风·独孤修·减伤",nTime=-2,key="王遗风·独孤修·减伤",},</v>
      </c>
      <c r="Y20" s="39" t="str">
        <f t="shared" si="4"/>
        <v>{nClass=14,nIcon=18829,nFrame=7,szName="浩气·影·退场·易伤30%",nTime=10,nRefresh=5,key="谢渊·影·减伤",},</v>
      </c>
      <c r="Z20" s="39" t="str">
        <f t="shared" si="5"/>
        <v>{nClass=14,nIcon=2992,nFrame=3,szName="王遗风·独孤修·减伤",nTime="300,恶人·独孤修·减伤3层;600,恶人·独孤修·减伤2层;900,恶人·独孤修·减伤1层;910,恶人·独孤修·减伤消失",nRefresh=5,key="王遗风·独孤修·减伤",},</v>
      </c>
    </row>
    <row r="21" spans="3:28" s="39" customFormat="1" x14ac:dyDescent="0.15">
      <c r="C21" s="38" t="str">
        <f t="shared" si="6"/>
        <v>叶镜池</v>
      </c>
      <c r="D21" s="38" t="s">
        <v>1435</v>
      </c>
      <c r="E21" s="39" t="str">
        <f t="shared" si="3"/>
        <v>浩气·叶镜池·败退</v>
      </c>
      <c r="F21" s="39" t="s">
        <v>1446</v>
      </c>
      <c r="G21" s="39" t="s">
        <v>1444</v>
      </c>
      <c r="I21" s="39" t="s">
        <v>1607</v>
      </c>
      <c r="J21" s="39" t="s">
        <v>1461</v>
      </c>
      <c r="K21" s="39" t="s">
        <v>1609</v>
      </c>
      <c r="L21" s="39" t="s">
        <v>1457</v>
      </c>
      <c r="M21" s="39" t="s">
        <v>1454</v>
      </c>
      <c r="N21" s="39">
        <v>1</v>
      </c>
      <c r="S21" s="39">
        <v>1</v>
      </c>
      <c r="T21" s="36"/>
      <c r="V21" s="36" t="str">
        <f t="shared" si="0"/>
        <v>{szContent="罢了，青山不改，绿水长流，后会有期！",szTarget="叶镜池",szNote="浩气·叶镜池·败退",col={100,100,255,},bSearch=true,[14]={bCenterAlarm=true,},tCountdown={{nClass=14,nIcon=13,szName="谢渊·叶镜池·减伤",nTime=-2,key="谢渊·叶镜池·减伤",},{nClass=14,nIcon=13,szName="王遗风·岳琅·减伤",nTime=-2,key="王遗风·岳琅·减伤",},{nClass=14,nIcon=18829,nFrame=7,szName="浩气·叶镜池·退场·易伤30%",nTime=10,nRefresh=5,key="谢渊·叶镜池·减伤",},{nClass=14,nIcon=2992,nFrame=3,szName="王遗风·岳琅·减伤",nTime="300,恶人·岳琅·减伤3层;600,恶人·岳琅·减伤2层;900,恶人·岳琅·减伤1层;910,恶人·岳琅·减伤消失",nRefresh=5,key="王遗风·岳琅·减伤",},},},</v>
      </c>
      <c r="W21" s="39" t="str">
        <f t="shared" si="1"/>
        <v>{nClass=14,nIcon=13,szName="谢渊·叶镜池·减伤",nTime=-2,key="谢渊·叶镜池·减伤",},</v>
      </c>
      <c r="X21" s="39" t="str">
        <f t="shared" si="2"/>
        <v>{nClass=14,nIcon=13,szName="王遗风·岳琅·减伤",nTime=-2,key="王遗风·岳琅·减伤",},</v>
      </c>
      <c r="Y21" s="39" t="str">
        <f t="shared" si="4"/>
        <v>{nClass=14,nIcon=18829,nFrame=7,szName="浩气·叶镜池·退场·易伤30%",nTime=10,nRefresh=5,key="谢渊·叶镜池·减伤",},</v>
      </c>
      <c r="Z21" s="39" t="str">
        <f t="shared" si="5"/>
        <v>{nClass=14,nIcon=2992,nFrame=3,szName="王遗风·岳琅·减伤",nTime="300,恶人·岳琅·减伤3层;600,恶人·岳琅·减伤2层;900,恶人·岳琅·减伤1层;910,恶人·岳琅·减伤消失",nRefresh=5,key="王遗风·岳琅·减伤",},</v>
      </c>
    </row>
    <row r="22" spans="3:28" s="39" customFormat="1" x14ac:dyDescent="0.15">
      <c r="C22" s="38" t="str">
        <f t="shared" si="6"/>
        <v>谢铃儿</v>
      </c>
      <c r="D22" s="38" t="s">
        <v>1435</v>
      </c>
      <c r="E22" s="39" t="str">
        <f t="shared" si="3"/>
        <v>浩气·谢铃儿·败退</v>
      </c>
      <c r="F22" s="39" t="s">
        <v>1446</v>
      </c>
      <c r="G22" s="39" t="s">
        <v>1444</v>
      </c>
      <c r="I22" s="39" t="s">
        <v>1607</v>
      </c>
      <c r="J22" s="39" t="s">
        <v>1460</v>
      </c>
      <c r="K22" s="39" t="s">
        <v>1609</v>
      </c>
      <c r="L22" s="39" t="s">
        <v>2606</v>
      </c>
      <c r="M22" s="39" t="s">
        <v>1454</v>
      </c>
      <c r="N22" s="39">
        <v>1</v>
      </c>
      <c r="S22" s="39">
        <v>1</v>
      </c>
      <c r="T22" s="36"/>
      <c r="V22" s="36" t="str">
        <f t="shared" si="0"/>
        <v>{szContent="罢了，青山不改，绿水长流，后会有期！",szTarget="谢铃儿",szNote="浩气·谢铃儿·败退",col={100,100,255,},bSearch=true,[14]={bCenterAlarm=true,},tCountdown={{nClass=14,nIcon=13,szName="谢渊·谢铃儿·减伤",nTime=-2,key="谢渊·谢铃儿·减伤",},{nClass=14,nIcon=13,szName="王遗风·烟·减伤",nTime=-2,key="王遗风·烟·减伤",},{nClass=14,nIcon=18829,nFrame=7,szName="浩气·谢铃儿·退场·易伤30%",nTime=10,nRefresh=5,key="谢渊·谢铃儿·减伤",},{nClass=14,nIcon=2992,nFrame=3,szName="王遗风·烟·减伤",nTime="300,恶人·烟·减伤3层;600,恶人·烟·减伤2层;900,恶人·烟·减伤1层;910,恶人·烟·减伤消失",nRefresh=5,key="王遗风·烟·减伤",},},},</v>
      </c>
      <c r="W22" s="39" t="str">
        <f t="shared" si="1"/>
        <v>{nClass=14,nIcon=13,szName="谢渊·谢铃儿·减伤",nTime=-2,key="谢渊·谢铃儿·减伤",},</v>
      </c>
      <c r="X22" s="39" t="str">
        <f t="shared" si="2"/>
        <v>{nClass=14,nIcon=13,szName="王遗风·烟·减伤",nTime=-2,key="王遗风·烟·减伤",},</v>
      </c>
      <c r="Y22" s="39" t="str">
        <f t="shared" si="4"/>
        <v>{nClass=14,nIcon=18829,nFrame=7,szName="浩气·谢铃儿·退场·易伤30%",nTime=10,nRefresh=5,key="谢渊·谢铃儿·减伤",},</v>
      </c>
      <c r="Z22" s="39" t="str">
        <f t="shared" si="5"/>
        <v>{nClass=14,nIcon=2992,nFrame=3,szName="王遗风·烟·减伤",nTime="300,恶人·烟·减伤3层;600,恶人·烟·减伤2层;900,恶人·烟·减伤1层;910,恶人·烟·减伤消失",nRefresh=5,key="王遗风·烟·减伤",},</v>
      </c>
    </row>
    <row r="23" spans="3:28" s="39" customFormat="1" x14ac:dyDescent="0.15">
      <c r="C23" s="38" t="str">
        <f t="shared" si="6"/>
        <v>郭珠</v>
      </c>
      <c r="D23" s="38" t="s">
        <v>1435</v>
      </c>
      <c r="E23" s="39" t="str">
        <f t="shared" si="3"/>
        <v>浩气·郭珠·败退</v>
      </c>
      <c r="F23" s="39" t="s">
        <v>1446</v>
      </c>
      <c r="G23" s="39" t="s">
        <v>1444</v>
      </c>
      <c r="I23" s="39" t="s">
        <v>1607</v>
      </c>
      <c r="J23" s="39" t="s">
        <v>1729</v>
      </c>
      <c r="K23" s="39" t="s">
        <v>1609</v>
      </c>
      <c r="L23" s="39" t="s">
        <v>1458</v>
      </c>
      <c r="M23" s="39" t="s">
        <v>1454</v>
      </c>
      <c r="N23" s="39">
        <v>1</v>
      </c>
      <c r="S23" s="39">
        <v>1</v>
      </c>
      <c r="T23" s="36"/>
      <c r="V23" s="36" t="str">
        <f t="shared" si="0"/>
        <v>{szContent="罢了，青山不改，绿水长流，后会有期！",szTarget="郭珠",szNote="浩气·郭珠·败退",col={100,100,255,},bSearch=true,[14]={bCenterAlarm=true,},tCountdown={{nClass=14,nIcon=13,szName="谢渊·郭珠·减伤",nTime=-2,key="谢渊·郭珠·减伤",},{nClass=14,nIcon=13,szName="王遗风·白某·减伤",nTime=-2,key="王遗风·白某·减伤",},{nClass=14,nIcon=18829,nFrame=7,szName="浩气·郭珠·退场·易伤30%",nTime=10,nRefresh=5,key="谢渊·郭珠·减伤",},{nClass=14,nIcon=2992,nFrame=3,szName="王遗风·白某·减伤",nTime="300,恶人·白某·减伤3层;600,恶人·白某·减伤2层;900,恶人·白某·减伤1层;910,恶人·白某·减伤消失",nRefresh=5,key="王遗风·白某·减伤",},},},</v>
      </c>
      <c r="W23" s="39" t="str">
        <f t="shared" si="1"/>
        <v>{nClass=14,nIcon=13,szName="谢渊·郭珠·减伤",nTime=-2,key="谢渊·郭珠·减伤",},</v>
      </c>
      <c r="X23" s="39" t="str">
        <f t="shared" si="2"/>
        <v>{nClass=14,nIcon=13,szName="王遗风·白某·减伤",nTime=-2,key="王遗风·白某·减伤",},</v>
      </c>
      <c r="Y23" s="39" t="str">
        <f t="shared" si="4"/>
        <v>{nClass=14,nIcon=18829,nFrame=7,szName="浩气·郭珠·退场·易伤30%",nTime=10,nRefresh=5,key="谢渊·郭珠·减伤",},</v>
      </c>
      <c r="Z23" s="39" t="str">
        <f t="shared" si="5"/>
        <v>{nClass=14,nIcon=2992,nFrame=3,szName="王遗风·白某·减伤",nTime="300,恶人·白某·减伤3层;600,恶人·白某·减伤2层;900,恶人·白某·减伤1层;910,恶人·白某·减伤消失",nRefresh=5,key="王遗风·白某·减伤",},</v>
      </c>
    </row>
    <row r="24" spans="3:28" s="39" customFormat="1" x14ac:dyDescent="0.15">
      <c r="C24" s="38" t="str">
        <f t="shared" si="6"/>
        <v>伊夜</v>
      </c>
      <c r="D24" s="38" t="s">
        <v>1435</v>
      </c>
      <c r="E24" s="39" t="str">
        <f t="shared" si="3"/>
        <v>恶人·伊夜·败退</v>
      </c>
      <c r="F24" s="39" t="s">
        <v>1444</v>
      </c>
      <c r="G24" s="39" t="s">
        <v>1446</v>
      </c>
      <c r="I24" s="39" t="s">
        <v>1609</v>
      </c>
      <c r="J24" s="39" t="s">
        <v>1718</v>
      </c>
      <c r="K24" s="39" t="s">
        <v>1607</v>
      </c>
      <c r="L24" s="39" t="s">
        <v>1463</v>
      </c>
      <c r="M24" s="39" t="s">
        <v>1486</v>
      </c>
      <c r="N24" s="39">
        <v>1</v>
      </c>
      <c r="S24" s="39">
        <v>1</v>
      </c>
      <c r="T24" s="36"/>
      <c r="V24" s="36" t="str">
        <f t="shared" si="0"/>
        <v>{szContent="罢了，青山不改，绿水长流，后会有期！",szTarget="伊夜",szNote="恶人·伊夜·败退",col={255,100,100,},bSearch=true,[14]={bCenterAlarm=true,},tCountdown={{nClass=14,nIcon=13,szName="王遗风·伊夜·减伤",nTime=-2,key="王遗风·伊夜·减伤",},{nClass=14,nIcon=13,szName="谢渊·小七·减伤",nTime=-2,key="谢渊·小七·减伤",},{nClass=14,nIcon=18830,nFrame=3,szName="恶人·伊夜·退场·易伤30%",nTime=10,nRefresh=5,key="王遗风·伊夜·减伤",},{nClass=14,nIcon=2939,nFrame=7,szName="谢渊·小七·减伤",nTime="300,浩气·小七·减伤3层;600,浩气·小七·减伤2层;900,浩气·小七·减伤1层;910,浩气·小七·减伤消失",nRefresh=5,key="谢渊·小七·减伤",},},},</v>
      </c>
      <c r="W24" s="39" t="str">
        <f t="shared" si="1"/>
        <v>{nClass=14,nIcon=13,szName="王遗风·伊夜·减伤",nTime=-2,key="王遗风·伊夜·减伤",},</v>
      </c>
      <c r="X24" s="39" t="str">
        <f t="shared" si="2"/>
        <v>{nClass=14,nIcon=13,szName="谢渊·小七·减伤",nTime=-2,key="谢渊·小七·减伤",},</v>
      </c>
      <c r="Y24" s="39" t="str">
        <f t="shared" ref="Y24:Y29" si="7">"{nClass=14,nIcon=18830,nFrame=3,szName="""&amp;""&amp;K24&amp;"·"&amp;L24&amp;"·退场·易伤30%"",nTime=10,nRefresh=5,key="""&amp;""&amp;F24&amp;"·"&amp;L24&amp;"·减伤"""&amp;",},"</f>
        <v>{nClass=14,nIcon=18830,nFrame=3,szName="恶人·伊夜·退场·易伤30%",nTime=10,nRefresh=5,key="王遗风·伊夜·减伤",},</v>
      </c>
      <c r="Z24" s="39" t="str">
        <f t="shared" ref="Z24:Z29" si="8">"{nClass=14,nIcon=2939,nFrame=7,szName="""&amp;G24&amp;"·"&amp;""&amp;J24&amp;"·减伤"""&amp;",nTime="""&amp;"300,"&amp;I24&amp;"·"&amp;J24&amp;"·减伤3层;600,"&amp;I24&amp;"·"&amp;J24&amp;"·减伤2层;900,"&amp;I24&amp;"·"&amp;J24&amp;"·减伤1层;910,"&amp;I24&amp;"·"&amp;J24&amp;"·减伤消失"""&amp;",nRefresh=5,key="""&amp;""&amp;G24&amp;"·"&amp;""&amp;J24&amp;"·减伤"""&amp;",},"</f>
        <v>{nClass=14,nIcon=2939,nFrame=7,szName="谢渊·小七·减伤",nTime="300,浩气·小七·减伤3层;600,浩气·小七·减伤2层;900,浩气·小七·减伤1层;910,浩气·小七·减伤消失",nRefresh=5,key="谢渊·小七·减伤",},</v>
      </c>
    </row>
    <row r="25" spans="3:28" s="39" customFormat="1" x14ac:dyDescent="0.15">
      <c r="C25" s="38" t="str">
        <f t="shared" si="6"/>
        <v>丁丁</v>
      </c>
      <c r="D25" s="38" t="s">
        <v>1435</v>
      </c>
      <c r="E25" s="39" t="str">
        <f t="shared" si="3"/>
        <v>恶人·丁丁·败退</v>
      </c>
      <c r="F25" s="39" t="s">
        <v>1444</v>
      </c>
      <c r="G25" s="39" t="s">
        <v>1446</v>
      </c>
      <c r="I25" s="39" t="s">
        <v>1609</v>
      </c>
      <c r="J25" s="39" t="s">
        <v>1456</v>
      </c>
      <c r="K25" s="39" t="s">
        <v>1607</v>
      </c>
      <c r="L25" s="39" t="s">
        <v>1464</v>
      </c>
      <c r="M25" s="39" t="s">
        <v>1486</v>
      </c>
      <c r="N25" s="39">
        <v>1</v>
      </c>
      <c r="S25" s="39">
        <v>1</v>
      </c>
      <c r="T25" s="36"/>
      <c r="V25" s="36" t="str">
        <f t="shared" si="0"/>
        <v>{szContent="罢了，青山不改，绿水长流，后会有期！",szTarget="丁丁",szNote="恶人·丁丁·败退",col={255,100,100,},bSearch=true,[14]={bCenterAlarm=true,},tCountdown={{nClass=14,nIcon=13,szName="王遗风·丁丁·减伤",nTime=-2,key="王遗风·丁丁·减伤",},{nClass=14,nIcon=13,szName="谢渊·赵紫儿·减伤",nTime=-2,key="谢渊·赵紫儿·减伤",},{nClass=14,nIcon=18830,nFrame=3,szName="恶人·丁丁·退场·易伤30%",nTime=10,nRefresh=5,key="王遗风·丁丁·减伤",},{nClass=14,nIcon=2939,nFrame=7,szName="谢渊·赵紫儿·减伤",nTime="300,浩气·赵紫儿·减伤3层;600,浩气·赵紫儿·减伤2层;900,浩气·赵紫儿·减伤1层;910,浩气·赵紫儿·减伤消失",nRefresh=5,key="谢渊·赵紫儿·减伤",},},},</v>
      </c>
      <c r="W25" s="39" t="str">
        <f t="shared" si="1"/>
        <v>{nClass=14,nIcon=13,szName="王遗风·丁丁·减伤",nTime=-2,key="王遗风·丁丁·减伤",},</v>
      </c>
      <c r="X25" s="39" t="str">
        <f t="shared" si="2"/>
        <v>{nClass=14,nIcon=13,szName="谢渊·赵紫儿·减伤",nTime=-2,key="谢渊·赵紫儿·减伤",},</v>
      </c>
      <c r="Y25" s="39" t="str">
        <f t="shared" si="7"/>
        <v>{nClass=14,nIcon=18830,nFrame=3,szName="恶人·丁丁·退场·易伤30%",nTime=10,nRefresh=5,key="王遗风·丁丁·减伤",},</v>
      </c>
      <c r="Z25" s="39" t="str">
        <f t="shared" si="8"/>
        <v>{nClass=14,nIcon=2939,nFrame=7,szName="谢渊·赵紫儿·减伤",nTime="300,浩气·赵紫儿·减伤3层;600,浩气·赵紫儿·减伤2层;900,浩气·赵紫儿·减伤1层;910,浩气·赵紫儿·减伤消失",nRefresh=5,key="谢渊·赵紫儿·减伤",},</v>
      </c>
    </row>
    <row r="26" spans="3:28" s="39" customFormat="1" x14ac:dyDescent="0.15">
      <c r="C26" s="38" t="str">
        <f t="shared" si="6"/>
        <v>独孤修</v>
      </c>
      <c r="D26" s="38" t="s">
        <v>1435</v>
      </c>
      <c r="E26" s="39" t="str">
        <f t="shared" si="3"/>
        <v>恶人·独孤修·败退</v>
      </c>
      <c r="F26" s="39" t="s">
        <v>1444</v>
      </c>
      <c r="G26" s="39" t="s">
        <v>1446</v>
      </c>
      <c r="I26" s="39" t="s">
        <v>1609</v>
      </c>
      <c r="J26" s="39" t="s">
        <v>1498</v>
      </c>
      <c r="K26" s="39" t="s">
        <v>1607</v>
      </c>
      <c r="L26" s="39" t="s">
        <v>1500</v>
      </c>
      <c r="M26" s="39" t="s">
        <v>1486</v>
      </c>
      <c r="N26" s="39">
        <v>1</v>
      </c>
      <c r="S26" s="39">
        <v>1</v>
      </c>
      <c r="T26" s="36"/>
      <c r="V26" s="36" t="str">
        <f t="shared" si="0"/>
        <v>{szContent="罢了，青山不改，绿水长流，后会有期！",szTarget="独孤修",szNote="恶人·独孤修·败退",col={255,100,100,},bSearch=true,[14]={bCenterAlarm=true,},tCountdown={{nClass=14,nIcon=13,szName="王遗风·独孤修·减伤",nTime=-2,key="王遗风·独孤修·减伤",},{nClass=14,nIcon=13,szName="谢渊·影·减伤",nTime=-2,key="谢渊·影·减伤",},{nClass=14,nIcon=18830,nFrame=3,szName="恶人·独孤修·退场·易伤30%",nTime=10,nRefresh=5,key="王遗风·独孤修·减伤",},{nClass=14,nIcon=2939,nFrame=7,szName="谢渊·影·减伤",nTime="300,浩气·影·减伤3层;600,浩气·影·减伤2层;900,浩气·影·减伤1层;910,浩气·影·减伤消失",nRefresh=5,key="谢渊·影·减伤",},},},</v>
      </c>
      <c r="W26" s="39" t="str">
        <f t="shared" si="1"/>
        <v>{nClass=14,nIcon=13,szName="王遗风·独孤修·减伤",nTime=-2,key="王遗风·独孤修·减伤",},</v>
      </c>
      <c r="X26" s="39" t="str">
        <f t="shared" si="2"/>
        <v>{nClass=14,nIcon=13,szName="谢渊·影·减伤",nTime=-2,key="谢渊·影·减伤",},</v>
      </c>
      <c r="Y26" s="39" t="str">
        <f t="shared" si="7"/>
        <v>{nClass=14,nIcon=18830,nFrame=3,szName="恶人·独孤修·退场·易伤30%",nTime=10,nRefresh=5,key="王遗风·独孤修·减伤",},</v>
      </c>
      <c r="Z26" s="39" t="str">
        <f t="shared" si="8"/>
        <v>{nClass=14,nIcon=2939,nFrame=7,szName="谢渊·影·减伤",nTime="300,浩气·影·减伤3层;600,浩气·影·减伤2层;900,浩气·影·减伤1层;910,浩气·影·减伤消失",nRefresh=5,key="谢渊·影·减伤",},</v>
      </c>
    </row>
    <row r="27" spans="3:28" s="39" customFormat="1" x14ac:dyDescent="0.15">
      <c r="C27" s="38" t="str">
        <f t="shared" si="6"/>
        <v>岳琅</v>
      </c>
      <c r="D27" s="38" t="s">
        <v>1435</v>
      </c>
      <c r="E27" s="39" t="str">
        <f t="shared" si="3"/>
        <v>恶人·岳琅·败退</v>
      </c>
      <c r="F27" s="39" t="s">
        <v>1444</v>
      </c>
      <c r="G27" s="39" t="s">
        <v>1446</v>
      </c>
      <c r="I27" s="39" t="s">
        <v>1609</v>
      </c>
      <c r="J27" s="39" t="s">
        <v>1497</v>
      </c>
      <c r="K27" s="39" t="s">
        <v>1607</v>
      </c>
      <c r="L27" s="39" t="s">
        <v>1502</v>
      </c>
      <c r="M27" s="39" t="s">
        <v>1486</v>
      </c>
      <c r="N27" s="39">
        <v>1</v>
      </c>
      <c r="S27" s="39">
        <v>1</v>
      </c>
      <c r="T27" s="36"/>
      <c r="V27" s="36" t="str">
        <f t="shared" si="0"/>
        <v>{szContent="罢了，青山不改，绿水长流，后会有期！",szTarget="岳琅",szNote="恶人·岳琅·败退",col={255,100,100,},bSearch=true,[14]={bCenterAlarm=true,},tCountdown={{nClass=14,nIcon=13,szName="王遗风·岳琅·减伤",nTime=-2,key="王遗风·岳琅·减伤",},{nClass=14,nIcon=13,szName="谢渊·叶镜池·减伤",nTime=-2,key="谢渊·叶镜池·减伤",},{nClass=14,nIcon=18830,nFrame=3,szName="恶人·岳琅·退场·易伤30%",nTime=10,nRefresh=5,key="王遗风·岳琅·减伤",},{nClass=14,nIcon=2939,nFrame=7,szName="谢渊·叶镜池·减伤",nTime="300,浩气·叶镜池·减伤3层;600,浩气·叶镜池·减伤2层;900,浩气·叶镜池·减伤1层;910,浩气·叶镜池·减伤消失",nRefresh=5,key="谢渊·叶镜池·减伤",},},},</v>
      </c>
      <c r="W27" s="39" t="str">
        <f t="shared" si="1"/>
        <v>{nClass=14,nIcon=13,szName="王遗风·岳琅·减伤",nTime=-2,key="王遗风·岳琅·减伤",},</v>
      </c>
      <c r="X27" s="39" t="str">
        <f t="shared" si="2"/>
        <v>{nClass=14,nIcon=13,szName="谢渊·叶镜池·减伤",nTime=-2,key="谢渊·叶镜池·减伤",},</v>
      </c>
      <c r="Y27" s="39" t="str">
        <f t="shared" si="7"/>
        <v>{nClass=14,nIcon=18830,nFrame=3,szName="恶人·岳琅·退场·易伤30%",nTime=10,nRefresh=5,key="王遗风·岳琅·减伤",},</v>
      </c>
      <c r="Z27" s="39" t="str">
        <f t="shared" si="8"/>
        <v>{nClass=14,nIcon=2939,nFrame=7,szName="谢渊·叶镜池·减伤",nTime="300,浩气·叶镜池·减伤3层;600,浩气·叶镜池·减伤2层;900,浩气·叶镜池·减伤1层;910,浩气·叶镜池·减伤消失",nRefresh=5,key="谢渊·叶镜池·减伤",},</v>
      </c>
    </row>
    <row r="28" spans="3:28" s="39" customFormat="1" x14ac:dyDescent="0.15">
      <c r="C28" s="38" t="str">
        <f t="shared" si="6"/>
        <v>烟</v>
      </c>
      <c r="D28" s="38" t="s">
        <v>1435</v>
      </c>
      <c r="E28" s="39" t="str">
        <f t="shared" si="3"/>
        <v>恶人·烟·败退</v>
      </c>
      <c r="F28" s="39" t="s">
        <v>1444</v>
      </c>
      <c r="G28" s="39" t="s">
        <v>1446</v>
      </c>
      <c r="I28" s="39" t="s">
        <v>1609</v>
      </c>
      <c r="J28" s="39" t="s">
        <v>2606</v>
      </c>
      <c r="K28" s="39" t="s">
        <v>1607</v>
      </c>
      <c r="L28" s="39" t="s">
        <v>1501</v>
      </c>
      <c r="M28" s="39" t="s">
        <v>1486</v>
      </c>
      <c r="N28" s="39">
        <v>1</v>
      </c>
      <c r="S28" s="39">
        <v>1</v>
      </c>
      <c r="T28" s="36"/>
      <c r="V28" s="36" t="str">
        <f t="shared" si="0"/>
        <v>{szContent="罢了，青山不改，绿水长流，后会有期！",szTarget="烟",szNote="恶人·烟·败退",col={255,100,100,},bSearch=true,[14]={bCenterAlarm=true,},tCountdown={{nClass=14,nIcon=13,szName="王遗风·烟·减伤",nTime=-2,key="王遗风·烟·减伤",},{nClass=14,nIcon=13,szName="谢渊·谢铃儿·减伤",nTime=-2,key="谢渊·谢铃儿·减伤",},{nClass=14,nIcon=18830,nFrame=3,szName="恶人·烟·退场·易伤30%",nTime=10,nRefresh=5,key="王遗风·烟·减伤",},{nClass=14,nIcon=2939,nFrame=7,szName="谢渊·谢铃儿·减伤",nTime="300,浩气·谢铃儿·减伤3层;600,浩气·谢铃儿·减伤2层;900,浩气·谢铃儿·减伤1层;910,浩气·谢铃儿·减伤消失",nRefresh=5,key="谢渊·谢铃儿·减伤",},},},</v>
      </c>
      <c r="W28" s="39" t="str">
        <f t="shared" si="1"/>
        <v>{nClass=14,nIcon=13,szName="王遗风·烟·减伤",nTime=-2,key="王遗风·烟·减伤",},</v>
      </c>
      <c r="X28" s="39" t="str">
        <f t="shared" si="2"/>
        <v>{nClass=14,nIcon=13,szName="谢渊·谢铃儿·减伤",nTime=-2,key="谢渊·谢铃儿·减伤",},</v>
      </c>
      <c r="Y28" s="39" t="str">
        <f t="shared" si="7"/>
        <v>{nClass=14,nIcon=18830,nFrame=3,szName="恶人·烟·退场·易伤30%",nTime=10,nRefresh=5,key="王遗风·烟·减伤",},</v>
      </c>
      <c r="Z28" s="39" t="str">
        <f t="shared" si="8"/>
        <v>{nClass=14,nIcon=2939,nFrame=7,szName="谢渊·谢铃儿·减伤",nTime="300,浩气·谢铃儿·减伤3层;600,浩气·谢铃儿·减伤2层;900,浩气·谢铃儿·减伤1层;910,浩气·谢铃儿·减伤消失",nRefresh=5,key="谢渊·谢铃儿·减伤",},</v>
      </c>
    </row>
    <row r="29" spans="3:28" s="39" customFormat="1" x14ac:dyDescent="0.15">
      <c r="C29" s="38" t="str">
        <f t="shared" si="6"/>
        <v>白某</v>
      </c>
      <c r="D29" s="38" t="s">
        <v>1435</v>
      </c>
      <c r="E29" s="39" t="str">
        <f t="shared" ref="E29" si="9">K29&amp;"·"&amp;L29&amp;"·败退"</f>
        <v>恶人·白某·败退</v>
      </c>
      <c r="F29" s="39" t="s">
        <v>1444</v>
      </c>
      <c r="G29" s="39" t="s">
        <v>1446</v>
      </c>
      <c r="I29" s="39" t="s">
        <v>1609</v>
      </c>
      <c r="J29" s="39" t="s">
        <v>1499</v>
      </c>
      <c r="K29" s="39" t="s">
        <v>1607</v>
      </c>
      <c r="L29" s="39" t="s">
        <v>1729</v>
      </c>
      <c r="M29" s="39" t="s">
        <v>1486</v>
      </c>
      <c r="N29" s="39">
        <v>1</v>
      </c>
      <c r="S29" s="39">
        <v>1</v>
      </c>
      <c r="T29" s="36"/>
      <c r="V29" s="36" t="str">
        <f t="shared" si="0"/>
        <v>{szContent="罢了，青山不改，绿水长流，后会有期！",szTarget="白某",szNote="恶人·白某·败退",col={255,100,100,},bSearch=true,[14]={bCenterAlarm=true,},tCountdown={{nClass=14,nIcon=13,szName="王遗风·白某·减伤",nTime=-2,key="王遗风·白某·减伤",},{nClass=14,nIcon=13,szName="谢渊·郭珠·减伤",nTime=-2,key="谢渊·郭珠·减伤",},{nClass=14,nIcon=18830,nFrame=3,szName="恶人·白某·退场·易伤30%",nTime=10,nRefresh=5,key="王遗风·白某·减伤",},{nClass=14,nIcon=2939,nFrame=7,szName="谢渊·郭珠·减伤",nTime="300,浩气·郭珠·减伤3层;600,浩气·郭珠·减伤2层;900,浩气·郭珠·减伤1层;910,浩气·郭珠·减伤消失",nRefresh=5,key="谢渊·郭珠·减伤",},},},</v>
      </c>
      <c r="W29" s="39" t="str">
        <f t="shared" ref="W29" si="10">"{nClass=14,nIcon=13,szName="""&amp;F29&amp;"·"&amp;L29&amp;"·减伤"""&amp;",nTime=-2,key="""&amp;F29&amp;"·"&amp;L29&amp;"·减伤"""&amp;",},"</f>
        <v>{nClass=14,nIcon=13,szName="王遗风·白某·减伤",nTime=-2,key="王遗风·白某·减伤",},</v>
      </c>
      <c r="X29" s="39" t="str">
        <f t="shared" ref="X29" si="11">"{nClass=14,nIcon=13,szName="""&amp;""&amp;G29&amp;"·"&amp;""&amp;J29&amp;"·减伤"""&amp;",nTime=-2,key="""&amp;""&amp;G29&amp;"·"&amp;""&amp;J29&amp;"·减伤"""&amp;",},"</f>
        <v>{nClass=14,nIcon=13,szName="谢渊·郭珠·减伤",nTime=-2,key="谢渊·郭珠·减伤",},</v>
      </c>
      <c r="Y29" s="39" t="str">
        <f t="shared" si="7"/>
        <v>{nClass=14,nIcon=18830,nFrame=3,szName="恶人·白某·退场·易伤30%",nTime=10,nRefresh=5,key="王遗风·白某·减伤",},</v>
      </c>
      <c r="Z29" s="39" t="str">
        <f t="shared" si="8"/>
        <v>{nClass=14,nIcon=2939,nFrame=7,szName="谢渊·郭珠·减伤",nTime="300,浩气·郭珠·减伤3层;600,浩气·郭珠·减伤2层;900,浩气·郭珠·减伤1层;910,浩气·郭珠·减伤消失",nRefresh=5,key="谢渊·郭珠·减伤",},</v>
      </c>
    </row>
    <row r="30" spans="3:28" s="36" customFormat="1" x14ac:dyDescent="0.15">
      <c r="C30" s="36" t="s">
        <v>1444</v>
      </c>
      <c r="D30" s="36" t="s">
        <v>1727</v>
      </c>
      <c r="E30" s="36" t="s">
        <v>1733</v>
      </c>
      <c r="F30" s="36" t="s">
        <v>1444</v>
      </c>
      <c r="G30" s="36" t="s">
        <v>1446</v>
      </c>
      <c r="I30" s="36" t="s">
        <v>1609</v>
      </c>
      <c r="J30" s="36" t="s">
        <v>1496</v>
      </c>
      <c r="K30" s="36" t="s">
        <v>1607</v>
      </c>
      <c r="L30" s="36" t="s">
        <v>1728</v>
      </c>
      <c r="M30" s="36" t="s">
        <v>1486</v>
      </c>
      <c r="Q30" s="36">
        <v>1</v>
      </c>
      <c r="S30" s="36">
        <v>1</v>
      </c>
      <c r="V30" s="36" t="str">
        <f t="shared" si="0"/>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浩气·穆玄英·减伤3层;600,浩气·穆玄英·减伤2层;900,浩气·穆玄英·减伤1层;910,浩气·穆玄英·减伤消失",nRefresh=5,key="谢渊·穆玄英·减伤",},},},</v>
      </c>
      <c r="W30" s="36" t="s">
        <v>2370</v>
      </c>
      <c r="X30" s="36" t="str">
        <f t="shared" ref="X30:X39" si="12">"{nClass=14,nIcon=13,szName="""&amp;F30&amp;"·"&amp;L30&amp;"·减伤"&amp;""",nTime=-2,key="""&amp;F30&amp;"·"&amp;L30&amp;"·减伤"&amp;""",},"</f>
        <v>{nClass=14,nIcon=13,szName="王遗风·米丽古丽·减伤",nTime=-2,key="王遗风·米丽古丽·减伤",},</v>
      </c>
      <c r="Y30" s="36" t="str">
        <f t="shared" ref="Y30:Y39" si="13">"{nClass=14,nIcon=13,szName="""&amp;G30&amp;"·"&amp;J30&amp;"·减伤"&amp;""",nTime=-2,key="""&amp;G30&amp;"·"&amp;J30&amp;"·减伤"&amp;""",},"</f>
        <v>{nClass=14,nIcon=13,szName="谢渊·穆玄英·减伤",nTime=-2,key="谢渊·穆玄英·减伤",},</v>
      </c>
      <c r="Z30" s="36" t="str">
        <f>"{nClass=14,nIcon=18830,nFrame=3,szName="""&amp;K30&amp;"·"&amp;L30&amp;"·退场·易伤30%"&amp;""",nTime=10,nRefresh=5,key="""&amp;F30&amp;"·"&amp;L30&amp;"·减伤"&amp;""",},"</f>
        <v>{nClass=14,nIcon=18830,nFrame=3,szName="恶人·米丽古丽·退场·易伤30%",nTime=10,nRefresh=5,key="王遗风·米丽古丽·减伤",},</v>
      </c>
      <c r="AA30" s="36" t="str">
        <f>"{nClass=14,nIcon=2939,nFrame=7,szName="""&amp;G30&amp;"·"&amp;""&amp;J30&amp;""&amp;"·减伤"""&amp;",nTime="&amp;"""300,"&amp;""&amp;I30&amp;"·"&amp;J30&amp;"·减伤3层;600,"&amp;""&amp;I30&amp;"·"&amp;J30&amp;"·减伤2层;900,"&amp;""&amp;I30&amp;"·"&amp;J30&amp;"·减伤1层;910,"&amp;""&amp;I30&amp;"·"&amp;J30&amp;"·减伤消失"""&amp;",nRefresh=5,key="""&amp;G30&amp;"·"&amp;J30&amp;"·减伤"&amp;""",},"</f>
        <v>{nClass=14,nIcon=2939,nFrame=7,szName="谢渊·穆玄英·减伤",nTime="300,浩气·穆玄英·减伤3层;600,浩气·穆玄英·减伤2层;900,浩气·穆玄英·减伤1层;910,浩气·穆玄英·减伤消失",nRefresh=5,key="谢渊·穆玄英·减伤",},</v>
      </c>
      <c r="AB30" s="39"/>
    </row>
    <row r="31" spans="3:28" s="36" customFormat="1" x14ac:dyDescent="0.15">
      <c r="C31" s="36" t="s">
        <v>1444</v>
      </c>
      <c r="D31" s="39" t="s">
        <v>2609</v>
      </c>
      <c r="E31" s="36" t="s">
        <v>2610</v>
      </c>
      <c r="F31" s="36" t="s">
        <v>1444</v>
      </c>
      <c r="G31" s="36" t="s">
        <v>1446</v>
      </c>
      <c r="I31" s="36" t="s">
        <v>1609</v>
      </c>
      <c r="J31" s="36" t="s">
        <v>1506</v>
      </c>
      <c r="K31" s="36" t="s">
        <v>1607</v>
      </c>
      <c r="L31" s="36" t="s">
        <v>2611</v>
      </c>
      <c r="M31" s="36" t="s">
        <v>1486</v>
      </c>
      <c r="Q31" s="36">
        <v>1</v>
      </c>
      <c r="S31" s="36">
        <v>1</v>
      </c>
      <c r="V31" s="36" t="str">
        <f t="shared" si="0"/>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浩气·游驹·减伤3层;600,浩气·游驹·减伤2层;900,浩气·游驹·减伤1层;910,浩气·游驹·减伤消失",nRefresh=5,key="谢渊·游驹·减伤",},},},</v>
      </c>
      <c r="W31" s="36" t="s">
        <v>2370</v>
      </c>
      <c r="X31" s="36" t="str">
        <f t="shared" ref="X31" si="14">"{nClass=14,nIcon=13,szName="""&amp;F31&amp;"·"&amp;L31&amp;"·减伤"&amp;""",nTime=-2,key="""&amp;F31&amp;"·"&amp;L31&amp;"·减伤"&amp;""",},"</f>
        <v>{nClass=14,nIcon=13,szName="王遗风·莫雨·减伤",nTime=-2,key="王遗风·莫雨·减伤",},</v>
      </c>
      <c r="Y31" s="36" t="str">
        <f t="shared" ref="Y31" si="15">"{nClass=14,nIcon=13,szName="""&amp;G31&amp;"·"&amp;J31&amp;"·减伤"&amp;""",nTime=-2,key="""&amp;G31&amp;"·"&amp;J31&amp;"·减伤"&amp;""",},"</f>
        <v>{nClass=14,nIcon=13,szName="谢渊·游驹·减伤",nTime=-2,key="谢渊·游驹·减伤",},</v>
      </c>
      <c r="Z31" s="36" t="str">
        <f>"{nClass=14,nIcon=18830,nFrame=3,szName="""&amp;K31&amp;"·"&amp;L31&amp;"·退场·易伤30%"&amp;""",nTime=10,nRefresh=5,key="""&amp;F31&amp;"·"&amp;L31&amp;"·减伤"&amp;""",},"</f>
        <v>{nClass=14,nIcon=18830,nFrame=3,szName="恶人·莫雨·退场·易伤30%",nTime=10,nRefresh=5,key="王遗风·莫雨·减伤",},</v>
      </c>
      <c r="AA31" s="36" t="str">
        <f>"{nClass=14,nIcon=2939,nFrame=7,szName="""&amp;G31&amp;"·"&amp;""&amp;J31&amp;""&amp;"·减伤"""&amp;",nTime="&amp;"""300,"&amp;""&amp;I31&amp;"·"&amp;J31&amp;"·减伤3层;600,"&amp;""&amp;I31&amp;"·"&amp;J31&amp;"·减伤2层;900,"&amp;""&amp;I31&amp;"·"&amp;J31&amp;"·减伤1层;910,"&amp;""&amp;I31&amp;"·"&amp;J31&amp;"·减伤消失"""&amp;",nRefresh=5,key="""&amp;G31&amp;"·"&amp;J31&amp;"·减伤"&amp;""",},"</f>
        <v>{nClass=14,nIcon=2939,nFrame=7,szName="谢渊·游驹·减伤",nTime="300,浩气·游驹·减伤3层;600,浩气·游驹·减伤2层;900,浩气·游驹·减伤1层;910,浩气·游驹·减伤消失",nRefresh=5,key="谢渊·游驹·减伤",},</v>
      </c>
      <c r="AB31" s="39"/>
    </row>
    <row r="32" spans="3:28" s="36" customFormat="1" x14ac:dyDescent="0.15">
      <c r="C32" s="36" t="s">
        <v>1444</v>
      </c>
      <c r="D32" s="36" t="s">
        <v>1726</v>
      </c>
      <c r="E32" s="36" t="s">
        <v>1734</v>
      </c>
      <c r="F32" s="36" t="s">
        <v>1444</v>
      </c>
      <c r="G32" s="36" t="s">
        <v>1446</v>
      </c>
      <c r="I32" s="36" t="s">
        <v>1609</v>
      </c>
      <c r="J32" s="36" t="s">
        <v>1732</v>
      </c>
      <c r="K32" s="36" t="s">
        <v>1607</v>
      </c>
      <c r="L32" s="36" t="s">
        <v>1730</v>
      </c>
      <c r="M32" s="36" t="s">
        <v>1486</v>
      </c>
      <c r="Q32" s="36">
        <v>1</v>
      </c>
      <c r="S32" s="36">
        <v>1</v>
      </c>
      <c r="V32" s="36" t="str">
        <f t="shared" si="0"/>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浩气·张桎辕·减伤3层;600,浩气·张桎辕·减伤2层;900,浩气·张桎辕·减伤1层;910,浩气·张桎辕·减伤消失",nRefresh=5,key="谢渊·张桎辕·减伤",},},},</v>
      </c>
      <c r="W32" s="36" t="s">
        <v>2370</v>
      </c>
      <c r="X32" s="36" t="str">
        <f t="shared" si="12"/>
        <v>{nClass=14,nIcon=13,szName="王遗风·陶寒亭·减伤",nTime=-2,key="王遗风·陶寒亭·减伤",},</v>
      </c>
      <c r="Y32" s="36" t="str">
        <f t="shared" si="13"/>
        <v>{nClass=14,nIcon=13,szName="谢渊·张桎辕·减伤",nTime=-2,key="谢渊·张桎辕·减伤",},</v>
      </c>
      <c r="Z32" s="36" t="str">
        <f>"{nClass=14,nIcon=18830,nFrame=3,szName="""&amp;K32&amp;"·"&amp;L32&amp;"·退场·易伤30%"&amp;""",nTime=10,nRefresh=5,key="""&amp;F32&amp;"·"&amp;L32&amp;"·减伤"&amp;""",},"</f>
        <v>{nClass=14,nIcon=18830,nFrame=3,szName="恶人·陶寒亭·退场·易伤30%",nTime=10,nRefresh=5,key="王遗风·陶寒亭·减伤",},</v>
      </c>
      <c r="AA32" s="36" t="str">
        <f>"{nClass=14,nIcon=2939,nFrame=7,szName="""&amp;G32&amp;"·"&amp;""&amp;J32&amp;""&amp;"·减伤"""&amp;",nTime="&amp;"""300,"&amp;""&amp;I32&amp;"·"&amp;J32&amp;"·减伤3层;600,"&amp;""&amp;I32&amp;"·"&amp;J32&amp;"·减伤2层;900,"&amp;""&amp;I32&amp;"·"&amp;J32&amp;"·减伤1层;910,"&amp;""&amp;I32&amp;"·"&amp;J32&amp;"·减伤消失"""&amp;",nRefresh=5,key="""&amp;G32&amp;"·"&amp;J32&amp;"·减伤"&amp;""",},"</f>
        <v>{nClass=14,nIcon=2939,nFrame=7,szName="谢渊·张桎辕·减伤",nTime="300,浩气·张桎辕·减伤3层;600,浩气·张桎辕·减伤2层;900,浩气·张桎辕·减伤1层;910,浩气·张桎辕·减伤消失",nRefresh=5,key="谢渊·张桎辕·减伤",},</v>
      </c>
      <c r="AB32" s="39"/>
    </row>
    <row r="33" spans="3:28" s="36" customFormat="1" x14ac:dyDescent="0.15">
      <c r="C33" s="36" t="s">
        <v>1444</v>
      </c>
      <c r="D33" s="39" t="s">
        <v>2614</v>
      </c>
      <c r="E33" s="36" t="s">
        <v>2613</v>
      </c>
      <c r="F33" s="36" t="s">
        <v>1444</v>
      </c>
      <c r="G33" s="36" t="s">
        <v>1446</v>
      </c>
      <c r="I33" s="36" t="s">
        <v>1609</v>
      </c>
      <c r="J33" s="36" t="s">
        <v>1505</v>
      </c>
      <c r="K33" s="36" t="s">
        <v>1607</v>
      </c>
      <c r="L33" s="36" t="s">
        <v>2612</v>
      </c>
      <c r="M33" s="36" t="s">
        <v>1486</v>
      </c>
      <c r="Q33" s="36">
        <v>1</v>
      </c>
      <c r="S33" s="36">
        <v>1</v>
      </c>
      <c r="V33" s="36" t="str">
        <f t="shared" si="0"/>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浩气·月弄痕·减伤3层;600,浩气·月弄痕·减伤2层;900,浩气·月弄痕·减伤1层;910,浩气·月弄痕·减伤消失",nRefresh=5,key="谢渊·月弄痕·减伤",},},},</v>
      </c>
      <c r="W33" s="36" t="s">
        <v>2370</v>
      </c>
      <c r="X33" s="36" t="str">
        <f t="shared" ref="X33" si="16">"{nClass=14,nIcon=13,szName="""&amp;F33&amp;"·"&amp;L33&amp;"·减伤"&amp;""",nTime=-2,key="""&amp;F33&amp;"·"&amp;L33&amp;"·减伤"&amp;""",},"</f>
        <v>{nClass=14,nIcon=13,szName="王遗风·万兽王·减伤",nTime=-2,key="王遗风·万兽王·减伤",},</v>
      </c>
      <c r="Y33" s="36" t="str">
        <f t="shared" ref="Y33" si="17">"{nClass=14,nIcon=13,szName="""&amp;G33&amp;"·"&amp;J33&amp;"·减伤"&amp;""",nTime=-2,key="""&amp;G33&amp;"·"&amp;J33&amp;"·减伤"&amp;""",},"</f>
        <v>{nClass=14,nIcon=13,szName="谢渊·月弄痕·减伤",nTime=-2,key="谢渊·月弄痕·减伤",},</v>
      </c>
      <c r="Z33" s="36" t="str">
        <f>"{nClass=14,nIcon=18830,nFrame=3,szName="""&amp;K33&amp;"·"&amp;L33&amp;"·退场·易伤30%"&amp;""",nTime=10,nRefresh=5,key="""&amp;F33&amp;"·"&amp;L33&amp;"·减伤"&amp;""",},"</f>
        <v>{nClass=14,nIcon=18830,nFrame=3,szName="恶人·万兽王·退场·易伤30%",nTime=10,nRefresh=5,key="王遗风·万兽王·减伤",},</v>
      </c>
      <c r="AA33" s="36" t="str">
        <f>"{nClass=14,nIcon=2939,nFrame=7,szName="""&amp;G33&amp;"·"&amp;""&amp;J33&amp;""&amp;"·减伤"""&amp;",nTime="&amp;"""300,"&amp;""&amp;I33&amp;"·"&amp;J33&amp;"·减伤3层;600,"&amp;""&amp;I33&amp;"·"&amp;J33&amp;"·减伤2层;900,"&amp;""&amp;I33&amp;"·"&amp;J33&amp;"·减伤1层;910,"&amp;""&amp;I33&amp;"·"&amp;J33&amp;"·减伤消失"""&amp;",nRefresh=5,key="""&amp;G33&amp;"·"&amp;J33&amp;"·减伤"&amp;""",},"</f>
        <v>{nClass=14,nIcon=2939,nFrame=7,szName="谢渊·月弄痕·减伤",nTime="300,浩气·月弄痕·减伤3层;600,浩气·月弄痕·减伤2层;900,浩气·月弄痕·减伤1层;910,浩气·月弄痕·减伤消失",nRefresh=5,key="谢渊·月弄痕·减伤",},</v>
      </c>
      <c r="AB33" s="39"/>
    </row>
    <row r="34" spans="3:28" s="36" customFormat="1" x14ac:dyDescent="0.15">
      <c r="C34" s="36" t="s">
        <v>1444</v>
      </c>
      <c r="D34" s="36" t="s">
        <v>1725</v>
      </c>
      <c r="E34" s="36" t="s">
        <v>1735</v>
      </c>
      <c r="F34" s="36" t="s">
        <v>1444</v>
      </c>
      <c r="G34" s="36" t="s">
        <v>1446</v>
      </c>
      <c r="I34" s="36" t="s">
        <v>1609</v>
      </c>
      <c r="J34" s="36" t="s">
        <v>1731</v>
      </c>
      <c r="K34" s="36" t="s">
        <v>1607</v>
      </c>
      <c r="L34" s="36" t="s">
        <v>1504</v>
      </c>
      <c r="M34" s="36" t="s">
        <v>1486</v>
      </c>
      <c r="Q34" s="36">
        <v>1</v>
      </c>
      <c r="S34" s="36">
        <v>1</v>
      </c>
      <c r="V34" s="36" t="str">
        <f t="shared" si="0"/>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浩气·司空仲平·减伤3层;600,浩气·司空仲平·减伤2层;900,浩气·司空仲平·减伤1层;910,浩气·司空仲平·减伤消失",nRefresh=5,key="谢渊·司空仲平·减伤",},},},</v>
      </c>
      <c r="W34" s="36" t="s">
        <v>2370</v>
      </c>
      <c r="X34" s="36" t="str">
        <f t="shared" si="12"/>
        <v>{nClass=14,nIcon=13,szName="王遗风·肖药儿·减伤",nTime=-2,key="王遗风·肖药儿·减伤",},</v>
      </c>
      <c r="Y34" s="36" t="str">
        <f t="shared" si="13"/>
        <v>{nClass=14,nIcon=13,szName="谢渊·司空仲平·减伤",nTime=-2,key="谢渊·司空仲平·减伤",},</v>
      </c>
      <c r="Z34" s="36" t="str">
        <f>"{nClass=14,nIcon=18830,nFrame=3,szName="""&amp;K34&amp;"·"&amp;L34&amp;"·退场·易伤30%"&amp;""",nTime=10,nRefresh=5,key="""&amp;F34&amp;"·"&amp;L34&amp;"·减伤"&amp;""",},"</f>
        <v>{nClass=14,nIcon=18830,nFrame=3,szName="恶人·肖药儿·退场·易伤30%",nTime=10,nRefresh=5,key="王遗风·肖药儿·减伤",},</v>
      </c>
      <c r="AA34" s="36" t="str">
        <f>"{nClass=14,nIcon=2939,nFrame=7,szName="""&amp;G34&amp;"·"&amp;""&amp;J34&amp;""&amp;"·减伤"""&amp;",nTime="&amp;"""300,"&amp;""&amp;I34&amp;"·"&amp;J34&amp;"·减伤3层;600,"&amp;""&amp;I34&amp;"·"&amp;J34&amp;"·减伤2层;900,"&amp;""&amp;I34&amp;"·"&amp;J34&amp;"·减伤1层;910,"&amp;""&amp;I34&amp;"·"&amp;J34&amp;"·减伤消失"""&amp;",nRefresh=5,key="""&amp;G34&amp;"·"&amp;J34&amp;"·减伤"&amp;""",},"</f>
        <v>{nClass=14,nIcon=2939,nFrame=7,szName="谢渊·司空仲平·减伤",nTime="300,浩气·司空仲平·减伤3层;600,浩气·司空仲平·减伤2层;900,浩气·司空仲平·减伤1层;910,浩气·司空仲平·减伤消失",nRefresh=5,key="谢渊·司空仲平·减伤",},</v>
      </c>
      <c r="AB34" s="39"/>
    </row>
    <row r="35" spans="3:28" s="36" customFormat="1" x14ac:dyDescent="0.15">
      <c r="C35" s="36" t="s">
        <v>1446</v>
      </c>
      <c r="D35" s="39" t="s">
        <v>2607</v>
      </c>
      <c r="E35" s="36" t="s">
        <v>2608</v>
      </c>
      <c r="F35" s="36" t="s">
        <v>1446</v>
      </c>
      <c r="G35" s="36" t="s">
        <v>1444</v>
      </c>
      <c r="I35" s="36" t="s">
        <v>1607</v>
      </c>
      <c r="J35" s="36" t="s">
        <v>1728</v>
      </c>
      <c r="K35" s="36" t="s">
        <v>1609</v>
      </c>
      <c r="L35" s="36" t="s">
        <v>1496</v>
      </c>
      <c r="M35" s="36" t="s">
        <v>1454</v>
      </c>
      <c r="Q35" s="36">
        <v>1</v>
      </c>
      <c r="S35" s="36">
        <v>1</v>
      </c>
      <c r="V35" s="36" t="str">
        <f t="shared" si="0"/>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恶人·米丽古丽·减伤3层;600,恶人·米丽古丽·减伤2层;900,恶人·米丽古丽·减伤1层;910,恶人·米丽古丽·减伤消失",nRefresh=5,key="王遗风·米丽古丽·减伤",},},},</v>
      </c>
      <c r="W35" s="36" t="s">
        <v>2371</v>
      </c>
      <c r="X35" s="36" t="str">
        <f t="shared" ref="X35" si="18">"{nClass=14,nIcon=13,szName="""&amp;F35&amp;"·"&amp;L35&amp;"·减伤"&amp;""",nTime=-2,key="""&amp;F35&amp;"·"&amp;L35&amp;"·减伤"&amp;""",},"</f>
        <v>{nClass=14,nIcon=13,szName="谢渊·穆玄英·减伤",nTime=-2,key="谢渊·穆玄英·减伤",},</v>
      </c>
      <c r="Y35" s="36" t="str">
        <f t="shared" ref="Y35" si="19">"{nClass=14,nIcon=13,szName="""&amp;G35&amp;"·"&amp;J35&amp;"·减伤"&amp;""",nTime=-2,key="""&amp;G35&amp;"·"&amp;J35&amp;"·减伤"&amp;""",},"</f>
        <v>{nClass=14,nIcon=13,szName="王遗风·米丽古丽·减伤",nTime=-2,key="王遗风·米丽古丽·减伤",},</v>
      </c>
      <c r="Z35" s="36" t="str">
        <f>"{nClass=14,nIcon=18829,nFrame=7,szName="""&amp;K35&amp;"·"&amp;L35&amp;"·退场·易伤30%"&amp;""",nTime=10,nRefresh=5,key="""&amp;F35&amp;"·"&amp;L35&amp;"·减伤"&amp;""",},"</f>
        <v>{nClass=14,nIcon=18829,nFrame=7,szName="浩气·穆玄英·退场·易伤30%",nTime=10,nRefresh=5,key="谢渊·穆玄英·减伤",},</v>
      </c>
      <c r="AA35" s="36" t="str">
        <f>"{nClass=14,nIcon=2992,nFrame=3,szName="""&amp;G35&amp;"·"&amp;""&amp;J35&amp;""&amp;"·减伤"""&amp;",nTime="&amp;"""300,"&amp;""&amp;I35&amp;"·"&amp;J35&amp;"·减伤3层;600,"&amp;""&amp;I35&amp;"·"&amp;J35&amp;"·减伤2层;900,"&amp;""&amp;I35&amp;"·"&amp;J35&amp;"·减伤1层;910,"&amp;""&amp;I35&amp;"·"&amp;J35&amp;"·减伤消失"""&amp;",nRefresh=5,key="""&amp;G35&amp;"·"&amp;J35&amp;"·减伤"&amp;""",},"</f>
        <v>{nClass=14,nIcon=2992,nFrame=3,szName="王遗风·米丽古丽·减伤",nTime="300,恶人·米丽古丽·减伤3层;600,恶人·米丽古丽·减伤2层;900,恶人·米丽古丽·减伤1层;910,恶人·米丽古丽·减伤消失",nRefresh=5,key="王遗风·米丽古丽·减伤",},</v>
      </c>
      <c r="AB35" s="39"/>
    </row>
    <row r="36" spans="3:28" s="36" customFormat="1" x14ac:dyDescent="0.15">
      <c r="C36" s="36" t="s">
        <v>1446</v>
      </c>
      <c r="D36" s="36" t="s">
        <v>1724</v>
      </c>
      <c r="E36" s="36" t="s">
        <v>1736</v>
      </c>
      <c r="F36" s="36" t="s">
        <v>1446</v>
      </c>
      <c r="G36" s="36" t="s">
        <v>1444</v>
      </c>
      <c r="I36" s="36" t="s">
        <v>1607</v>
      </c>
      <c r="J36" s="36" t="s">
        <v>2611</v>
      </c>
      <c r="K36" s="36" t="s">
        <v>1609</v>
      </c>
      <c r="L36" s="36" t="s">
        <v>1506</v>
      </c>
      <c r="M36" s="36" t="s">
        <v>1454</v>
      </c>
      <c r="Q36" s="36">
        <v>1</v>
      </c>
      <c r="S36" s="36">
        <v>1</v>
      </c>
      <c r="V36" s="36" t="str">
        <f t="shared" si="0"/>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恶人·莫雨·减伤3层;600,恶人·莫雨·减伤2层;900,恶人·莫雨·减伤1层;910,恶人·莫雨·减伤消失",nRefresh=5,key="王遗风·莫雨·减伤",},},},</v>
      </c>
      <c r="W36" s="36" t="s">
        <v>2371</v>
      </c>
      <c r="X36" s="36" t="str">
        <f t="shared" si="12"/>
        <v>{nClass=14,nIcon=13,szName="谢渊·游驹·减伤",nTime=-2,key="谢渊·游驹·减伤",},</v>
      </c>
      <c r="Y36" s="36" t="str">
        <f t="shared" si="13"/>
        <v>{nClass=14,nIcon=13,szName="王遗风·莫雨·减伤",nTime=-2,key="王遗风·莫雨·减伤",},</v>
      </c>
      <c r="Z36" s="36" t="str">
        <f>"{nClass=14,nIcon=18829,nFrame=7,szName="""&amp;K36&amp;"·"&amp;L36&amp;"·退场·易伤30%"&amp;""",nTime=10,nRefresh=5,key="""&amp;F36&amp;"·"&amp;L36&amp;"·减伤"&amp;""",},"</f>
        <v>{nClass=14,nIcon=18829,nFrame=7,szName="浩气·游驹·退场·易伤30%",nTime=10,nRefresh=5,key="谢渊·游驹·减伤",},</v>
      </c>
      <c r="AA36" s="36" t="str">
        <f>"{nClass=14,nIcon=2992,nFrame=3,szName="""&amp;G36&amp;"·"&amp;""&amp;J36&amp;""&amp;"·减伤"""&amp;",nTime="&amp;"""300,"&amp;""&amp;I36&amp;"·"&amp;J36&amp;"·减伤3层;600,"&amp;""&amp;I36&amp;"·"&amp;J36&amp;"·减伤2层;900,"&amp;""&amp;I36&amp;"·"&amp;J36&amp;"·减伤1层;910,"&amp;""&amp;I36&amp;"·"&amp;J36&amp;"·减伤消失"""&amp;",nRefresh=5,key="""&amp;G36&amp;"·"&amp;J36&amp;"·减伤"&amp;""",},"</f>
        <v>{nClass=14,nIcon=2992,nFrame=3,szName="王遗风·莫雨·减伤",nTime="300,恶人·莫雨·减伤3层;600,恶人·莫雨·减伤2层;900,恶人·莫雨·减伤1层;910,恶人·莫雨·减伤消失",nRefresh=5,key="王遗风·莫雨·减伤",},</v>
      </c>
      <c r="AB36" s="39"/>
    </row>
    <row r="37" spans="3:28" s="36" customFormat="1" x14ac:dyDescent="0.15">
      <c r="C37" s="36" t="s">
        <v>1446</v>
      </c>
      <c r="D37" s="36" t="s">
        <v>1723</v>
      </c>
      <c r="E37" s="36" t="s">
        <v>1737</v>
      </c>
      <c r="F37" s="36" t="s">
        <v>1446</v>
      </c>
      <c r="G37" s="36" t="s">
        <v>1444</v>
      </c>
      <c r="I37" s="36" t="s">
        <v>1607</v>
      </c>
      <c r="J37" s="36" t="s">
        <v>1730</v>
      </c>
      <c r="K37" s="36" t="s">
        <v>1609</v>
      </c>
      <c r="L37" s="36" t="s">
        <v>1732</v>
      </c>
      <c r="M37" s="36" t="s">
        <v>1454</v>
      </c>
      <c r="Q37" s="36">
        <v>1</v>
      </c>
      <c r="S37" s="36">
        <v>1</v>
      </c>
      <c r="V37" s="36" t="str">
        <f t="shared" si="0"/>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恶人·陶寒亭·减伤3层;600,恶人·陶寒亭·减伤2层;900,恶人·陶寒亭·减伤1层;910,恶人·陶寒亭·减伤消失",nRefresh=5,key="王遗风·陶寒亭·减伤",},},},</v>
      </c>
      <c r="W37" s="36" t="s">
        <v>2371</v>
      </c>
      <c r="X37" s="36" t="str">
        <f t="shared" si="12"/>
        <v>{nClass=14,nIcon=13,szName="谢渊·张桎辕·减伤",nTime=-2,key="谢渊·张桎辕·减伤",},</v>
      </c>
      <c r="Y37" s="36" t="str">
        <f t="shared" si="13"/>
        <v>{nClass=14,nIcon=13,szName="王遗风·陶寒亭·减伤",nTime=-2,key="王遗风·陶寒亭·减伤",},</v>
      </c>
      <c r="Z37" s="36" t="str">
        <f>"{nClass=14,nIcon=18829,nFrame=7,szName="""&amp;K37&amp;"·"&amp;L37&amp;"·退场·易伤30%"&amp;""",nTime=10,nRefresh=5,key="""&amp;F37&amp;"·"&amp;L37&amp;"·减伤"&amp;""",},"</f>
        <v>{nClass=14,nIcon=18829,nFrame=7,szName="浩气·张桎辕·退场·易伤30%",nTime=10,nRefresh=5,key="谢渊·张桎辕·减伤",},</v>
      </c>
      <c r="AA37" s="36" t="str">
        <f>"{nClass=14,nIcon=2992,nFrame=3,szName="""&amp;G37&amp;"·"&amp;""&amp;J37&amp;""&amp;"·减伤"""&amp;",nTime="&amp;"""300,"&amp;""&amp;I37&amp;"·"&amp;J37&amp;"·减伤3层;600,"&amp;""&amp;I37&amp;"·"&amp;J37&amp;"·减伤2层;900,"&amp;""&amp;I37&amp;"·"&amp;J37&amp;"·减伤1层;910,"&amp;""&amp;I37&amp;"·"&amp;J37&amp;"·减伤消失"""&amp;",nRefresh=5,key="""&amp;G37&amp;"·"&amp;J37&amp;"·减伤"&amp;""",},"</f>
        <v>{nClass=14,nIcon=2992,nFrame=3,szName="王遗风·陶寒亭·减伤",nTime="300,恶人·陶寒亭·减伤3层;600,恶人·陶寒亭·减伤2层;900,恶人·陶寒亭·减伤1层;910,恶人·陶寒亭·减伤消失",nRefresh=5,key="王遗风·陶寒亭·减伤",},</v>
      </c>
      <c r="AB37" s="39"/>
    </row>
    <row r="38" spans="3:28" s="36" customFormat="1" x14ac:dyDescent="0.15">
      <c r="C38" s="36" t="s">
        <v>1446</v>
      </c>
      <c r="D38" s="36" t="s">
        <v>1722</v>
      </c>
      <c r="E38" s="36" t="s">
        <v>1738</v>
      </c>
      <c r="F38" s="36" t="s">
        <v>1446</v>
      </c>
      <c r="G38" s="36" t="s">
        <v>1444</v>
      </c>
      <c r="I38" s="36" t="s">
        <v>1607</v>
      </c>
      <c r="J38" s="36" t="s">
        <v>2612</v>
      </c>
      <c r="K38" s="36" t="s">
        <v>1609</v>
      </c>
      <c r="L38" s="36" t="s">
        <v>1505</v>
      </c>
      <c r="M38" s="36" t="s">
        <v>1454</v>
      </c>
      <c r="Q38" s="36">
        <v>1</v>
      </c>
      <c r="S38" s="36">
        <v>1</v>
      </c>
      <c r="V38" s="36" t="str">
        <f t="shared" si="0"/>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恶人·万兽王·减伤3层;600,恶人·万兽王·减伤2层;900,恶人·万兽王·减伤1层;910,恶人·万兽王·减伤消失",nRefresh=5,key="王遗风·万兽王·减伤",},},},</v>
      </c>
      <c r="W38" s="36" t="s">
        <v>2371</v>
      </c>
      <c r="X38" s="36" t="str">
        <f t="shared" si="12"/>
        <v>{nClass=14,nIcon=13,szName="谢渊·月弄痕·减伤",nTime=-2,key="谢渊·月弄痕·减伤",},</v>
      </c>
      <c r="Y38" s="36" t="str">
        <f t="shared" si="13"/>
        <v>{nClass=14,nIcon=13,szName="王遗风·万兽王·减伤",nTime=-2,key="王遗风·万兽王·减伤",},</v>
      </c>
      <c r="Z38" s="36" t="str">
        <f>"{nClass=14,nIcon=18829,nFrame=7,szName="""&amp;K38&amp;"·"&amp;L38&amp;"·退场·易伤30%"&amp;""",nTime=10,nRefresh=5,key="""&amp;F38&amp;"·"&amp;L38&amp;"·减伤"&amp;""",},"</f>
        <v>{nClass=14,nIcon=18829,nFrame=7,szName="浩气·月弄痕·退场·易伤30%",nTime=10,nRefresh=5,key="谢渊·月弄痕·减伤",},</v>
      </c>
      <c r="AA38" s="36" t="str">
        <f>"{nClass=14,nIcon=2992,nFrame=3,szName="""&amp;G38&amp;"·"&amp;""&amp;J38&amp;""&amp;"·减伤"""&amp;",nTime="&amp;"""300,"&amp;""&amp;I38&amp;"·"&amp;J38&amp;"·减伤3层;600,"&amp;""&amp;I38&amp;"·"&amp;J38&amp;"·减伤2层;900,"&amp;""&amp;I38&amp;"·"&amp;J38&amp;"·减伤1层;910,"&amp;""&amp;I38&amp;"·"&amp;J38&amp;"·减伤消失"""&amp;",nRefresh=5,key="""&amp;G38&amp;"·"&amp;J38&amp;"·减伤"&amp;""",},"</f>
        <v>{nClass=14,nIcon=2992,nFrame=3,szName="王遗风·万兽王·减伤",nTime="300,恶人·万兽王·减伤3层;600,恶人·万兽王·减伤2层;900,恶人·万兽王·减伤1层;910,恶人·万兽王·减伤消失",nRefresh=5,key="王遗风·万兽王·减伤",},</v>
      </c>
      <c r="AB38" s="39"/>
    </row>
    <row r="39" spans="3:28" s="36" customFormat="1" x14ac:dyDescent="0.15">
      <c r="C39" s="36" t="s">
        <v>1446</v>
      </c>
      <c r="D39" s="36" t="s">
        <v>1721</v>
      </c>
      <c r="E39" s="36" t="s">
        <v>1739</v>
      </c>
      <c r="F39" s="36" t="s">
        <v>1446</v>
      </c>
      <c r="G39" s="36" t="s">
        <v>1444</v>
      </c>
      <c r="I39" s="36" t="s">
        <v>1607</v>
      </c>
      <c r="J39" s="36" t="s">
        <v>1504</v>
      </c>
      <c r="K39" s="36" t="s">
        <v>1609</v>
      </c>
      <c r="L39" s="36" t="s">
        <v>1731</v>
      </c>
      <c r="M39" s="36" t="s">
        <v>1454</v>
      </c>
      <c r="Q39" s="36">
        <v>1</v>
      </c>
      <c r="S39" s="36">
        <v>1</v>
      </c>
      <c r="V39" s="36" t="str">
        <f t="shared" si="0"/>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恶人·肖药儿·减伤3层;600,恶人·肖药儿·减伤2层;900,恶人·肖药儿·减伤1层;910,恶人·肖药儿·减伤消失",nRefresh=5,key="王遗风·肖药儿·减伤",},},},</v>
      </c>
      <c r="W39" s="36" t="s">
        <v>2371</v>
      </c>
      <c r="X39" s="36" t="str">
        <f t="shared" si="12"/>
        <v>{nClass=14,nIcon=13,szName="谢渊·司空仲平·减伤",nTime=-2,key="谢渊·司空仲平·减伤",},</v>
      </c>
      <c r="Y39" s="36" t="str">
        <f t="shared" si="13"/>
        <v>{nClass=14,nIcon=13,szName="王遗风·肖药儿·减伤",nTime=-2,key="王遗风·肖药儿·减伤",},</v>
      </c>
      <c r="Z39" s="36" t="str">
        <f>"{nClass=14,nIcon=18829,nFrame=7,szName="""&amp;K39&amp;"·"&amp;L39&amp;"·退场·易伤30%"&amp;""",nTime=10,nRefresh=5,key="""&amp;F39&amp;"·"&amp;L39&amp;"·减伤"&amp;""",},"</f>
        <v>{nClass=14,nIcon=18829,nFrame=7,szName="浩气·司空仲平·退场·易伤30%",nTime=10,nRefresh=5,key="谢渊·司空仲平·减伤",},</v>
      </c>
      <c r="AA39" s="36" t="str">
        <f>"{nClass=14,nIcon=2992,nFrame=3,szName="""&amp;G39&amp;"·"&amp;""&amp;J39&amp;""&amp;"·减伤"""&amp;",nTime="&amp;"""300,"&amp;""&amp;I39&amp;"·"&amp;J39&amp;"·减伤3层;600,"&amp;""&amp;I39&amp;"·"&amp;J39&amp;"·减伤2层;900,"&amp;""&amp;I39&amp;"·"&amp;J39&amp;"·减伤1层;910,"&amp;""&amp;I39&amp;"·"&amp;J39&amp;"·减伤消失"""&amp;",nRefresh=5,key="""&amp;G39&amp;"·"&amp;J39&amp;"·减伤"&amp;""",},"</f>
        <v>{nClass=14,nIcon=2992,nFrame=3,szName="王遗风·肖药儿·减伤",nTime="300,恶人·肖药儿·减伤3层;600,恶人·肖药儿·减伤2层;900,恶人·肖药儿·减伤1层;910,恶人·肖药儿·减伤消失",nRefresh=5,key="王遗风·肖药儿·减伤",},</v>
      </c>
      <c r="AB39" s="39"/>
    </row>
    <row r="40" spans="3:28" s="36" customFormat="1" x14ac:dyDescent="0.15">
      <c r="C40" s="36" t="s">
        <v>2188</v>
      </c>
      <c r="D40" s="43" t="s">
        <v>1668</v>
      </c>
      <c r="E40" s="36" t="s">
        <v>1669</v>
      </c>
      <c r="M40" s="36" t="s">
        <v>1454</v>
      </c>
      <c r="N40" s="36">
        <v>1</v>
      </c>
      <c r="V40" s="36" t="str">
        <f t="shared" si="0"/>
        <v>{szContent="浩气盟物资车已被拦截，车内装大量物资，望侠士们前来拾取，切莫错过。",szTarget="%",szNote="浩气·物资车·被截",col={100,100,255,},bSearch=true,[14]={},tCountdown={{nClass=14,nIcon=4562,nFrame=3,szName="恶人·截车奖励",nTime=10,nRefresh=1,key="浩气·物资车·护送",},},},</v>
      </c>
      <c r="W40" s="36" t="s">
        <v>2554</v>
      </c>
    </row>
    <row r="41" spans="3:28" s="36" customFormat="1" x14ac:dyDescent="0.15">
      <c r="C41" s="36" t="s">
        <v>2188</v>
      </c>
      <c r="D41" s="43" t="s">
        <v>1670</v>
      </c>
      <c r="E41" s="36" t="s">
        <v>1671</v>
      </c>
      <c r="M41" s="36" t="s">
        <v>1438</v>
      </c>
      <c r="N41" s="36">
        <v>1</v>
      </c>
      <c r="V41" s="36" t="str">
        <f t="shared" si="0"/>
        <v>{szContent="恶人谷物资车已被拦截，车内装大量物资，望侠士们前来拾取，切莫错过。",szTarget="%",szNote="恶人·物资车·被截",col={255,100,100,},bSearch=true,[14]={},tCountdown={{nClass=14,nIcon=4561,nFrame=7,szName="浩气·截车奖励",nTime=10,nRefresh=1,key="恶人·物资车·护送",},},},</v>
      </c>
      <c r="W41" s="36" t="s">
        <v>2555</v>
      </c>
    </row>
    <row r="42" spans="3:28" s="36" customFormat="1" x14ac:dyDescent="0.15">
      <c r="C42" s="36" t="s">
        <v>2188</v>
      </c>
      <c r="D42" s="43" t="s">
        <v>2578</v>
      </c>
      <c r="E42" s="36" t="s">
        <v>2134</v>
      </c>
      <c r="M42" s="36" t="s">
        <v>1432</v>
      </c>
      <c r="V42" s="36" t="str">
        <f t="shared" si="0"/>
        <v>{szContent="奇袭场战阶达到2000后，战阶换算贡献比例降低为2:1",szTarget="%",szNote="奇袭·贡献值·限速50%",col={255,255,100,},[14]={},tCountdown={{nClass=14,nIcon=13,szName="首领拾取间隔",nTime=-1,nRefresh=7200,key="首领拾取间隔",},},},</v>
      </c>
      <c r="W42" s="36" t="s">
        <v>2516</v>
      </c>
      <c r="AB42" s="39"/>
    </row>
    <row r="43" spans="3:28" s="36" customFormat="1" x14ac:dyDescent="0.15">
      <c r="C43" s="36" t="s">
        <v>2188</v>
      </c>
      <c r="D43" s="43" t="s">
        <v>2581</v>
      </c>
      <c r="E43" s="36" t="s">
        <v>2133</v>
      </c>
      <c r="M43" s="36" t="s">
        <v>1432</v>
      </c>
      <c r="V43" s="36" t="str">
        <f t="shared" si="0"/>
        <v>{szContent="奇袭场战阶达到4000后，战阶换算贡献比例降低为10:1",szTarget="%",szNote="奇袭·贡献值·限速90%",col={255,255,100,},[14]={},tCountdown={{nClass=14,nIcon=13,szName="首领拾取间隔",nTime=-1,nRefresh=7200,key="首领拾取间隔",},},},</v>
      </c>
      <c r="W43" s="36" t="s">
        <v>2516</v>
      </c>
      <c r="AB43" s="39"/>
    </row>
    <row r="44" spans="3:28" s="36" customFormat="1" x14ac:dyDescent="0.15">
      <c r="C44" s="36" t="s">
        <v>2188</v>
      </c>
      <c r="D44" s="43" t="s">
        <v>2529</v>
      </c>
      <c r="E44" s="36" t="s">
        <v>2035</v>
      </c>
      <c r="M44" s="36" t="s">
        <v>1454</v>
      </c>
      <c r="V44" s="36" t="str">
        <f t="shared" si="0"/>
        <v>{szContent="军情速递！浩气盟物资车已从复活点出发，物资车内装有大量物资，望浩气侠士们前来护送，以防不法之徒前来抢夺。",szTarget="%",szNote="浩气·物资车·出发",col={100,100,255,},[14]={},tCountdown={{nClass=14,nIcon=3101,nFrame=7,szName="浩气盟·物资车·正在出发",nTime=10,nRefresh=1,key="浩气·物资车·护送",},},},</v>
      </c>
      <c r="W44" s="36" t="s">
        <v>2531</v>
      </c>
      <c r="AB44" s="39"/>
    </row>
    <row r="45" spans="3:28" s="36" customFormat="1" x14ac:dyDescent="0.15">
      <c r="C45" s="36" t="s">
        <v>2188</v>
      </c>
      <c r="D45" s="43" t="s">
        <v>2530</v>
      </c>
      <c r="E45" s="36" t="s">
        <v>2034</v>
      </c>
      <c r="M45" s="36" t="s">
        <v>1438</v>
      </c>
      <c r="V45" s="36" t="str">
        <f t="shared" si="0"/>
        <v>{szContent="军情速递！恶人谷物资车已从复活点出发，物资车内装有大量物资，望恶人侠士们前来护送，以防不法之徒前来抢夺。",szTarget="%",szNote="恶人·物资车·出发",col={255,100,100,},[14]={},tCountdown={{nClass=14,nIcon=3103,nFrame=3,szName="恶人谷·物资车·正在出发",nTime=10,nRefresh=1,key="恶人·物资车·护送",},},},</v>
      </c>
      <c r="W45" s="36" t="s">
        <v>2532</v>
      </c>
      <c r="AB45" s="39"/>
    </row>
    <row r="46" spans="3:28" s="36" customFormat="1" x14ac:dyDescent="0.15">
      <c r="D46" s="36" t="s">
        <v>2094</v>
      </c>
      <c r="E46" s="36" t="s">
        <v>2175</v>
      </c>
      <c r="V46" s="36" t="str">
        <f t="shared" si="0"/>
        <v>{szContent="你获得了200点威名、200点战阶。受到了鼓舞，气力值消耗减少一段时间。",szNote="堆堆·驻场首领",[14]={},},</v>
      </c>
      <c r="AB46" s="39"/>
    </row>
    <row r="47" spans="3:28" s="36" customFormat="1" x14ac:dyDescent="0.15">
      <c r="D47" s="36" t="s">
        <v>2173</v>
      </c>
      <c r="E47" s="36" t="s">
        <v>2174</v>
      </c>
      <c r="V47" s="36" t="str">
        <f t="shared" si="0"/>
        <v>{szContent="你获得了100点威名、100点战阶。",szNote="堆堆·助战首领",[14]={},tCountdown={{nClass=14,nIcon=13564,nFrame=1,szName="拾取间隔",nTime="300,助战堆·拾取物资·间隔剩余;310,助战堆·可以拾取物资了",nRefresh=1,key="首领拾取间隔",},},},</v>
      </c>
      <c r="W47" s="36" t="s">
        <v>2644</v>
      </c>
    </row>
    <row r="48" spans="3:28" x14ac:dyDescent="0.15">
      <c r="D48" t="s">
        <v>1509</v>
      </c>
      <c r="E48" t="s">
        <v>2176</v>
      </c>
      <c r="T48" s="36"/>
      <c r="V48" s="36" t="str">
        <f t="shared" si="0"/>
        <v>{szContent="你获得了100点威名、100点战阶。受到了鼓舞，气力值增加500点。",szNote="堆堆·牛车奖励",[14]={},tCountdown={{nClass=14,nIcon=8850,nFrame=1,szName="拾取间隔",nTime="300,物资车·拾取物资·间隔剩余;310,物资车·可以拾取物资了",nRefresh=1,key="牛车拾取间隔",},},},</v>
      </c>
      <c r="W48" t="s">
        <v>2095</v>
      </c>
    </row>
    <row r="49" spans="1:38" x14ac:dyDescent="0.15">
      <c r="D49" t="s">
        <v>1510</v>
      </c>
      <c r="E49" s="36" t="s">
        <v>2176</v>
      </c>
      <c r="T49" s="36"/>
      <c r="V49" s="36" t="str">
        <f t="shared" si="0"/>
        <v>{szContent="你获得了100点威名、100点战阶。受到了鼓舞，气力值消耗减少一段时间。",szNote="堆堆·牛车奖励",[14]={},tCountdown={{nClass=14,nIcon=8850,nFrame=1,szName="拾取间隔",nTime="300,物资车·拾取物资·间隔剩余;310,物资车·可以拾取物资了",nRefresh=1,key="牛车拾取间隔",},},},</v>
      </c>
      <c r="W49" t="s">
        <v>2095</v>
      </c>
    </row>
    <row r="50" spans="1:38" x14ac:dyDescent="0.15">
      <c r="A50" t="s">
        <v>8</v>
      </c>
      <c r="B50">
        <v>25</v>
      </c>
      <c r="T50" s="36"/>
      <c r="V50" s="36" t="str">
        <f t="shared" si="0"/>
        <v>},[25]={</v>
      </c>
    </row>
    <row r="51" spans="1:38" s="36" customFormat="1" x14ac:dyDescent="0.15">
      <c r="C51" s="36" t="s">
        <v>1446</v>
      </c>
      <c r="D51" s="36" t="s">
        <v>1902</v>
      </c>
      <c r="M51" s="36" t="s">
        <v>1454</v>
      </c>
      <c r="O51" s="36">
        <v>1</v>
      </c>
      <c r="V51" s="36" t="str">
        <f t="shared" si="0"/>
        <v>{szContent="(.-)的“(.-)”在(.-)插下了宣战令旗，简直是对(.-)的侮辱！谁去摧毁它，必有重赏！",szTarget="谢渊",col={100,100,255,},bReg=true,[14]={},tCountdown={{nClass=14,nIcon=591,nFrame=3,szName="{$1}战书·{$3}·{$2}",nTime=10,key="宣战战书",},},},</v>
      </c>
      <c r="W51" s="36" t="s">
        <v>1900</v>
      </c>
    </row>
    <row r="52" spans="1:38" s="36" customFormat="1" x14ac:dyDescent="0.15">
      <c r="C52" s="36" t="s">
        <v>1717</v>
      </c>
      <c r="D52" s="36" t="s">
        <v>1435</v>
      </c>
      <c r="E52" s="36" t="str">
        <f>K52&amp;"·"&amp;L52&amp;"·"&amp;H52&amp;"·"&amp;"败退"</f>
        <v>恶人·顾延恶·烟雨居舍·败退</v>
      </c>
      <c r="F52" s="36" t="s">
        <v>1444</v>
      </c>
      <c r="G52" s="36" t="s">
        <v>1446</v>
      </c>
      <c r="H52" s="36" t="s">
        <v>1480</v>
      </c>
      <c r="I52" s="36" t="s">
        <v>1609</v>
      </c>
      <c r="J52" s="36" t="s">
        <v>1470</v>
      </c>
      <c r="K52" s="36" t="s">
        <v>1607</v>
      </c>
      <c r="L52" s="36" t="s">
        <v>1474</v>
      </c>
      <c r="M52" s="36" t="s">
        <v>1486</v>
      </c>
      <c r="N52" s="36">
        <v>1</v>
      </c>
      <c r="S52" s="36">
        <v>1</v>
      </c>
      <c r="V52" s="36" t="str">
        <f t="shared" si="0"/>
        <v>{szContent="罢了，青山不改，绿水长流，后会有期！",szTarget="顾延恶",szNote="恶人·顾延恶·烟雨居舍·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52" s="36" t="str">
        <f t="shared" ref="W52:W67" si="20">"{nClass=14,nIcon=13,szName="""&amp;F52&amp;"·"&amp;L52&amp;"·减伤"""&amp;",nTime=-2,key="""&amp;F52&amp;"·"&amp;L52&amp;"·减伤"""&amp;",},"</f>
        <v>{nClass=14,nIcon=13,szName="王遗风·顾延恶·减伤",nTime=-2,key="王遗风·顾延恶·减伤",},</v>
      </c>
      <c r="X52" s="36" t="str">
        <f t="shared" ref="X52:X67" si="21">"{nClass=14,nIcon=13,szName="""&amp;""&amp;G52&amp;"·"&amp;""&amp;J52&amp;"·减伤"""&amp;",nTime=-2,key="""&amp;""&amp;G52&amp;"·"&amp;""&amp;J52&amp;"·减伤"""&amp;",},"</f>
        <v>{nClass=14,nIcon=13,szName="谢渊·谢烟客·减伤",nTime=-2,key="谢渊·谢烟客·减伤",},</v>
      </c>
      <c r="Y52" s="36" t="str">
        <f>"{nClass=14,nIcon=18830,nFrame=3,szName="""&amp;K52&amp;"·"&amp;""&amp;""&amp;L52&amp;"·退场·易伤30%"",nTime=10,nRefresh=5,key="""&amp;F52&amp;"·"&amp;L52&amp;""&amp;"·减伤"""&amp;",},"</f>
        <v>{nClass=14,nIcon=18830,nFrame=3,szName="恶人·顾延恶·退场·易伤30%",nTime=10,nRefresh=5,key="王遗风·顾延恶·减伤",},</v>
      </c>
      <c r="Z52" s="36" t="str">
        <f>"{nClass=14,nIcon=3444,nFrame=7,szName="""&amp;G52&amp;"·"&amp;""&amp;J52&amp;""&amp;"·减伤"""&amp;",nTime="""&amp;"300,"&amp;""&amp;J52&amp;"·"&amp;H52&amp;"·减伤3层;600,"&amp;""&amp;J52&amp;"·"&amp;H52&amp;"·减伤2层;900,"&amp;""&amp;J52&amp;"·"&amp;H52&amp;"·减伤1层;910,"&amp;""&amp;J52&amp;"·"&amp;H52&amp;"·减伤消失"""&amp;",nRefresh=5,key="""&amp;G52&amp;"·"&amp;""&amp;J52&amp;""&amp;"·减伤"""&amp;"},"</f>
        <v>{nClass=14,nIcon=3444,nFrame=7,szName="谢渊·谢烟客·减伤",nTime="300,谢烟客·烟雨居舍·减伤3层;600,谢烟客·烟雨居舍·减伤2层;900,谢烟客·烟雨居舍·减伤1层;910,谢烟客·烟雨居舍·减伤消失",nRefresh=5,key="谢渊·谢烟客·减伤"},</v>
      </c>
    </row>
    <row r="53" spans="1:38" s="36" customFormat="1" x14ac:dyDescent="0.15">
      <c r="C53" s="36" t="s">
        <v>1982</v>
      </c>
      <c r="D53" s="36" t="s">
        <v>1435</v>
      </c>
      <c r="E53" s="36" t="str">
        <f t="shared" ref="E53:E67" si="22">K53&amp;"·"&amp;L53&amp;"·"&amp;H53&amp;"·"&amp;"败退"</f>
        <v>恶人·吕沛杰·七星岩·败退</v>
      </c>
      <c r="F53" s="36" t="s">
        <v>1444</v>
      </c>
      <c r="G53" s="36" t="s">
        <v>1446</v>
      </c>
      <c r="H53" s="36" t="s">
        <v>1481</v>
      </c>
      <c r="I53" s="36" t="s">
        <v>1609</v>
      </c>
      <c r="J53" s="36" t="s">
        <v>1471</v>
      </c>
      <c r="K53" s="36" t="s">
        <v>1607</v>
      </c>
      <c r="L53" s="36" t="s">
        <v>1475</v>
      </c>
      <c r="M53" s="36" t="s">
        <v>1486</v>
      </c>
      <c r="N53" s="36">
        <v>1</v>
      </c>
      <c r="S53" s="36">
        <v>1</v>
      </c>
      <c r="V53" s="36" t="str">
        <f t="shared" si="0"/>
        <v>{szContent="罢了，青山不改，绿水长流，后会有期！",szTarget="吕沛杰",szNote="恶人·吕沛杰·七星岩·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53" s="36" t="str">
        <f t="shared" si="20"/>
        <v>{nClass=14,nIcon=13,szName="王遗风·吕沛杰·减伤",nTime=-2,key="王遗风·吕沛杰·减伤",},</v>
      </c>
      <c r="X53" s="36" t="str">
        <f t="shared" si="21"/>
        <v>{nClass=14,nIcon=13,szName="谢渊·陶杰·减伤",nTime=-2,key="谢渊·陶杰·减伤",},</v>
      </c>
      <c r="Y53" s="36" t="str">
        <f>"{nClass=14,nIcon=18830,nFrame=3,szName="""&amp;K53&amp;"·"&amp;""&amp;""&amp;L53&amp;"·退场·易伤30%"",nTime=10,nRefresh=5,key="""&amp;F53&amp;"·"&amp;L53&amp;""&amp;"·减伤"""&amp;",},"</f>
        <v>{nClass=14,nIcon=18830,nFrame=3,szName="恶人·吕沛杰·退场·易伤30%",nTime=10,nRefresh=5,key="王遗风·吕沛杰·减伤",},</v>
      </c>
      <c r="Z53" s="36" t="str">
        <f>"{nClass=14,nIcon=3444,nFrame=7,szName="""&amp;G53&amp;"·"&amp;""&amp;J53&amp;""&amp;"·减伤"""&amp;",nTime="""&amp;"300,"&amp;""&amp;J53&amp;"·"&amp;H53&amp;"·减伤3层;600,"&amp;""&amp;J53&amp;"·"&amp;H53&amp;"·减伤2层;900,"&amp;""&amp;J53&amp;"·"&amp;H53&amp;"·减伤1层;910,"&amp;""&amp;J53&amp;"·"&amp;H53&amp;"·减伤消失"""&amp;",nRefresh=5,key="""&amp;G53&amp;"·"&amp;""&amp;J53&amp;""&amp;"·减伤"""&amp;"},"</f>
        <v>{nClass=14,nIcon=3444,nFrame=7,szName="谢渊·陶杰·减伤",nTime="300,陶杰·七星岩·减伤3层;600,陶杰·七星岩·减伤2层;900,陶杰·七星岩·减伤1层;910,陶杰·七星岩·减伤消失",nRefresh=5,key="谢渊·陶杰·减伤"},</v>
      </c>
    </row>
    <row r="54" spans="1:38" s="36" customFormat="1" x14ac:dyDescent="0.15">
      <c r="C54" s="36" t="s">
        <v>1983</v>
      </c>
      <c r="D54" s="36" t="s">
        <v>1435</v>
      </c>
      <c r="E54" s="36" t="str">
        <f t="shared" si="22"/>
        <v>恶人·陶国栋·栖霞幻境·败退</v>
      </c>
      <c r="F54" s="36" t="s">
        <v>1444</v>
      </c>
      <c r="G54" s="36" t="s">
        <v>1446</v>
      </c>
      <c r="H54" s="36" t="s">
        <v>1958</v>
      </c>
      <c r="I54" s="36" t="s">
        <v>1609</v>
      </c>
      <c r="J54" s="36" t="s">
        <v>1472</v>
      </c>
      <c r="K54" s="36" t="s">
        <v>1607</v>
      </c>
      <c r="L54" s="36" t="s">
        <v>1476</v>
      </c>
      <c r="M54" s="36" t="s">
        <v>1486</v>
      </c>
      <c r="N54" s="36">
        <v>1</v>
      </c>
      <c r="S54" s="36">
        <v>1</v>
      </c>
      <c r="V54" s="36" t="str">
        <f t="shared" si="0"/>
        <v>{szContent="罢了，青山不改，绿水长流，后会有期！",szTarget="陶国栋",szNote="恶人·陶国栋·栖霞幻境·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54" s="36" t="str">
        <f t="shared" si="20"/>
        <v>{nClass=14,nIcon=13,szName="王遗风·陶国栋·减伤",nTime=-2,key="王遗风·陶国栋·减伤",},</v>
      </c>
      <c r="X54" s="36" t="str">
        <f t="shared" si="21"/>
        <v>{nClass=14,nIcon=13,szName="谢渊·郑鸥·减伤",nTime=-2,key="谢渊·郑鸥·减伤",},</v>
      </c>
      <c r="Y54" s="36" t="str">
        <f>"{nClass=14,nIcon=18830,nFrame=3,szName="""&amp;K54&amp;"·"&amp;""&amp;""&amp;L54&amp;"·退场·易伤30%"",nTime=10,nRefresh=5,key="""&amp;F54&amp;"·"&amp;L54&amp;""&amp;"·减伤"""&amp;",},"</f>
        <v>{nClass=14,nIcon=18830,nFrame=3,szName="恶人·陶国栋·退场·易伤30%",nTime=10,nRefresh=5,key="王遗风·陶国栋·减伤",},</v>
      </c>
      <c r="Z54" s="36" t="str">
        <f>"{nClass=14,nIcon=3444,nFrame=7,szName="""&amp;G54&amp;"·"&amp;""&amp;J54&amp;""&amp;"·减伤"""&amp;",nTime="""&amp;"300,"&amp;""&amp;J54&amp;"·"&amp;H54&amp;"·减伤3层;600,"&amp;""&amp;J54&amp;"·"&amp;H54&amp;"·减伤2层;900,"&amp;""&amp;J54&amp;"·"&amp;H54&amp;"·减伤1层;910,"&amp;""&amp;J54&amp;"·"&amp;H54&amp;"·减伤消失"""&amp;",nRefresh=5,key="""&amp;G54&amp;"·"&amp;""&amp;J54&amp;""&amp;"·减伤"""&amp;"},"</f>
        <v>{nClass=14,nIcon=3444,nFrame=7,szName="谢渊·郑鸥·减伤",nTime="300,郑鸥·栖霞幻境·减伤3层;600,郑鸥·栖霞幻境·减伤2层;900,郑鸥·栖霞幻境·减伤1层;910,郑鸥·栖霞幻境·减伤消失",nRefresh=5,key="谢渊·郑鸥·减伤"},</v>
      </c>
    </row>
    <row r="55" spans="1:38" s="36" customFormat="1" x14ac:dyDescent="0.15">
      <c r="C55" s="36" t="s">
        <v>1984</v>
      </c>
      <c r="D55" s="36" t="s">
        <v>1435</v>
      </c>
      <c r="E55" s="36" t="str">
        <f t="shared" si="22"/>
        <v>恶人·张一洋·漓水河岸·败退</v>
      </c>
      <c r="F55" s="36" t="s">
        <v>1444</v>
      </c>
      <c r="G55" s="36" t="s">
        <v>1446</v>
      </c>
      <c r="H55" s="36" t="s">
        <v>1959</v>
      </c>
      <c r="I55" s="36" t="s">
        <v>1609</v>
      </c>
      <c r="J55" s="36" t="s">
        <v>1473</v>
      </c>
      <c r="K55" s="36" t="s">
        <v>1607</v>
      </c>
      <c r="L55" s="36" t="s">
        <v>1477</v>
      </c>
      <c r="M55" s="36" t="s">
        <v>1486</v>
      </c>
      <c r="N55" s="36">
        <v>1</v>
      </c>
      <c r="S55" s="36">
        <v>1</v>
      </c>
      <c r="V55" s="36" t="str">
        <f t="shared" si="0"/>
        <v>{szContent="罢了，青山不改，绿水长流，后会有期！",szTarget="张一洋",szNote="恶人·张一洋·漓水河岸·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55" s="36" t="str">
        <f t="shared" si="20"/>
        <v>{nClass=14,nIcon=13,szName="王遗风·张一洋·减伤",nTime=-2,key="王遗风·张一洋·减伤",},</v>
      </c>
      <c r="X55" s="36" t="str">
        <f t="shared" si="21"/>
        <v>{nClass=14,nIcon=13,szName="谢渊·周峰·减伤",nTime=-2,key="谢渊·周峰·减伤",},</v>
      </c>
      <c r="Y55" s="36" t="str">
        <f>"{nClass=14,nIcon=18830,nFrame=3,szName="""&amp;K55&amp;"·"&amp;""&amp;""&amp;L55&amp;"·退场·易伤30%"",nTime=10,nRefresh=5,key="""&amp;F55&amp;"·"&amp;L55&amp;""&amp;"·减伤"""&amp;",},"</f>
        <v>{nClass=14,nIcon=18830,nFrame=3,szName="恶人·张一洋·退场·易伤30%",nTime=10,nRefresh=5,key="王遗风·张一洋·减伤",},</v>
      </c>
      <c r="Z55" s="36" t="str">
        <f>"{nClass=14,nIcon=3444,nFrame=7,szName="""&amp;G55&amp;"·"&amp;""&amp;J55&amp;""&amp;"·减伤"""&amp;",nTime="""&amp;"300,"&amp;""&amp;J55&amp;"·"&amp;H55&amp;"·减伤3层;600,"&amp;""&amp;J55&amp;"·"&amp;H55&amp;"·减伤2层;900,"&amp;""&amp;J55&amp;"·"&amp;H55&amp;"·减伤1层;910,"&amp;""&amp;J55&amp;"·"&amp;H55&amp;"·减伤消失"""&amp;",nRefresh=5,key="""&amp;G55&amp;"·"&amp;""&amp;J55&amp;""&amp;"·减伤"""&amp;"},"</f>
        <v>{nClass=14,nIcon=3444,nFrame=7,szName="谢渊·周峰·减伤",nTime="300,周峰·漓水河岸·减伤3层;600,周峰·漓水河岸·减伤2层;900,周峰·漓水河岸·减伤1层;910,周峰·漓水河岸·减伤消失",nRefresh=5,key="谢渊·周峰·减伤"},</v>
      </c>
    </row>
    <row r="56" spans="1:38" s="36" customFormat="1" x14ac:dyDescent="0.15">
      <c r="C56" s="36" t="s">
        <v>1470</v>
      </c>
      <c r="D56" s="36" t="s">
        <v>1435</v>
      </c>
      <c r="E56" s="36" t="str">
        <f t="shared" si="22"/>
        <v>浩气·谢烟客·烟雨居舍·败退</v>
      </c>
      <c r="F56" s="36" t="s">
        <v>1446</v>
      </c>
      <c r="G56" s="36" t="s">
        <v>1444</v>
      </c>
      <c r="H56" s="36" t="s">
        <v>1479</v>
      </c>
      <c r="I56" s="36" t="s">
        <v>1609</v>
      </c>
      <c r="J56" s="36" t="s">
        <v>1474</v>
      </c>
      <c r="K56" s="36" t="s">
        <v>1609</v>
      </c>
      <c r="L56" s="36" t="s">
        <v>1469</v>
      </c>
      <c r="M56" s="36" t="s">
        <v>1454</v>
      </c>
      <c r="N56" s="36">
        <v>1</v>
      </c>
      <c r="S56" s="36">
        <v>1</v>
      </c>
      <c r="V56" s="36" t="str">
        <f t="shared" si="0"/>
        <v>{szContent="罢了，青山不改，绿水长流，后会有期！",szTarget="谢烟客",szNote="浩气·谢烟客·烟雨居舍·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56" s="36" t="str">
        <f t="shared" si="20"/>
        <v>{nClass=14,nIcon=13,szName="谢渊·谢烟客·减伤",nTime=-2,key="谢渊·谢烟客·减伤",},</v>
      </c>
      <c r="X56" s="36" t="str">
        <f t="shared" si="21"/>
        <v>{nClass=14,nIcon=13,szName="王遗风·顾延恶·减伤",nTime=-2,key="王遗风·顾延恶·减伤",},</v>
      </c>
      <c r="Y56" s="36" t="str">
        <f>"{nClass=14,nIcon=18829,nFrame=7,szName="""&amp;K56&amp;"·"&amp;""&amp;""&amp;L56&amp;"·退场·易伤30%"",nTime=10,nRefresh=5,key="""&amp;F56&amp;"·"&amp;L56&amp;""&amp;"·减伤"""&amp;",},"</f>
        <v>{nClass=14,nIcon=18829,nFrame=7,szName="浩气·谢烟客·退场·易伤30%",nTime=10,nRefresh=5,key="谢渊·谢烟客·减伤",},</v>
      </c>
      <c r="Z56" s="36" t="str">
        <f>"{nClass=14,nIcon=3445,nFrame=3,szName="""&amp;G56&amp;"·"&amp;""&amp;J56&amp;""&amp;"·减伤"""&amp;",nTime="""&amp;"300,"&amp;""&amp;J56&amp;"·"&amp;H56&amp;"·减伤3层;600,"&amp;""&amp;J56&amp;"·"&amp;H56&amp;"·减伤2层;900,"&amp;""&amp;J56&amp;"·"&amp;H56&amp;"·减伤1层;910,"&amp;""&amp;J56&amp;"·"&amp;H56&amp;"·减伤消失"""&amp;",nRefresh=5,key="""&amp;G56&amp;"·"&amp;""&amp;J56&amp;""&amp;"·减伤"""&amp;"},"</f>
        <v>{nClass=14,nIcon=3445,nFrame=3,szName="王遗风·顾延恶·减伤",nTime="300,顾延恶·烟雨居舍·减伤3层;600,顾延恶·烟雨居舍·减伤2层;900,顾延恶·烟雨居舍·减伤1层;910,顾延恶·烟雨居舍·减伤消失",nRefresh=5,key="王遗风·顾延恶·减伤"},</v>
      </c>
    </row>
    <row r="57" spans="1:38" s="36" customFormat="1" x14ac:dyDescent="0.15">
      <c r="C57" s="36" t="s">
        <v>1663</v>
      </c>
      <c r="D57" s="36" t="s">
        <v>1435</v>
      </c>
      <c r="E57" s="36" t="str">
        <f t="shared" si="22"/>
        <v>浩气·陶杰·七星岩·败退</v>
      </c>
      <c r="F57" s="36" t="s">
        <v>1446</v>
      </c>
      <c r="G57" s="36" t="s">
        <v>1444</v>
      </c>
      <c r="H57" s="36" t="s">
        <v>1481</v>
      </c>
      <c r="I57" s="36" t="s">
        <v>1607</v>
      </c>
      <c r="J57" s="36" t="s">
        <v>1475</v>
      </c>
      <c r="K57" s="36" t="s">
        <v>1609</v>
      </c>
      <c r="L57" s="36" t="s">
        <v>1663</v>
      </c>
      <c r="M57" s="36" t="s">
        <v>1454</v>
      </c>
      <c r="N57" s="36">
        <v>1</v>
      </c>
      <c r="S57" s="36">
        <v>1</v>
      </c>
      <c r="V57" s="36" t="str">
        <f t="shared" si="0"/>
        <v>{szContent="罢了，青山不改，绿水长流，后会有期！",szTarget="陶杰",szNote="浩气·陶杰·七星岩·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57" s="36" t="str">
        <f t="shared" si="20"/>
        <v>{nClass=14,nIcon=13,szName="谢渊·陶杰·减伤",nTime=-2,key="谢渊·陶杰·减伤",},</v>
      </c>
      <c r="X57" s="36" t="str">
        <f t="shared" si="21"/>
        <v>{nClass=14,nIcon=13,szName="王遗风·吕沛杰·减伤",nTime=-2,key="王遗风·吕沛杰·减伤",},</v>
      </c>
      <c r="Y57" s="36" t="str">
        <f>"{nClass=14,nIcon=18829,nFrame=7,szName="""&amp;K57&amp;"·"&amp;""&amp;""&amp;L57&amp;"·退场·易伤30%"",nTime=10,nRefresh=5,key="""&amp;F57&amp;"·"&amp;L57&amp;""&amp;"·减伤"""&amp;",},"</f>
        <v>{nClass=14,nIcon=18829,nFrame=7,szName="浩气·陶杰·退场·易伤30%",nTime=10,nRefresh=5,key="谢渊·陶杰·减伤",},</v>
      </c>
      <c r="Z57" s="36" t="str">
        <f>"{nClass=14,nIcon=3445,nFrame=3,szName="""&amp;G57&amp;"·"&amp;""&amp;J57&amp;""&amp;"·减伤"""&amp;",nTime="""&amp;"300,"&amp;""&amp;J57&amp;"·"&amp;H57&amp;"·减伤3层;600,"&amp;""&amp;J57&amp;"·"&amp;H57&amp;"·减伤2层;900,"&amp;""&amp;J57&amp;"·"&amp;H57&amp;"·减伤1层;910,"&amp;""&amp;J57&amp;"·"&amp;H57&amp;"·减伤消失"""&amp;",nRefresh=5,key="""&amp;G57&amp;"·"&amp;""&amp;J57&amp;""&amp;"·减伤"""&amp;"},"</f>
        <v>{nClass=14,nIcon=3445,nFrame=3,szName="王遗风·吕沛杰·减伤",nTime="300,吕沛杰·七星岩·减伤3层;600,吕沛杰·七星岩·减伤2层;900,吕沛杰·七星岩·减伤1层;910,吕沛杰·七星岩·减伤消失",nRefresh=5,key="王遗风·吕沛杰·减伤"},</v>
      </c>
    </row>
    <row r="58" spans="1:38" s="36" customFormat="1" x14ac:dyDescent="0.15">
      <c r="C58" s="36" t="s">
        <v>1664</v>
      </c>
      <c r="D58" s="36" t="s">
        <v>1435</v>
      </c>
      <c r="E58" s="36" t="str">
        <f t="shared" si="22"/>
        <v>浩气·郑鸥·栖霞幻境·败退</v>
      </c>
      <c r="F58" s="36" t="s">
        <v>1446</v>
      </c>
      <c r="G58" s="36" t="s">
        <v>1444</v>
      </c>
      <c r="H58" s="36" t="s">
        <v>1958</v>
      </c>
      <c r="I58" s="36" t="s">
        <v>1607</v>
      </c>
      <c r="J58" s="36" t="s">
        <v>1476</v>
      </c>
      <c r="K58" s="36" t="s">
        <v>1609</v>
      </c>
      <c r="L58" s="36" t="s">
        <v>1664</v>
      </c>
      <c r="M58" s="36" t="s">
        <v>1454</v>
      </c>
      <c r="N58" s="36">
        <v>1</v>
      </c>
      <c r="S58" s="36">
        <v>1</v>
      </c>
      <c r="V58" s="36" t="str">
        <f t="shared" si="0"/>
        <v>{szContent="罢了，青山不改，绿水长流，后会有期！",szTarget="郑鸥",szNote="浩气·郑鸥·栖霞幻境·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58" s="36" t="str">
        <f t="shared" si="20"/>
        <v>{nClass=14,nIcon=13,szName="谢渊·郑鸥·减伤",nTime=-2,key="谢渊·郑鸥·减伤",},</v>
      </c>
      <c r="X58" s="36" t="str">
        <f t="shared" si="21"/>
        <v>{nClass=14,nIcon=13,szName="王遗风·陶国栋·减伤",nTime=-2,key="王遗风·陶国栋·减伤",},</v>
      </c>
      <c r="Y58" s="36" t="str">
        <f>"{nClass=14,nIcon=18829,nFrame=7,szName="""&amp;K58&amp;"·"&amp;""&amp;""&amp;L58&amp;"·退场·易伤30%"",nTime=10,nRefresh=5,key="""&amp;F58&amp;"·"&amp;L58&amp;""&amp;"·减伤"""&amp;",},"</f>
        <v>{nClass=14,nIcon=18829,nFrame=7,szName="浩气·郑鸥·退场·易伤30%",nTime=10,nRefresh=5,key="谢渊·郑鸥·减伤",},</v>
      </c>
      <c r="Z58" s="36" t="str">
        <f>"{nClass=14,nIcon=3445,nFrame=3,szName="""&amp;G58&amp;"·"&amp;""&amp;J58&amp;""&amp;"·减伤"""&amp;",nTime="""&amp;"300,"&amp;""&amp;J58&amp;"·"&amp;H58&amp;"·减伤3层;600,"&amp;""&amp;J58&amp;"·"&amp;H58&amp;"·减伤2层;900,"&amp;""&amp;J58&amp;"·"&amp;H58&amp;"·减伤1层;910,"&amp;""&amp;J58&amp;"·"&amp;H58&amp;"·减伤消失"""&amp;",nRefresh=5,key="""&amp;G58&amp;"·"&amp;""&amp;J58&amp;""&amp;"·减伤"""&amp;"},"</f>
        <v>{nClass=14,nIcon=3445,nFrame=3,szName="王遗风·陶国栋·减伤",nTime="300,陶国栋·栖霞幻境·减伤3层;600,陶国栋·栖霞幻境·减伤2层;900,陶国栋·栖霞幻境·减伤1层;910,陶国栋·栖霞幻境·减伤消失",nRefresh=5,key="王遗风·陶国栋·减伤"},</v>
      </c>
    </row>
    <row r="59" spans="1:38" s="36" customFormat="1" x14ac:dyDescent="0.15">
      <c r="C59" s="36" t="s">
        <v>1665</v>
      </c>
      <c r="D59" s="36" t="s">
        <v>1435</v>
      </c>
      <c r="E59" s="36" t="str">
        <f t="shared" si="22"/>
        <v>浩气·周峰·漓水河岸·败退</v>
      </c>
      <c r="F59" s="36" t="s">
        <v>1446</v>
      </c>
      <c r="G59" s="36" t="s">
        <v>1444</v>
      </c>
      <c r="H59" s="36" t="s">
        <v>1959</v>
      </c>
      <c r="I59" s="36" t="s">
        <v>1607</v>
      </c>
      <c r="J59" s="36" t="s">
        <v>1477</v>
      </c>
      <c r="K59" s="36" t="s">
        <v>1609</v>
      </c>
      <c r="L59" s="36" t="s">
        <v>1665</v>
      </c>
      <c r="M59" s="36" t="s">
        <v>1454</v>
      </c>
      <c r="N59" s="36">
        <v>1</v>
      </c>
      <c r="S59" s="36">
        <v>1</v>
      </c>
      <c r="V59" s="36" t="str">
        <f t="shared" si="0"/>
        <v>{szContent="罢了，青山不改，绿水长流，后会有期！",szTarget="周峰",szNote="浩气·周峰·漓水河岸·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59" s="36" t="str">
        <f t="shared" si="20"/>
        <v>{nClass=14,nIcon=13,szName="谢渊·周峰·减伤",nTime=-2,key="谢渊·周峰·减伤",},</v>
      </c>
      <c r="X59" s="36" t="str">
        <f t="shared" si="21"/>
        <v>{nClass=14,nIcon=13,szName="王遗风·张一洋·减伤",nTime=-2,key="王遗风·张一洋·减伤",},</v>
      </c>
      <c r="Y59" s="36" t="str">
        <f>"{nClass=14,nIcon=18829,nFrame=7,szName="""&amp;K59&amp;"·"&amp;""&amp;""&amp;L59&amp;"·退场·易伤30%"",nTime=10,nRefresh=5,key="""&amp;F59&amp;"·"&amp;L59&amp;""&amp;"·减伤"""&amp;",},"</f>
        <v>{nClass=14,nIcon=18829,nFrame=7,szName="浩气·周峰·退场·易伤30%",nTime=10,nRefresh=5,key="谢渊·周峰·减伤",},</v>
      </c>
      <c r="Z59" s="36" t="str">
        <f>"{nClass=14,nIcon=3445,nFrame=3,szName="""&amp;G59&amp;"·"&amp;""&amp;J59&amp;""&amp;"·减伤"""&amp;",nTime="""&amp;"300,"&amp;""&amp;J59&amp;"·"&amp;H59&amp;"·减伤3层;600,"&amp;""&amp;J59&amp;"·"&amp;H59&amp;"·减伤2层;900,"&amp;""&amp;J59&amp;"·"&amp;H59&amp;"·减伤1层;910,"&amp;""&amp;J59&amp;"·"&amp;H59&amp;"·减伤消失"""&amp;",nRefresh=5,key="""&amp;G59&amp;"·"&amp;""&amp;J59&amp;""&amp;"·减伤"""&amp;"},"</f>
        <v>{nClass=14,nIcon=3445,nFrame=3,szName="王遗风·张一洋·减伤",nTime="300,张一洋·漓水河岸·减伤3层;600,张一洋·漓水河岸·减伤2层;900,张一洋·漓水河岸·减伤1层;910,张一洋·漓水河岸·减伤消失",nRefresh=5,key="王遗风·张一洋·减伤"},</v>
      </c>
    </row>
    <row r="60" spans="1:38" x14ac:dyDescent="0.15">
      <c r="C60" t="s">
        <v>1444</v>
      </c>
      <c r="D60" t="s">
        <v>1442</v>
      </c>
      <c r="E60" s="36" t="str">
        <f t="shared" si="22"/>
        <v>恶人·顾延恶·烟雨居舍·败退</v>
      </c>
      <c r="F60" t="s">
        <v>1444</v>
      </c>
      <c r="G60" s="36" t="s">
        <v>1446</v>
      </c>
      <c r="H60" t="s">
        <v>1480</v>
      </c>
      <c r="I60" s="36" t="s">
        <v>1609</v>
      </c>
      <c r="J60" t="s">
        <v>1470</v>
      </c>
      <c r="K60" s="36" t="s">
        <v>1607</v>
      </c>
      <c r="L60" t="s">
        <v>1474</v>
      </c>
      <c r="M60" t="s">
        <v>1486</v>
      </c>
      <c r="Q60">
        <v>1</v>
      </c>
      <c r="S60" s="36">
        <v>1</v>
      </c>
      <c r="T60" s="36"/>
      <c r="V60" s="36" t="str">
        <f t="shared" si="0"/>
        <v>{szContent="顾延恶已经尽力，请暂且退回疗伤。",szTarget="王遗风",szNote="恶人·顾延恶·烟雨居舍·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60" s="36" t="str">
        <f t="shared" si="20"/>
        <v>{nClass=14,nIcon=13,szName="王遗风·顾延恶·减伤",nTime=-2,key="王遗风·顾延恶·减伤",},</v>
      </c>
      <c r="X60" s="36" t="str">
        <f t="shared" si="21"/>
        <v>{nClass=14,nIcon=13,szName="谢渊·谢烟客·减伤",nTime=-2,key="谢渊·谢烟客·减伤",},</v>
      </c>
      <c r="Y60" s="36" t="str">
        <f>"{nClass=14,nIcon=18830,nFrame=3,szName="""&amp;K60&amp;"·"&amp;""&amp;""&amp;L60&amp;"·退场·易伤30%"",nTime=10,nRefresh=5,key="""&amp;F60&amp;"·"&amp;L60&amp;""&amp;"·减伤"""&amp;",},"</f>
        <v>{nClass=14,nIcon=18830,nFrame=3,szName="恶人·顾延恶·退场·易伤30%",nTime=10,nRefresh=5,key="王遗风·顾延恶·减伤",},</v>
      </c>
      <c r="Z60" s="36" t="str">
        <f>"{nClass=14,nIcon=3444,nFrame=7,szName="""&amp;G60&amp;"·"&amp;""&amp;J60&amp;""&amp;"·减伤"""&amp;",nTime="""&amp;"300,"&amp;""&amp;J60&amp;"·"&amp;H60&amp;"·减伤3层;600,"&amp;""&amp;J60&amp;"·"&amp;H60&amp;"·减伤2层;900,"&amp;""&amp;J60&amp;"·"&amp;H60&amp;"·减伤1层;910,"&amp;""&amp;J60&amp;"·"&amp;H60&amp;"·减伤消失"""&amp;",nRefresh=5,key="""&amp;G60&amp;"·"&amp;""&amp;J60&amp;""&amp;"·减伤"""&amp;"},"</f>
        <v>{nClass=14,nIcon=3444,nFrame=7,szName="谢渊·谢烟客·减伤",nTime="300,谢烟客·烟雨居舍·减伤3层;600,谢烟客·烟雨居舍·减伤2层;900,谢烟客·烟雨居舍·减伤1层;910,谢烟客·烟雨居舍·减伤消失",nRefresh=5,key="谢渊·谢烟客·减伤"},</v>
      </c>
      <c r="AA60" s="39"/>
      <c r="AB60" s="36"/>
      <c r="AC60" s="36"/>
      <c r="AD60" s="36"/>
      <c r="AE60" s="36"/>
      <c r="AF60" s="36"/>
      <c r="AG60" s="36"/>
      <c r="AH60" s="36"/>
      <c r="AI60" s="36"/>
      <c r="AJ60" s="36"/>
      <c r="AK60" s="36"/>
      <c r="AL60" s="36"/>
    </row>
    <row r="61" spans="1:38" x14ac:dyDescent="0.15">
      <c r="C61" t="s">
        <v>1444</v>
      </c>
      <c r="D61" t="s">
        <v>1447</v>
      </c>
      <c r="E61" s="36" t="str">
        <f t="shared" si="22"/>
        <v>恶人·吕沛杰·七星岩·败退</v>
      </c>
      <c r="F61" t="s">
        <v>1444</v>
      </c>
      <c r="G61" s="36" t="s">
        <v>1446</v>
      </c>
      <c r="H61" t="s">
        <v>1481</v>
      </c>
      <c r="I61" s="36" t="s">
        <v>1609</v>
      </c>
      <c r="J61" t="s">
        <v>1471</v>
      </c>
      <c r="K61" s="36" t="s">
        <v>1607</v>
      </c>
      <c r="L61" t="s">
        <v>1475</v>
      </c>
      <c r="M61" t="s">
        <v>1486</v>
      </c>
      <c r="Q61" s="36">
        <v>1</v>
      </c>
      <c r="S61" s="36">
        <v>1</v>
      </c>
      <c r="T61" s="36"/>
      <c r="V61" s="36" t="str">
        <f t="shared" si="0"/>
        <v>{szContent="吕沛杰已经尽力，请暂且退回疗伤。",szTarget="王遗风",szNote="恶人·吕沛杰·七星岩·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1" s="36" t="str">
        <f t="shared" si="20"/>
        <v>{nClass=14,nIcon=13,szName="王遗风·吕沛杰·减伤",nTime=-2,key="王遗风·吕沛杰·减伤",},</v>
      </c>
      <c r="X61" s="36" t="str">
        <f t="shared" si="21"/>
        <v>{nClass=14,nIcon=13,szName="谢渊·陶杰·减伤",nTime=-2,key="谢渊·陶杰·减伤",},</v>
      </c>
      <c r="Y61" s="36" t="str">
        <f>"{nClass=14,nIcon=18830,nFrame=3,szName="""&amp;K61&amp;"·"&amp;""&amp;""&amp;L61&amp;"·退场·易伤30%"",nTime=10,nRefresh=5,key="""&amp;F61&amp;"·"&amp;L61&amp;""&amp;"·减伤"""&amp;",},"</f>
        <v>{nClass=14,nIcon=18830,nFrame=3,szName="恶人·吕沛杰·退场·易伤30%",nTime=10,nRefresh=5,key="王遗风·吕沛杰·减伤",},</v>
      </c>
      <c r="Z61" s="36" t="str">
        <f>"{nClass=14,nIcon=3444,nFrame=7,szName="""&amp;G61&amp;"·"&amp;""&amp;J61&amp;""&amp;"·减伤"""&amp;",nTime="""&amp;"300,"&amp;""&amp;J61&amp;"·"&amp;H61&amp;"·减伤3层;600,"&amp;""&amp;J61&amp;"·"&amp;H61&amp;"·减伤2层;900,"&amp;""&amp;J61&amp;"·"&amp;H61&amp;"·减伤1层;910,"&amp;""&amp;J61&amp;"·"&amp;H61&amp;"·减伤消失"""&amp;",nRefresh=5,key="""&amp;G61&amp;"·"&amp;""&amp;J61&amp;""&amp;"·减伤"""&amp;"},"</f>
        <v>{nClass=14,nIcon=3444,nFrame=7,szName="谢渊·陶杰·减伤",nTime="300,陶杰·七星岩·减伤3层;600,陶杰·七星岩·减伤2层;900,陶杰·七星岩·减伤1层;910,陶杰·七星岩·减伤消失",nRefresh=5,key="谢渊·陶杰·减伤"},</v>
      </c>
      <c r="AA61" s="39"/>
      <c r="AB61" s="36"/>
      <c r="AC61" s="36"/>
      <c r="AD61" s="36"/>
      <c r="AE61" s="36"/>
      <c r="AF61" s="36"/>
      <c r="AG61" s="36"/>
      <c r="AH61" s="36"/>
      <c r="AI61" s="36"/>
      <c r="AJ61" s="36"/>
      <c r="AK61" s="36"/>
      <c r="AL61" s="36"/>
    </row>
    <row r="62" spans="1:38" x14ac:dyDescent="0.15">
      <c r="C62" t="s">
        <v>1444</v>
      </c>
      <c r="D62" t="s">
        <v>1448</v>
      </c>
      <c r="E62" s="36" t="str">
        <f t="shared" si="22"/>
        <v>恶人·陶国栋·栖霞幻境·败退</v>
      </c>
      <c r="F62" t="s">
        <v>1444</v>
      </c>
      <c r="G62" s="36" t="s">
        <v>1446</v>
      </c>
      <c r="H62" t="s">
        <v>1958</v>
      </c>
      <c r="I62" s="36" t="s">
        <v>1609</v>
      </c>
      <c r="J62" t="s">
        <v>1472</v>
      </c>
      <c r="K62" s="36" t="s">
        <v>1607</v>
      </c>
      <c r="L62" t="s">
        <v>1476</v>
      </c>
      <c r="M62" t="s">
        <v>1486</v>
      </c>
      <c r="Q62" s="36">
        <v>1</v>
      </c>
      <c r="S62" s="36">
        <v>1</v>
      </c>
      <c r="T62" s="36"/>
      <c r="V62" s="36" t="str">
        <f t="shared" si="0"/>
        <v>{szContent="陶国栋已经尽力，请暂且退回疗伤。",szTarget="王遗风",szNote="恶人·陶国栋·栖霞幻境·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2" s="36" t="str">
        <f t="shared" si="20"/>
        <v>{nClass=14,nIcon=13,szName="王遗风·陶国栋·减伤",nTime=-2,key="王遗风·陶国栋·减伤",},</v>
      </c>
      <c r="X62" s="36" t="str">
        <f t="shared" si="21"/>
        <v>{nClass=14,nIcon=13,szName="谢渊·郑鸥·减伤",nTime=-2,key="谢渊·郑鸥·减伤",},</v>
      </c>
      <c r="Y62" s="36" t="str">
        <f>"{nClass=14,nIcon=18830,nFrame=3,szName="""&amp;K62&amp;"·"&amp;""&amp;""&amp;L62&amp;"·退场·易伤30%"",nTime=10,nRefresh=5,key="""&amp;F62&amp;"·"&amp;L62&amp;""&amp;"·减伤"""&amp;",},"</f>
        <v>{nClass=14,nIcon=18830,nFrame=3,szName="恶人·陶国栋·退场·易伤30%",nTime=10,nRefresh=5,key="王遗风·陶国栋·减伤",},</v>
      </c>
      <c r="Z62" s="36" t="str">
        <f>"{nClass=14,nIcon=3444,nFrame=7,szName="""&amp;G62&amp;"·"&amp;""&amp;J62&amp;""&amp;"·减伤"""&amp;",nTime="""&amp;"300,"&amp;""&amp;J62&amp;"·"&amp;H62&amp;"·减伤3层;600,"&amp;""&amp;J62&amp;"·"&amp;H62&amp;"·减伤2层;900,"&amp;""&amp;J62&amp;"·"&amp;H62&amp;"·减伤1层;910,"&amp;""&amp;J62&amp;"·"&amp;H62&amp;"·减伤消失"""&amp;",nRefresh=5,key="""&amp;G62&amp;"·"&amp;""&amp;J62&amp;""&amp;"·减伤"""&amp;"},"</f>
        <v>{nClass=14,nIcon=3444,nFrame=7,szName="谢渊·郑鸥·减伤",nTime="300,郑鸥·栖霞幻境·减伤3层;600,郑鸥·栖霞幻境·减伤2层;900,郑鸥·栖霞幻境·减伤1层;910,郑鸥·栖霞幻境·减伤消失",nRefresh=5,key="谢渊·郑鸥·减伤"},</v>
      </c>
      <c r="AA62" s="39"/>
      <c r="AB62" s="36"/>
      <c r="AC62" s="36"/>
      <c r="AD62" s="36"/>
      <c r="AE62" s="36"/>
      <c r="AF62" s="36"/>
      <c r="AG62" s="36"/>
      <c r="AH62" s="36"/>
      <c r="AI62" s="36"/>
      <c r="AJ62" s="36"/>
      <c r="AK62" s="36"/>
      <c r="AL62" s="36"/>
    </row>
    <row r="63" spans="1:38" x14ac:dyDescent="0.15">
      <c r="C63" t="s">
        <v>1444</v>
      </c>
      <c r="D63" t="s">
        <v>1449</v>
      </c>
      <c r="E63" s="36" t="str">
        <f t="shared" si="22"/>
        <v>恶人·张一洋·漓水河岸·败退</v>
      </c>
      <c r="F63" t="s">
        <v>1444</v>
      </c>
      <c r="G63" s="36" t="s">
        <v>1446</v>
      </c>
      <c r="H63" t="s">
        <v>1959</v>
      </c>
      <c r="I63" s="36" t="s">
        <v>1609</v>
      </c>
      <c r="J63" t="s">
        <v>1473</v>
      </c>
      <c r="K63" s="36" t="s">
        <v>1607</v>
      </c>
      <c r="L63" t="s">
        <v>1477</v>
      </c>
      <c r="M63" t="s">
        <v>1486</v>
      </c>
      <c r="Q63" s="36">
        <v>1</v>
      </c>
      <c r="S63" s="36">
        <v>1</v>
      </c>
      <c r="T63" s="36"/>
      <c r="V63" s="36" t="str">
        <f t="shared" si="0"/>
        <v>{szContent="张一洋已经尽力，请暂且退回疗伤。",szTarget="王遗风",szNote="恶人·张一洋·漓水河岸·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63" s="36" t="str">
        <f t="shared" si="20"/>
        <v>{nClass=14,nIcon=13,szName="王遗风·张一洋·减伤",nTime=-2,key="王遗风·张一洋·减伤",},</v>
      </c>
      <c r="X63" s="36" t="str">
        <f t="shared" si="21"/>
        <v>{nClass=14,nIcon=13,szName="谢渊·周峰·减伤",nTime=-2,key="谢渊·周峰·减伤",},</v>
      </c>
      <c r="Y63" s="36" t="str">
        <f>"{nClass=14,nIcon=18830,nFrame=3,szName="""&amp;K63&amp;"·"&amp;""&amp;""&amp;L63&amp;"·退场·易伤30%"",nTime=10,nRefresh=5,key="""&amp;F63&amp;"·"&amp;L63&amp;""&amp;"·减伤"""&amp;",},"</f>
        <v>{nClass=14,nIcon=18830,nFrame=3,szName="恶人·张一洋·退场·易伤30%",nTime=10,nRefresh=5,key="王遗风·张一洋·减伤",},</v>
      </c>
      <c r="Z63" s="36" t="str">
        <f>"{nClass=14,nIcon=3444,nFrame=7,szName="""&amp;G63&amp;"·"&amp;""&amp;J63&amp;""&amp;"·减伤"""&amp;",nTime="""&amp;"300,"&amp;""&amp;J63&amp;"·"&amp;H63&amp;"·减伤3层;600,"&amp;""&amp;J63&amp;"·"&amp;H63&amp;"·减伤2层;900,"&amp;""&amp;J63&amp;"·"&amp;H63&amp;"·减伤1层;910,"&amp;""&amp;J63&amp;"·"&amp;H63&amp;"·减伤消失"""&amp;",nRefresh=5,key="""&amp;G63&amp;"·"&amp;""&amp;J63&amp;""&amp;"·减伤"""&amp;"},"</f>
        <v>{nClass=14,nIcon=3444,nFrame=7,szName="谢渊·周峰·减伤",nTime="300,周峰·漓水河岸·减伤3层;600,周峰·漓水河岸·减伤2层;900,周峰·漓水河岸·减伤1层;910,周峰·漓水河岸·减伤消失",nRefresh=5,key="谢渊·周峰·减伤"},</v>
      </c>
      <c r="AA63" s="39"/>
      <c r="AB63" s="36"/>
      <c r="AC63" s="36"/>
      <c r="AD63" s="36"/>
      <c r="AE63" s="36"/>
      <c r="AF63" s="36"/>
      <c r="AG63" s="36"/>
      <c r="AH63" s="36"/>
      <c r="AI63" s="36"/>
      <c r="AJ63" s="36"/>
      <c r="AK63" s="36"/>
      <c r="AL63" s="36"/>
    </row>
    <row r="64" spans="1:38" x14ac:dyDescent="0.15">
      <c r="C64" t="s">
        <v>1446</v>
      </c>
      <c r="D64" t="s">
        <v>1450</v>
      </c>
      <c r="E64" s="36" t="str">
        <f t="shared" si="22"/>
        <v>浩气·谢烟客·烟雨居舍·败退</v>
      </c>
      <c r="F64" t="s">
        <v>1446</v>
      </c>
      <c r="G64" s="36" t="s">
        <v>1444</v>
      </c>
      <c r="H64" t="s">
        <v>1479</v>
      </c>
      <c r="I64" s="36" t="s">
        <v>1609</v>
      </c>
      <c r="J64" t="s">
        <v>1474</v>
      </c>
      <c r="K64" s="36" t="s">
        <v>1609</v>
      </c>
      <c r="L64" t="s">
        <v>1469</v>
      </c>
      <c r="M64" t="s">
        <v>1454</v>
      </c>
      <c r="Q64" s="36">
        <v>1</v>
      </c>
      <c r="S64" s="36">
        <v>1</v>
      </c>
      <c r="T64" s="36"/>
      <c r="V64" s="36" t="str">
        <f t="shared" si="0"/>
        <v>{szContent="谢烟客已经尽力，请暂且退回疗伤。",szTarget="谢渊",szNote="浩气·谢烟客·烟雨居舍·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64" s="36" t="str">
        <f t="shared" si="20"/>
        <v>{nClass=14,nIcon=13,szName="谢渊·谢烟客·减伤",nTime=-2,key="谢渊·谢烟客·减伤",},</v>
      </c>
      <c r="X64" s="36" t="str">
        <f t="shared" si="21"/>
        <v>{nClass=14,nIcon=13,szName="王遗风·顾延恶·减伤",nTime=-2,key="王遗风·顾延恶·减伤",},</v>
      </c>
      <c r="Y64" s="36" t="str">
        <f>"{nClass=14,nIcon=18829,nFrame=7,szName="""&amp;K64&amp;"·"&amp;""&amp;""&amp;L64&amp;"·退场·易伤30%"",nTime=10,nRefresh=5,key="""&amp;F64&amp;"·"&amp;L64&amp;""&amp;"·减伤"""&amp;",},"</f>
        <v>{nClass=14,nIcon=18829,nFrame=7,szName="浩气·谢烟客·退场·易伤30%",nTime=10,nRefresh=5,key="谢渊·谢烟客·减伤",},</v>
      </c>
      <c r="Z64" s="36" t="str">
        <f>"{nClass=14,nIcon=3445,nFrame=3,szName="""&amp;G64&amp;"·"&amp;""&amp;J64&amp;""&amp;"·减伤"""&amp;",nTime="""&amp;"300,"&amp;""&amp;J64&amp;"·"&amp;H64&amp;"·减伤3层;600,"&amp;""&amp;J64&amp;"·"&amp;H64&amp;"·减伤2层;900,"&amp;""&amp;J64&amp;"·"&amp;H64&amp;"·减伤1层;910,"&amp;""&amp;J64&amp;"·"&amp;H64&amp;"·减伤消失"""&amp;",nRefresh=5,key="""&amp;G64&amp;"·"&amp;""&amp;J64&amp;""&amp;"·减伤"""&amp;"},"</f>
        <v>{nClass=14,nIcon=3445,nFrame=3,szName="王遗风·顾延恶·减伤",nTime="300,顾延恶·烟雨居舍·减伤3层;600,顾延恶·烟雨居舍·减伤2层;900,顾延恶·烟雨居舍·减伤1层;910,顾延恶·烟雨居舍·减伤消失",nRefresh=5,key="王遗风·顾延恶·减伤"},</v>
      </c>
      <c r="AA64" s="39"/>
      <c r="AB64" s="36"/>
      <c r="AC64" s="36"/>
      <c r="AD64" s="36"/>
      <c r="AE64" s="36"/>
      <c r="AF64" s="36"/>
      <c r="AG64" s="36"/>
      <c r="AH64" s="36"/>
      <c r="AI64" s="36"/>
      <c r="AJ64" s="36"/>
      <c r="AK64" s="36"/>
      <c r="AL64" s="36"/>
    </row>
    <row r="65" spans="1:38" x14ac:dyDescent="0.15">
      <c r="C65" t="s">
        <v>1446</v>
      </c>
      <c r="D65" t="s">
        <v>1451</v>
      </c>
      <c r="E65" s="36" t="str">
        <f t="shared" si="22"/>
        <v>浩气·陶杰·七星岩·败退</v>
      </c>
      <c r="F65" t="s">
        <v>1446</v>
      </c>
      <c r="G65" s="36" t="s">
        <v>1444</v>
      </c>
      <c r="H65" t="s">
        <v>1481</v>
      </c>
      <c r="I65" s="36" t="s">
        <v>1607</v>
      </c>
      <c r="J65" t="s">
        <v>1475</v>
      </c>
      <c r="K65" s="36" t="s">
        <v>1609</v>
      </c>
      <c r="L65" t="s">
        <v>1663</v>
      </c>
      <c r="M65" t="s">
        <v>1454</v>
      </c>
      <c r="Q65" s="36">
        <v>1</v>
      </c>
      <c r="S65" s="36">
        <v>1</v>
      </c>
      <c r="T65" s="36"/>
      <c r="V65" s="36" t="str">
        <f t="shared" si="0"/>
        <v>{szContent="陶杰已经尽力，请暂且退回疗伤。",szTarget="谢渊",szNote="浩气·陶杰·七星岩·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65" s="36" t="str">
        <f t="shared" si="20"/>
        <v>{nClass=14,nIcon=13,szName="谢渊·陶杰·减伤",nTime=-2,key="谢渊·陶杰·减伤",},</v>
      </c>
      <c r="X65" s="36" t="str">
        <f t="shared" si="21"/>
        <v>{nClass=14,nIcon=13,szName="王遗风·吕沛杰·减伤",nTime=-2,key="王遗风·吕沛杰·减伤",},</v>
      </c>
      <c r="Y65" s="36" t="str">
        <f>"{nClass=14,nIcon=18829,nFrame=7,szName="""&amp;K65&amp;"·"&amp;""&amp;""&amp;L65&amp;"·退场·易伤30%"",nTime=10,nRefresh=5,key="""&amp;F65&amp;"·"&amp;L65&amp;""&amp;"·减伤"""&amp;",},"</f>
        <v>{nClass=14,nIcon=18829,nFrame=7,szName="浩气·陶杰·退场·易伤30%",nTime=10,nRefresh=5,key="谢渊·陶杰·减伤",},</v>
      </c>
      <c r="Z65" s="36" t="str">
        <f>"{nClass=14,nIcon=3445,nFrame=3,szName="""&amp;G65&amp;"·"&amp;""&amp;J65&amp;""&amp;"·减伤"""&amp;",nTime="""&amp;"300,"&amp;""&amp;J65&amp;"·"&amp;H65&amp;"·减伤3层;600,"&amp;""&amp;J65&amp;"·"&amp;H65&amp;"·减伤2层;900,"&amp;""&amp;J65&amp;"·"&amp;H65&amp;"·减伤1层;910,"&amp;""&amp;J65&amp;"·"&amp;H65&amp;"·减伤消失"""&amp;",nRefresh=5,key="""&amp;G65&amp;"·"&amp;""&amp;J65&amp;""&amp;"·减伤"""&amp;"},"</f>
        <v>{nClass=14,nIcon=3445,nFrame=3,szName="王遗风·吕沛杰·减伤",nTime="300,吕沛杰·七星岩·减伤3层;600,吕沛杰·七星岩·减伤2层;900,吕沛杰·七星岩·减伤1层;910,吕沛杰·七星岩·减伤消失",nRefresh=5,key="王遗风·吕沛杰·减伤"},</v>
      </c>
      <c r="AA65" s="39"/>
      <c r="AB65" s="36"/>
      <c r="AC65" s="36"/>
      <c r="AD65" s="36"/>
      <c r="AE65" s="36"/>
      <c r="AF65" s="36"/>
      <c r="AG65" s="36"/>
      <c r="AH65" s="36"/>
      <c r="AI65" s="36"/>
      <c r="AJ65" s="36"/>
      <c r="AK65" s="36"/>
      <c r="AL65" s="36"/>
    </row>
    <row r="66" spans="1:38" x14ac:dyDescent="0.15">
      <c r="C66" t="s">
        <v>1446</v>
      </c>
      <c r="D66" t="s">
        <v>1452</v>
      </c>
      <c r="E66" s="36" t="str">
        <f t="shared" si="22"/>
        <v>浩气·郑鸥·栖霞幻境·败退</v>
      </c>
      <c r="F66" t="s">
        <v>1446</v>
      </c>
      <c r="G66" s="36" t="s">
        <v>1444</v>
      </c>
      <c r="H66" t="s">
        <v>1958</v>
      </c>
      <c r="I66" s="36" t="s">
        <v>1607</v>
      </c>
      <c r="J66" t="s">
        <v>1476</v>
      </c>
      <c r="K66" s="36" t="s">
        <v>1609</v>
      </c>
      <c r="L66" t="s">
        <v>1664</v>
      </c>
      <c r="M66" t="s">
        <v>1454</v>
      </c>
      <c r="Q66" s="36">
        <v>1</v>
      </c>
      <c r="S66" s="36">
        <v>1</v>
      </c>
      <c r="T66" s="36"/>
      <c r="V66" s="36" t="str">
        <f t="shared" si="0"/>
        <v>{szContent="郑鸥已经尽力，请暂且退回疗伤。",szTarget="谢渊",szNote="浩气·郑鸥·栖霞幻境·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66" s="36" t="str">
        <f t="shared" si="20"/>
        <v>{nClass=14,nIcon=13,szName="谢渊·郑鸥·减伤",nTime=-2,key="谢渊·郑鸥·减伤",},</v>
      </c>
      <c r="X66" s="36" t="str">
        <f t="shared" si="21"/>
        <v>{nClass=14,nIcon=13,szName="王遗风·陶国栋·减伤",nTime=-2,key="王遗风·陶国栋·减伤",},</v>
      </c>
      <c r="Y66" s="36" t="str">
        <f>"{nClass=14,nIcon=18829,nFrame=7,szName="""&amp;K66&amp;"·"&amp;""&amp;""&amp;L66&amp;"·退场·易伤30%"",nTime=10,nRefresh=5,key="""&amp;F66&amp;"·"&amp;L66&amp;""&amp;"·减伤"""&amp;",},"</f>
        <v>{nClass=14,nIcon=18829,nFrame=7,szName="浩气·郑鸥·退场·易伤30%",nTime=10,nRefresh=5,key="谢渊·郑鸥·减伤",},</v>
      </c>
      <c r="Z66" s="36" t="str">
        <f>"{nClass=14,nIcon=3445,nFrame=3,szName="""&amp;G66&amp;"·"&amp;""&amp;J66&amp;""&amp;"·减伤"""&amp;",nTime="""&amp;"300,"&amp;""&amp;J66&amp;"·"&amp;H66&amp;"·减伤3层;600,"&amp;""&amp;J66&amp;"·"&amp;H66&amp;"·减伤2层;900,"&amp;""&amp;J66&amp;"·"&amp;H66&amp;"·减伤1层;910,"&amp;""&amp;J66&amp;"·"&amp;H66&amp;"·减伤消失"""&amp;",nRefresh=5,key="""&amp;G66&amp;"·"&amp;""&amp;J66&amp;""&amp;"·减伤"""&amp;"},"</f>
        <v>{nClass=14,nIcon=3445,nFrame=3,szName="王遗风·陶国栋·减伤",nTime="300,陶国栋·栖霞幻境·减伤3层;600,陶国栋·栖霞幻境·减伤2层;900,陶国栋·栖霞幻境·减伤1层;910,陶国栋·栖霞幻境·减伤消失",nRefresh=5,key="王遗风·陶国栋·减伤"},</v>
      </c>
      <c r="AA66" s="39"/>
      <c r="AB66" s="36"/>
      <c r="AC66" s="36"/>
      <c r="AD66" s="36"/>
      <c r="AE66" s="36"/>
      <c r="AF66" s="36"/>
      <c r="AG66" s="36"/>
      <c r="AH66" s="36"/>
      <c r="AI66" s="36"/>
      <c r="AJ66" s="36"/>
      <c r="AK66" s="36"/>
      <c r="AL66" s="36"/>
    </row>
    <row r="67" spans="1:38" x14ac:dyDescent="0.15">
      <c r="C67" t="s">
        <v>1446</v>
      </c>
      <c r="D67" t="s">
        <v>1453</v>
      </c>
      <c r="E67" s="36" t="str">
        <f t="shared" si="22"/>
        <v>浩气·周峰·漓水河岸·败退</v>
      </c>
      <c r="F67" t="s">
        <v>1446</v>
      </c>
      <c r="G67" s="36" t="s">
        <v>1444</v>
      </c>
      <c r="H67" t="s">
        <v>1959</v>
      </c>
      <c r="I67" s="36" t="s">
        <v>1607</v>
      </c>
      <c r="J67" t="s">
        <v>1477</v>
      </c>
      <c r="K67" s="36" t="s">
        <v>1609</v>
      </c>
      <c r="L67" t="s">
        <v>1665</v>
      </c>
      <c r="M67" t="s">
        <v>1454</v>
      </c>
      <c r="Q67" s="36">
        <v>1</v>
      </c>
      <c r="S67" s="36">
        <v>1</v>
      </c>
      <c r="T67" s="36"/>
      <c r="V67" s="36" t="str">
        <f t="shared" ref="V67:V130" si="23">IF(ISBLANK(B67)=FALSE,IF(ISBLANK(B66),"},["&amp;B67&amp;"]={","["&amp;B67&amp;"]={"),IF(AND(ISBLANK(B67),ISBLANK(D67),ISBLANK(N67),ISBLANK(O67),OR(ISBLANK(B66)=FALSE,ISBLANK(D66)=FALSE,ISBLANK(N66)=FALSE,ISBLANK(O66)=FALSE)),"},},}",IF(ISBLANK(D67),"","{szContent="""&amp;D67&amp;""","&amp;IF(C67&lt;&gt;"","szTarget="""&amp;C67&amp;""",","")&amp;IF(E67&lt;&gt;"","szNote="""&amp;E67&amp;""",","")&amp;IF(M67&lt;&gt;"","col={"&amp;M67&amp;"},","")&amp;IF(N67&gt;0,"bSearch=true,","")&amp;IF(O67&gt;0,"bReg=true,","")&amp;"[14]={"&amp;IF(P67&gt;0,"szVoice="""&amp;P67&amp;""",","")&amp;IF(Q67&gt;0,"bTeamChannel=true,","")&amp;IF(R67&gt;0,"bWhisperChannel=true,","")&amp;IF(S67&gt;0,"bCenterAlarm=true,","")&amp;IF(T67&gt;0,"bScreenHead=true,","")&amp;IF(U67&gt;0,"bFullScreen=true,","")&amp;"},"&amp;IF(W67&lt;&gt;"","tCountdown={"&amp;_xlfn.TEXTJOIN("",TRUE,W67:AAH67)&amp;"},","")&amp;"},")))</f>
        <v>{szContent="周峰已经尽力，请暂且退回疗伤。",szTarget="谢渊",szNote="浩气·周峰·漓水河岸·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7" s="36" t="str">
        <f t="shared" si="20"/>
        <v>{nClass=14,nIcon=13,szName="谢渊·周峰·减伤",nTime=-2,key="谢渊·周峰·减伤",},</v>
      </c>
      <c r="X67" s="36" t="str">
        <f t="shared" si="21"/>
        <v>{nClass=14,nIcon=13,szName="王遗风·张一洋·减伤",nTime=-2,key="王遗风·张一洋·减伤",},</v>
      </c>
      <c r="Y67" s="36" t="str">
        <f>"{nClass=14,nIcon=18829,nFrame=7,szName="""&amp;K67&amp;"·"&amp;""&amp;""&amp;L67&amp;"·退场·易伤30%"",nTime=10,nRefresh=5,key="""&amp;F67&amp;"·"&amp;L67&amp;""&amp;"·减伤"""&amp;",},"</f>
        <v>{nClass=14,nIcon=18829,nFrame=7,szName="浩气·周峰·退场·易伤30%",nTime=10,nRefresh=5,key="谢渊·周峰·减伤",},</v>
      </c>
      <c r="Z67" s="36" t="str">
        <f>"{nClass=14,nIcon=3445,nFrame=3,szName="""&amp;G67&amp;"·"&amp;""&amp;J67&amp;""&amp;"·减伤"""&amp;",nTime="""&amp;"300,"&amp;""&amp;J67&amp;"·"&amp;H67&amp;"·减伤3层;600,"&amp;""&amp;J67&amp;"·"&amp;H67&amp;"·减伤2层;900,"&amp;""&amp;J67&amp;"·"&amp;H67&amp;"·减伤1层;910,"&amp;""&amp;J67&amp;"·"&amp;H67&amp;"·减伤消失"""&amp;",nRefresh=5,key="""&amp;G67&amp;"·"&amp;""&amp;J67&amp;""&amp;"·减伤"""&amp;"},"</f>
        <v>{nClass=14,nIcon=3445,nFrame=3,szName="王遗风·张一洋·减伤",nTime="300,张一洋·漓水河岸·减伤3层;600,张一洋·漓水河岸·减伤2层;900,张一洋·漓水河岸·减伤1层;910,张一洋·漓水河岸·减伤消失",nRefresh=5,key="王遗风·张一洋·减伤"},</v>
      </c>
      <c r="AA67" s="39"/>
      <c r="AB67" s="36"/>
      <c r="AC67" s="36"/>
      <c r="AD67" s="36"/>
      <c r="AE67" s="36"/>
      <c r="AF67" s="36"/>
      <c r="AG67" s="36"/>
      <c r="AH67" s="36"/>
      <c r="AI67" s="36"/>
      <c r="AJ67" s="36"/>
      <c r="AK67" s="36"/>
      <c r="AL67" s="36"/>
    </row>
    <row r="68" spans="1:38" s="36" customFormat="1" x14ac:dyDescent="0.15">
      <c r="C68" s="36" t="s">
        <v>2188</v>
      </c>
      <c r="D68" s="43" t="s">
        <v>2521</v>
      </c>
      <c r="E68" s="36" t="s">
        <v>2522</v>
      </c>
      <c r="M68" s="36" t="s">
        <v>1565</v>
      </c>
      <c r="V68" s="36" t="str">
        <f t="shared" si="23"/>
        <v>{szContent="军情速递！浩气盟物资官传来消息，现有一批新物资运至各复活点，望浩气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68" s="36" t="s">
        <v>2523</v>
      </c>
      <c r="X68" s="36" t="s">
        <v>2643</v>
      </c>
      <c r="AA68" s="39"/>
    </row>
    <row r="69" spans="1:38" s="36" customFormat="1" x14ac:dyDescent="0.15">
      <c r="C69" s="36" t="s">
        <v>2188</v>
      </c>
      <c r="D69" s="43" t="s">
        <v>2519</v>
      </c>
      <c r="E69" s="36" t="s">
        <v>2517</v>
      </c>
      <c r="M69" s="36" t="s">
        <v>1438</v>
      </c>
      <c r="V69" s="36" t="str">
        <f t="shared" si="23"/>
        <v>{szContent="军情速递！恶人谷物资车已运达，车内装有大量物资，望侠士们前来拾取，切莫错过。",szTarget="%",szNote="恶人谷·物资车·已运达",col={255,100,100,},[14]={},tCountdown={{nClass=14,nIcon=10450,nFrame=4,szName="恶人谷·营地物资·刷新",nTime="10,恶人谷·营地物资·刷新;300,恶人谷·营地物资·拾取剩余;305,恶人谷·营地物资·已消失",nRefresh=0,key="恶人·物资车·运达",},},},</v>
      </c>
      <c r="W69" s="36" t="s">
        <v>2524</v>
      </c>
      <c r="AA69" s="39"/>
    </row>
    <row r="70" spans="1:38" s="36" customFormat="1" x14ac:dyDescent="0.15">
      <c r="C70" s="36" t="s">
        <v>2188</v>
      </c>
      <c r="D70" s="43" t="s">
        <v>2520</v>
      </c>
      <c r="E70" s="36" t="s">
        <v>2518</v>
      </c>
      <c r="M70" s="36" t="s">
        <v>1565</v>
      </c>
      <c r="V70" s="36" t="str">
        <f t="shared" si="23"/>
        <v>{szContent="军情速递！浩气盟物资车已运达，车内装有大量物资，望侠士们前来拾取，切莫错过。",szTarget="%",szNote="浩气盟·物资车·已运达",col={100,100,255,},[14]={},tCountdown={{nClass=14,nIcon=10449,nFrame=4,szName="浩气盟·内城物资·刷新",nTime="10,浩气盟·内城物资·刷新;300,浩气盟·内城物资·拾取剩余;305,浩气盟·内城物资·已消失",nRefresh=0,key="浩气·物资车·运达",},},},</v>
      </c>
      <c r="W70" s="36" t="s">
        <v>2525</v>
      </c>
      <c r="AA70" s="39"/>
    </row>
    <row r="71" spans="1:38" x14ac:dyDescent="0.15">
      <c r="A71" t="s">
        <v>9</v>
      </c>
      <c r="B71">
        <v>27</v>
      </c>
      <c r="T71" s="36"/>
      <c r="V71" s="36" t="str">
        <f t="shared" si="23"/>
        <v>},[27]={</v>
      </c>
    </row>
    <row r="72" spans="1:38" s="36" customFormat="1" x14ac:dyDescent="0.15">
      <c r="C72" s="36" t="s">
        <v>1444</v>
      </c>
      <c r="D72" s="36" t="s">
        <v>1902</v>
      </c>
      <c r="M72" s="36" t="s">
        <v>1486</v>
      </c>
      <c r="O72" s="36">
        <v>1</v>
      </c>
      <c r="V72" s="36" t="str">
        <f t="shared" si="23"/>
        <v>{szContent="(.-)的“(.-)”在(.-)插下了宣战令旗，简直是对(.-)的侮辱！谁去摧毁它，必有重赏！",szTarget="王遗风",col={255,100,100,},bReg=true,[14]={},tCountdown={{nClass=14,nIcon=591,nFrame=7,szName="{$1}战书·{$3}·{$2}",nTime=10,key="宣战战书",},},},</v>
      </c>
      <c r="W72" s="36" t="s">
        <v>1901</v>
      </c>
    </row>
    <row r="73" spans="1:38" s="36" customFormat="1" x14ac:dyDescent="0.15">
      <c r="C73" s="36" t="s">
        <v>1717</v>
      </c>
      <c r="D73" s="36" t="s">
        <v>1435</v>
      </c>
      <c r="E73" s="36" t="str">
        <f>K73&amp;"·"&amp;L73&amp;"·"&amp;H73&amp;"·"&amp;"败退"</f>
        <v>恶人·顾延恶·平安客栈·败退</v>
      </c>
      <c r="F73" s="36" t="s">
        <v>1444</v>
      </c>
      <c r="G73" s="36" t="s">
        <v>1446</v>
      </c>
      <c r="H73" s="36" t="s">
        <v>1482</v>
      </c>
      <c r="I73" s="36" t="s">
        <v>1609</v>
      </c>
      <c r="J73" s="36" t="s">
        <v>1469</v>
      </c>
      <c r="K73" s="36" t="s">
        <v>1607</v>
      </c>
      <c r="L73" s="36" t="s">
        <v>1474</v>
      </c>
      <c r="M73" s="36" t="s">
        <v>1486</v>
      </c>
      <c r="N73" s="36">
        <v>1</v>
      </c>
      <c r="S73" s="36">
        <v>1</v>
      </c>
      <c r="V73" s="36" t="str">
        <f t="shared" si="23"/>
        <v>{szContent="罢了，青山不改，绿水长流，后会有期！",szTarget="顾延恶",szNote="恶人·顾延恶·平安客栈·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73" s="36" t="str">
        <f t="shared" ref="W73:W88" si="24">"{nClass=14,nIcon=13,szName="""&amp;F73&amp;"·"&amp;L73&amp;"·减伤"""&amp;",nTime=-2,key="""&amp;F73&amp;"·"&amp;L73&amp;"·减伤"""&amp;",},"</f>
        <v>{nClass=14,nIcon=13,szName="王遗风·顾延恶·减伤",nTime=-2,key="王遗风·顾延恶·减伤",},</v>
      </c>
      <c r="X73" s="36" t="str">
        <f t="shared" ref="X73:X88" si="25">"{nClass=14,nIcon=13,szName="""&amp;""&amp;G73&amp;"·"&amp;""&amp;J73&amp;"·减伤"""&amp;",nTime=-2,key="""&amp;""&amp;G73&amp;"·"&amp;""&amp;J73&amp;"·减伤"""&amp;",},"</f>
        <v>{nClass=14,nIcon=13,szName="谢渊·谢烟客·减伤",nTime=-2,key="谢渊·谢烟客·减伤",},</v>
      </c>
      <c r="Y73" s="36" t="str">
        <f>"{nClass=14,nIcon=18830,nFrame=3,szName="""&amp;K73&amp;"·"&amp;""&amp;""&amp;L73&amp;"·退场·易伤30%"",nTime=10,nRefresh=5,key="""&amp;F73&amp;"·"&amp;L73&amp;""&amp;"·减伤"""&amp;",},"</f>
        <v>{nClass=14,nIcon=18830,nFrame=3,szName="恶人·顾延恶·退场·易伤30%",nTime=10,nRefresh=5,key="王遗风·顾延恶·减伤",},</v>
      </c>
      <c r="Z73" s="36" t="str">
        <f>"{nClass=14,nIcon=3444,nFrame=7,szName="""&amp;G73&amp;"·"&amp;""&amp;J73&amp;""&amp;"·减伤"""&amp;",nTime="""&amp;"300,"&amp;""&amp;J73&amp;"·"&amp;H73&amp;"·减伤3层;600,"&amp;""&amp;J73&amp;"·"&amp;H73&amp;"·减伤2层;900,"&amp;""&amp;J73&amp;"·"&amp;H73&amp;"·减伤1层;910,"&amp;""&amp;J73&amp;"·"&amp;H73&amp;"·减伤消失"""&amp;",nRefresh=5,key="""&amp;G73&amp;"·"&amp;""&amp;J73&amp;""&amp;"·减伤"""&amp;"},"</f>
        <v>{nClass=14,nIcon=3444,nFrame=7,szName="谢渊·谢烟客·减伤",nTime="300,谢烟客·平安客栈·减伤3层;600,谢烟客·平安客栈·减伤2层;900,谢烟客·平安客栈·减伤1层;910,谢烟客·平安客栈·减伤消失",nRefresh=5,key="谢渊·谢烟客·减伤"},</v>
      </c>
    </row>
    <row r="74" spans="1:38" s="36" customFormat="1" x14ac:dyDescent="0.15">
      <c r="C74" s="36" t="s">
        <v>1982</v>
      </c>
      <c r="D74" s="36" t="s">
        <v>1435</v>
      </c>
      <c r="E74" s="36" t="str">
        <f t="shared" ref="E74:E88" si="26">K74&amp;"·"&amp;L74&amp;"·"&amp;H74&amp;"·"&amp;"败退"</f>
        <v>恶人·吕沛杰·炎狱山·败退</v>
      </c>
      <c r="F74" s="36" t="s">
        <v>1444</v>
      </c>
      <c r="G74" s="36" t="s">
        <v>1446</v>
      </c>
      <c r="H74" s="36" t="s">
        <v>1483</v>
      </c>
      <c r="I74" s="36" t="s">
        <v>1609</v>
      </c>
      <c r="J74" s="36" t="s">
        <v>1471</v>
      </c>
      <c r="K74" s="36" t="s">
        <v>1607</v>
      </c>
      <c r="L74" s="36" t="s">
        <v>1475</v>
      </c>
      <c r="M74" s="36" t="s">
        <v>1486</v>
      </c>
      <c r="N74" s="36">
        <v>1</v>
      </c>
      <c r="S74" s="36">
        <v>1</v>
      </c>
      <c r="V74" s="36" t="str">
        <f t="shared" si="23"/>
        <v>{szContent="罢了，青山不改，绿水长流，后会有期！",szTarget="吕沛杰",szNote="恶人·吕沛杰·炎狱山·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74" s="36" t="str">
        <f t="shared" si="24"/>
        <v>{nClass=14,nIcon=13,szName="王遗风·吕沛杰·减伤",nTime=-2,key="王遗风·吕沛杰·减伤",},</v>
      </c>
      <c r="X74" s="36" t="str">
        <f t="shared" si="25"/>
        <v>{nClass=14,nIcon=13,szName="谢渊·陶杰·减伤",nTime=-2,key="谢渊·陶杰·减伤",},</v>
      </c>
      <c r="Y74" s="36" t="str">
        <f>"{nClass=14,nIcon=18830,nFrame=3,szName="""&amp;K74&amp;"·"&amp;""&amp;""&amp;L74&amp;"·退场·易伤30%"",nTime=10,nRefresh=5,key="""&amp;F74&amp;"·"&amp;L74&amp;""&amp;"·减伤"""&amp;",},"</f>
        <v>{nClass=14,nIcon=18830,nFrame=3,szName="恶人·吕沛杰·退场·易伤30%",nTime=10,nRefresh=5,key="王遗风·吕沛杰·减伤",},</v>
      </c>
      <c r="Z74" s="36" t="str">
        <f>"{nClass=14,nIcon=3444,nFrame=7,szName="""&amp;G74&amp;"·"&amp;""&amp;J74&amp;""&amp;"·减伤"""&amp;",nTime="""&amp;"300,"&amp;""&amp;J74&amp;"·"&amp;H74&amp;"·减伤3层;600,"&amp;""&amp;J74&amp;"·"&amp;H74&amp;"·减伤2层;900,"&amp;""&amp;J74&amp;"·"&amp;H74&amp;"·减伤1层;910,"&amp;""&amp;J74&amp;"·"&amp;H74&amp;"·减伤消失"""&amp;",nRefresh=5,key="""&amp;G74&amp;"·"&amp;""&amp;J74&amp;""&amp;"·减伤"""&amp;"},"</f>
        <v>{nClass=14,nIcon=3444,nFrame=7,szName="谢渊·陶杰·减伤",nTime="300,陶杰·炎狱山·减伤3层;600,陶杰·炎狱山·减伤2层;900,陶杰·炎狱山·减伤1层;910,陶杰·炎狱山·减伤消失",nRefresh=5,key="谢渊·陶杰·减伤"},</v>
      </c>
    </row>
    <row r="75" spans="1:38" s="36" customFormat="1" x14ac:dyDescent="0.15">
      <c r="C75" s="36" t="s">
        <v>1983</v>
      </c>
      <c r="D75" s="36" t="s">
        <v>1435</v>
      </c>
      <c r="E75" s="36" t="str">
        <f t="shared" si="26"/>
        <v>恶人·陶国栋·白骨陵园·败退</v>
      </c>
      <c r="F75" s="36" t="s">
        <v>1444</v>
      </c>
      <c r="G75" s="36" t="s">
        <v>1446</v>
      </c>
      <c r="H75" s="36" t="s">
        <v>1484</v>
      </c>
      <c r="I75" s="36" t="s">
        <v>1609</v>
      </c>
      <c r="J75" s="36" t="s">
        <v>1472</v>
      </c>
      <c r="K75" s="36" t="s">
        <v>1607</v>
      </c>
      <c r="L75" s="36" t="s">
        <v>1476</v>
      </c>
      <c r="M75" s="36" t="s">
        <v>1486</v>
      </c>
      <c r="N75" s="36">
        <v>1</v>
      </c>
      <c r="S75" s="36">
        <v>1</v>
      </c>
      <c r="V75" s="36" t="str">
        <f t="shared" si="23"/>
        <v>{szContent="罢了，青山不改，绿水长流，后会有期！",szTarget="陶国栋",szNote="恶人·陶国栋·白骨陵园·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75" s="36" t="str">
        <f t="shared" si="24"/>
        <v>{nClass=14,nIcon=13,szName="王遗风·陶国栋·减伤",nTime=-2,key="王遗风·陶国栋·减伤",},</v>
      </c>
      <c r="X75" s="36" t="str">
        <f t="shared" si="25"/>
        <v>{nClass=14,nIcon=13,szName="谢渊·郑鸥·减伤",nTime=-2,key="谢渊·郑鸥·减伤",},</v>
      </c>
      <c r="Y75" s="36" t="str">
        <f>"{nClass=14,nIcon=18830,nFrame=3,szName="""&amp;K75&amp;"·"&amp;""&amp;""&amp;L75&amp;"·退场·易伤30%"",nTime=10,nRefresh=5,key="""&amp;F75&amp;"·"&amp;L75&amp;""&amp;"·减伤"""&amp;",},"</f>
        <v>{nClass=14,nIcon=18830,nFrame=3,szName="恶人·陶国栋·退场·易伤30%",nTime=10,nRefresh=5,key="王遗风·陶国栋·减伤",},</v>
      </c>
      <c r="Z75" s="36" t="str">
        <f>"{nClass=14,nIcon=3444,nFrame=7,szName="""&amp;G75&amp;"·"&amp;""&amp;J75&amp;""&amp;"·减伤"""&amp;",nTime="""&amp;"300,"&amp;""&amp;J75&amp;"·"&amp;H75&amp;"·减伤3层;600,"&amp;""&amp;J75&amp;"·"&amp;H75&amp;"·减伤2层;900,"&amp;""&amp;J75&amp;"·"&amp;H75&amp;"·减伤1层;910,"&amp;""&amp;J75&amp;"·"&amp;H75&amp;"·减伤消失"""&amp;",nRefresh=5,key="""&amp;G75&amp;"·"&amp;""&amp;J75&amp;""&amp;"·减伤"""&amp;"},"</f>
        <v>{nClass=14,nIcon=3444,nFrame=7,szName="谢渊·郑鸥·减伤",nTime="300,郑鸥·白骨陵园·减伤3层;600,郑鸥·白骨陵园·减伤2层;900,郑鸥·白骨陵园·减伤1层;910,郑鸥·白骨陵园·减伤消失",nRefresh=5,key="谢渊·郑鸥·减伤"},</v>
      </c>
    </row>
    <row r="76" spans="1:38" s="36" customFormat="1" x14ac:dyDescent="0.15">
      <c r="C76" s="36" t="s">
        <v>1984</v>
      </c>
      <c r="D76" s="36" t="s">
        <v>1435</v>
      </c>
      <c r="E76" s="36" t="str">
        <f t="shared" si="26"/>
        <v>恶人·张一洋·丐王坡·败退</v>
      </c>
      <c r="F76" s="36" t="s">
        <v>1444</v>
      </c>
      <c r="G76" s="36" t="s">
        <v>1446</v>
      </c>
      <c r="H76" s="36" t="s">
        <v>1485</v>
      </c>
      <c r="I76" s="36" t="s">
        <v>1609</v>
      </c>
      <c r="J76" s="36" t="s">
        <v>1473</v>
      </c>
      <c r="K76" s="36" t="s">
        <v>1607</v>
      </c>
      <c r="L76" s="36" t="s">
        <v>1477</v>
      </c>
      <c r="M76" s="36" t="s">
        <v>1486</v>
      </c>
      <c r="N76" s="36">
        <v>1</v>
      </c>
      <c r="S76" s="36">
        <v>1</v>
      </c>
      <c r="V76" s="36" t="str">
        <f t="shared" si="23"/>
        <v>{szContent="罢了，青山不改，绿水长流，后会有期！",szTarget="张一洋",szNote="恶人·张一洋·丐王坡·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76" s="36" t="str">
        <f t="shared" si="24"/>
        <v>{nClass=14,nIcon=13,szName="王遗风·张一洋·减伤",nTime=-2,key="王遗风·张一洋·减伤",},</v>
      </c>
      <c r="X76" s="36" t="str">
        <f t="shared" si="25"/>
        <v>{nClass=14,nIcon=13,szName="谢渊·周峰·减伤",nTime=-2,key="谢渊·周峰·减伤",},</v>
      </c>
      <c r="Y76" s="36" t="str">
        <f>"{nClass=14,nIcon=18830,nFrame=3,szName="""&amp;K76&amp;"·"&amp;""&amp;""&amp;L76&amp;"·退场·易伤30%"",nTime=10,nRefresh=5,key="""&amp;F76&amp;"·"&amp;L76&amp;""&amp;"·减伤"""&amp;",},"</f>
        <v>{nClass=14,nIcon=18830,nFrame=3,szName="恶人·张一洋·退场·易伤30%",nTime=10,nRefresh=5,key="王遗风·张一洋·减伤",},</v>
      </c>
      <c r="Z76" s="36" t="str">
        <f>"{nClass=14,nIcon=3444,nFrame=7,szName="""&amp;G76&amp;"·"&amp;""&amp;J76&amp;""&amp;"·减伤"""&amp;",nTime="""&amp;"300,"&amp;""&amp;J76&amp;"·"&amp;H76&amp;"·减伤3层;600,"&amp;""&amp;J76&amp;"·"&amp;H76&amp;"·减伤2层;900,"&amp;""&amp;J76&amp;"·"&amp;H76&amp;"·减伤1层;910,"&amp;""&amp;J76&amp;"·"&amp;H76&amp;"·减伤消失"""&amp;",nRefresh=5,key="""&amp;G76&amp;"·"&amp;""&amp;J76&amp;""&amp;"·减伤"""&amp;"},"</f>
        <v>{nClass=14,nIcon=3444,nFrame=7,szName="谢渊·周峰·减伤",nTime="300,周峰·丐王坡·减伤3层;600,周峰·丐王坡·减伤2层;900,周峰·丐王坡·减伤1层;910,周峰·丐王坡·减伤消失",nRefresh=5,key="谢渊·周峰·减伤"},</v>
      </c>
    </row>
    <row r="77" spans="1:38" s="36" customFormat="1" x14ac:dyDescent="0.15">
      <c r="C77" s="36" t="s">
        <v>1470</v>
      </c>
      <c r="D77" s="36" t="s">
        <v>1435</v>
      </c>
      <c r="E77" s="36" t="str">
        <f t="shared" si="26"/>
        <v>浩气·谢烟客·平安客栈·败退</v>
      </c>
      <c r="F77" s="36" t="s">
        <v>1446</v>
      </c>
      <c r="G77" s="36" t="s">
        <v>1444</v>
      </c>
      <c r="H77" s="36" t="s">
        <v>1482</v>
      </c>
      <c r="I77" s="36" t="s">
        <v>1607</v>
      </c>
      <c r="J77" s="36" t="s">
        <v>1474</v>
      </c>
      <c r="K77" s="36" t="s">
        <v>1609</v>
      </c>
      <c r="L77" s="36" t="s">
        <v>1469</v>
      </c>
      <c r="M77" s="36" t="s">
        <v>1454</v>
      </c>
      <c r="N77" s="36">
        <v>1</v>
      </c>
      <c r="S77" s="36">
        <v>1</v>
      </c>
      <c r="V77" s="36" t="str">
        <f t="shared" si="23"/>
        <v>{szContent="罢了，青山不改，绿水长流，后会有期！",szTarget="谢烟客",szNote="浩气·谢烟客·平安客栈·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77" s="36" t="str">
        <f t="shared" si="24"/>
        <v>{nClass=14,nIcon=13,szName="谢渊·谢烟客·减伤",nTime=-2,key="谢渊·谢烟客·减伤",},</v>
      </c>
      <c r="X77" s="36" t="str">
        <f t="shared" si="25"/>
        <v>{nClass=14,nIcon=13,szName="王遗风·顾延恶·减伤",nTime=-2,key="王遗风·顾延恶·减伤",},</v>
      </c>
      <c r="Y77" s="36" t="str">
        <f>"{nClass=14,nIcon=18829,nFrame=7,szName="""&amp;K77&amp;"·"&amp;""&amp;""&amp;L77&amp;"·退场·易伤30%"",nTime=10,nRefresh=5,key="""&amp;F77&amp;"·"&amp;L77&amp;""&amp;"·减伤"""&amp;",},"</f>
        <v>{nClass=14,nIcon=18829,nFrame=7,szName="浩气·谢烟客·退场·易伤30%",nTime=10,nRefresh=5,key="谢渊·谢烟客·减伤",},</v>
      </c>
      <c r="Z77" s="36" t="str">
        <f>"{nClass=14,nIcon=3445,nFrame=3,szName="""&amp;G77&amp;"·"&amp;""&amp;J77&amp;""&amp;"·减伤"""&amp;",nTime="""&amp;"300,"&amp;""&amp;J77&amp;"·"&amp;H77&amp;"·减伤3层;600,"&amp;""&amp;J77&amp;"·"&amp;H77&amp;"·减伤2层;900,"&amp;""&amp;J77&amp;"·"&amp;H77&amp;"·减伤1层;910,"&amp;""&amp;J77&amp;"·"&amp;H77&amp;"·减伤消失"""&amp;",nRefresh=5,key="""&amp;G77&amp;"·"&amp;""&amp;J77&amp;""&amp;"·减伤"""&amp;"},"</f>
        <v>{nClass=14,nIcon=3445,nFrame=3,szName="王遗风·顾延恶·减伤",nTime="300,顾延恶·平安客栈·减伤3层;600,顾延恶·平安客栈·减伤2层;900,顾延恶·平安客栈·减伤1层;910,顾延恶·平安客栈·减伤消失",nRefresh=5,key="王遗风·顾延恶·减伤"},</v>
      </c>
    </row>
    <row r="78" spans="1:38" s="36" customFormat="1" x14ac:dyDescent="0.15">
      <c r="C78" s="36" t="s">
        <v>1663</v>
      </c>
      <c r="D78" s="36" t="s">
        <v>1435</v>
      </c>
      <c r="E78" s="36" t="str">
        <f t="shared" si="26"/>
        <v>浩气·陶杰·炎狱山·败退</v>
      </c>
      <c r="F78" s="36" t="s">
        <v>1446</v>
      </c>
      <c r="G78" s="36" t="s">
        <v>1444</v>
      </c>
      <c r="H78" s="36" t="s">
        <v>1483</v>
      </c>
      <c r="I78" s="36" t="s">
        <v>1607</v>
      </c>
      <c r="J78" s="36" t="s">
        <v>1475</v>
      </c>
      <c r="K78" s="36" t="s">
        <v>1609</v>
      </c>
      <c r="L78" s="36" t="s">
        <v>1663</v>
      </c>
      <c r="M78" s="36" t="s">
        <v>1454</v>
      </c>
      <c r="N78" s="36">
        <v>1</v>
      </c>
      <c r="S78" s="36">
        <v>1</v>
      </c>
      <c r="V78" s="36" t="str">
        <f t="shared" si="23"/>
        <v>{szContent="罢了，青山不改，绿水长流，后会有期！",szTarget="陶杰",szNote="浩气·陶杰·炎狱山·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78" s="36" t="str">
        <f t="shared" si="24"/>
        <v>{nClass=14,nIcon=13,szName="谢渊·陶杰·减伤",nTime=-2,key="谢渊·陶杰·减伤",},</v>
      </c>
      <c r="X78" s="36" t="str">
        <f t="shared" si="25"/>
        <v>{nClass=14,nIcon=13,szName="王遗风·吕沛杰·减伤",nTime=-2,key="王遗风·吕沛杰·减伤",},</v>
      </c>
      <c r="Y78" s="36" t="str">
        <f>"{nClass=14,nIcon=18829,nFrame=7,szName="""&amp;K78&amp;"·"&amp;""&amp;""&amp;L78&amp;"·退场·易伤30%"",nTime=10,nRefresh=5,key="""&amp;F78&amp;"·"&amp;L78&amp;""&amp;"·减伤"""&amp;",},"</f>
        <v>{nClass=14,nIcon=18829,nFrame=7,szName="浩气·陶杰·退场·易伤30%",nTime=10,nRefresh=5,key="谢渊·陶杰·减伤",},</v>
      </c>
      <c r="Z78" s="36" t="str">
        <f>"{nClass=14,nIcon=3445,nFrame=3,szName="""&amp;G78&amp;"·"&amp;""&amp;J78&amp;""&amp;"·减伤"""&amp;",nTime="""&amp;"300,"&amp;""&amp;J78&amp;"·"&amp;H78&amp;"·减伤3层;600,"&amp;""&amp;J78&amp;"·"&amp;H78&amp;"·减伤2层;900,"&amp;""&amp;J78&amp;"·"&amp;H78&amp;"·减伤1层;910,"&amp;""&amp;J78&amp;"·"&amp;H78&amp;"·减伤消失"""&amp;",nRefresh=5,key="""&amp;G78&amp;"·"&amp;""&amp;J78&amp;""&amp;"·减伤"""&amp;"},"</f>
        <v>{nClass=14,nIcon=3445,nFrame=3,szName="王遗风·吕沛杰·减伤",nTime="300,吕沛杰·炎狱山·减伤3层;600,吕沛杰·炎狱山·减伤2层;900,吕沛杰·炎狱山·减伤1层;910,吕沛杰·炎狱山·减伤消失",nRefresh=5,key="王遗风·吕沛杰·减伤"},</v>
      </c>
    </row>
    <row r="79" spans="1:38" s="36" customFormat="1" x14ac:dyDescent="0.15">
      <c r="C79" s="36" t="s">
        <v>1664</v>
      </c>
      <c r="D79" s="36" t="s">
        <v>1435</v>
      </c>
      <c r="E79" s="36" t="str">
        <f t="shared" si="26"/>
        <v>浩气·郑鸥·白骨陵园·败退</v>
      </c>
      <c r="F79" s="36" t="s">
        <v>1446</v>
      </c>
      <c r="G79" s="36" t="s">
        <v>1444</v>
      </c>
      <c r="H79" s="36" t="s">
        <v>1484</v>
      </c>
      <c r="I79" s="36" t="s">
        <v>1607</v>
      </c>
      <c r="J79" s="36" t="s">
        <v>1476</v>
      </c>
      <c r="K79" s="36" t="s">
        <v>1609</v>
      </c>
      <c r="L79" s="36" t="s">
        <v>1664</v>
      </c>
      <c r="M79" s="36" t="s">
        <v>1454</v>
      </c>
      <c r="N79" s="36">
        <v>1</v>
      </c>
      <c r="S79" s="36">
        <v>1</v>
      </c>
      <c r="V79" s="36" t="str">
        <f t="shared" si="23"/>
        <v>{szContent="罢了，青山不改，绿水长流，后会有期！",szTarget="郑鸥",szNote="浩气·郑鸥·白骨陵园·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79" s="36" t="str">
        <f t="shared" si="24"/>
        <v>{nClass=14,nIcon=13,szName="谢渊·郑鸥·减伤",nTime=-2,key="谢渊·郑鸥·减伤",},</v>
      </c>
      <c r="X79" s="36" t="str">
        <f t="shared" si="25"/>
        <v>{nClass=14,nIcon=13,szName="王遗风·陶国栋·减伤",nTime=-2,key="王遗风·陶国栋·减伤",},</v>
      </c>
      <c r="Y79" s="36" t="str">
        <f>"{nClass=14,nIcon=18829,nFrame=7,szName="""&amp;K79&amp;"·"&amp;""&amp;""&amp;L79&amp;"·退场·易伤30%"",nTime=10,nRefresh=5,key="""&amp;F79&amp;"·"&amp;L79&amp;""&amp;"·减伤"""&amp;",},"</f>
        <v>{nClass=14,nIcon=18829,nFrame=7,szName="浩气·郑鸥·退场·易伤30%",nTime=10,nRefresh=5,key="谢渊·郑鸥·减伤",},</v>
      </c>
      <c r="Z79" s="36" t="str">
        <f>"{nClass=14,nIcon=3445,nFrame=3,szName="""&amp;G79&amp;"·"&amp;""&amp;J79&amp;""&amp;"·减伤"""&amp;",nTime="""&amp;"300,"&amp;""&amp;J79&amp;"·"&amp;H79&amp;"·减伤3层;600,"&amp;""&amp;J79&amp;"·"&amp;H79&amp;"·减伤2层;900,"&amp;""&amp;J79&amp;"·"&amp;H79&amp;"·减伤1层;910,"&amp;""&amp;J79&amp;"·"&amp;H79&amp;"·减伤消失"""&amp;",nRefresh=5,key="""&amp;G79&amp;"·"&amp;""&amp;J79&amp;""&amp;"·减伤"""&amp;"},"</f>
        <v>{nClass=14,nIcon=3445,nFrame=3,szName="王遗风·陶国栋·减伤",nTime="300,陶国栋·白骨陵园·减伤3层;600,陶国栋·白骨陵园·减伤2层;900,陶国栋·白骨陵园·减伤1层;910,陶国栋·白骨陵园·减伤消失",nRefresh=5,key="王遗风·陶国栋·减伤"},</v>
      </c>
    </row>
    <row r="80" spans="1:38" s="36" customFormat="1" x14ac:dyDescent="0.15">
      <c r="C80" s="36" t="s">
        <v>1665</v>
      </c>
      <c r="D80" s="36" t="s">
        <v>1435</v>
      </c>
      <c r="E80" s="36" t="str">
        <f t="shared" si="26"/>
        <v>浩气·周峰·丐王坡·败退</v>
      </c>
      <c r="F80" s="36" t="s">
        <v>1446</v>
      </c>
      <c r="G80" s="36" t="s">
        <v>1444</v>
      </c>
      <c r="H80" s="36" t="s">
        <v>1485</v>
      </c>
      <c r="I80" s="36" t="s">
        <v>1607</v>
      </c>
      <c r="J80" s="36" t="s">
        <v>1477</v>
      </c>
      <c r="K80" s="36" t="s">
        <v>1609</v>
      </c>
      <c r="L80" s="36" t="s">
        <v>1665</v>
      </c>
      <c r="M80" s="36" t="s">
        <v>1454</v>
      </c>
      <c r="N80" s="36">
        <v>1</v>
      </c>
      <c r="S80" s="36">
        <v>1</v>
      </c>
      <c r="V80" s="36" t="str">
        <f t="shared" si="23"/>
        <v>{szContent="罢了，青山不改，绿水长流，后会有期！",szTarget="周峰",szNote="浩气·周峰·丐王坡·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0" s="36" t="str">
        <f t="shared" si="24"/>
        <v>{nClass=14,nIcon=13,szName="谢渊·周峰·减伤",nTime=-2,key="谢渊·周峰·减伤",},</v>
      </c>
      <c r="X80" s="36" t="str">
        <f t="shared" si="25"/>
        <v>{nClass=14,nIcon=13,szName="王遗风·张一洋·减伤",nTime=-2,key="王遗风·张一洋·减伤",},</v>
      </c>
      <c r="Y80" s="36" t="str">
        <f>"{nClass=14,nIcon=18829,nFrame=7,szName="""&amp;K80&amp;"·"&amp;""&amp;""&amp;L80&amp;"·退场·易伤30%"",nTime=10,nRefresh=5,key="""&amp;F80&amp;"·"&amp;L80&amp;""&amp;"·减伤"""&amp;",},"</f>
        <v>{nClass=14,nIcon=18829,nFrame=7,szName="浩气·周峰·退场·易伤30%",nTime=10,nRefresh=5,key="谢渊·周峰·减伤",},</v>
      </c>
      <c r="Z80" s="36" t="str">
        <f>"{nClass=14,nIcon=3445,nFrame=3,szName="""&amp;G80&amp;"·"&amp;""&amp;J80&amp;""&amp;"·减伤"""&amp;",nTime="""&amp;"300,"&amp;""&amp;J80&amp;"·"&amp;H80&amp;"·减伤3层;600,"&amp;""&amp;J80&amp;"·"&amp;H80&amp;"·减伤2层;900,"&amp;""&amp;J80&amp;"·"&amp;H80&amp;"·减伤1层;910,"&amp;""&amp;J80&amp;"·"&amp;H80&amp;"·减伤消失"""&amp;",nRefresh=5,key="""&amp;G80&amp;"·"&amp;""&amp;J80&amp;""&amp;"·减伤"""&amp;"},"</f>
        <v>{nClass=14,nIcon=3445,nFrame=3,szName="王遗风·张一洋·减伤",nTime="300,张一洋·丐王坡·减伤3层;600,张一洋·丐王坡·减伤2层;900,张一洋·丐王坡·减伤1层;910,张一洋·丐王坡·减伤消失",nRefresh=5,key="王遗风·张一洋·减伤"},</v>
      </c>
    </row>
    <row r="81" spans="1:38" x14ac:dyDescent="0.15">
      <c r="C81" t="s">
        <v>1444</v>
      </c>
      <c r="D81" t="s">
        <v>1442</v>
      </c>
      <c r="E81" s="36" t="str">
        <f t="shared" si="26"/>
        <v>恶人·顾延恶·平安客栈·败退</v>
      </c>
      <c r="F81" t="s">
        <v>1444</v>
      </c>
      <c r="G81" s="36" t="s">
        <v>1446</v>
      </c>
      <c r="H81" t="s">
        <v>1482</v>
      </c>
      <c r="I81" s="36" t="s">
        <v>1609</v>
      </c>
      <c r="J81" t="s">
        <v>1469</v>
      </c>
      <c r="K81" s="36" t="s">
        <v>1607</v>
      </c>
      <c r="L81" t="s">
        <v>1474</v>
      </c>
      <c r="M81" t="s">
        <v>1486</v>
      </c>
      <c r="Q81">
        <v>1</v>
      </c>
      <c r="S81" s="36">
        <v>1</v>
      </c>
      <c r="T81" s="36"/>
      <c r="V81" s="36" t="str">
        <f t="shared" si="23"/>
        <v>{szContent="顾延恶已经尽力，请暂且退回疗伤。",szTarget="王遗风",szNote="恶人·顾延恶·平安客栈·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81" s="36" t="str">
        <f t="shared" si="24"/>
        <v>{nClass=14,nIcon=13,szName="王遗风·顾延恶·减伤",nTime=-2,key="王遗风·顾延恶·减伤",},</v>
      </c>
      <c r="X81" s="36" t="str">
        <f t="shared" si="25"/>
        <v>{nClass=14,nIcon=13,szName="谢渊·谢烟客·减伤",nTime=-2,key="谢渊·谢烟客·减伤",},</v>
      </c>
      <c r="Y81" s="36" t="str">
        <f>"{nClass=14,nIcon=18830,nFrame=3,szName="""&amp;K81&amp;"·"&amp;""&amp;""&amp;L81&amp;"·退场·易伤30%"",nTime=10,nRefresh=5,key="""&amp;F81&amp;"·"&amp;L81&amp;""&amp;"·减伤"""&amp;",},"</f>
        <v>{nClass=14,nIcon=18830,nFrame=3,szName="恶人·顾延恶·退场·易伤30%",nTime=10,nRefresh=5,key="王遗风·顾延恶·减伤",},</v>
      </c>
      <c r="Z81" s="36" t="str">
        <f>"{nClass=14,nIcon=3444,nFrame=7,szName="""&amp;G81&amp;"·"&amp;""&amp;J81&amp;""&amp;"·减伤"""&amp;",nTime="""&amp;"300,"&amp;""&amp;J81&amp;"·"&amp;H81&amp;"·减伤3层;600,"&amp;""&amp;J81&amp;"·"&amp;H81&amp;"·减伤2层;900,"&amp;""&amp;J81&amp;"·"&amp;H81&amp;"·减伤1层;910,"&amp;""&amp;J81&amp;"·"&amp;H81&amp;"·减伤消失"""&amp;",nRefresh=5,key="""&amp;G81&amp;"·"&amp;""&amp;J81&amp;""&amp;"·减伤"""&amp;"},"</f>
        <v>{nClass=14,nIcon=3444,nFrame=7,szName="谢渊·谢烟客·减伤",nTime="300,谢烟客·平安客栈·减伤3层;600,谢烟客·平安客栈·减伤2层;900,谢烟客·平安客栈·减伤1层;910,谢烟客·平安客栈·减伤消失",nRefresh=5,key="谢渊·谢烟客·减伤"},</v>
      </c>
      <c r="AA81" s="39"/>
      <c r="AB81" s="36"/>
      <c r="AC81" s="36"/>
      <c r="AD81" s="36"/>
      <c r="AE81" s="36"/>
      <c r="AF81" s="36"/>
      <c r="AG81" s="36"/>
      <c r="AH81" s="36"/>
      <c r="AI81" s="36"/>
      <c r="AJ81" s="36"/>
      <c r="AK81" s="36"/>
      <c r="AL81" s="36"/>
    </row>
    <row r="82" spans="1:38" x14ac:dyDescent="0.15">
      <c r="C82" t="s">
        <v>1444</v>
      </c>
      <c r="D82" t="s">
        <v>1447</v>
      </c>
      <c r="E82" s="36" t="str">
        <f t="shared" si="26"/>
        <v>恶人·吕沛杰·炎狱山·败退</v>
      </c>
      <c r="F82" t="s">
        <v>1444</v>
      </c>
      <c r="G82" s="36" t="s">
        <v>1446</v>
      </c>
      <c r="H82" t="s">
        <v>1483</v>
      </c>
      <c r="I82" s="36" t="s">
        <v>1609</v>
      </c>
      <c r="J82" t="s">
        <v>1471</v>
      </c>
      <c r="K82" s="36" t="s">
        <v>1607</v>
      </c>
      <c r="L82" t="s">
        <v>1475</v>
      </c>
      <c r="M82" t="s">
        <v>1486</v>
      </c>
      <c r="Q82" s="36">
        <v>1</v>
      </c>
      <c r="S82" s="36">
        <v>1</v>
      </c>
      <c r="T82" s="36"/>
      <c r="V82" s="36" t="str">
        <f t="shared" si="23"/>
        <v>{szContent="吕沛杰已经尽力，请暂且退回疗伤。",szTarget="王遗风",szNote="恶人·吕沛杰·炎狱山·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2" s="36" t="str">
        <f t="shared" si="24"/>
        <v>{nClass=14,nIcon=13,szName="王遗风·吕沛杰·减伤",nTime=-2,key="王遗风·吕沛杰·减伤",},</v>
      </c>
      <c r="X82" s="36" t="str">
        <f t="shared" si="25"/>
        <v>{nClass=14,nIcon=13,szName="谢渊·陶杰·减伤",nTime=-2,key="谢渊·陶杰·减伤",},</v>
      </c>
      <c r="Y82" s="36" t="str">
        <f>"{nClass=14,nIcon=18830,nFrame=3,szName="""&amp;K82&amp;"·"&amp;""&amp;""&amp;L82&amp;"·退场·易伤30%"",nTime=10,nRefresh=5,key="""&amp;F82&amp;"·"&amp;L82&amp;""&amp;"·减伤"""&amp;",},"</f>
        <v>{nClass=14,nIcon=18830,nFrame=3,szName="恶人·吕沛杰·退场·易伤30%",nTime=10,nRefresh=5,key="王遗风·吕沛杰·减伤",},</v>
      </c>
      <c r="Z82" s="36" t="str">
        <f>"{nClass=14,nIcon=3444,nFrame=7,szName="""&amp;G82&amp;"·"&amp;""&amp;J82&amp;""&amp;"·减伤"""&amp;",nTime="""&amp;"300,"&amp;""&amp;J82&amp;"·"&amp;H82&amp;"·减伤3层;600,"&amp;""&amp;J82&amp;"·"&amp;H82&amp;"·减伤2层;900,"&amp;""&amp;J82&amp;"·"&amp;H82&amp;"·减伤1层;910,"&amp;""&amp;J82&amp;"·"&amp;H82&amp;"·减伤消失"""&amp;",nRefresh=5,key="""&amp;G82&amp;"·"&amp;""&amp;J82&amp;""&amp;"·减伤"""&amp;"},"</f>
        <v>{nClass=14,nIcon=3444,nFrame=7,szName="谢渊·陶杰·减伤",nTime="300,陶杰·炎狱山·减伤3层;600,陶杰·炎狱山·减伤2层;900,陶杰·炎狱山·减伤1层;910,陶杰·炎狱山·减伤消失",nRefresh=5,key="谢渊·陶杰·减伤"},</v>
      </c>
      <c r="AA82" s="39"/>
      <c r="AB82" s="36"/>
      <c r="AC82" s="36"/>
      <c r="AD82" s="36"/>
      <c r="AE82" s="36"/>
      <c r="AF82" s="36"/>
      <c r="AG82" s="36"/>
      <c r="AH82" s="36"/>
      <c r="AI82" s="36"/>
      <c r="AJ82" s="36"/>
      <c r="AK82" s="36"/>
      <c r="AL82" s="36"/>
    </row>
    <row r="83" spans="1:38" x14ac:dyDescent="0.15">
      <c r="C83" t="s">
        <v>1444</v>
      </c>
      <c r="D83" t="s">
        <v>1448</v>
      </c>
      <c r="E83" s="36" t="str">
        <f t="shared" si="26"/>
        <v>恶人·陶国栋·白骨陵园·败退</v>
      </c>
      <c r="F83" t="s">
        <v>1444</v>
      </c>
      <c r="G83" s="36" t="s">
        <v>1446</v>
      </c>
      <c r="H83" t="s">
        <v>1484</v>
      </c>
      <c r="I83" s="36" t="s">
        <v>1609</v>
      </c>
      <c r="J83" t="s">
        <v>1472</v>
      </c>
      <c r="K83" s="36" t="s">
        <v>1607</v>
      </c>
      <c r="L83" t="s">
        <v>1476</v>
      </c>
      <c r="M83" t="s">
        <v>1486</v>
      </c>
      <c r="Q83" s="36">
        <v>1</v>
      </c>
      <c r="S83" s="36">
        <v>1</v>
      </c>
      <c r="T83" s="36"/>
      <c r="V83" s="36" t="str">
        <f t="shared" si="23"/>
        <v>{szContent="陶国栋已经尽力，请暂且退回疗伤。",szTarget="王遗风",szNote="恶人·陶国栋·白骨陵园·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3" s="36" t="str">
        <f t="shared" si="24"/>
        <v>{nClass=14,nIcon=13,szName="王遗风·陶国栋·减伤",nTime=-2,key="王遗风·陶国栋·减伤",},</v>
      </c>
      <c r="X83" s="36" t="str">
        <f t="shared" si="25"/>
        <v>{nClass=14,nIcon=13,szName="谢渊·郑鸥·减伤",nTime=-2,key="谢渊·郑鸥·减伤",},</v>
      </c>
      <c r="Y83" s="36" t="str">
        <f>"{nClass=14,nIcon=18830,nFrame=3,szName="""&amp;K83&amp;"·"&amp;""&amp;""&amp;L83&amp;"·退场·易伤30%"",nTime=10,nRefresh=5,key="""&amp;F83&amp;"·"&amp;L83&amp;""&amp;"·减伤"""&amp;",},"</f>
        <v>{nClass=14,nIcon=18830,nFrame=3,szName="恶人·陶国栋·退场·易伤30%",nTime=10,nRefresh=5,key="王遗风·陶国栋·减伤",},</v>
      </c>
      <c r="Z83" s="36" t="str">
        <f>"{nClass=14,nIcon=3444,nFrame=7,szName="""&amp;G83&amp;"·"&amp;""&amp;J83&amp;""&amp;"·减伤"""&amp;",nTime="""&amp;"300,"&amp;""&amp;J83&amp;"·"&amp;H83&amp;"·减伤3层;600,"&amp;""&amp;J83&amp;"·"&amp;H83&amp;"·减伤2层;900,"&amp;""&amp;J83&amp;"·"&amp;H83&amp;"·减伤1层;910,"&amp;""&amp;J83&amp;"·"&amp;H83&amp;"·减伤消失"""&amp;",nRefresh=5,key="""&amp;G83&amp;"·"&amp;""&amp;J83&amp;""&amp;"·减伤"""&amp;"},"</f>
        <v>{nClass=14,nIcon=3444,nFrame=7,szName="谢渊·郑鸥·减伤",nTime="300,郑鸥·白骨陵园·减伤3层;600,郑鸥·白骨陵园·减伤2层;900,郑鸥·白骨陵园·减伤1层;910,郑鸥·白骨陵园·减伤消失",nRefresh=5,key="谢渊·郑鸥·减伤"},</v>
      </c>
      <c r="AA83" s="39"/>
      <c r="AB83" s="36"/>
      <c r="AC83" s="36"/>
      <c r="AD83" s="36"/>
      <c r="AE83" s="36"/>
      <c r="AF83" s="36"/>
      <c r="AG83" s="36"/>
      <c r="AH83" s="36"/>
      <c r="AI83" s="36"/>
      <c r="AJ83" s="36"/>
      <c r="AK83" s="36"/>
      <c r="AL83" s="36"/>
    </row>
    <row r="84" spans="1:38" x14ac:dyDescent="0.15">
      <c r="C84" t="s">
        <v>1444</v>
      </c>
      <c r="D84" t="s">
        <v>1449</v>
      </c>
      <c r="E84" s="36" t="str">
        <f t="shared" si="26"/>
        <v>恶人·张一洋·丐王坡·败退</v>
      </c>
      <c r="F84" t="s">
        <v>1444</v>
      </c>
      <c r="G84" s="36" t="s">
        <v>1446</v>
      </c>
      <c r="H84" t="s">
        <v>1485</v>
      </c>
      <c r="I84" s="36" t="s">
        <v>1609</v>
      </c>
      <c r="J84" t="s">
        <v>1473</v>
      </c>
      <c r="K84" s="36" t="s">
        <v>1607</v>
      </c>
      <c r="L84" t="s">
        <v>1477</v>
      </c>
      <c r="M84" t="s">
        <v>1486</v>
      </c>
      <c r="Q84" s="36">
        <v>1</v>
      </c>
      <c r="S84" s="36">
        <v>1</v>
      </c>
      <c r="T84" s="36"/>
      <c r="V84" s="36" t="str">
        <f t="shared" si="23"/>
        <v>{szContent="张一洋已经尽力，请暂且退回疗伤。",szTarget="王遗风",szNote="恶人·张一洋·丐王坡·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84" s="36" t="str">
        <f t="shared" si="24"/>
        <v>{nClass=14,nIcon=13,szName="王遗风·张一洋·减伤",nTime=-2,key="王遗风·张一洋·减伤",},</v>
      </c>
      <c r="X84" s="36" t="str">
        <f t="shared" si="25"/>
        <v>{nClass=14,nIcon=13,szName="谢渊·周峰·减伤",nTime=-2,key="谢渊·周峰·减伤",},</v>
      </c>
      <c r="Y84" s="36" t="str">
        <f>"{nClass=14,nIcon=18830,nFrame=3,szName="""&amp;K84&amp;"·"&amp;""&amp;""&amp;L84&amp;"·退场·易伤30%"",nTime=10,nRefresh=5,key="""&amp;F84&amp;"·"&amp;L84&amp;""&amp;"·减伤"""&amp;",},"</f>
        <v>{nClass=14,nIcon=18830,nFrame=3,szName="恶人·张一洋·退场·易伤30%",nTime=10,nRefresh=5,key="王遗风·张一洋·减伤",},</v>
      </c>
      <c r="Z84" s="36" t="str">
        <f>"{nClass=14,nIcon=3444,nFrame=7,szName="""&amp;G84&amp;"·"&amp;""&amp;J84&amp;""&amp;"·减伤"""&amp;",nTime="""&amp;"300,"&amp;""&amp;J84&amp;"·"&amp;H84&amp;"·减伤3层;600,"&amp;""&amp;J84&amp;"·"&amp;H84&amp;"·减伤2层;900,"&amp;""&amp;J84&amp;"·"&amp;H84&amp;"·减伤1层;910,"&amp;""&amp;J84&amp;"·"&amp;H84&amp;"·减伤消失"""&amp;",nRefresh=5,key="""&amp;G84&amp;"·"&amp;""&amp;J84&amp;""&amp;"·减伤"""&amp;"},"</f>
        <v>{nClass=14,nIcon=3444,nFrame=7,szName="谢渊·周峰·减伤",nTime="300,周峰·丐王坡·减伤3层;600,周峰·丐王坡·减伤2层;900,周峰·丐王坡·减伤1层;910,周峰·丐王坡·减伤消失",nRefresh=5,key="谢渊·周峰·减伤"},</v>
      </c>
      <c r="AA84" s="39"/>
      <c r="AB84" s="36"/>
      <c r="AC84" s="36"/>
      <c r="AD84" s="36"/>
      <c r="AE84" s="36"/>
      <c r="AF84" s="36"/>
      <c r="AG84" s="36"/>
      <c r="AH84" s="36"/>
      <c r="AI84" s="36"/>
      <c r="AJ84" s="36"/>
      <c r="AK84" s="36"/>
      <c r="AL84" s="36"/>
    </row>
    <row r="85" spans="1:38" x14ac:dyDescent="0.15">
      <c r="C85" t="s">
        <v>1446</v>
      </c>
      <c r="D85" t="s">
        <v>1450</v>
      </c>
      <c r="E85" s="36" t="str">
        <f t="shared" si="26"/>
        <v>浩气·谢烟客·平安客栈·败退</v>
      </c>
      <c r="F85" t="s">
        <v>1446</v>
      </c>
      <c r="G85" s="36" t="s">
        <v>1444</v>
      </c>
      <c r="H85" t="s">
        <v>1482</v>
      </c>
      <c r="I85" s="36" t="s">
        <v>1607</v>
      </c>
      <c r="J85" t="s">
        <v>1474</v>
      </c>
      <c r="K85" s="36" t="s">
        <v>1609</v>
      </c>
      <c r="L85" t="s">
        <v>1469</v>
      </c>
      <c r="M85" t="s">
        <v>1454</v>
      </c>
      <c r="Q85" s="36">
        <v>1</v>
      </c>
      <c r="S85" s="36">
        <v>1</v>
      </c>
      <c r="T85" s="36"/>
      <c r="V85" s="36" t="str">
        <f t="shared" si="23"/>
        <v>{szContent="谢烟客已经尽力，请暂且退回疗伤。",szTarget="谢渊",szNote="浩气·谢烟客·平安客栈·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85" s="36" t="str">
        <f t="shared" si="24"/>
        <v>{nClass=14,nIcon=13,szName="谢渊·谢烟客·减伤",nTime=-2,key="谢渊·谢烟客·减伤",},</v>
      </c>
      <c r="X85" s="36" t="str">
        <f t="shared" si="25"/>
        <v>{nClass=14,nIcon=13,szName="王遗风·顾延恶·减伤",nTime=-2,key="王遗风·顾延恶·减伤",},</v>
      </c>
      <c r="Y85" s="36" t="str">
        <f>"{nClass=14,nIcon=18829,nFrame=7,szName="""&amp;K85&amp;"·"&amp;""&amp;""&amp;L85&amp;"·退场·易伤30%"",nTime=10,nRefresh=5,key="""&amp;F85&amp;"·"&amp;L85&amp;""&amp;"·减伤"""&amp;",},"</f>
        <v>{nClass=14,nIcon=18829,nFrame=7,szName="浩气·谢烟客·退场·易伤30%",nTime=10,nRefresh=5,key="谢渊·谢烟客·减伤",},</v>
      </c>
      <c r="Z85" s="36" t="str">
        <f>"{nClass=14,nIcon=3445,nFrame=3,szName="""&amp;G85&amp;"·"&amp;""&amp;J85&amp;""&amp;"·减伤"""&amp;",nTime="""&amp;"300,"&amp;""&amp;J85&amp;"·"&amp;H85&amp;"·减伤3层;600,"&amp;""&amp;J85&amp;"·"&amp;H85&amp;"·减伤2层;900,"&amp;""&amp;J85&amp;"·"&amp;H85&amp;"·减伤1层;910,"&amp;""&amp;J85&amp;"·"&amp;H85&amp;"·减伤消失"""&amp;",nRefresh=5,key="""&amp;G85&amp;"·"&amp;""&amp;J85&amp;""&amp;"·减伤"""&amp;"},"</f>
        <v>{nClass=14,nIcon=3445,nFrame=3,szName="王遗风·顾延恶·减伤",nTime="300,顾延恶·平安客栈·减伤3层;600,顾延恶·平安客栈·减伤2层;900,顾延恶·平安客栈·减伤1层;910,顾延恶·平安客栈·减伤消失",nRefresh=5,key="王遗风·顾延恶·减伤"},</v>
      </c>
      <c r="AA85" s="39"/>
      <c r="AB85" s="36"/>
      <c r="AC85" s="36"/>
      <c r="AD85" s="36"/>
      <c r="AE85" s="36"/>
      <c r="AF85" s="36"/>
      <c r="AG85" s="36"/>
      <c r="AH85" s="36"/>
      <c r="AI85" s="36"/>
      <c r="AJ85" s="36"/>
      <c r="AK85" s="36"/>
      <c r="AL85" s="36"/>
    </row>
    <row r="86" spans="1:38" x14ac:dyDescent="0.15">
      <c r="C86" t="s">
        <v>1446</v>
      </c>
      <c r="D86" t="s">
        <v>1451</v>
      </c>
      <c r="E86" s="36" t="str">
        <f t="shared" si="26"/>
        <v>浩气·陶杰·炎狱山·败退</v>
      </c>
      <c r="F86" t="s">
        <v>1446</v>
      </c>
      <c r="G86" s="36" t="s">
        <v>1444</v>
      </c>
      <c r="H86" t="s">
        <v>1483</v>
      </c>
      <c r="I86" s="36" t="s">
        <v>1607</v>
      </c>
      <c r="J86" t="s">
        <v>1475</v>
      </c>
      <c r="K86" s="36" t="s">
        <v>1609</v>
      </c>
      <c r="L86" t="s">
        <v>1663</v>
      </c>
      <c r="M86" t="s">
        <v>1454</v>
      </c>
      <c r="Q86" s="36">
        <v>1</v>
      </c>
      <c r="S86" s="36">
        <v>1</v>
      </c>
      <c r="T86" s="36"/>
      <c r="V86" s="36" t="str">
        <f t="shared" si="23"/>
        <v>{szContent="陶杰已经尽力，请暂且退回疗伤。",szTarget="谢渊",szNote="浩气·陶杰·炎狱山·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86" s="36" t="str">
        <f t="shared" si="24"/>
        <v>{nClass=14,nIcon=13,szName="谢渊·陶杰·减伤",nTime=-2,key="谢渊·陶杰·减伤",},</v>
      </c>
      <c r="X86" s="36" t="str">
        <f t="shared" si="25"/>
        <v>{nClass=14,nIcon=13,szName="王遗风·吕沛杰·减伤",nTime=-2,key="王遗风·吕沛杰·减伤",},</v>
      </c>
      <c r="Y86" s="36" t="str">
        <f>"{nClass=14,nIcon=18829,nFrame=7,szName="""&amp;K86&amp;"·"&amp;""&amp;""&amp;L86&amp;"·退场·易伤30%"",nTime=10,nRefresh=5,key="""&amp;F86&amp;"·"&amp;L86&amp;""&amp;"·减伤"""&amp;",},"</f>
        <v>{nClass=14,nIcon=18829,nFrame=7,szName="浩气·陶杰·退场·易伤30%",nTime=10,nRefresh=5,key="谢渊·陶杰·减伤",},</v>
      </c>
      <c r="Z86" s="36" t="str">
        <f>"{nClass=14,nIcon=3445,nFrame=3,szName="""&amp;G86&amp;"·"&amp;""&amp;J86&amp;""&amp;"·减伤"""&amp;",nTime="""&amp;"300,"&amp;""&amp;J86&amp;"·"&amp;H86&amp;"·减伤3层;600,"&amp;""&amp;J86&amp;"·"&amp;H86&amp;"·减伤2层;900,"&amp;""&amp;J86&amp;"·"&amp;H86&amp;"·减伤1层;910,"&amp;""&amp;J86&amp;"·"&amp;H86&amp;"·减伤消失"""&amp;",nRefresh=5,key="""&amp;G86&amp;"·"&amp;""&amp;J86&amp;""&amp;"·减伤"""&amp;"},"</f>
        <v>{nClass=14,nIcon=3445,nFrame=3,szName="王遗风·吕沛杰·减伤",nTime="300,吕沛杰·炎狱山·减伤3层;600,吕沛杰·炎狱山·减伤2层;900,吕沛杰·炎狱山·减伤1层;910,吕沛杰·炎狱山·减伤消失",nRefresh=5,key="王遗风·吕沛杰·减伤"},</v>
      </c>
      <c r="AA86" s="39"/>
      <c r="AB86" s="36"/>
      <c r="AC86" s="36"/>
      <c r="AD86" s="36"/>
      <c r="AE86" s="36"/>
      <c r="AF86" s="36"/>
      <c r="AG86" s="36"/>
      <c r="AH86" s="36"/>
      <c r="AI86" s="36"/>
      <c r="AJ86" s="36"/>
      <c r="AK86" s="36"/>
      <c r="AL86" s="36"/>
    </row>
    <row r="87" spans="1:38" x14ac:dyDescent="0.15">
      <c r="C87" t="s">
        <v>1446</v>
      </c>
      <c r="D87" t="s">
        <v>1452</v>
      </c>
      <c r="E87" s="36" t="str">
        <f t="shared" si="26"/>
        <v>浩气·郑鸥·白骨陵园·败退</v>
      </c>
      <c r="F87" t="s">
        <v>1446</v>
      </c>
      <c r="G87" s="36" t="s">
        <v>1444</v>
      </c>
      <c r="H87" t="s">
        <v>1484</v>
      </c>
      <c r="I87" s="36" t="s">
        <v>1607</v>
      </c>
      <c r="J87" t="s">
        <v>1476</v>
      </c>
      <c r="K87" s="36" t="s">
        <v>1609</v>
      </c>
      <c r="L87" t="s">
        <v>1664</v>
      </c>
      <c r="M87" t="s">
        <v>1454</v>
      </c>
      <c r="Q87" s="36">
        <v>1</v>
      </c>
      <c r="S87" s="36">
        <v>1</v>
      </c>
      <c r="T87" s="36"/>
      <c r="V87" s="36" t="str">
        <f t="shared" si="23"/>
        <v>{szContent="郑鸥已经尽力，请暂且退回疗伤。",szTarget="谢渊",szNote="浩气·郑鸥·白骨陵园·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7" s="36" t="str">
        <f t="shared" si="24"/>
        <v>{nClass=14,nIcon=13,szName="谢渊·郑鸥·减伤",nTime=-2,key="谢渊·郑鸥·减伤",},</v>
      </c>
      <c r="X87" s="36" t="str">
        <f t="shared" si="25"/>
        <v>{nClass=14,nIcon=13,szName="王遗风·陶国栋·减伤",nTime=-2,key="王遗风·陶国栋·减伤",},</v>
      </c>
      <c r="Y87" s="36" t="str">
        <f>"{nClass=14,nIcon=18829,nFrame=7,szName="""&amp;K87&amp;"·"&amp;""&amp;""&amp;L87&amp;"·退场·易伤30%"",nTime=10,nRefresh=5,key="""&amp;F87&amp;"·"&amp;L87&amp;""&amp;"·减伤"""&amp;",},"</f>
        <v>{nClass=14,nIcon=18829,nFrame=7,szName="浩气·郑鸥·退场·易伤30%",nTime=10,nRefresh=5,key="谢渊·郑鸥·减伤",},</v>
      </c>
      <c r="Z87" s="36" t="str">
        <f>"{nClass=14,nIcon=3445,nFrame=3,szName="""&amp;G87&amp;"·"&amp;""&amp;J87&amp;""&amp;"·减伤"""&amp;",nTime="""&amp;"300,"&amp;""&amp;J87&amp;"·"&amp;H87&amp;"·减伤3层;600,"&amp;""&amp;J87&amp;"·"&amp;H87&amp;"·减伤2层;900,"&amp;""&amp;J87&amp;"·"&amp;H87&amp;"·减伤1层;910,"&amp;""&amp;J87&amp;"·"&amp;H87&amp;"·减伤消失"""&amp;",nRefresh=5,key="""&amp;G87&amp;"·"&amp;""&amp;J87&amp;""&amp;"·减伤"""&amp;"},"</f>
        <v>{nClass=14,nIcon=3445,nFrame=3,szName="王遗风·陶国栋·减伤",nTime="300,陶国栋·白骨陵园·减伤3层;600,陶国栋·白骨陵园·减伤2层;900,陶国栋·白骨陵园·减伤1层;910,陶国栋·白骨陵园·减伤消失",nRefresh=5,key="王遗风·陶国栋·减伤"},</v>
      </c>
      <c r="AA87" s="39"/>
      <c r="AB87" s="36"/>
      <c r="AC87" s="36"/>
      <c r="AD87" s="36"/>
      <c r="AE87" s="36"/>
      <c r="AF87" s="36"/>
      <c r="AG87" s="36"/>
      <c r="AH87" s="36"/>
      <c r="AI87" s="36"/>
      <c r="AJ87" s="36"/>
      <c r="AK87" s="36"/>
      <c r="AL87" s="36"/>
    </row>
    <row r="88" spans="1:38" x14ac:dyDescent="0.15">
      <c r="C88" t="s">
        <v>1446</v>
      </c>
      <c r="D88" t="s">
        <v>1453</v>
      </c>
      <c r="E88" s="36" t="str">
        <f t="shared" si="26"/>
        <v>浩气·周峰·丐王坡·败退</v>
      </c>
      <c r="F88" t="s">
        <v>1446</v>
      </c>
      <c r="G88" s="36" t="s">
        <v>1444</v>
      </c>
      <c r="H88" t="s">
        <v>1485</v>
      </c>
      <c r="I88" s="36" t="s">
        <v>1607</v>
      </c>
      <c r="J88" t="s">
        <v>1477</v>
      </c>
      <c r="K88" s="36" t="s">
        <v>1609</v>
      </c>
      <c r="L88" t="s">
        <v>1665</v>
      </c>
      <c r="M88" t="s">
        <v>1454</v>
      </c>
      <c r="Q88" s="36">
        <v>1</v>
      </c>
      <c r="S88" s="36">
        <v>1</v>
      </c>
      <c r="T88" s="36"/>
      <c r="V88" s="36" t="str">
        <f t="shared" si="23"/>
        <v>{szContent="周峰已经尽力，请暂且退回疗伤。",szTarget="谢渊",szNote="浩气·周峰·丐王坡·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8" s="36" t="str">
        <f t="shared" si="24"/>
        <v>{nClass=14,nIcon=13,szName="谢渊·周峰·减伤",nTime=-2,key="谢渊·周峰·减伤",},</v>
      </c>
      <c r="X88" s="36" t="str">
        <f t="shared" si="25"/>
        <v>{nClass=14,nIcon=13,szName="王遗风·张一洋·减伤",nTime=-2,key="王遗风·张一洋·减伤",},</v>
      </c>
      <c r="Y88" s="36" t="str">
        <f>"{nClass=14,nIcon=18829,nFrame=7,szName="""&amp;K88&amp;"·"&amp;""&amp;""&amp;L88&amp;"·退场·易伤30%"",nTime=10,nRefresh=5,key="""&amp;F88&amp;"·"&amp;L88&amp;""&amp;"·减伤"""&amp;",},"</f>
        <v>{nClass=14,nIcon=18829,nFrame=7,szName="浩气·周峰·退场·易伤30%",nTime=10,nRefresh=5,key="谢渊·周峰·减伤",},</v>
      </c>
      <c r="Z88" s="36" t="str">
        <f>"{nClass=14,nIcon=3445,nFrame=3,szName="""&amp;G88&amp;"·"&amp;""&amp;J88&amp;""&amp;"·减伤"""&amp;",nTime="""&amp;"300,"&amp;""&amp;J88&amp;"·"&amp;H88&amp;"·减伤3层;600,"&amp;""&amp;J88&amp;"·"&amp;H88&amp;"·减伤2层;900,"&amp;""&amp;J88&amp;"·"&amp;H88&amp;"·减伤1层;910,"&amp;""&amp;J88&amp;"·"&amp;H88&amp;"·减伤消失"""&amp;",nRefresh=5,key="""&amp;G88&amp;"·"&amp;""&amp;J88&amp;""&amp;"·减伤"""&amp;"},"</f>
        <v>{nClass=14,nIcon=3445,nFrame=3,szName="王遗风·张一洋·减伤",nTime="300,张一洋·丐王坡·减伤3层;600,张一洋·丐王坡·减伤2层;900,张一洋·丐王坡·减伤1层;910,张一洋·丐王坡·减伤消失",nRefresh=5,key="王遗风·张一洋·减伤"},</v>
      </c>
      <c r="AA88" s="39"/>
      <c r="AB88" s="36"/>
      <c r="AC88" s="36"/>
      <c r="AD88" s="36"/>
      <c r="AE88" s="36"/>
      <c r="AF88" s="36"/>
      <c r="AG88" s="36"/>
      <c r="AH88" s="36"/>
      <c r="AI88" s="36"/>
      <c r="AJ88" s="36"/>
      <c r="AK88" s="36"/>
      <c r="AL88" s="36"/>
    </row>
    <row r="89" spans="1:38" s="36" customFormat="1" x14ac:dyDescent="0.15">
      <c r="C89" s="36" t="s">
        <v>2188</v>
      </c>
      <c r="D89" s="43" t="s">
        <v>2526</v>
      </c>
      <c r="E89" s="36" t="s">
        <v>2522</v>
      </c>
      <c r="M89" s="36" t="s">
        <v>1565</v>
      </c>
      <c r="V89" s="36" t="str">
        <f t="shared" si="23"/>
        <v>{szContent="军情速递！恶人谷物资官传来消息，现有一批新物资运至各复活点，望恶人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89" s="36" t="s">
        <v>2523</v>
      </c>
      <c r="X89" s="36" t="s">
        <v>2643</v>
      </c>
      <c r="AA89" s="39"/>
    </row>
    <row r="90" spans="1:38" s="36" customFormat="1" x14ac:dyDescent="0.15">
      <c r="C90" s="36" t="s">
        <v>2188</v>
      </c>
      <c r="D90" s="43" t="s">
        <v>2519</v>
      </c>
      <c r="E90" s="36" t="s">
        <v>2517</v>
      </c>
      <c r="M90" s="36" t="s">
        <v>1438</v>
      </c>
      <c r="V90" s="36" t="str">
        <f t="shared" si="23"/>
        <v>{szContent="军情速递！恶人谷物资车已运达，车内装有大量物资，望侠士们前来拾取，切莫错过。",szTarget="%",szNote="恶人谷·物资车·已运达",col={255,100,100,},[14]={},tCountdown={{nClass=14,nIcon=10450,nFrame=4,szName="恶人谷·内城物资·刷新",nTime="10,恶人谷·内城物资·刷新;300,恶人谷·内城物资·拾取剩余;305,恶人谷·内城物资·已消失",nRefresh=0,key="恶人·物资车·运达",},},},</v>
      </c>
      <c r="W90" s="36" t="s">
        <v>2527</v>
      </c>
      <c r="AA90" s="39"/>
    </row>
    <row r="91" spans="1:38" s="36" customFormat="1" x14ac:dyDescent="0.15">
      <c r="C91" s="36" t="s">
        <v>2188</v>
      </c>
      <c r="D91" s="43" t="s">
        <v>2520</v>
      </c>
      <c r="E91" s="36" t="s">
        <v>2518</v>
      </c>
      <c r="M91" s="36" t="s">
        <v>1565</v>
      </c>
      <c r="V91" s="36" t="str">
        <f t="shared" si="23"/>
        <v>{szContent="军情速递！浩气盟物资车已运达，车内装有大量物资，望侠士们前来拾取，切莫错过。",szTarget="%",szNote="浩气盟·物资车·已运达",col={100,100,255,},[14]={},tCountdown={{nClass=14,nIcon=10449,nFrame=4,szName="浩气盟·营地物资·刷新",nTime="10,浩气盟·营地物资·刷新;300,浩气盟·营地物资·拾取剩余;305,浩气盟·营地物资·已消失",nRefresh=0,key="浩气·物资车·运达",},},},</v>
      </c>
      <c r="W91" s="36" t="s">
        <v>2528</v>
      </c>
      <c r="AA91" s="39"/>
    </row>
    <row r="92" spans="1:38" s="36" customFormat="1" x14ac:dyDescent="0.15">
      <c r="A92" s="36" t="s">
        <v>2690</v>
      </c>
      <c r="B92" s="36">
        <v>-21</v>
      </c>
      <c r="V92" s="36" t="str">
        <f t="shared" si="23"/>
        <v>},[-21]={</v>
      </c>
    </row>
    <row r="93" spans="1:38" s="36" customFormat="1" x14ac:dyDescent="0.15">
      <c r="D93" s="36" t="s">
        <v>1673</v>
      </c>
      <c r="M93" s="36" t="s">
        <v>1438</v>
      </c>
      <c r="V93" s="36" t="str">
        <f t="shared" si="23"/>
        <v>{szContent="分流活动已开启，大侠可以前往龙门荒漠接取阵营攻防前置任务",col={255,100,100,},[14]={},tCountdown={{nClass=14,nIcon=3536,nFrame=3,szName="龙门·攻防前置分流",nTime=30,nRefresh=1800,key="分流活动",},},},</v>
      </c>
      <c r="W93" s="36" t="s">
        <v>2192</v>
      </c>
    </row>
    <row r="94" spans="1:38" s="36" customFormat="1" x14ac:dyDescent="0.15">
      <c r="D94" s="36" t="s">
        <v>1672</v>
      </c>
      <c r="M94" s="36" t="s">
        <v>1565</v>
      </c>
      <c r="V94" s="36" t="str">
        <f t="shared" si="23"/>
        <v>{szContent="分流活动已开启，大侠可以前往巴陵县接取阵营攻防前置任务",col={100,100,255,},[14]={},tCountdown={{nClass=14,nIcon=3536,nFrame=7,szName="巴陵·攻防前置分流",nTime=30,nRefresh=1800,key="分流活动",},},},</v>
      </c>
      <c r="W94" s="36" t="s">
        <v>2193</v>
      </c>
    </row>
    <row r="95" spans="1:38" s="36" customFormat="1" x14ac:dyDescent="0.15">
      <c r="A95" s="36" t="s">
        <v>1923</v>
      </c>
      <c r="B95" s="36">
        <v>-2</v>
      </c>
      <c r="V95" s="36" t="str">
        <f t="shared" si="23"/>
        <v>},[-2]={</v>
      </c>
    </row>
    <row r="96" spans="1:38" s="36" customFormat="1" x14ac:dyDescent="0.15">
      <c r="D96" s="36" t="s">
        <v>1673</v>
      </c>
      <c r="M96" s="36" t="s">
        <v>1438</v>
      </c>
      <c r="V96" s="36" t="str">
        <f t="shared" si="23"/>
        <v>{szContent="分流活动已开启，大侠可以前往龙门荒漠接取阵营攻防前置任务",col={255,100,100,},[14]={},tCountdown={{nClass=14,nIcon=3536,nFrame=3,szName="龙门·攻防前置分流",nTime=30,nRefresh=1800,key="分流活动",},},},</v>
      </c>
      <c r="W96" s="36" t="s">
        <v>2192</v>
      </c>
    </row>
    <row r="97" spans="1:27" s="36" customFormat="1" x14ac:dyDescent="0.15">
      <c r="D97" s="36" t="s">
        <v>1672</v>
      </c>
      <c r="M97" s="36" t="s">
        <v>1565</v>
      </c>
      <c r="V97" s="36" t="str">
        <f t="shared" si="23"/>
        <v>{szContent="分流活动已开启，大侠可以前往巴陵县接取阵营攻防前置任务",col={100,100,255,},[14]={},tCountdown={{nClass=14,nIcon=3536,nFrame=7,szName="巴陵·攻防前置分流",nTime=30,nRefresh=1800,key="分流活动",},},},</v>
      </c>
      <c r="W97" s="36" t="s">
        <v>2193</v>
      </c>
    </row>
    <row r="98" spans="1:27" x14ac:dyDescent="0.15">
      <c r="A98" t="s">
        <v>1529</v>
      </c>
      <c r="B98">
        <v>-7</v>
      </c>
      <c r="T98" s="36"/>
      <c r="V98" s="36" t="str">
        <f t="shared" si="23"/>
        <v>},[-7]={</v>
      </c>
    </row>
    <row r="99" spans="1:27" s="36" customFormat="1" x14ac:dyDescent="0.15">
      <c r="D99" s="36" t="s">
        <v>1673</v>
      </c>
      <c r="M99" s="36" t="s">
        <v>1438</v>
      </c>
      <c r="V99" s="36" t="str">
        <f t="shared" si="23"/>
        <v>{szContent="分流活动已开启，大侠可以前往龙门荒漠接取阵营攻防前置任务",col={255,100,100,},[14]={},tCountdown={{nClass=14,nIcon=3536,nFrame=3,szName="龙门·攻防前置分流",nTime=30,nRefresh=1800,key="分流活动",},},},</v>
      </c>
      <c r="W99" s="36" t="s">
        <v>2192</v>
      </c>
    </row>
    <row r="100" spans="1:27" s="36" customFormat="1" x14ac:dyDescent="0.15">
      <c r="D100" s="36" t="s">
        <v>1672</v>
      </c>
      <c r="M100" s="36" t="s">
        <v>1565</v>
      </c>
      <c r="V100" s="36" t="str">
        <f t="shared" si="23"/>
        <v>{szContent="分流活动已开启，大侠可以前往巴陵县接取阵营攻防前置任务",col={100,100,255,},[14]={},tCountdown={{nClass=14,nIcon=3536,nFrame=7,szName="巴陵·攻防前置分流",nTime=30,nRefresh=1800,key="分流活动",},},},</v>
      </c>
      <c r="W100" s="36" t="s">
        <v>2193</v>
      </c>
    </row>
    <row r="101" spans="1:27" s="36" customFormat="1" x14ac:dyDescent="0.15">
      <c r="A101" s="36" t="s">
        <v>2685</v>
      </c>
      <c r="B101" s="36">
        <v>-20</v>
      </c>
      <c r="V101" s="36" t="str">
        <f t="shared" si="23"/>
        <v>},[-20]={</v>
      </c>
    </row>
    <row r="102" spans="1:27" s="36" customFormat="1" x14ac:dyDescent="0.15">
      <c r="D102" s="36" t="s">
        <v>2590</v>
      </c>
      <c r="E102" s="36" t="s">
        <v>2591</v>
      </c>
      <c r="M102" s="36" t="s">
        <v>2502</v>
      </c>
      <c r="S102" s="36">
        <v>1</v>
      </c>
      <c r="V102" s="36" t="str">
        <f t="shared" si="23"/>
        <v>{szContent="因侠士近来行为异常，逐鹿中原期间，禁止参与，你即将被传送到百溪！",szNote="据点攻防·禁止参与",col={255,50,255,},[14]={bCenterAlarm=true,},tCountdown={{nClass=14,nIcon=13,nFrame=1,bHold=true,nTime=30,szName="据点攻防·禁止参与本场",key="挂机检测",},},},</v>
      </c>
      <c r="W102" s="36" t="s">
        <v>2592</v>
      </c>
    </row>
    <row r="103" spans="1:27" s="36" customFormat="1" x14ac:dyDescent="0.15">
      <c r="D103" s="36" t="s">
        <v>2500</v>
      </c>
      <c r="E103" s="36" t="s">
        <v>2501</v>
      </c>
      <c r="M103" s="36" t="s">
        <v>2502</v>
      </c>
      <c r="P103" s="36" t="s">
        <v>1089</v>
      </c>
      <c r="Q103" s="36">
        <v>1</v>
      </c>
      <c r="R103" s="36">
        <v>1</v>
      </c>
      <c r="S103" s="36">
        <v>1</v>
      </c>
      <c r="U103" s="36">
        <v>1</v>
      </c>
      <c r="V103" s="36" t="str">
        <f t="shared" si="23"/>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03" s="36" t="s">
        <v>2503</v>
      </c>
    </row>
    <row r="104" spans="1:27" s="36" customFormat="1" x14ac:dyDescent="0.15">
      <c r="D104" s="36" t="s">
        <v>1899</v>
      </c>
      <c r="M104" s="36" t="s">
        <v>1748</v>
      </c>
      <c r="V104" s="36" t="str">
        <f t="shared" si="23"/>
        <v>{szContent="你已经离开据点，10秒内未进入据点，则据点旗帜重置。",col={255,255,100,},[14]={},tCountdown={{nClass=14,nIcon=592,nFrame=2,szName="据点大旗·重置剩余",nTime=10,key="据点大旗·旗手提示",},},},</v>
      </c>
      <c r="W104" s="36" t="s">
        <v>2723</v>
      </c>
    </row>
    <row r="105" spans="1:27" s="36" customFormat="1" x14ac:dyDescent="0.15">
      <c r="D105" s="36" t="s">
        <v>2706</v>
      </c>
      <c r="E105" s="36" t="s">
        <v>2708</v>
      </c>
      <c r="M105" s="36" t="s">
        <v>1432</v>
      </c>
      <c r="Q105" s="36">
        <v>1</v>
      </c>
      <c r="S105" s="36">
        <v>1</v>
      </c>
      <c r="V105" s="36" t="str">
        <f t="shared" si="23"/>
        <v>{szContent="身负据点大旗，当心被夺！",szNote="[{$me}]·扛起大旗",col={255,255,100,},[14]={bTeamChannel=true,bCenterAlarm=true,},tCountdown={{nClass=14,nIcon=592,nFrame=8,szName="【{$me}】·拾取大旗",nTime=30,key="拾取大旗·{$me}",},},},</v>
      </c>
      <c r="W105" s="36" t="s">
        <v>2729</v>
      </c>
    </row>
    <row r="106" spans="1:27" s="36" customFormat="1" x14ac:dyDescent="0.15">
      <c r="C106" s="36" t="s">
        <v>1431</v>
      </c>
      <c r="D106" s="36" t="s">
        <v>2596</v>
      </c>
      <c r="E106" s="36" t="s">
        <v>2597</v>
      </c>
      <c r="M106" s="36" t="s">
        <v>1432</v>
      </c>
      <c r="O106" s="36">
        <v>1</v>
      </c>
      <c r="S106" s="36">
        <v>1</v>
      </c>
      <c r="V106" s="36" t="str">
        <f t="shared" si="23"/>
        <v>{szContent="^%[逐鹿中原%]%[(.-)%]：正在(.-)城门！",szTarget="%",szNote="[{$1}]·{$2}·城门",col={255,255,100,},bReg=true,[14]={bCenterAlarm=true,},tCountdown={{nClass=14,nIcon=1465,nFrame=5,nTime=-2,szName="打开·城门",nRefresh=10,key="打开·城门",},{nClass=14,nIcon=1465,nFrame=5,nTime=-2,szName="关闭·城门",nRefresh=10,key="关闭·城门",},{nClass=14,nIcon=13,nFrame=5,nTime=-2,szName="{$2}·城门",key="{$2}·城门",},{nClass=14,nIcon=2310,nFrame=1,nTime=10,szName="城门·打开·[{$1}]",nRefresh=10,key="打开·城门",},{nClass=14,nIcon=4839,nFrame=1,nTime=10,szName="城门·关闭·[{$1}]",nRefresh=10,key="关闭·城门",},},},</v>
      </c>
      <c r="W106" s="36" t="s">
        <v>2598</v>
      </c>
      <c r="X106" s="36" t="s">
        <v>2599</v>
      </c>
      <c r="Y106" s="36" t="s">
        <v>2600</v>
      </c>
      <c r="Z106" s="36" t="s">
        <v>2601</v>
      </c>
      <c r="AA106" s="36" t="s">
        <v>2602</v>
      </c>
    </row>
    <row r="107" spans="1:27" s="36" customFormat="1" x14ac:dyDescent="0.15">
      <c r="C107" s="36" t="s">
        <v>1431</v>
      </c>
      <c r="D107" s="36" t="s">
        <v>2504</v>
      </c>
      <c r="E107" s="36" t="s">
        <v>2505</v>
      </c>
      <c r="M107" s="36" t="s">
        <v>1432</v>
      </c>
      <c r="O107" s="36">
        <v>1</v>
      </c>
      <c r="S107" s="36">
        <v>1</v>
      </c>
      <c r="V107" s="36" t="str">
        <f t="shared" si="23"/>
        <v>{szContent="(.-)离开据点过久，或在原地五尺范围内盘踞超过五分钟，旗帜重置！",szTarget="%",szNote="[{$1}]·离开据点·大旗重置",col={255,255,100,},bReg=true,[14]={bCenterAlarm=true,},tCountdown={{nClass=14,nIcon=592,nFrame=4,szName="【离开据点】大旗重置",nTime=180,key="离开据点·大旗重置",},},},</v>
      </c>
      <c r="W107" s="36" t="s">
        <v>2506</v>
      </c>
    </row>
    <row r="108" spans="1:27" s="36" customFormat="1" x14ac:dyDescent="0.15">
      <c r="C108" s="36" t="s">
        <v>1907</v>
      </c>
      <c r="D108" s="36" t="s">
        <v>1916</v>
      </c>
      <c r="E108" s="36" t="s">
        <v>1908</v>
      </c>
      <c r="M108" s="36" t="s">
        <v>1751</v>
      </c>
      <c r="O108" s="36">
        <v>1</v>
      </c>
      <c r="S108" s="36">
        <v>1</v>
      </c>
      <c r="T108" s="36">
        <v>1</v>
      </c>
      <c r="V108" s="36" t="str">
        <f t="shared" si="23"/>
        <v>{szContent="已为.-补.-%[(.+)%].-(%d-)个.-消耗(%d+%.?%d-)金",szTarget="据点总管",szNote="补货·[{$1}]·{$2}",col={100,255,100,},bReg=true,[14]={bCenterAlarm=true,bScreenHead=true,},tCountdown={{nClass=14,nIcon=13,nFrame=6,szName="阵营模式",nTime=-2,key="阵营模式",},{nClass=14,nIcon=135,nFrame=6,szName="补货·[{$1}]·{$2}",nTime=10,nRefresh=600,key="阵营模式",},},},</v>
      </c>
      <c r="W108" s="36" t="s">
        <v>1911</v>
      </c>
      <c r="X108" s="36" t="s">
        <v>1910</v>
      </c>
    </row>
    <row r="109" spans="1:27" s="36" customFormat="1" x14ac:dyDescent="0.15">
      <c r="C109" s="36" t="s">
        <v>1907</v>
      </c>
      <c r="D109" s="36" t="s">
        <v>1917</v>
      </c>
      <c r="M109" s="36" t="s">
        <v>1748</v>
      </c>
      <c r="O109" s="36">
        <v>1</v>
      </c>
      <c r="V109" s="36" t="str">
        <f t="shared" si="23"/>
        <v>{szContent="好嘞，老夫开始收货了。本次特产转为(%d-)个(.-)，(.-)[，]-您辛苦了！",szTarget="据点总管",col={255,255,100,},bReg=true,[14]={},tCountdown={{nClass=14,nIcon=13,nFrame=6,szName="阵营模式",nTime=-2,key="阵营模式",},{nClass=14,nIcon=374,nFrame=6,szName="{$2}·{$1}{$3}",nTime=10,nRefresh=600,key="阵营模式",},},},</v>
      </c>
      <c r="W109" s="36" t="s">
        <v>1911</v>
      </c>
      <c r="X109" s="36" t="s">
        <v>1918</v>
      </c>
    </row>
    <row r="110" spans="1:27" s="36" customFormat="1" x14ac:dyDescent="0.15">
      <c r="C110" s="36" t="s">
        <v>1431</v>
      </c>
      <c r="D110" s="36" t="s">
        <v>2587</v>
      </c>
      <c r="E110" s="36" t="s">
        <v>2588</v>
      </c>
      <c r="M110" s="36" t="s">
        <v>2502</v>
      </c>
      <c r="S110" s="36">
        <v>1</v>
      </c>
      <c r="U110" s="36">
        <v>1</v>
      </c>
      <c r="V110" s="36" t="str">
        <f t="shared" si="23"/>
        <v>{szContent="您因消极怠战,扰乱阵营秩序，被阵营督查官请离当前地图，但同时给予250点贡献积分！",szTarget="%",szNote="阵营督查官·请离据点攻防",col={255,50,255,},[14]={bCenterAlarm=true,bFullScreen=true,},tCountdown={{nClass=14,nIcon=13,nFrame=1,bHold=true,nTime=30,szName="阵营督查·请离据点攻防",key="挂机检测",},},},</v>
      </c>
      <c r="W110" s="36" t="s">
        <v>2589</v>
      </c>
    </row>
    <row r="111" spans="1:27" s="36" customFormat="1" x14ac:dyDescent="0.15">
      <c r="C111" s="36" t="s">
        <v>2188</v>
      </c>
      <c r="D111" s="36" t="s">
        <v>1578</v>
      </c>
      <c r="M111" s="36" t="s">
        <v>1565</v>
      </c>
      <c r="N111" s="36">
        <v>1</v>
      </c>
      <c r="V111" s="36" t="str">
        <f t="shared" si="23"/>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11" s="36" t="s">
        <v>2434</v>
      </c>
      <c r="X111" s="36" t="s">
        <v>2646</v>
      </c>
    </row>
    <row r="112" spans="1:27" s="36" customFormat="1" x14ac:dyDescent="0.15">
      <c r="C112" s="36" t="s">
        <v>2188</v>
      </c>
      <c r="D112" s="36" t="s">
        <v>1579</v>
      </c>
      <c r="M112" s="36" t="s">
        <v>1438</v>
      </c>
      <c r="N112" s="36">
        <v>1</v>
      </c>
      <c r="V112" s="36" t="str">
        <f t="shared" si="23"/>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12" s="36" t="s">
        <v>2434</v>
      </c>
      <c r="X112" s="36" t="s">
        <v>2647</v>
      </c>
    </row>
    <row r="113" spans="1:27" s="36" customFormat="1" x14ac:dyDescent="0.15">
      <c r="C113" s="36" t="s">
        <v>2188</v>
      </c>
      <c r="D113" s="36" t="s">
        <v>2490</v>
      </c>
      <c r="E113" s="36" t="s">
        <v>2491</v>
      </c>
      <c r="M113" s="36" t="s">
        <v>1748</v>
      </c>
      <c r="S113" s="36">
        <v>1</v>
      </c>
      <c r="V113" s="36" t="str">
        <f t="shared" si="23"/>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13" s="36" t="s">
        <v>2493</v>
      </c>
      <c r="X113" s="36" t="s">
        <v>2494</v>
      </c>
      <c r="Y113" s="36" t="s">
        <v>2495</v>
      </c>
      <c r="Z113" s="36" t="s">
        <v>2497</v>
      </c>
      <c r="AA113" s="36" t="s">
        <v>2496</v>
      </c>
    </row>
    <row r="114" spans="1:27" s="36" customFormat="1" x14ac:dyDescent="0.15">
      <c r="C114" s="36" t="s">
        <v>2188</v>
      </c>
      <c r="D114" s="36" t="s">
        <v>2189</v>
      </c>
      <c r="E114" s="36" t="s">
        <v>2369</v>
      </c>
      <c r="S114" s="36">
        <v>1</v>
      </c>
      <c r="V114" s="36" t="str">
        <f t="shared" si="23"/>
        <v>{szContent="尔等鼠辈！谁敢与我一战！",szTarget="%",szNote="据点攻防·正式开始",[14]={bCenterAlarm=true,},tCountdown={{nClass=14,nIcon=3536,nFrame=0,szName="据点攻防·正式开始",nTime="2,据点攻防·正式开始;10,建议关闭·江湖身份",nRefresh=2,key="阵营活动",},{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4" s="36" t="s">
        <v>2622</v>
      </c>
      <c r="X114" s="40" t="s">
        <v>2410</v>
      </c>
      <c r="Y114" s="40" t="s">
        <v>2411</v>
      </c>
    </row>
    <row r="115" spans="1:27" s="36" customFormat="1" x14ac:dyDescent="0.15">
      <c r="C115" s="36" t="s">
        <v>2191</v>
      </c>
      <c r="D115" s="36" t="s">
        <v>2366</v>
      </c>
      <c r="E115" s="36" t="s">
        <v>2367</v>
      </c>
      <c r="V115" s="36" t="str">
        <f t="shared" si="23"/>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15" s="36" t="s">
        <v>2368</v>
      </c>
      <c r="X115" s="38" t="s">
        <v>2559</v>
      </c>
      <c r="Y115" s="38" t="s">
        <v>2560</v>
      </c>
    </row>
    <row r="116" spans="1:27" x14ac:dyDescent="0.15">
      <c r="C116" t="s">
        <v>2191</v>
      </c>
      <c r="D116" t="s">
        <v>1580</v>
      </c>
      <c r="E116" t="s">
        <v>2194</v>
      </c>
      <c r="T116" s="36"/>
      <c r="V116" s="36" t="str">
        <f t="shared" si="23"/>
        <v>{szContent="哼，打扰本大爷休息！",szTarget="狼牙先锋首领",szNote="狼牙先锋首领·刷新喊话1",[14]={},tCountdown={{nClass=14,nIcon=3556,nFrame=1,szName="狼牙先锋首领·已经刷新",nTime=10,nRefresh=120,key="狼牙先锋首领",},},},</v>
      </c>
      <c r="W116" t="s">
        <v>2190</v>
      </c>
    </row>
    <row r="117" spans="1:27" x14ac:dyDescent="0.15">
      <c r="C117" t="s">
        <v>2191</v>
      </c>
      <c r="D117" t="s">
        <v>1581</v>
      </c>
      <c r="E117" t="s">
        <v>2195</v>
      </c>
      <c r="T117" s="36"/>
      <c r="V117" s="36" t="str">
        <f t="shared" si="23"/>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7" t="s">
        <v>2190</v>
      </c>
      <c r="X117" s="40" t="s">
        <v>2410</v>
      </c>
      <c r="Y117" s="40" t="s">
        <v>2411</v>
      </c>
    </row>
    <row r="118" spans="1:27" x14ac:dyDescent="0.15">
      <c r="C118" t="s">
        <v>2191</v>
      </c>
      <c r="D118" t="s">
        <v>1582</v>
      </c>
      <c r="E118" t="s">
        <v>2687</v>
      </c>
      <c r="T118" s="36"/>
      <c r="V118" s="36" t="str">
        <f t="shared" si="23"/>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8" t="s">
        <v>2645</v>
      </c>
      <c r="X118" s="40" t="s">
        <v>2410</v>
      </c>
      <c r="Y118" s="40" t="s">
        <v>2411</v>
      </c>
    </row>
    <row r="119" spans="1:27" x14ac:dyDescent="0.15">
      <c r="A119" t="s">
        <v>132</v>
      </c>
      <c r="B119">
        <v>22</v>
      </c>
      <c r="T119" s="36"/>
      <c r="V119" s="36" t="str">
        <f t="shared" si="23"/>
        <v>},[22]={</v>
      </c>
    </row>
    <row r="120" spans="1:27" s="36" customFormat="1" x14ac:dyDescent="0.15">
      <c r="C120" s="36" t="s">
        <v>2326</v>
      </c>
      <c r="D120" s="36" t="s">
        <v>2328</v>
      </c>
      <c r="E120" s="36" t="s">
        <v>2343</v>
      </c>
      <c r="M120" s="36" t="s">
        <v>1565</v>
      </c>
      <c r="S120" s="36">
        <v>1</v>
      </c>
      <c r="V120" s="36" t="str">
        <f t="shared" si="23"/>
        <v>{szContent="增援已至武王城，速速进攻！",szTarget="浩气盟督廷卫",szNote="浩气·兵符增援·武王城",col={100,100,255,},[14]={bCenterAlarm=true,},tCountdown={{nClass=14,nIcon=8478,nFrame=8,szName="浩气·兵符增援·武王城",nTime="10,浩气·兵符增援·武王城;300,浩气·武王城·兵符冷却;305,浩气·武王城·可用兵符",nRefresh=1,key="兵符·武王城",},},},</v>
      </c>
      <c r="W120" s="36" t="s">
        <v>2492</v>
      </c>
    </row>
    <row r="121" spans="1:27" s="36" customFormat="1" x14ac:dyDescent="0.15">
      <c r="C121" s="36" t="s">
        <v>2188</v>
      </c>
      <c r="D121" s="43" t="s">
        <v>2545</v>
      </c>
      <c r="M121" s="36" t="s">
        <v>1438</v>
      </c>
      <c r="V121" s="36" t="str">
        <f t="shared" si="23"/>
        <v>{szContent="赵新宇死亡时，从他身上遗落一把短笛，貌似是他的随身信物。",szTarget="%",col={255,100,100,},[14]={},tCountdown={{nClass=14,nIcon=589,nFrame=7,szName="赵新宇",nTime=0,key="赵新宇",},{nClass=14,nIcon=589,nFrame=7,szName="赵新宇",nTime="60,赵新宇的信物;302,赵新宇·刷新剩余;304,赵新宇·即将刷新;310,赵新宇·延迟刷新",nRefresh=60,key="赵新宇",},},},</v>
      </c>
      <c r="W121" s="36" t="s">
        <v>2533</v>
      </c>
      <c r="X121" s="36" t="s">
        <v>2534</v>
      </c>
    </row>
    <row r="122" spans="1:27" s="36" customFormat="1" x14ac:dyDescent="0.15">
      <c r="C122" s="36" t="s">
        <v>2188</v>
      </c>
      <c r="D122" s="43" t="s">
        <v>2546</v>
      </c>
      <c r="M122" s="36" t="s">
        <v>1565</v>
      </c>
      <c r="V122" s="36" t="str">
        <f t="shared" si="23"/>
        <v>{szContent="随着方超的死亡，一把短笛掉了出来，貌似是他的随身信物。",szTarget="%",col={100,100,255,},[14]={},tCountdown={{nClass=14,nIcon=308,nFrame=3,szName="方超",nTime=0,key="方超",},{nClass=14,nIcon=308,nFrame=3,szName="方超",nTime="60,方超的信物;302,方超·刷新剩余;304,方超·即将刷新;310,方超·延迟刷新",nRefresh=60,key="方超",},},},</v>
      </c>
      <c r="W122" s="36" t="s">
        <v>2535</v>
      </c>
      <c r="X122" s="36" t="s">
        <v>2536</v>
      </c>
    </row>
    <row r="123" spans="1:27" x14ac:dyDescent="0.15">
      <c r="C123" t="s">
        <v>1596</v>
      </c>
      <c r="D123" t="s">
        <v>1590</v>
      </c>
      <c r="M123" t="s">
        <v>1438</v>
      </c>
      <c r="T123" s="36"/>
      <c r="V123" s="36" t="str">
        <f t="shared" si="23"/>
        <v>{szContent="恶人谷老友们可在我这里传送到恶人谷！",szTarget="赵新宇",col={255,100,100,},[14]={},tCountdown={{nClass=-1,nIcon=589,nFrame=7,szName="赵新宇·已刷新",nTime=2,nRefresh=600,key="赵新宇",},},},</v>
      </c>
      <c r="W123" t="s">
        <v>2727</v>
      </c>
    </row>
    <row r="124" spans="1:27" x14ac:dyDescent="0.15">
      <c r="C124" t="s">
        <v>1595</v>
      </c>
      <c r="D124" t="s">
        <v>1584</v>
      </c>
      <c r="M124" t="s">
        <v>1565</v>
      </c>
      <c r="T124" s="36"/>
      <c r="V124" s="36" t="str">
        <f t="shared" si="23"/>
        <v>{szContent="浩气盟侠士们可在我这里传送到浩气盟！",szTarget="方超",col={100,100,255,},[14]={},tCountdown={{nClass=-1,nIcon=308,nFrame=3,szName="方超·已刷新",nTime=2,nRefresh=600,key="方超",},},},</v>
      </c>
      <c r="W124" t="s">
        <v>2728</v>
      </c>
    </row>
    <row r="125" spans="1:27" x14ac:dyDescent="0.15">
      <c r="C125" s="36" t="s">
        <v>1591</v>
      </c>
      <c r="D125" t="s">
        <v>1593</v>
      </c>
      <c r="M125" t="s">
        <v>1438</v>
      </c>
      <c r="T125" s="36"/>
      <c r="V125" s="36" t="str">
        <f t="shared" si="23"/>
        <v>{szContent="护送不利，恶人谷的运输小队被浩气盟截下了！",szTarget="管良沧",col={255,100,100,},[14]={},tCountdown={{nClass=14,nIcon=13,nFrame=7,szName="浩气·劫车奖励",nTime=60,key="恶人·矿车",},},},</v>
      </c>
      <c r="W125" t="s">
        <v>1949</v>
      </c>
    </row>
    <row r="126" spans="1:27" x14ac:dyDescent="0.15">
      <c r="C126" t="s">
        <v>1591</v>
      </c>
      <c r="D126" t="s">
        <v>1594</v>
      </c>
      <c r="M126" t="s">
        <v>1438</v>
      </c>
      <c r="T126" s="36"/>
      <c r="V126" s="36" t="str">
        <f t="shared" si="23"/>
        <v>{szContent="恶人谷的运输小队成功到达营地！接下来由他们将物资运往更前线，大伙继续加油，收集更多物资！",szTarget="管良沧",col={255,100,100,},[14]={},tCountdown={{nClass=14,nIcon=13,nFrame=3,szName="恶人·领取护送奖赏",nTime=60,key="恶人·矿车",},},},</v>
      </c>
      <c r="W126" t="s">
        <v>1980</v>
      </c>
    </row>
    <row r="127" spans="1:27" x14ac:dyDescent="0.15">
      <c r="C127" t="s">
        <v>1591</v>
      </c>
      <c r="D127" t="s">
        <v>1592</v>
      </c>
      <c r="E127" s="36" t="s">
        <v>1656</v>
      </c>
      <c r="M127" t="s">
        <v>1438</v>
      </c>
      <c r="S127">
        <v>1</v>
      </c>
      <c r="T127" s="36"/>
      <c r="V127" s="36" t="str">
        <f t="shared" si="23"/>
        <v>{szContent="恶人谷的运输小队出现了，大伙快前去接送到我方营地，谷主重重有赏！",szTarget="管良沧",szNote="粮草先行·恶人牛车",col={255,100,100,},[14]={bCenterAlarm=true,},tCountdown={{nClass=14,nIcon=13,nFrame=3,szName="恶人·护送牛车",nTime="337,恶人·护送牛车;340,恶人·延迟护送牛车",nRefresh=0,key="恶人·矿车",},},},</v>
      </c>
      <c r="W127" t="s">
        <v>1961</v>
      </c>
    </row>
    <row r="128" spans="1:27" x14ac:dyDescent="0.15">
      <c r="C128" t="s">
        <v>1585</v>
      </c>
      <c r="D128" t="s">
        <v>1587</v>
      </c>
      <c r="M128" t="s">
        <v>1565</v>
      </c>
      <c r="T128" s="36"/>
      <c r="V128" s="36" t="str">
        <f t="shared" si="23"/>
        <v>{szContent="护送不利，浩气盟的运输小队被恶人谷截下了！",szTarget="苏才寥",col={100,100,255,},[14]={},tCountdown={{nClass=14,nIcon=13,nFrame=3,szName="恶人·劫车奖励",nTime=60,key="浩气·矿车",},},},</v>
      </c>
      <c r="W128" t="s">
        <v>1950</v>
      </c>
    </row>
    <row r="129" spans="1:24" x14ac:dyDescent="0.15">
      <c r="C129" t="s">
        <v>1585</v>
      </c>
      <c r="D129" t="s">
        <v>1588</v>
      </c>
      <c r="M129" t="s">
        <v>1565</v>
      </c>
      <c r="T129" s="36"/>
      <c r="V129" s="36" t="str">
        <f t="shared" si="23"/>
        <v>{szContent="浩气盟的运输小队成功到达营地！接下来由他们将物资运往更前线，大伙继续加油，收集更多物资！",szTarget="苏才寥",col={100,100,255,},[14]={},tCountdown={{nClass=14,nIcon=13,nFrame=7,szName="浩气·领取护送奖赏",nTime=60,key="浩气·矿车",},},},</v>
      </c>
      <c r="W129" t="s">
        <v>1981</v>
      </c>
    </row>
    <row r="130" spans="1:24" x14ac:dyDescent="0.15">
      <c r="C130" t="s">
        <v>1585</v>
      </c>
      <c r="D130" t="s">
        <v>1586</v>
      </c>
      <c r="E130" t="s">
        <v>1655</v>
      </c>
      <c r="M130" t="s">
        <v>1565</v>
      </c>
      <c r="S130">
        <v>1</v>
      </c>
      <c r="T130" s="36"/>
      <c r="V130" s="36" t="str">
        <f t="shared" si="23"/>
        <v>{szContent="浩气盟的运输小队出现了，大伙快前去接送到我方营地，盟主重重有赏！",szTarget="苏才寥",szNote="粮草先行·浩气牛车",col={100,100,255,},[14]={bCenterAlarm=true,},tCountdown={{nClass=14,nIcon=13,nFrame=7,szName="浩气·护送牛车",nTime="337,浩气·护送牛车;340,浩气·延迟护送牛车",nRefresh=0,key="浩气·矿车",},},},</v>
      </c>
      <c r="W130" t="s">
        <v>1960</v>
      </c>
    </row>
    <row r="131" spans="1:24" x14ac:dyDescent="0.15">
      <c r="A131" t="s">
        <v>136</v>
      </c>
      <c r="B131">
        <v>30</v>
      </c>
      <c r="T131" s="36"/>
      <c r="V131" s="36" t="str">
        <f t="shared" ref="V131:V194" si="27">IF(ISBLANK(B131)=FALSE,IF(ISBLANK(B130),"},["&amp;B131&amp;"]={","["&amp;B131&amp;"]={"),IF(AND(ISBLANK(B131),ISBLANK(D131),ISBLANK(N131),ISBLANK(O131),OR(ISBLANK(B130)=FALSE,ISBLANK(D130)=FALSE,ISBLANK(N130)=FALSE,ISBLANK(O130)=FALSE)),"},},}",IF(ISBLANK(D131),"","{szContent="""&amp;D131&amp;""","&amp;IF(C131&lt;&gt;"","szTarget="""&amp;C131&amp;""",","")&amp;IF(E131&lt;&gt;"","szNote="""&amp;E131&amp;""",","")&amp;IF(M131&lt;&gt;"","col={"&amp;M131&amp;"},","")&amp;IF(N131&gt;0,"bSearch=true,","")&amp;IF(O131&gt;0,"bReg=true,","")&amp;"[14]={"&amp;IF(P131&gt;0,"szVoice="""&amp;P131&amp;""",","")&amp;IF(Q131&gt;0,"bTeamChannel=true,","")&amp;IF(R131&gt;0,"bWhisperChannel=true,","")&amp;IF(S131&gt;0,"bCenterAlarm=true,","")&amp;IF(T131&gt;0,"bScreenHead=true,","")&amp;IF(U131&gt;0,"bFullScreen=true,","")&amp;"},"&amp;IF(W131&lt;&gt;"","tCountdown={"&amp;_xlfn.TEXTJOIN("",TRUE,W131:AAH131)&amp;"},","")&amp;"},")))</f>
        <v>},[30]={</v>
      </c>
    </row>
    <row r="132" spans="1:24" s="36" customFormat="1" x14ac:dyDescent="0.15">
      <c r="C132" s="36" t="s">
        <v>2327</v>
      </c>
      <c r="D132" s="36" t="s">
        <v>2329</v>
      </c>
      <c r="E132" s="36" t="s">
        <v>2344</v>
      </c>
      <c r="M132" s="36" t="s">
        <v>1438</v>
      </c>
      <c r="S132" s="36">
        <v>1</v>
      </c>
      <c r="V132" s="36" t="str">
        <f t="shared" si="27"/>
        <v>{szContent="增援已至凛风堡，速速进攻！",szTarget="恶人谷督廷卫",szNote="恶人·兵符增援·凛风堡",col={255,100,100,},[14]={bCenterAlarm=true,},tCountdown={{nClass=14,nIcon=8478,nFrame=8,szName="恶人·兵符增援·凛风堡",nTime="10,恶人·兵符增援·凛风堡;300,恶人·凛风堡·兵符冷却;305,恶人·凛风堡·可用兵符",nRefresh=1,key="兵符·凛风堡",},},},</v>
      </c>
      <c r="W132" s="36" t="s">
        <v>2442</v>
      </c>
    </row>
    <row r="133" spans="1:24" s="36" customFormat="1" x14ac:dyDescent="0.15">
      <c r="C133" s="36" t="s">
        <v>1907</v>
      </c>
      <c r="D133" s="36" t="s">
        <v>1916</v>
      </c>
      <c r="E133" s="36" t="s">
        <v>1908</v>
      </c>
      <c r="M133" s="36" t="s">
        <v>1751</v>
      </c>
      <c r="O133" s="36">
        <v>1</v>
      </c>
      <c r="S133" s="36">
        <v>1</v>
      </c>
      <c r="T133" s="36">
        <v>1</v>
      </c>
      <c r="V133" s="36" t="str">
        <f t="shared" si="27"/>
        <v>{szContent="已为.-补.-%[(.+)%].-(%d-)个.-消耗(%d+%.?%d-)金",szTarget="据点总管",szNote="补货·[{$1}]·{$2}",col={100,255,100,},bReg=true,[14]={bCenterAlarm=true,bScreenHead=true,},tCountdown={{nClass=14,nIcon=13,nFrame=6,szName="阵营模式",nTime=-2,key="阵营模式",},{nClass=14,nIcon=135,nFrame=6,szName="补货·[{$1}]·{$2}",nTime=10,nRefresh=600,key="阵营模式",},},},</v>
      </c>
      <c r="W133" s="36" t="s">
        <v>1911</v>
      </c>
      <c r="X133" s="36" t="s">
        <v>1910</v>
      </c>
    </row>
    <row r="134" spans="1:24" s="36" customFormat="1" x14ac:dyDescent="0.15">
      <c r="C134" s="36" t="s">
        <v>1907</v>
      </c>
      <c r="D134" s="36" t="s">
        <v>1917</v>
      </c>
      <c r="M134" s="36" t="s">
        <v>1748</v>
      </c>
      <c r="O134" s="36">
        <v>1</v>
      </c>
      <c r="V134" s="36" t="str">
        <f t="shared" si="27"/>
        <v>{szContent="好嘞，老夫开始收货了。本次特产转为(%d-)个(.-)，(.-)[，]-您辛苦了！",szTarget="据点总管",col={255,255,100,},bReg=true,[14]={},tCountdown={{nClass=14,nIcon=13,nFrame=6,szName="阵营模式",nTime=-2,key="阵营模式",},{nClass=14,nIcon=374,nFrame=6,szName="{$2}·{$1}{$3}",nTime=10,nRefresh=600,key="阵营模式",},},},</v>
      </c>
      <c r="W134" s="36" t="s">
        <v>1911</v>
      </c>
      <c r="X134" s="36" t="s">
        <v>1918</v>
      </c>
    </row>
    <row r="135" spans="1:24" s="36" customFormat="1" x14ac:dyDescent="0.15">
      <c r="C135" s="36" t="s">
        <v>2188</v>
      </c>
      <c r="D135" s="43" t="s">
        <v>2547</v>
      </c>
      <c r="M135" s="36" t="s">
        <v>1438</v>
      </c>
      <c r="V135" s="36" t="str">
        <f t="shared" si="27"/>
        <v>{szContent="随着霸图的死亡，一柄钢刀从他身上滑落，似乎是他的随身信物。",szTarget="%",col={255,100,100,},[14]={},tCountdown={{nClass=14,nIcon=2864,nFrame=7,szName="霸图",nTime=0,key="霸图",},{nClass=14,nIcon=2864,nFrame=7,szName="霸图",nTime="60,霸图的信物;302,霸图·刷新剩余;304,霸图·即将刷新;310,霸图·延迟刷新",nRefresh=60,key="霸图",},},},</v>
      </c>
      <c r="W135" s="36" t="s">
        <v>2537</v>
      </c>
      <c r="X135" s="36" t="s">
        <v>2538</v>
      </c>
    </row>
    <row r="136" spans="1:24" s="36" customFormat="1" x14ac:dyDescent="0.15">
      <c r="C136" s="36" t="s">
        <v>2188</v>
      </c>
      <c r="D136" s="43" t="s">
        <v>2548</v>
      </c>
      <c r="M136" s="36" t="s">
        <v>1565</v>
      </c>
      <c r="V136" s="36" t="str">
        <f t="shared" si="27"/>
        <v>{szContent="随着孙永恒的死亡，一柄短剑从他身上滑落，似乎是他的随身信物。",szTarget="%",col={100,100,255,},[14]={},tCountdown={{nClass=14,nIcon=845,nFrame=3,szName="孙永恒",nTime=0,key="孙永恒",},{nClass=14,nIcon=845,nFrame=3,szName="孙永恒",nTime="60,孙永恒的信物;302,孙永恒·刷新剩余;304,孙永恒·即将刷新;310,孙永恒·延迟刷新",nRefresh=60,key="孙永恒",},},},</v>
      </c>
      <c r="W136" s="36" t="s">
        <v>2539</v>
      </c>
      <c r="X136" s="36" t="s">
        <v>2540</v>
      </c>
    </row>
    <row r="137" spans="1:24" x14ac:dyDescent="0.15">
      <c r="C137" t="s">
        <v>1589</v>
      </c>
      <c r="D137" t="s">
        <v>1590</v>
      </c>
      <c r="M137" t="s">
        <v>1438</v>
      </c>
      <c r="V137" s="36" t="str">
        <f t="shared" si="27"/>
        <v>{szContent="恶人谷老友们可在我这里传送到恶人谷！",szTarget="霸图",col={255,100,100,},[14]={},tCountdown={{nClass=-1,nIcon=2864,nFrame=7,szName="霸图·已刷新",nTime=2,nRefresh=600,key="霸图",},},},</v>
      </c>
      <c r="W137" t="s">
        <v>2725</v>
      </c>
    </row>
    <row r="138" spans="1:24" x14ac:dyDescent="0.15">
      <c r="C138" t="s">
        <v>1583</v>
      </c>
      <c r="D138" t="s">
        <v>1584</v>
      </c>
      <c r="M138" t="s">
        <v>1565</v>
      </c>
      <c r="V138" s="36" t="str">
        <f t="shared" si="27"/>
        <v>{szContent="浩气盟侠士们可在我这里传送到浩气盟！",szTarget="孙永恒",col={100,100,255,},[14]={},tCountdown={{nClass=-1,nIcon=845,nFrame=3,szName="孙永恒·已刷新",nTime=2,nRefresh=600,key="孙永恒",},},},</v>
      </c>
      <c r="W138" t="s">
        <v>2726</v>
      </c>
    </row>
    <row r="139" spans="1:24" x14ac:dyDescent="0.15">
      <c r="C139" s="36" t="s">
        <v>1591</v>
      </c>
      <c r="D139" t="s">
        <v>1593</v>
      </c>
      <c r="M139" t="s">
        <v>1438</v>
      </c>
      <c r="V139" s="36" t="str">
        <f t="shared" si="27"/>
        <v>{szContent="护送不利，恶人谷的运输小队被浩气盟截下了！",szTarget="管良沧",col={255,100,100,},[14]={},tCountdown={{nClass=14,nIcon=13,nFrame=7,szName="浩气·劫车奖励",nTime=60,key="恶人·矿车",},},},</v>
      </c>
      <c r="W139" t="s">
        <v>1949</v>
      </c>
    </row>
    <row r="140" spans="1:24" x14ac:dyDescent="0.15">
      <c r="C140" t="s">
        <v>1591</v>
      </c>
      <c r="D140" t="s">
        <v>1594</v>
      </c>
      <c r="M140" t="s">
        <v>1438</v>
      </c>
      <c r="V140" s="36" t="str">
        <f t="shared" si="27"/>
        <v>{szContent="恶人谷的运输小队成功到达营地！接下来由他们将物资运往更前线，大伙继续加油，收集更多物资！",szTarget="管良沧",col={255,100,100,},[14]={},tCountdown={{nClass=14,nIcon=13,nFrame=3,szName="恶人·领取护送奖赏",nTime=60,key="恶人·矿车",},},},</v>
      </c>
      <c r="W140" t="s">
        <v>1980</v>
      </c>
    </row>
    <row r="141" spans="1:24" x14ac:dyDescent="0.15">
      <c r="C141" t="s">
        <v>1591</v>
      </c>
      <c r="D141" t="s">
        <v>1592</v>
      </c>
      <c r="E141" s="36" t="s">
        <v>1656</v>
      </c>
      <c r="M141" t="s">
        <v>1438</v>
      </c>
      <c r="S141">
        <v>1</v>
      </c>
      <c r="V141" s="36" t="str">
        <f t="shared" si="27"/>
        <v>{szContent="恶人谷的运输小队出现了，大伙快前去接送到我方营地，谷主重重有赏！",szTarget="管良沧",szNote="粮草先行·恶人牛车",col={255,100,100,},[14]={bCenterAlarm=true,},tCountdown={{nClass=14,nIcon=13,nFrame=3,szName="恶人·护送牛车",nTime="548,恶人·护送牛车;562,恶人·延迟护送牛车",nRefresh=0,key="恶人·矿车",},},},</v>
      </c>
      <c r="W141" t="s">
        <v>1951</v>
      </c>
    </row>
    <row r="142" spans="1:24" x14ac:dyDescent="0.15">
      <c r="C142" t="s">
        <v>1585</v>
      </c>
      <c r="D142" t="s">
        <v>1587</v>
      </c>
      <c r="M142" t="s">
        <v>1565</v>
      </c>
      <c r="V142" s="36" t="str">
        <f t="shared" si="27"/>
        <v>{szContent="护送不利，浩气盟的运输小队被恶人谷截下了！",szTarget="苏才寥",col={100,100,255,},[14]={},tCountdown={{nClass=14,nIcon=13,nFrame=3,szName="恶人·劫车奖励",nTime=60,key="浩气·矿车",},},},</v>
      </c>
      <c r="W142" t="s">
        <v>1950</v>
      </c>
    </row>
    <row r="143" spans="1:24" x14ac:dyDescent="0.15">
      <c r="C143" t="s">
        <v>1585</v>
      </c>
      <c r="D143" t="s">
        <v>1588</v>
      </c>
      <c r="M143" t="s">
        <v>1565</v>
      </c>
      <c r="V143" s="36" t="str">
        <f t="shared" si="27"/>
        <v>{szContent="浩气盟的运输小队成功到达营地！接下来由他们将物资运往更前线，大伙继续加油，收集更多物资！",szTarget="苏才寥",col={100,100,255,},[14]={},tCountdown={{nClass=14,nIcon=13,nFrame=7,szName="浩气·领取护送奖赏",nTime=60,key="浩气·矿车",},},},</v>
      </c>
      <c r="W143" t="s">
        <v>1981</v>
      </c>
    </row>
    <row r="144" spans="1:24" x14ac:dyDescent="0.15">
      <c r="C144" t="s">
        <v>1585</v>
      </c>
      <c r="D144" t="s">
        <v>1586</v>
      </c>
      <c r="E144" s="36" t="s">
        <v>1655</v>
      </c>
      <c r="M144" t="s">
        <v>1565</v>
      </c>
      <c r="S144">
        <v>1</v>
      </c>
      <c r="V144" s="36" t="str">
        <f t="shared" si="27"/>
        <v>{szContent="浩气盟的运输小队出现了，大伙快前去接送到我方营地，盟主重重有赏！",szTarget="苏才寥",szNote="粮草先行·浩气牛车",col={100,100,255,},[14]={bCenterAlarm=true,},tCountdown={{nClass=14,nIcon=13,nFrame=7,szName="浩气·护送牛车",nTime="548,浩气·护送牛车;562,浩气·延迟护送牛车",nRefresh=0,key="浩气·矿车",},},},</v>
      </c>
      <c r="W144" t="s">
        <v>1952</v>
      </c>
    </row>
    <row r="145" spans="1:27" s="36" customFormat="1" x14ac:dyDescent="0.15">
      <c r="A145" s="36" t="s">
        <v>131</v>
      </c>
      <c r="B145" s="36">
        <v>21</v>
      </c>
      <c r="V145" s="36" t="str">
        <f t="shared" si="27"/>
        <v>},[21]={</v>
      </c>
    </row>
    <row r="146" spans="1:27" s="36" customFormat="1" x14ac:dyDescent="0.15">
      <c r="C146" s="36" t="s">
        <v>2326</v>
      </c>
      <c r="D146" s="36" t="s">
        <v>2330</v>
      </c>
      <c r="E146" s="36" t="s">
        <v>2345</v>
      </c>
      <c r="M146" s="36" t="s">
        <v>1565</v>
      </c>
      <c r="S146" s="36">
        <v>1</v>
      </c>
      <c r="V146" s="36" t="str">
        <f t="shared" si="27"/>
        <v>{szContent="增援已至盘龙坞，速速进攻！",szTarget="浩气盟督廷卫",szNote="浩气·兵符增援·盘龙坞",col={100,100,255,},[14]={bCenterAlarm=true,},tCountdown={{nClass=14,nIcon=8478,nFrame=8,szName="浩气·兵符增援·盘龙坞",nTime="10,浩气·兵符增援·盘龙坞;300,浩气·盘龙坞·兵符冷却;305,浩气·盘龙坞·可用兵符",nRefresh=1,key="兵符·盘龙坞",},},},</v>
      </c>
      <c r="W146" s="36" t="s">
        <v>2435</v>
      </c>
    </row>
    <row r="147" spans="1:27" s="36" customFormat="1" x14ac:dyDescent="0.15">
      <c r="C147" s="36" t="s">
        <v>2326</v>
      </c>
      <c r="D147" s="36" t="s">
        <v>2331</v>
      </c>
      <c r="E147" s="36" t="s">
        <v>2346</v>
      </c>
      <c r="M147" s="36" t="s">
        <v>1565</v>
      </c>
      <c r="S147" s="36">
        <v>1</v>
      </c>
      <c r="V147" s="36" t="str">
        <f t="shared" si="27"/>
        <v>{szContent="增援已至逐鹿坪，速速进攻！",szTarget="浩气盟督廷卫",szNote="浩气·兵符增援·逐鹿坪",col={100,100,255,},[14]={bCenterAlarm=true,},tCountdown={{nClass=14,nIcon=8478,nFrame=8,szName="浩气·兵符增援·逐鹿坪",nTime="10,浩气·兵符增援·逐鹿坪;300,浩气·逐鹿坪·兵符冷却;305,浩气·逐鹿坪·可用兵符",nRefresh=1,key="兵符·逐鹿坪",},},},</v>
      </c>
      <c r="W147" s="36" t="s">
        <v>2436</v>
      </c>
    </row>
    <row r="148" spans="1:27" x14ac:dyDescent="0.15">
      <c r="C148" t="s">
        <v>2188</v>
      </c>
      <c r="D148" s="43" t="s">
        <v>2545</v>
      </c>
      <c r="G148"/>
      <c r="I148"/>
      <c r="M148" t="s">
        <v>1438</v>
      </c>
      <c r="S148" s="36"/>
      <c r="T148" s="36"/>
      <c r="V148" s="36" t="str">
        <f t="shared" si="27"/>
        <v>{szContent="赵新宇死亡时，从他身上遗落一把短笛，貌似是他的随身信物。",szTarget="%",col={255,100,100,},[14]={},tCountdown={{nClass=14,nIcon=589,nFrame=7,szName="赵新宇",nTime=0,key="赵新宇",},{nClass=14,nIcon=589,nFrame=7,szName="赵新宇",nTime="60,赵新宇的信物;302,赵新宇·刷新剩余;304,赵新宇·即将刷新",nRefresh=60,key="赵新宇",},},},</v>
      </c>
      <c r="W148" t="s">
        <v>2533</v>
      </c>
      <c r="X148" s="36" t="s">
        <v>2541</v>
      </c>
      <c r="Z148" s="36"/>
      <c r="AA148" s="36"/>
    </row>
    <row r="149" spans="1:27" x14ac:dyDescent="0.15">
      <c r="C149" t="s">
        <v>2188</v>
      </c>
      <c r="D149" s="43" t="s">
        <v>2546</v>
      </c>
      <c r="G149"/>
      <c r="I149"/>
      <c r="M149" t="s">
        <v>1565</v>
      </c>
      <c r="S149" s="36"/>
      <c r="T149" s="36"/>
      <c r="V149" s="36" t="str">
        <f t="shared" si="27"/>
        <v>{szContent="随着方超的死亡，一把短笛掉了出来，貌似是他的随身信物。",szTarget="%",col={100,100,255,},[14]={},tCountdown={{nClass=14,nIcon=308,nFrame=3,szName="方超",nTime=0,key="方超",},{nClass=14,nIcon=308,nFrame=3,szName="方超",nTime="60,方超的信物;302,方超·刷新剩余;304,方超·即将刷新",nRefresh=60,key="方超",},},},</v>
      </c>
      <c r="W149" t="s">
        <v>2535</v>
      </c>
      <c r="X149" s="36" t="s">
        <v>2542</v>
      </c>
      <c r="Z149" s="36"/>
      <c r="AA149" s="36"/>
    </row>
    <row r="150" spans="1:27" s="36" customFormat="1" x14ac:dyDescent="0.15">
      <c r="C150" s="36" t="s">
        <v>1596</v>
      </c>
      <c r="D150" s="36" t="s">
        <v>1590</v>
      </c>
      <c r="M150" s="36" t="s">
        <v>1438</v>
      </c>
      <c r="V150" s="36" t="str">
        <f t="shared" si="27"/>
        <v>{szContent="恶人谷老友们可在我这里传送到恶人谷！",szTarget="赵新宇",col={255,100,100,},[14]={},tCountdown={{nClass=-1,nIcon=589,nFrame=7,szName="赵新宇·已刷新",nTime=2,nRefresh=600,key="赵新宇",},},},</v>
      </c>
      <c r="W150" s="36" t="s">
        <v>2727</v>
      </c>
    </row>
    <row r="151" spans="1:27" s="36" customFormat="1" x14ac:dyDescent="0.15">
      <c r="C151" s="36" t="s">
        <v>1595</v>
      </c>
      <c r="D151" s="36" t="s">
        <v>1584</v>
      </c>
      <c r="M151" s="36" t="s">
        <v>1565</v>
      </c>
      <c r="V151" s="36" t="str">
        <f t="shared" si="27"/>
        <v>{szContent="浩气盟侠士们可在我这里传送到浩气盟！",szTarget="方超",col={100,100,255,},[14]={},tCountdown={{nClass=-1,nIcon=308,nFrame=3,szName="方超·已刷新",nTime=2,nRefresh=600,key="方超",},},},</v>
      </c>
      <c r="W151" s="36" t="s">
        <v>2728</v>
      </c>
    </row>
    <row r="152" spans="1:27" x14ac:dyDescent="0.15">
      <c r="A152" s="36" t="s">
        <v>7</v>
      </c>
      <c r="B152" s="36">
        <v>23</v>
      </c>
      <c r="V152" s="36" t="str">
        <f t="shared" si="27"/>
        <v>},[23]={</v>
      </c>
    </row>
    <row r="153" spans="1:27" s="36" customFormat="1" x14ac:dyDescent="0.15">
      <c r="C153" s="36" t="s">
        <v>2327</v>
      </c>
      <c r="D153" s="36" t="s">
        <v>2332</v>
      </c>
      <c r="E153" s="36" t="s">
        <v>2347</v>
      </c>
      <c r="M153" s="36" t="s">
        <v>1438</v>
      </c>
      <c r="S153" s="36">
        <v>1</v>
      </c>
      <c r="V153" s="36" t="str">
        <f t="shared" si="27"/>
        <v>{szContent="增援已至龙门镇，速速进攻！",szTarget="恶人谷督廷卫",szNote="恶人·兵符增援·龙门镇",col={255,100,100,},[14]={bCenterAlarm=true,},tCountdown={{nClass=14,nIcon=8478,nFrame=8,szName="恶人·兵符增援·龙门镇",nTime="10,恶人·兵符增援·龙门镇;300,恶人·龙门镇·兵符冷却;305,恶人·龙门镇·可用兵符",nRefresh=1,key="兵符·龙门镇",},},},</v>
      </c>
      <c r="W153" s="36" t="s">
        <v>2443</v>
      </c>
    </row>
    <row r="154" spans="1:27" s="36" customFormat="1" x14ac:dyDescent="0.15">
      <c r="C154" s="36" t="s">
        <v>2327</v>
      </c>
      <c r="D154" s="36" t="s">
        <v>2333</v>
      </c>
      <c r="E154" s="36" t="s">
        <v>2348</v>
      </c>
      <c r="M154" s="36" t="s">
        <v>1438</v>
      </c>
      <c r="S154" s="36">
        <v>1</v>
      </c>
      <c r="V154" s="36" t="str">
        <f t="shared" si="27"/>
        <v>{szContent="增援已至飞沙关，速速进攻！",szTarget="恶人谷督廷卫",szNote="恶人·兵符增援·飞沙关",col={255,100,100,},[14]={bCenterAlarm=true,},tCountdown={{nClass=14,nIcon=8478,nFrame=8,szName="恶人·兵符增援·飞沙关",nTime="10,恶人·兵符增援·飞沙关;300,恶人·飞沙关·兵符冷却;305,恶人·飞沙关·可用兵符",nRefresh=1,key="兵符·飞沙关",},},},</v>
      </c>
      <c r="W154" s="36" t="s">
        <v>2444</v>
      </c>
    </row>
    <row r="155" spans="1:27" x14ac:dyDescent="0.15">
      <c r="C155" t="s">
        <v>2188</v>
      </c>
      <c r="D155" s="43" t="s">
        <v>2547</v>
      </c>
      <c r="G155"/>
      <c r="I155"/>
      <c r="M155" t="s">
        <v>1438</v>
      </c>
      <c r="S155" s="36"/>
      <c r="T155" s="36"/>
      <c r="V155" s="36" t="str">
        <f t="shared" si="27"/>
        <v>{szContent="随着霸图的死亡，一柄钢刀从他身上滑落，似乎是他的随身信物。",szTarget="%",col={255,100,100,},[14]={},tCountdown={{nClass=14,nIcon=2864,nFrame=7,szName="霸图",nTime=0,key="霸图",},{nClass=14,nIcon=2864,nFrame=7,szName="霸图",nTime="60,霸图的信物;302,霸图·刷新剩余;304,霸图·即将刷新",nRefresh=60,key="霸图",},},},</v>
      </c>
      <c r="W155" s="36" t="s">
        <v>2537</v>
      </c>
      <c r="X155" s="36" t="s">
        <v>2543</v>
      </c>
      <c r="Z155" s="36"/>
      <c r="AA155" s="36"/>
    </row>
    <row r="156" spans="1:27" x14ac:dyDescent="0.15">
      <c r="C156" t="s">
        <v>2188</v>
      </c>
      <c r="D156" s="43" t="s">
        <v>2548</v>
      </c>
      <c r="G156"/>
      <c r="I156"/>
      <c r="M156" t="s">
        <v>1565</v>
      </c>
      <c r="S156" s="36"/>
      <c r="T156" s="36"/>
      <c r="V156" s="36" t="str">
        <f t="shared" si="27"/>
        <v>{szContent="随着孙永恒的死亡，一柄短剑从他身上滑落，似乎是他的随身信物。",szTarget="%",col={100,100,255,},[14]={},tCountdown={{nClass=14,nIcon=845,nFrame=3,szName="孙永恒",nTime=0,key="孙永恒",},{nClass=14,nIcon=845,nFrame=3,szName="孙永恒",nTime="60,孙永恒的信物;302,孙永恒·刷新剩余;304,孙永恒·即将刷新",nRefresh=60,key="孙永恒",},},},</v>
      </c>
      <c r="W156" s="36" t="s">
        <v>2539</v>
      </c>
      <c r="X156" s="36" t="s">
        <v>2544</v>
      </c>
      <c r="Z156" s="36"/>
      <c r="AA156" s="36"/>
    </row>
    <row r="157" spans="1:27" s="36" customFormat="1" x14ac:dyDescent="0.15">
      <c r="C157" s="36" t="s">
        <v>1589</v>
      </c>
      <c r="D157" s="36" t="s">
        <v>1590</v>
      </c>
      <c r="M157" s="36" t="s">
        <v>1438</v>
      </c>
      <c r="V157" s="36" t="str">
        <f t="shared" si="27"/>
        <v>{szContent="恶人谷老友们可在我这里传送到恶人谷！",szTarget="霸图",col={255,100,100,},[14]={},tCountdown={{nClass=-1,nIcon=2864,nFrame=7,szName="霸图·已刷新",nTime=2,nRefresh=600,key="霸图",},},},</v>
      </c>
      <c r="W157" s="36" t="s">
        <v>2725</v>
      </c>
    </row>
    <row r="158" spans="1:27" s="36" customFormat="1" x14ac:dyDescent="0.15">
      <c r="C158" s="36" t="s">
        <v>1583</v>
      </c>
      <c r="D158" s="36" t="s">
        <v>1584</v>
      </c>
      <c r="M158" s="36" t="s">
        <v>1565</v>
      </c>
      <c r="V158" s="36" t="str">
        <f t="shared" si="27"/>
        <v>{szContent="浩气盟侠士们可在我这里传送到浩气盟！",szTarget="孙永恒",col={100,100,255,},[14]={},tCountdown={{nClass=-1,nIcon=845,nFrame=3,szName="孙永恒·已刷新",nTime=2,nRefresh=600,key="孙永恒",},},},</v>
      </c>
      <c r="W158" s="36" t="s">
        <v>2726</v>
      </c>
    </row>
    <row r="159" spans="1:27" x14ac:dyDescent="0.15">
      <c r="A159" s="36" t="s">
        <v>1809</v>
      </c>
      <c r="B159" s="36">
        <v>9</v>
      </c>
      <c r="V159" s="36" t="str">
        <f t="shared" si="27"/>
        <v>},[9]={</v>
      </c>
    </row>
    <row r="160" spans="1:27" s="36" customFormat="1" x14ac:dyDescent="0.15">
      <c r="C160" s="36" t="s">
        <v>2326</v>
      </c>
      <c r="D160" s="36" t="s">
        <v>2334</v>
      </c>
      <c r="E160" s="36" t="s">
        <v>2349</v>
      </c>
      <c r="M160" s="36" t="s">
        <v>1565</v>
      </c>
      <c r="S160" s="36">
        <v>1</v>
      </c>
      <c r="V160" s="36" t="str">
        <f t="shared" si="27"/>
        <v>{szContent="增援已至红莲岗，速速进攻！",szTarget="浩气盟督廷卫",szNote="浩气·兵符增援·红莲岗",col={100,100,255,},[14]={bCenterAlarm=true,},tCountdown={{nClass=14,nIcon=8478,nFrame=8,szName="浩气·兵符增援·红莲岗",nTime="10,浩气·兵符增援·红莲岗;300,浩气·红莲岗·兵符冷却;305,浩气·红莲岗·可用兵符",nRefresh=1,key="兵符·红莲岗",},},},</v>
      </c>
      <c r="W160" s="36" t="s">
        <v>2437</v>
      </c>
    </row>
    <row r="161" spans="1:27" s="36" customFormat="1" x14ac:dyDescent="0.15">
      <c r="C161" s="36" t="s">
        <v>2326</v>
      </c>
      <c r="D161" s="36" t="s">
        <v>2335</v>
      </c>
      <c r="E161" s="36" t="s">
        <v>2350</v>
      </c>
      <c r="M161" s="36" t="s">
        <v>1565</v>
      </c>
      <c r="S161" s="36">
        <v>1</v>
      </c>
      <c r="V161" s="36" t="str">
        <f t="shared" si="27"/>
        <v>{szContent="增援已至秋雨堡，速速进攻！",szTarget="浩气盟督廷卫",szNote="浩气·兵符增援·秋雨堡",col={100,100,255,},[14]={bCenterAlarm=true,},tCountdown={{nClass=14,nIcon=8478,nFrame=8,szName="浩气·兵符增援·秋雨堡",nTime="10,浩气·兵符增援·秋雨堡;300,浩气·秋雨堡·兵符冷却;305,浩气·秋雨堡·可用兵符",nRefresh=1,key="兵符·秋雨堡",},},},</v>
      </c>
      <c r="W161" s="36" t="s">
        <v>2438</v>
      </c>
    </row>
    <row r="162" spans="1:27" x14ac:dyDescent="0.15">
      <c r="A162" s="36" t="s">
        <v>1814</v>
      </c>
      <c r="B162" s="36">
        <v>103</v>
      </c>
      <c r="V162" s="36" t="str">
        <f t="shared" si="27"/>
        <v>},[103]={</v>
      </c>
    </row>
    <row r="163" spans="1:27" s="36" customFormat="1" x14ac:dyDescent="0.15">
      <c r="C163" s="36" t="s">
        <v>2342</v>
      </c>
      <c r="D163" s="36" t="s">
        <v>2336</v>
      </c>
      <c r="E163" s="36" t="s">
        <v>2351</v>
      </c>
      <c r="M163" s="36" t="s">
        <v>1438</v>
      </c>
      <c r="S163" s="36">
        <v>1</v>
      </c>
      <c r="V163" s="36" t="str">
        <f t="shared" si="27"/>
        <v>{szContent="增援已至神池岭，速速进攻！",szTarget="恶人谷督廷卫",szNote="恶人·兵符增援·神池岭",col={255,100,100,},[14]={bCenterAlarm=true,},tCountdown={{nClass=14,nIcon=8478,nFrame=8,szName="恶人·兵符增援·神池岭",nTime="10,恶人·兵符增援·神池岭;300,恶人·神池岭·兵符冷却;305,恶人·神池岭·可用兵符",nRefresh=1,key="兵符·神池岭",},},},</v>
      </c>
      <c r="W163" s="36" t="s">
        <v>2445</v>
      </c>
    </row>
    <row r="164" spans="1:27" s="36" customFormat="1" x14ac:dyDescent="0.15">
      <c r="C164" s="36" t="s">
        <v>2327</v>
      </c>
      <c r="D164" s="36" t="s">
        <v>2337</v>
      </c>
      <c r="E164" s="36" t="s">
        <v>2352</v>
      </c>
      <c r="M164" s="36" t="s">
        <v>1438</v>
      </c>
      <c r="S164" s="36">
        <v>1</v>
      </c>
      <c r="V164" s="36" t="str">
        <f t="shared" si="27"/>
        <v>{szContent="增援已至烈日岗，速速进攻！",szTarget="恶人谷督廷卫",szNote="恶人·兵符增援·烈日岗",col={255,100,100,},[14]={bCenterAlarm=true,},tCountdown={{nClass=14,nIcon=8478,nFrame=8,szName="恶人·兵符增援·烈日岗",nTime="10,恶人·兵符增援·烈日岗;300,恶人·烈日岗·兵符冷却;305,恶人·烈日岗·可用兵符",nRefresh=1,key="兵符·烈日岗",},},},</v>
      </c>
      <c r="W164" s="36" t="s">
        <v>2446</v>
      </c>
    </row>
    <row r="165" spans="1:27" x14ac:dyDescent="0.15">
      <c r="A165" s="36" t="s">
        <v>1816</v>
      </c>
      <c r="B165" s="36">
        <v>105</v>
      </c>
      <c r="V165" s="36" t="str">
        <f t="shared" si="27"/>
        <v>},[105]={</v>
      </c>
    </row>
    <row r="166" spans="1:27" s="36" customFormat="1" x14ac:dyDescent="0.15">
      <c r="C166" s="36" t="s">
        <v>2326</v>
      </c>
      <c r="D166" s="36" t="s">
        <v>2338</v>
      </c>
      <c r="E166" s="36" t="s">
        <v>2353</v>
      </c>
      <c r="M166" s="36" t="s">
        <v>1565</v>
      </c>
      <c r="S166" s="36">
        <v>1</v>
      </c>
      <c r="V166" s="36" t="str">
        <f t="shared" si="27"/>
        <v>{szContent="增援已至大理山城，速速进攻！",szTarget="浩气盟督廷卫",szNote="浩气·兵符增援·大理山城",col={100,100,255,},[14]={bCenterAlarm=true,},tCountdown={{nClass=14,nIcon=8478,nFrame=8,szName="浩气·兵符增援·大理山城",nTime="10,浩气·兵符增援·大理山城;300,浩气·大理山城·兵符冷却;305,浩气·大理山城·可用兵符",nRefresh=1,key="兵符·大理山城",},},},</v>
      </c>
      <c r="W166" s="36" t="s">
        <v>2439</v>
      </c>
    </row>
    <row r="167" spans="1:27" s="36" customFormat="1" x14ac:dyDescent="0.15">
      <c r="C167" s="36" t="s">
        <v>2326</v>
      </c>
      <c r="D167" s="36" t="s">
        <v>2339</v>
      </c>
      <c r="E167" s="36" t="s">
        <v>2354</v>
      </c>
      <c r="M167" s="36" t="s">
        <v>1565</v>
      </c>
      <c r="S167" s="36">
        <v>1</v>
      </c>
      <c r="V167" s="36" t="str">
        <f t="shared" si="27"/>
        <v>{szContent="增援已至千岩关，速速进攻！",szTarget="浩气盟督廷卫",szNote="浩气·兵符增援·千岩关",col={100,100,255,},[14]={bCenterAlarm=true,},tCountdown={{nClass=14,nIcon=8478,nFrame=8,szName="浩气·兵符增援·千岩关",nTime="10,浩气·兵符增援·千岩关;300,浩气·千岩关·兵符冷却;305,浩气·千岩关·可用兵符",nRefresh=1,key="兵符·千岩关",},},},</v>
      </c>
      <c r="W167" s="36" t="s">
        <v>2440</v>
      </c>
    </row>
    <row r="168" spans="1:27" x14ac:dyDescent="0.15">
      <c r="A168" s="36" t="s">
        <v>1818</v>
      </c>
      <c r="B168" s="36">
        <v>153</v>
      </c>
      <c r="V168" s="36" t="str">
        <f t="shared" si="27"/>
        <v>},[153]={</v>
      </c>
    </row>
    <row r="169" spans="1:27" s="36" customFormat="1" x14ac:dyDescent="0.15">
      <c r="C169" s="36" t="s">
        <v>2327</v>
      </c>
      <c r="D169" s="36" t="s">
        <v>2340</v>
      </c>
      <c r="E169" s="36" t="s">
        <v>2355</v>
      </c>
      <c r="M169" s="36" t="s">
        <v>1438</v>
      </c>
      <c r="S169" s="36">
        <v>1</v>
      </c>
      <c r="V169" s="36" t="str">
        <f t="shared" si="27"/>
        <v>{szContent="增援已至扶风郡，速速进攻！",szTarget="恶人谷督廷卫",szNote="恶人·兵符增援·扶风郡",col={255,100,100,},[14]={bCenterAlarm=true,},tCountdown={{nClass=14,nIcon=8478,nFrame=8,szName="恶人·兵符增援·扶风郡",nTime="10,恶人·兵符增援·扶风郡;300,恶人·扶风郡·兵符冷却;305,恶人·扶风郡·可用兵符",nRefresh=1,key="兵符·扶风郡",},},},</v>
      </c>
      <c r="W169" s="36" t="s">
        <v>2447</v>
      </c>
    </row>
    <row r="170" spans="1:27" s="36" customFormat="1" x14ac:dyDescent="0.15">
      <c r="C170" s="36" t="s">
        <v>2327</v>
      </c>
      <c r="D170" s="36" t="s">
        <v>2341</v>
      </c>
      <c r="E170" s="36" t="s">
        <v>2356</v>
      </c>
      <c r="M170" s="36" t="s">
        <v>1438</v>
      </c>
      <c r="S170" s="36">
        <v>1</v>
      </c>
      <c r="V170" s="36" t="str">
        <f t="shared" si="27"/>
        <v>{szContent="增援已至世外坡，速速进攻！",szTarget="恶人谷督廷卫",szNote="恶人·兵符增援·世外坡",col={255,100,100,},[14]={bCenterAlarm=true,},tCountdown={{nClass=14,nIcon=8478,nFrame=8,szName="恶人·兵符增援·世外坡",nTime="10,恶人·兵符增援·世外坡;300,恶人·世外坡·兵符冷却;305,恶人·世外坡·可用兵符",nRefresh=1,key="兵符·世外坡",},},},</v>
      </c>
      <c r="W170" s="36" t="s">
        <v>2441</v>
      </c>
    </row>
    <row r="171" spans="1:27" x14ac:dyDescent="0.15">
      <c r="A171" s="36" t="s">
        <v>1819</v>
      </c>
      <c r="B171" s="36">
        <v>216</v>
      </c>
      <c r="V171" s="36" t="str">
        <f t="shared" si="27"/>
        <v>},[216]={</v>
      </c>
    </row>
    <row r="172" spans="1:27" s="36" customFormat="1" x14ac:dyDescent="0.15">
      <c r="C172" s="36" t="s">
        <v>2188</v>
      </c>
      <c r="D172" s="43" t="s">
        <v>1946</v>
      </c>
      <c r="E172" s="36" t="s">
        <v>1945</v>
      </c>
      <c r="M172" s="36" t="s">
        <v>1432</v>
      </c>
      <c r="O172" s="36">
        <v>1</v>
      </c>
      <c r="S172" s="36">
        <v>1</v>
      </c>
      <c r="V172" s="36" t="str">
        <f t="shared" si="27"/>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72" s="36" t="s">
        <v>2556</v>
      </c>
      <c r="X172" s="36" t="s">
        <v>2557</v>
      </c>
      <c r="Y172" s="36" t="s">
        <v>2558</v>
      </c>
    </row>
    <row r="173" spans="1:27" s="36" customFormat="1" x14ac:dyDescent="0.15">
      <c r="C173" s="40" t="s">
        <v>2188</v>
      </c>
      <c r="D173" s="36" t="s">
        <v>1578</v>
      </c>
      <c r="M173" s="36" t="s">
        <v>1565</v>
      </c>
      <c r="N173" s="36">
        <v>1</v>
      </c>
      <c r="V173" s="36" t="str">
        <f t="shared" si="27"/>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73" s="36" t="s">
        <v>2434</v>
      </c>
      <c r="X173" s="36" t="s">
        <v>2646</v>
      </c>
    </row>
    <row r="174" spans="1:27" s="36" customFormat="1" x14ac:dyDescent="0.15">
      <c r="C174" s="40" t="s">
        <v>2188</v>
      </c>
      <c r="D174" s="36" t="s">
        <v>1579</v>
      </c>
      <c r="M174" s="36" t="s">
        <v>1438</v>
      </c>
      <c r="N174" s="36">
        <v>1</v>
      </c>
      <c r="V174" s="36" t="str">
        <f t="shared" si="27"/>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74" s="36" t="s">
        <v>2434</v>
      </c>
      <c r="X174" s="36" t="s">
        <v>2647</v>
      </c>
    </row>
    <row r="175" spans="1:27" s="36" customFormat="1" x14ac:dyDescent="0.15">
      <c r="C175" s="40" t="s">
        <v>2188</v>
      </c>
      <c r="D175" s="36" t="s">
        <v>2490</v>
      </c>
      <c r="E175" s="36" t="s">
        <v>2491</v>
      </c>
      <c r="M175" s="36" t="s">
        <v>1748</v>
      </c>
      <c r="S175" s="36">
        <v>1</v>
      </c>
      <c r="V175" s="36" t="str">
        <f t="shared" si="27"/>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75" s="36" t="s">
        <v>2493</v>
      </c>
      <c r="X175" s="36" t="s">
        <v>2494</v>
      </c>
      <c r="Y175" s="36" t="s">
        <v>2495</v>
      </c>
      <c r="Z175" s="36" t="s">
        <v>2497</v>
      </c>
      <c r="AA175" s="36" t="s">
        <v>2496</v>
      </c>
    </row>
    <row r="176" spans="1:27" s="36" customFormat="1" x14ac:dyDescent="0.15">
      <c r="C176" s="40" t="s">
        <v>1431</v>
      </c>
      <c r="D176" s="36" t="s">
        <v>2504</v>
      </c>
      <c r="E176" s="36" t="s">
        <v>2505</v>
      </c>
      <c r="M176" s="36" t="s">
        <v>1432</v>
      </c>
      <c r="O176" s="36">
        <v>1</v>
      </c>
      <c r="S176" s="36">
        <v>1</v>
      </c>
      <c r="V176" s="36" t="str">
        <f t="shared" si="27"/>
        <v>{szContent="(.-)离开据点过久，或在原地五尺范围内盘踞超过五分钟，旗帜重置！",szTarget="%",szNote="[{$1}]·离开据点·大旗重置",col={255,255,100,},bReg=true,[14]={bCenterAlarm=true,},tCountdown={{nClass=14,nIcon=592,nFrame=4,szName="【离开据点】大旗重置",nTime=180,key="离开据点·大旗重置",},},},</v>
      </c>
      <c r="W176" s="36" t="s">
        <v>2506</v>
      </c>
    </row>
    <row r="177" spans="1:27" s="36" customFormat="1" x14ac:dyDescent="0.15">
      <c r="C177" s="40"/>
      <c r="D177" s="36" t="s">
        <v>2500</v>
      </c>
      <c r="E177" s="36" t="s">
        <v>2501</v>
      </c>
      <c r="M177" s="36" t="s">
        <v>2502</v>
      </c>
      <c r="P177" s="36" t="s">
        <v>1089</v>
      </c>
      <c r="Q177" s="36">
        <v>1</v>
      </c>
      <c r="R177" s="36">
        <v>1</v>
      </c>
      <c r="S177" s="36">
        <v>1</v>
      </c>
      <c r="U177" s="36">
        <v>1</v>
      </c>
      <c r="V177" s="36" t="str">
        <f t="shared" si="27"/>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77" s="36" t="s">
        <v>2503</v>
      </c>
    </row>
    <row r="178" spans="1:27" s="36" customFormat="1" x14ac:dyDescent="0.15">
      <c r="C178" s="40"/>
      <c r="D178" s="36" t="s">
        <v>1899</v>
      </c>
      <c r="M178" s="36" t="s">
        <v>1748</v>
      </c>
      <c r="V178" s="36" t="str">
        <f t="shared" si="27"/>
        <v>{szContent="你已经离开据点，10秒内未进入据点，则据点旗帜重置。",col={255,255,100,},[14]={},tCountdown={{nClass=14,nIcon=592,nFrame=2,szName="据点大旗·重置剩余",nTime=10,key="离开据点·大旗重置",},},},</v>
      </c>
      <c r="W178" s="36" t="s">
        <v>1909</v>
      </c>
    </row>
    <row r="179" spans="1:27" s="36" customFormat="1" x14ac:dyDescent="0.15">
      <c r="C179" s="40" t="s">
        <v>2191</v>
      </c>
      <c r="D179" s="36" t="s">
        <v>2366</v>
      </c>
      <c r="E179" s="36" t="s">
        <v>2367</v>
      </c>
      <c r="V179" s="36" t="str">
        <f t="shared" si="27"/>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79" s="36" t="s">
        <v>2368</v>
      </c>
      <c r="X179" s="38" t="s">
        <v>2559</v>
      </c>
      <c r="Y179" s="38" t="s">
        <v>2560</v>
      </c>
    </row>
    <row r="180" spans="1:27" s="36" customFormat="1" x14ac:dyDescent="0.15">
      <c r="C180" s="40" t="s">
        <v>2191</v>
      </c>
      <c r="D180" s="36" t="s">
        <v>1580</v>
      </c>
      <c r="E180" s="36" t="s">
        <v>2194</v>
      </c>
      <c r="V180" s="36" t="str">
        <f t="shared" si="27"/>
        <v>{szContent="哼，打扰本大爷休息！",szTarget="狼牙先锋首领",szNote="狼牙先锋首领·刷新喊话1",[14]={},tCountdown={{nClass=14,nIcon=3556,nFrame=1,szName="狼牙先锋首领·已经刷新",nTime=10,nRefresh=120,key="狼牙先锋首领",},},},</v>
      </c>
      <c r="W180" s="36" t="s">
        <v>2190</v>
      </c>
    </row>
    <row r="181" spans="1:27" s="36" customFormat="1" x14ac:dyDescent="0.15">
      <c r="C181" s="40" t="s">
        <v>2191</v>
      </c>
      <c r="D181" s="36" t="s">
        <v>1581</v>
      </c>
      <c r="E181" s="36" t="s">
        <v>2195</v>
      </c>
      <c r="V181" s="36" t="str">
        <f t="shared" si="27"/>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81" s="36" t="s">
        <v>2190</v>
      </c>
      <c r="X181" s="40" t="s">
        <v>2410</v>
      </c>
      <c r="Y181" s="40" t="s">
        <v>2411</v>
      </c>
    </row>
    <row r="182" spans="1:27" s="36" customFormat="1" x14ac:dyDescent="0.15">
      <c r="C182" s="40" t="s">
        <v>2191</v>
      </c>
      <c r="D182" s="36" t="s">
        <v>1582</v>
      </c>
      <c r="E182" s="36" t="s">
        <v>2687</v>
      </c>
      <c r="V182" s="36" t="str">
        <f t="shared" si="27"/>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82" s="36" t="s">
        <v>2645</v>
      </c>
      <c r="X182" s="40" t="s">
        <v>2410</v>
      </c>
      <c r="Y182" s="40" t="s">
        <v>2411</v>
      </c>
    </row>
    <row r="183" spans="1:27" x14ac:dyDescent="0.15">
      <c r="A183" s="36" t="s">
        <v>613</v>
      </c>
      <c r="B183" s="36">
        <v>656</v>
      </c>
      <c r="V183" s="36" t="str">
        <f t="shared" si="27"/>
        <v>},[656]={</v>
      </c>
    </row>
    <row r="184" spans="1:27" s="36" customFormat="1" x14ac:dyDescent="0.15">
      <c r="C184" s="36" t="s">
        <v>2188</v>
      </c>
      <c r="D184" s="43" t="s">
        <v>1946</v>
      </c>
      <c r="E184" s="36" t="s">
        <v>1945</v>
      </c>
      <c r="M184" s="36" t="s">
        <v>1432</v>
      </c>
      <c r="O184" s="36">
        <v>1</v>
      </c>
      <c r="S184" s="36">
        <v>1</v>
      </c>
      <c r="V184" s="36" t="str">
        <f t="shared" si="27"/>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84" s="36" t="s">
        <v>2556</v>
      </c>
      <c r="X184" s="36" t="s">
        <v>2557</v>
      </c>
      <c r="Y184" s="36" t="s">
        <v>2558</v>
      </c>
    </row>
    <row r="185" spans="1:27" s="36" customFormat="1" x14ac:dyDescent="0.15">
      <c r="C185" s="40" t="s">
        <v>2188</v>
      </c>
      <c r="D185" s="36" t="s">
        <v>1578</v>
      </c>
      <c r="M185" s="36" t="s">
        <v>1565</v>
      </c>
      <c r="N185" s="36">
        <v>1</v>
      </c>
      <c r="V185" s="36" t="str">
        <f t="shared" si="27"/>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85" s="36" t="s">
        <v>2434</v>
      </c>
      <c r="X185" s="36" t="s">
        <v>2646</v>
      </c>
    </row>
    <row r="186" spans="1:27" s="36" customFormat="1" x14ac:dyDescent="0.15">
      <c r="C186" s="40" t="s">
        <v>2188</v>
      </c>
      <c r="D186" s="36" t="s">
        <v>1579</v>
      </c>
      <c r="M186" s="36" t="s">
        <v>1438</v>
      </c>
      <c r="N186" s="36">
        <v>1</v>
      </c>
      <c r="V186" s="36" t="str">
        <f t="shared" si="27"/>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86" s="36" t="s">
        <v>2434</v>
      </c>
      <c r="X186" s="36" t="s">
        <v>2647</v>
      </c>
    </row>
    <row r="187" spans="1:27" s="36" customFormat="1" x14ac:dyDescent="0.15">
      <c r="C187" s="40" t="s">
        <v>2188</v>
      </c>
      <c r="D187" s="36" t="s">
        <v>2490</v>
      </c>
      <c r="E187" s="36" t="s">
        <v>2491</v>
      </c>
      <c r="M187" s="36" t="s">
        <v>1748</v>
      </c>
      <c r="S187" s="36">
        <v>1</v>
      </c>
      <c r="V187" s="36" t="str">
        <f t="shared" si="27"/>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87" s="36" t="s">
        <v>2493</v>
      </c>
      <c r="X187" s="36" t="s">
        <v>2494</v>
      </c>
      <c r="Y187" s="36" t="s">
        <v>2495</v>
      </c>
      <c r="Z187" s="36" t="s">
        <v>2497</v>
      </c>
      <c r="AA187" s="36" t="s">
        <v>2496</v>
      </c>
    </row>
    <row r="188" spans="1:27" s="36" customFormat="1" x14ac:dyDescent="0.15">
      <c r="C188" s="40" t="s">
        <v>1431</v>
      </c>
      <c r="D188" s="36" t="s">
        <v>2504</v>
      </c>
      <c r="E188" s="36" t="s">
        <v>2505</v>
      </c>
      <c r="M188" s="36" t="s">
        <v>1432</v>
      </c>
      <c r="O188" s="36">
        <v>1</v>
      </c>
      <c r="S188" s="36">
        <v>1</v>
      </c>
      <c r="V188" s="36" t="str">
        <f t="shared" si="27"/>
        <v>{szContent="(.-)离开据点过久，或在原地五尺范围内盘踞超过五分钟，旗帜重置！",szTarget="%",szNote="[{$1}]·离开据点·大旗重置",col={255,255,100,},bReg=true,[14]={bCenterAlarm=true,},tCountdown={{nClass=14,nIcon=592,nFrame=4,szName="【离开据点】大旗重置",nTime=180,key="离开据点·大旗重置",},},},</v>
      </c>
      <c r="W188" s="36" t="s">
        <v>2506</v>
      </c>
    </row>
    <row r="189" spans="1:27" s="36" customFormat="1" x14ac:dyDescent="0.15">
      <c r="C189" s="40"/>
      <c r="D189" s="36" t="s">
        <v>2500</v>
      </c>
      <c r="E189" s="36" t="s">
        <v>2501</v>
      </c>
      <c r="M189" s="36" t="s">
        <v>2502</v>
      </c>
      <c r="P189" s="36" t="s">
        <v>1089</v>
      </c>
      <c r="Q189" s="36">
        <v>1</v>
      </c>
      <c r="R189" s="36">
        <v>1</v>
      </c>
      <c r="S189" s="36">
        <v>1</v>
      </c>
      <c r="U189" s="36">
        <v>1</v>
      </c>
      <c r="V189" s="36" t="str">
        <f t="shared" si="27"/>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89" s="36" t="s">
        <v>2503</v>
      </c>
    </row>
    <row r="190" spans="1:27" s="36" customFormat="1" x14ac:dyDescent="0.15">
      <c r="C190" s="40"/>
      <c r="D190" s="36" t="s">
        <v>1899</v>
      </c>
      <c r="M190" s="36" t="s">
        <v>1748</v>
      </c>
      <c r="V190" s="36" t="str">
        <f t="shared" si="27"/>
        <v>{szContent="你已经离开据点，10秒内未进入据点，则据点旗帜重置。",col={255,255,100,},[14]={},tCountdown={{nClass=14,nIcon=592,nFrame=2,szName="据点大旗·重置剩余",nTime=10,key="离开据点·大旗重置",},},},</v>
      </c>
      <c r="W190" s="36" t="s">
        <v>1909</v>
      </c>
    </row>
    <row r="191" spans="1:27" s="36" customFormat="1" x14ac:dyDescent="0.15">
      <c r="C191" s="40" t="s">
        <v>2191</v>
      </c>
      <c r="D191" s="36" t="s">
        <v>2366</v>
      </c>
      <c r="E191" s="36" t="s">
        <v>2367</v>
      </c>
      <c r="V191" s="36" t="str">
        <f t="shared" si="27"/>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91" s="36" t="s">
        <v>2368</v>
      </c>
      <c r="X191" s="38" t="s">
        <v>2559</v>
      </c>
      <c r="Y191" s="38" t="s">
        <v>2560</v>
      </c>
    </row>
    <row r="192" spans="1:27" s="36" customFormat="1" x14ac:dyDescent="0.15">
      <c r="C192" s="40" t="s">
        <v>2191</v>
      </c>
      <c r="D192" s="36" t="s">
        <v>1580</v>
      </c>
      <c r="E192" s="36" t="s">
        <v>2194</v>
      </c>
      <c r="V192" s="36" t="str">
        <f t="shared" si="27"/>
        <v>{szContent="哼，打扰本大爷休息！",szTarget="狼牙先锋首领",szNote="狼牙先锋首领·刷新喊话1",[14]={},tCountdown={{nClass=14,nIcon=3556,nFrame=1,szName="狼牙先锋首领·已经刷新",nTime=10,nRefresh=120,key="狼牙先锋首领",},},},</v>
      </c>
      <c r="W192" s="36" t="s">
        <v>2190</v>
      </c>
    </row>
    <row r="193" spans="3:25" s="36" customFormat="1" x14ac:dyDescent="0.15">
      <c r="C193" s="40" t="s">
        <v>2191</v>
      </c>
      <c r="D193" s="36" t="s">
        <v>1581</v>
      </c>
      <c r="E193" s="36" t="s">
        <v>2195</v>
      </c>
      <c r="V193" s="36" t="str">
        <f t="shared" si="27"/>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93" s="36" t="s">
        <v>2190</v>
      </c>
      <c r="X193" s="40" t="s">
        <v>2410</v>
      </c>
      <c r="Y193" s="40" t="s">
        <v>2411</v>
      </c>
    </row>
    <row r="194" spans="3:25" s="36" customFormat="1" x14ac:dyDescent="0.15">
      <c r="C194" s="40" t="s">
        <v>2191</v>
      </c>
      <c r="D194" s="36" t="s">
        <v>1582</v>
      </c>
      <c r="E194" s="36" t="s">
        <v>2687</v>
      </c>
      <c r="V194" s="36" t="str">
        <f t="shared" si="27"/>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94" s="36" t="s">
        <v>2645</v>
      </c>
      <c r="X194" s="40" t="s">
        <v>2410</v>
      </c>
      <c r="Y194" s="40" t="s">
        <v>2411</v>
      </c>
    </row>
    <row r="195" spans="3:25" x14ac:dyDescent="0.15">
      <c r="V195" s="36" t="str">
        <f t="shared" ref="V195" si="28">IF(ISBLANK(B195)=FALSE,IF(ISBLANK(B194),"},["&amp;B195&amp;"]={","["&amp;B195&amp;"]={"),IF(AND(ISBLANK(B195),ISBLANK(D195),ISBLANK(N195),ISBLANK(O195),OR(ISBLANK(B194)=FALSE,ISBLANK(D194)=FALSE,ISBLANK(N194)=FALSE,ISBLANK(O194)=FALSE)),"},},}",IF(ISBLANK(D195),"","{szContent="""&amp;D195&amp;""","&amp;IF(C195&lt;&gt;"","szTarget="""&amp;C195&amp;""",","")&amp;IF(E195&lt;&gt;"","szNote="""&amp;E195&amp;""",","")&amp;IF(M195&lt;&gt;"","col={"&amp;M195&amp;"},","")&amp;IF(N195&gt;0,"bSearch=true,","")&amp;IF(O195&gt;0,"bReg=true,","")&amp;"[14]={"&amp;IF(P195&gt;0,"szVoice="""&amp;P195&amp;""",","")&amp;IF(Q195&gt;0,"bTeamChannel=true,","")&amp;IF(R195&gt;0,"bWhisperChannel=true,","")&amp;IF(S195&gt;0,"bCenterAlarm=true,","")&amp;IF(T195&gt;0,"bScreenHead=true,","")&amp;IF(U195&gt;0,"bFullScreen=true,","")&amp;"},"&amp;IF(W195&lt;&gt;"","tCountdown={"&amp;_xlfn.TEXTJOIN("",TRUE,W195:AAH195)&amp;"},","")&amp;"},")))</f>
        <v>},},}</v>
      </c>
    </row>
  </sheetData>
  <autoFilter ref="A1:AV191" xr:uid="{9930944F-0E8A-459B-9EBC-D31B651D3108}"/>
  <phoneticPr fontId="18" type="noConversion"/>
  <pageMargins left="0.7" right="0.7" top="0.75" bottom="0.75" header="0.3" footer="0.3"/>
  <pageSetup paperSize="9" orientation="portrait" horizontalDpi="1200" verticalDpi="1200" r:id="rId1"/>
</worksheet>
</file>

<file path=xl/worksheets/sheet9.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72A71-AE2F-48FF-A98F-0D6E9F4CDE78}">
  <dimension ref="A1:BT153"/>
  <sheetViews>
    <sheetView tabSelected="1" topLeftCell="S1" zoomScale="90" zoomScaleNormal="90" workbookViewId="0">
      <pane ySplit="1" topLeftCell="A2" activePane="bottomLeft" state="frozen"/>
      <selection pane="bottomLeft" activeCell="U18" sqref="U18"/>
    </sheetView>
  </sheetViews>
  <sheetFormatPr defaultRowHeight="13.5" x14ac:dyDescent="0.15"/>
  <cols>
    <col min="3" max="3" width="88" customWidth="1"/>
    <col min="4" max="4" width="51.75" customWidth="1"/>
    <col min="5" max="10" width="10.625" customWidth="1"/>
    <col min="11" max="11" width="13.25" customWidth="1"/>
    <col min="12" max="13" width="9" customWidth="1"/>
    <col min="14" max="14" width="13" customWidth="1"/>
    <col min="15" max="15" width="13.375" customWidth="1"/>
    <col min="16" max="16" width="12.625" customWidth="1"/>
    <col min="17" max="18" width="13.125" customWidth="1"/>
    <col min="19" max="19" width="13.125" style="36" customWidth="1"/>
    <col min="20" max="20" width="41.375" customWidth="1"/>
    <col min="21" max="21" width="101.375" customWidth="1"/>
    <col min="22" max="22" width="93.125" customWidth="1"/>
    <col min="23" max="23" width="104.375" customWidth="1"/>
    <col min="24" max="24" width="94.625" customWidth="1"/>
    <col min="25" max="25" width="96.125" customWidth="1"/>
    <col min="26" max="26" width="89.625" customWidth="1"/>
    <col min="27" max="27" width="89.75" customWidth="1"/>
    <col min="28" max="28" width="32.25" customWidth="1"/>
    <col min="29" max="29" width="49.625" customWidth="1"/>
    <col min="30" max="30" width="34.875" customWidth="1"/>
    <col min="31" max="31" width="55.125" customWidth="1"/>
    <col min="32" max="32" width="38" customWidth="1"/>
    <col min="106" max="106" width="16" customWidth="1"/>
  </cols>
  <sheetData>
    <row r="1" spans="1:72" x14ac:dyDescent="0.15">
      <c r="A1" t="s">
        <v>0</v>
      </c>
      <c r="B1" t="s">
        <v>1420</v>
      </c>
      <c r="C1" t="s">
        <v>1423</v>
      </c>
      <c r="D1" t="s">
        <v>3</v>
      </c>
      <c r="E1" t="s">
        <v>1465</v>
      </c>
      <c r="F1" t="s">
        <v>1466</v>
      </c>
      <c r="G1" t="s">
        <v>1608</v>
      </c>
      <c r="H1" t="s">
        <v>1467</v>
      </c>
      <c r="I1" t="s">
        <v>1719</v>
      </c>
      <c r="J1" t="s">
        <v>1468</v>
      </c>
      <c r="K1" t="s">
        <v>1421</v>
      </c>
      <c r="L1" t="s">
        <v>1424</v>
      </c>
      <c r="M1" t="s">
        <v>1425</v>
      </c>
      <c r="N1" t="s">
        <v>1426</v>
      </c>
      <c r="O1" t="s">
        <v>1427</v>
      </c>
      <c r="P1" t="s">
        <v>1428</v>
      </c>
      <c r="Q1" t="s">
        <v>1429</v>
      </c>
      <c r="R1" t="s">
        <v>1430</v>
      </c>
      <c r="S1" s="36" t="s">
        <v>1969</v>
      </c>
      <c r="T1" t="s">
        <v>1926</v>
      </c>
    </row>
    <row r="2" spans="1:72" s="36" customFormat="1" x14ac:dyDescent="0.15">
      <c r="A2" s="36" t="s">
        <v>1716</v>
      </c>
      <c r="B2" s="36">
        <v>-19</v>
      </c>
      <c r="T2" s="36" t="str">
        <f>IF(ISBLANK(B2)=FALSE,IF(ISBLANK(B1),"},["&amp;B2&amp;"]={","["&amp;B2&amp;"]={"),IF(AND(ISBLANK(B2),ISBLANK(C2),ISBLANK(L2),ISBLANK(M2),OR(ISBLANK(B1)=FALSE,ISBLANK(C1)=FALSE,ISBLANK(L1)=FALSE,ISBLANK(M1)=FALSE)),"},},}",IF(ISBLANK(C2),"","{szContent="""&amp;C2&amp;""","&amp;IF(D2&lt;&gt;"","szNote="""&amp;D2&amp;""",","")&amp;IF(K2&lt;&gt;"","col={"&amp;K2&amp;"},","")&amp;IF(L2&gt;0,"bSearch=true,","")&amp;IF(M2&gt;0,"bReg=true,","")&amp;"[20]={"&amp;IF(N2&gt;0,"szVoice="""&amp;N2&amp;""",","")&amp;IF(O2&gt;0,"bTeamChannel=true,","")&amp;IF(P2&gt;0,"bWhisperChannel=true,","")&amp;IF(Q2&gt;0,"bCenterAlarm=true,","")&amp;IF(R2&gt;0,"bScreenHead=true,","")&amp;IF(S2&gt;0,"bFullScreen=true,","")&amp;"},"&amp;IF(U2&lt;&gt;"","tCountdown={"&amp;_xlfn.TEXTJOIN("",TRUE,U2:AAF2)&amp;"},","")&amp;"},")))</f>
        <v>[-19]={</v>
      </c>
    </row>
    <row r="3" spans="1:72" s="36" customFormat="1" x14ac:dyDescent="0.15">
      <c r="C3" s="36" t="s">
        <v>1666</v>
      </c>
      <c r="D3" s="36" t="s">
        <v>2081</v>
      </c>
      <c r="L3" s="36">
        <v>1</v>
      </c>
      <c r="T3" s="36" t="str">
        <f t="shared" ref="T3:T66" si="0">IF(ISBLANK(B3)=FALSE,IF(ISBLANK(B2),"},["&amp;B3&amp;"]={","["&amp;B3&amp;"]={"),IF(AND(ISBLANK(B3),ISBLANK(C3),ISBLANK(L3),ISBLANK(M3),OR(ISBLANK(B2)=FALSE,ISBLANK(C2)=FALSE,ISBLANK(L2)=FALSE,ISBLANK(M2)=FALSE)),"},},}",IF(ISBLANK(C3),"","{szContent="""&amp;C3&amp;""","&amp;IF(D3&lt;&gt;"","szNote="""&amp;D3&amp;""",","")&amp;IF(K3&lt;&gt;"","col={"&amp;K3&amp;"},","")&amp;IF(L3&gt;0,"bSearch=true,","")&amp;IF(M3&gt;0,"bReg=true,","")&amp;"[20]={"&amp;IF(N3&gt;0,"szVoice="""&amp;N3&amp;""",","")&amp;IF(O3&gt;0,"bTeamChannel=true,","")&amp;IF(P3&gt;0,"bWhisperChannel=true,","")&amp;IF(Q3&gt;0,"bCenterAlarm=true,","")&amp;IF(R3&gt;0,"bScreenHead=true,","")&amp;IF(S3&gt;0,"bFullScreen=true,","")&amp;"},"&amp;IF(U3&lt;&gt;"","tCountdown={"&amp;_xlfn.TEXTJOIN("",TRUE,U3:AAF3)&amp;"},","")&amp;"},")))</f>
        <v>{szContent="[团队监控]数据加载成功",szNote="关闭刷马等计时条",bSearch=true,[20]={},tCountdown={{nClass=20,nIcon=13,szName="诛恶事件",nTime=-1,nRefresh=7200,key="诛恶事件",},{nClass=20,nIcon=13,szName="通用事件",nTime=-1,nRefresh=7200,key="通用事件",},{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3" s="40" t="s">
        <v>2412</v>
      </c>
      <c r="V3" s="40" t="s">
        <v>2568</v>
      </c>
    </row>
    <row r="4" spans="1:72" s="36" customFormat="1" x14ac:dyDescent="0.15">
      <c r="C4" s="36" t="s">
        <v>2627</v>
      </c>
      <c r="D4" s="36" t="s">
        <v>2628</v>
      </c>
      <c r="K4" s="36" t="s">
        <v>1748</v>
      </c>
      <c r="T4" s="36" t="str">
        <f t="shared" si="0"/>
        <v>{szContent="驿马快报！本周浩气盟和恶人谷最终战为平手，未分胜负！\n",szNote="阵营事件·本周战平",col={255,255,100,},[20]={},tCountdown={{nClass=20,nIcon=13354,nFrame=4,szName="阵营事件·本周战平",nTime=60,key="阵营活动",},},},</v>
      </c>
      <c r="U4" s="36" t="s">
        <v>2629</v>
      </c>
    </row>
    <row r="5" spans="1:72" s="36" customFormat="1" x14ac:dyDescent="0.15">
      <c r="C5" s="36" t="s">
        <v>1936</v>
      </c>
      <c r="D5" s="36" t="s">
        <v>1938</v>
      </c>
      <c r="K5" s="36" t="s">
        <v>1438</v>
      </c>
      <c r="T5" s="36"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 s="36" t="s">
        <v>2024</v>
      </c>
    </row>
    <row r="6" spans="1:72" s="36" customFormat="1" x14ac:dyDescent="0.15">
      <c r="C6" s="36" t="s">
        <v>1935</v>
      </c>
      <c r="D6" s="36" t="s">
        <v>1937</v>
      </c>
      <c r="K6" s="36" t="s">
        <v>1565</v>
      </c>
      <c r="T6" s="36"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6" s="36" t="s">
        <v>2025</v>
      </c>
    </row>
    <row r="7" spans="1:72" x14ac:dyDescent="0.15">
      <c r="C7" t="s">
        <v>2358</v>
      </c>
      <c r="D7" t="s">
        <v>2359</v>
      </c>
      <c r="K7" t="s">
        <v>1432</v>
      </c>
      <c r="T7" s="36" t="str">
        <f t="shared" si="0"/>
        <v>{szContent="本场攻防“奇袭场”已结束，浩气盟侠士和恶人谷侠士经过一场恶战，势均力敌，最终打为平手。战利品稍后开始拍卖，请留意！\n",szNote="奇袭场·平局",col={255,255,100,},[20]={},tCountdown={{nClass=20,nIcon=2402,nFrame=4,szName="奇袭场·平局",nTime=57,nRefresh=5,key="大攻防·奇袭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7" t="s">
        <v>2399</v>
      </c>
      <c r="V7" s="36" t="s">
        <v>2717</v>
      </c>
      <c r="W7" s="36" t="s">
        <v>2715</v>
      </c>
      <c r="X7" s="36" t="s">
        <v>2716</v>
      </c>
      <c r="Y7" s="36" t="s">
        <v>2113</v>
      </c>
      <c r="Z7" s="36" t="s">
        <v>2098</v>
      </c>
      <c r="AA7" s="36" t="s">
        <v>1940</v>
      </c>
      <c r="AB7" s="36" t="s">
        <v>1941</v>
      </c>
      <c r="AC7" s="52" t="s">
        <v>2649</v>
      </c>
      <c r="AD7" s="36"/>
      <c r="AE7" s="36"/>
      <c r="AF7" s="36"/>
      <c r="AG7" s="36"/>
      <c r="AH7" s="36"/>
      <c r="AI7" s="36"/>
      <c r="AJ7" s="36"/>
      <c r="AK7" s="36"/>
      <c r="AL7" s="36"/>
      <c r="AM7" s="36"/>
      <c r="AN7" s="36"/>
      <c r="AO7" s="36"/>
      <c r="AP7" s="36"/>
      <c r="AQ7" s="36"/>
      <c r="AR7" s="36"/>
      <c r="AS7" s="36"/>
      <c r="AT7" s="36"/>
      <c r="AU7" s="36"/>
      <c r="AV7" s="36"/>
      <c r="AW7" s="36"/>
      <c r="AX7" s="36"/>
      <c r="AY7" s="36"/>
      <c r="AZ7" s="36"/>
      <c r="BA7" s="36"/>
      <c r="BB7" s="36"/>
      <c r="BC7" s="36"/>
      <c r="BD7" s="36"/>
      <c r="BE7" s="36"/>
      <c r="BF7" s="36"/>
      <c r="BG7" s="36"/>
      <c r="BH7" s="36"/>
      <c r="BI7" s="36"/>
      <c r="BJ7" s="36"/>
      <c r="BK7" s="36"/>
      <c r="BL7" s="36"/>
      <c r="BM7" s="36"/>
      <c r="BN7" s="36"/>
      <c r="BO7" s="36"/>
      <c r="BP7" s="36"/>
    </row>
    <row r="8" spans="1:72" x14ac:dyDescent="0.15">
      <c r="C8" t="s">
        <v>2357</v>
      </c>
      <c r="D8" t="s">
        <v>2360</v>
      </c>
      <c r="K8" t="s">
        <v>1432</v>
      </c>
      <c r="T8" s="36" t="str">
        <f t="shared" si="0"/>
        <v>{szContent="本场攻防“主战场”已结束，浩气盟侠士和恶人谷侠士经过一场恶战，势均力敌，最终打为平手。战利品稍后开始拍卖，请留意！\n",szNote="主战场·平局",col={255,255,100,},[20]={},tCountdown={{nClass=20,nIcon=2400,nFrame=0,szName="主战场·平局",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8" t="s">
        <v>2398</v>
      </c>
      <c r="V8" s="36" t="s">
        <v>2717</v>
      </c>
      <c r="W8" s="36" t="s">
        <v>2715</v>
      </c>
      <c r="X8" s="36" t="s">
        <v>2716</v>
      </c>
      <c r="Y8" s="36" t="s">
        <v>2113</v>
      </c>
      <c r="Z8" s="36" t="s">
        <v>2098</v>
      </c>
      <c r="AA8" s="36" t="s">
        <v>1940</v>
      </c>
      <c r="AB8" s="36" t="s">
        <v>1941</v>
      </c>
      <c r="AC8" s="52" t="s">
        <v>2649</v>
      </c>
      <c r="AD8" s="36"/>
      <c r="AE8" s="36"/>
      <c r="AF8" s="36"/>
      <c r="AG8" s="36"/>
      <c r="AH8" s="36"/>
      <c r="AI8" s="36"/>
      <c r="AJ8" s="36"/>
      <c r="AK8" s="36"/>
      <c r="AL8" s="36"/>
      <c r="AM8" s="36"/>
      <c r="AN8" s="36"/>
      <c r="AO8" s="36"/>
      <c r="AP8" s="36"/>
      <c r="AQ8" s="36"/>
      <c r="AR8" s="36"/>
      <c r="AS8" s="36"/>
      <c r="AT8" s="36"/>
      <c r="AU8" s="36"/>
      <c r="AV8" s="36"/>
      <c r="AW8" s="36"/>
      <c r="AX8" s="36"/>
      <c r="AY8" s="36"/>
      <c r="AZ8" s="36"/>
      <c r="BA8" s="36"/>
      <c r="BB8" s="36"/>
      <c r="BC8" s="36"/>
      <c r="BD8" s="36"/>
      <c r="BE8" s="36"/>
      <c r="BF8" s="36"/>
      <c r="BG8" s="36"/>
      <c r="BH8" s="36"/>
      <c r="BI8" s="36"/>
      <c r="BJ8" s="36"/>
      <c r="BK8" s="36"/>
      <c r="BL8" s="36"/>
      <c r="BM8" s="36"/>
      <c r="BN8" s="36"/>
      <c r="BO8" s="36"/>
      <c r="BP8" s="36"/>
    </row>
    <row r="9" spans="1:72" x14ac:dyDescent="0.15">
      <c r="C9" t="s">
        <v>1487</v>
      </c>
      <c r="D9" t="s">
        <v>1931</v>
      </c>
      <c r="K9" t="s">
        <v>1432</v>
      </c>
      <c r="M9">
        <v>1</v>
      </c>
      <c r="Q9">
        <v>1</v>
      </c>
      <c r="T9" s="36" t="str">
        <f t="shared" si="0"/>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9" s="36" t="s">
        <v>2510</v>
      </c>
      <c r="V9" s="36" t="s">
        <v>2511</v>
      </c>
      <c r="W9" t="s">
        <v>2187</v>
      </c>
      <c r="X9" s="36" t="s">
        <v>2397</v>
      </c>
      <c r="Y9" s="36" t="s">
        <v>2396</v>
      </c>
      <c r="Z9" s="36" t="s">
        <v>2717</v>
      </c>
      <c r="AA9" s="36" t="s">
        <v>2715</v>
      </c>
      <c r="AB9" s="36" t="s">
        <v>2716</v>
      </c>
      <c r="AC9" s="36" t="s">
        <v>2113</v>
      </c>
      <c r="AD9" s="36" t="s">
        <v>2098</v>
      </c>
      <c r="AE9" s="36" t="s">
        <v>1940</v>
      </c>
      <c r="AF9" s="36" t="s">
        <v>1941</v>
      </c>
      <c r="AG9" s="40" t="s">
        <v>2649</v>
      </c>
      <c r="AH9" s="36"/>
      <c r="AI9" s="36"/>
      <c r="AJ9" s="36"/>
      <c r="AK9" s="36"/>
      <c r="AL9" s="36"/>
      <c r="AM9" s="36"/>
      <c r="AN9" s="36"/>
      <c r="AO9" s="36"/>
      <c r="AP9" s="36"/>
      <c r="AQ9" s="36"/>
      <c r="AR9" s="36"/>
      <c r="AS9" s="36"/>
      <c r="AT9" s="36"/>
      <c r="AU9" s="36"/>
      <c r="AV9" s="36"/>
      <c r="AW9" s="36"/>
      <c r="AX9" s="36"/>
      <c r="AY9" s="36"/>
      <c r="AZ9" s="36"/>
      <c r="BA9" s="36"/>
      <c r="BB9" s="36"/>
      <c r="BC9" s="36"/>
      <c r="BD9" s="36"/>
      <c r="BE9" s="36"/>
      <c r="BF9" s="36"/>
      <c r="BG9" s="36"/>
      <c r="BH9" s="36"/>
      <c r="BI9" s="36"/>
      <c r="BJ9" s="36"/>
      <c r="BK9" s="36"/>
      <c r="BL9" s="36"/>
      <c r="BM9" s="36"/>
      <c r="BN9" s="36"/>
      <c r="BO9" s="36"/>
      <c r="BP9" s="36"/>
      <c r="BQ9" s="36"/>
      <c r="BR9" s="36"/>
      <c r="BS9" s="36"/>
      <c r="BT9" s="36"/>
    </row>
    <row r="10" spans="1:72" s="36" customFormat="1" x14ac:dyDescent="0.15">
      <c r="C10" s="36" t="s">
        <v>2196</v>
      </c>
      <c r="D10" s="36" t="s">
        <v>2197</v>
      </c>
      <c r="K10" s="36" t="s">
        <v>1432</v>
      </c>
      <c r="T10" s="36" t="str">
        <f t="shared" si="0"/>
        <v>{szContent="正在拍卖攻防掉落的稀有物品，其中通常有当前最高品质附魔、绝世稀有坐骑、玄晶等，阵营侠士们切勿错过！\n",szNote="阵营攻防·拍卖掉落",col={255,255,100,},[20]={},tCountdown={{nClass=20,nIcon=13,nFrame=0,szName="阵营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10" s="36" t="s">
        <v>2298</v>
      </c>
      <c r="V10" s="38" t="s">
        <v>2571</v>
      </c>
      <c r="W10" s="38" t="s">
        <v>2570</v>
      </c>
    </row>
    <row r="11" spans="1:72" x14ac:dyDescent="0.15">
      <c r="C11" t="s">
        <v>1612</v>
      </c>
      <c r="D11" t="s">
        <v>2097</v>
      </c>
      <c r="K11" t="s">
        <v>1432</v>
      </c>
      <c r="Q11">
        <v>1</v>
      </c>
      <c r="T11" s="36" t="str">
        <f t="shared" si="0"/>
        <v>{szContent="本场恶人谷攻防即将结束，昆仑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11" t="s">
        <v>1944</v>
      </c>
      <c r="V11" s="41" t="s">
        <v>2199</v>
      </c>
      <c r="W11" s="36"/>
    </row>
    <row r="12" spans="1:72" x14ac:dyDescent="0.15">
      <c r="C12" t="s">
        <v>1611</v>
      </c>
      <c r="D12" t="s">
        <v>2097</v>
      </c>
      <c r="K12" t="s">
        <v>1432</v>
      </c>
      <c r="Q12">
        <v>1</v>
      </c>
      <c r="T12" s="36" t="str">
        <f t="shared" si="0"/>
        <v>{szContent="本场浩气盟攻防即将结束，南屏山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12" t="s">
        <v>1944</v>
      </c>
      <c r="V12" s="41" t="s">
        <v>2199</v>
      </c>
      <c r="W12" s="36"/>
    </row>
    <row r="13" spans="1:72" x14ac:dyDescent="0.15">
      <c r="C13" t="s">
        <v>1566</v>
      </c>
      <c r="D13" t="s">
        <v>1783</v>
      </c>
      <c r="K13" t="s">
        <v>1432</v>
      </c>
      <c r="L13">
        <v>1</v>
      </c>
      <c r="Q13">
        <v>1</v>
      </c>
      <c r="T13" s="36" t="str">
        <f t="shared" si="0"/>
        <v>{szContent="侠士 [{$me}] 在拾取复活点物资时意外获得了[便携装置·神机车]。",szNote="获得·便携装置·神机车",col={255,255,100,},bSearch=true,[20]={bCenterAlarm=true,},tCountdown={{nClass=20,nIcon=134,nFrame=0,szName="获得·[便携装置·神机车]",nTime=10,nRefresh=1,key="交互事件",},},},</v>
      </c>
      <c r="U13" t="s">
        <v>2198</v>
      </c>
    </row>
    <row r="14" spans="1:72" x14ac:dyDescent="0.15">
      <c r="C14" t="s">
        <v>1439</v>
      </c>
      <c r="D14" t="s">
        <v>1441</v>
      </c>
      <c r="E14" t="s">
        <v>1444</v>
      </c>
      <c r="F14" t="s">
        <v>1495</v>
      </c>
      <c r="G14" t="s">
        <v>1607</v>
      </c>
      <c r="H14" t="s">
        <v>1443</v>
      </c>
      <c r="I14" t="s">
        <v>1609</v>
      </c>
      <c r="J14" t="s">
        <v>1445</v>
      </c>
      <c r="K14" t="s">
        <v>1438</v>
      </c>
      <c r="L14">
        <v>1</v>
      </c>
      <c r="O14">
        <v>1</v>
      </c>
      <c r="T14" s="36" t="str">
        <f t="shared" si="0"/>
        <v>{szContent="的带领下，成功击退谢渊！",szNote="主场·恶人·王遗风·击退·浩气·谢渊·首领",col={255,100,100,},bSearch=true,[20]={bTeamChannel=true,},tCountdown={{nClass=20,nIcon=18829,nFrame=7,szName="浩气·谢渊·退场·易伤30%",nTime=10,nRefresh=5,key="谢渊·谢渊·减伤",},{nClass=20,nIcon=14724,nFrame=3,szName="王遗风·王遗风·减伤",nTime="300,恶人·王遗风·减伤3层;600,恶人·王遗风·减伤2层;900,恶人·王遗风·减伤1层;910,恶人·王遗风·减伤消失",nRefresh=5,key="王遗风·王遗风·减伤",},},},</v>
      </c>
      <c r="U14" t="str">
        <f>"{nClass=20,nIcon=18829,nFrame=7,szName="""&amp;""&amp;I14&amp;"·"&amp;J14&amp;"·退场·易伤30%"",nTime=10,nRefresh=5,key="&amp;"""谢渊·"&amp;J14&amp;"·减伤"""&amp;",},"</f>
        <v>{nClass=20,nIcon=18829,nFrame=7,szName="浩气·谢渊·退场·易伤30%",nTime=10,nRefresh=5,key="谢渊·谢渊·减伤",},</v>
      </c>
      <c r="V14" s="36" t="str">
        <f>"{nClass=20,nIcon=14724,nFrame=3,szName="""&amp;E14&amp;"·"&amp;""&amp;H14&amp;"·减伤"""&amp;",nTime="&amp;"""300,"&amp;G14&amp;"·"&amp;H14&amp;"·减伤3层;600,"&amp;G14&amp;"·"&amp;H14&amp;"·减伤2层;900,"&amp;G14&amp;"·"&amp;H14&amp;"·减伤1层;910,"&amp;G14&amp;"·"&amp;H14&amp;"·减伤消失"""&amp;",nRefresh=5,key="""&amp;""&amp;E14&amp;"·"&amp;""&amp;H14&amp;"·减伤"""&amp;",},"</f>
        <v>{nClass=20,nIcon=14724,nFrame=3,szName="王遗风·王遗风·减伤",nTime="300,恶人·王遗风·减伤3层;600,恶人·王遗风·减伤2层;900,恶人·王遗风·减伤1层;910,恶人·王遗风·减伤消失",nRefresh=5,key="王遗风·王遗风·减伤",},</v>
      </c>
    </row>
    <row r="15" spans="1:72" x14ac:dyDescent="0.15">
      <c r="C15" t="s">
        <v>1440</v>
      </c>
      <c r="D15" t="s">
        <v>1455</v>
      </c>
      <c r="E15" t="s">
        <v>1446</v>
      </c>
      <c r="F15" t="s">
        <v>1495</v>
      </c>
      <c r="G15" t="s">
        <v>1609</v>
      </c>
      <c r="H15" t="s">
        <v>1445</v>
      </c>
      <c r="I15" t="s">
        <v>1607</v>
      </c>
      <c r="J15" t="s">
        <v>1443</v>
      </c>
      <c r="K15" t="s">
        <v>1454</v>
      </c>
      <c r="L15">
        <v>1</v>
      </c>
      <c r="O15">
        <v>1</v>
      </c>
      <c r="T15" s="36" t="str">
        <f t="shared" si="0"/>
        <v>{szContent="的带领下，成功击退王遗风！",szNote="主场·浩气·谢渊·击退·恶人·王遗风·首领",col={100,100,255,},bSearch=true,[20]={bTeamChannel=true,},tCountdown={{nClass=20,nIcon=18830,nFrame=3,szName="恶人·王遗风·退场·易伤30%",nTime=10,nRefresh=5,key="王遗风·王遗风·减伤",},{nClass=20,nIcon=14724,nFrame=7,szName="谢渊·谢渊·减伤",nTime="300,浩气·谢渊·减伤3层;600,浩气·谢渊·减伤2层;900,浩气·谢渊·减伤1层;910,浩气·谢渊·减伤消失",nRefresh=5,key="谢渊·谢渊·减伤",},},},</v>
      </c>
      <c r="U15" t="str">
        <f>"{nClass=20,nIcon=18830,nFrame=3,szName="""&amp;""&amp;I15&amp;"·"&amp;J15&amp;"·退场·易伤30%"",nTime=10,nRefresh=5,key="&amp;"""王遗风·"&amp;J15&amp;"·减伤"""&amp;",},"</f>
        <v>{nClass=20,nIcon=18830,nFrame=3,szName="恶人·王遗风·退场·易伤30%",nTime=10,nRefresh=5,key="王遗风·王遗风·减伤",},</v>
      </c>
      <c r="V15" s="36" t="str">
        <f>"{nClass=20,nIcon=14724,nFrame=7,szName="""&amp;E15&amp;"·"&amp;""&amp;H15&amp;"·减伤"""&amp;",nTime="&amp;"""300,"&amp;G15&amp;"·"&amp;H15&amp;"·减伤3层;600,"&amp;G15&amp;"·"&amp;H15&amp;"·减伤2层;900,"&amp;G15&amp;"·"&amp;H15&amp;"·减伤1层;910,"&amp;G15&amp;"·"&amp;H15&amp;"·减伤消失"""&amp;",nRefresh=5,key="""&amp;""&amp;E15&amp;"·"&amp;""&amp;H15&amp;"·减伤"""&amp;",},"</f>
        <v>{nClass=20,nIcon=14724,nFrame=7,szName="谢渊·谢渊·减伤",nTime="300,浩气·谢渊·减伤3层;600,浩气·谢渊·减伤2层;900,浩气·谢渊·减伤1层;910,浩气·谢渊·减伤消失",nRefresh=5,key="谢渊·谢渊·减伤",},</v>
      </c>
    </row>
    <row r="16" spans="1:72" x14ac:dyDescent="0.15">
      <c r="A16" t="s">
        <v>619</v>
      </c>
      <c r="B16">
        <v>25</v>
      </c>
      <c r="T16" s="36" t="str">
        <f t="shared" si="0"/>
        <v>},[25]={</v>
      </c>
    </row>
    <row r="17" spans="1:72" x14ac:dyDescent="0.15">
      <c r="C17" t="s">
        <v>1503</v>
      </c>
      <c r="D17" s="36" t="s">
        <v>2081</v>
      </c>
      <c r="T17" s="36" t="str">
        <f t="shared" si="0"/>
        <v>{szContent="你已进入地图【浩气盟】。",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7" s="36" t="s">
        <v>2123</v>
      </c>
      <c r="V17" s="36" t="s">
        <v>2122</v>
      </c>
      <c r="W17" s="36" t="s">
        <v>1834</v>
      </c>
      <c r="X17" s="36" t="s">
        <v>2414</v>
      </c>
      <c r="Y17" s="36" t="s">
        <v>2415</v>
      </c>
      <c r="Z17" s="40" t="s">
        <v>2568</v>
      </c>
      <c r="AA17" s="36"/>
      <c r="AB17" s="36"/>
      <c r="AC17" s="36"/>
      <c r="AD17" s="36"/>
      <c r="AE17" s="36"/>
      <c r="AF17" s="36"/>
      <c r="AG17" s="36"/>
      <c r="AH17" s="36"/>
      <c r="AI17" s="36"/>
      <c r="AJ17" s="36"/>
      <c r="AK17" s="36"/>
      <c r="AL17" s="36"/>
      <c r="AM17" s="36"/>
      <c r="AN17" s="36"/>
      <c r="AO17" s="36"/>
      <c r="AS17" s="36"/>
    </row>
    <row r="18" spans="1:72" s="36" customFormat="1" x14ac:dyDescent="0.15">
      <c r="C18" s="36" t="s">
        <v>1742</v>
      </c>
      <c r="D18" s="36" t="s">
        <v>1745</v>
      </c>
      <c r="K18" s="36" t="s">
        <v>1432</v>
      </c>
      <c r="Q18" s="36">
        <v>1</v>
      </c>
      <c r="T18" s="36" t="str">
        <f t="shared" si="0"/>
        <v>{szContent="伊夜使用了一招围魏救赵的妙计，率众客将奇袭了浩气盟大本营，浩气盟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18" s="36" t="s">
        <v>1939</v>
      </c>
      <c r="V18" s="36" t="s">
        <v>2413</v>
      </c>
      <c r="W18" s="40" t="s">
        <v>2412</v>
      </c>
      <c r="X18" s="36" t="s">
        <v>2625</v>
      </c>
    </row>
    <row r="19" spans="1:72" x14ac:dyDescent="0.15">
      <c r="C19" t="s">
        <v>1613</v>
      </c>
      <c r="D19" t="s">
        <v>1744</v>
      </c>
      <c r="K19" t="s">
        <v>1432</v>
      </c>
      <c r="Q19">
        <v>1</v>
      </c>
      <c r="T19" s="36" t="str">
        <f t="shared" si="0"/>
        <v>{szContent="王遗风已率恶人谷众首领抵达浩气盟，请各位恶人谷侠士速到浩气盟支援。浩气盟侠士也请速回浩气盟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2702,阶段·破阵点将1·正在结算;3540,阶段·物资车2·出发剩余;3550,阶段·物资车2·正在出发;3600,阶段·首领出战·助战剩余;3605,阶段·首领出战·助战结束;5400,阶段·破阵点将2·结算剩余;5402,阶段·破阵点将2·正在结算;5410,阶段·物资车3·正在出发;7200,阶段·本场攻防·结束剩余;7205,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19" s="36" t="s">
        <v>2718</v>
      </c>
      <c r="V19" s="36" t="s">
        <v>2416</v>
      </c>
      <c r="W19" s="36" t="s">
        <v>2302</v>
      </c>
      <c r="X19" s="40" t="s">
        <v>2412</v>
      </c>
      <c r="Y19" s="36" t="s">
        <v>2625</v>
      </c>
      <c r="Z19" s="36"/>
      <c r="AA19" s="36"/>
      <c r="AB19" s="36"/>
      <c r="AC19" s="36"/>
      <c r="AD19" s="36"/>
      <c r="AE19" s="36"/>
      <c r="AF19" s="36"/>
      <c r="AG19" s="36"/>
      <c r="AH19" s="36"/>
      <c r="AI19" s="36"/>
      <c r="AJ19" s="36"/>
      <c r="AK19" s="36"/>
      <c r="AL19" s="36"/>
      <c r="AM19" s="36"/>
      <c r="AN19" s="36"/>
      <c r="AO19" s="36"/>
      <c r="AP19" s="36"/>
      <c r="AQ19" s="36"/>
      <c r="AR19" s="36"/>
      <c r="AS19" s="36"/>
      <c r="AT19" s="36"/>
      <c r="AU19" s="36"/>
      <c r="AV19" s="36"/>
      <c r="AW19" s="36"/>
      <c r="AX19" s="36"/>
      <c r="AY19" s="36"/>
      <c r="AZ19" s="36"/>
      <c r="BA19" s="36"/>
      <c r="BB19" s="36"/>
      <c r="BC19" s="36"/>
      <c r="BD19" s="36"/>
      <c r="BE19" s="36"/>
      <c r="BF19" s="36"/>
      <c r="BG19" s="36"/>
      <c r="BH19" s="36"/>
      <c r="BI19" s="36"/>
      <c r="BJ19" s="36"/>
      <c r="BK19" s="36"/>
    </row>
    <row r="20" spans="1:72" x14ac:dyDescent="0.15">
      <c r="A20" t="s">
        <v>9</v>
      </c>
      <c r="B20">
        <v>27</v>
      </c>
      <c r="T20" s="36" t="str">
        <f t="shared" si="0"/>
        <v>},[27]={</v>
      </c>
    </row>
    <row r="21" spans="1:72" x14ac:dyDescent="0.15">
      <c r="C21" t="s">
        <v>1507</v>
      </c>
      <c r="D21" s="36" t="s">
        <v>2081</v>
      </c>
      <c r="T21" s="36" t="str">
        <f t="shared" si="0"/>
        <v>{szContent="你已进入地图【恶人谷】。",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21" s="36" t="s">
        <v>2123</v>
      </c>
      <c r="V21" s="36" t="s">
        <v>2122</v>
      </c>
      <c r="W21" s="36" t="s">
        <v>1834</v>
      </c>
      <c r="X21" s="36" t="s">
        <v>2414</v>
      </c>
      <c r="Y21" s="36" t="s">
        <v>2415</v>
      </c>
      <c r="Z21" s="40" t="s">
        <v>2568</v>
      </c>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row>
    <row r="22" spans="1:72" s="36" customFormat="1" x14ac:dyDescent="0.15">
      <c r="C22" s="36" t="s">
        <v>1743</v>
      </c>
      <c r="D22" s="36" t="s">
        <v>1745</v>
      </c>
      <c r="K22" s="36" t="s">
        <v>1432</v>
      </c>
      <c r="Q22" s="36">
        <v>1</v>
      </c>
      <c r="T22" s="36" t="str">
        <f t="shared" si="0"/>
        <v>{szContent="韩非池使用了一招围魏救赵的妙计，率众客将奇袭了恶人谷大本营，恶人谷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22" s="36" t="s">
        <v>1939</v>
      </c>
      <c r="V22" s="36" t="s">
        <v>2413</v>
      </c>
      <c r="W22" s="40" t="s">
        <v>2412</v>
      </c>
      <c r="X22" s="36" t="s">
        <v>2625</v>
      </c>
    </row>
    <row r="23" spans="1:72" x14ac:dyDescent="0.15">
      <c r="C23" t="s">
        <v>1614</v>
      </c>
      <c r="D23" t="s">
        <v>1744</v>
      </c>
      <c r="K23" t="s">
        <v>1432</v>
      </c>
      <c r="Q23">
        <v>1</v>
      </c>
      <c r="T23" s="36" t="str">
        <f t="shared" si="0"/>
        <v>{szContent="谢渊已率浩气盟众首领抵达恶人谷，请各位浩气盟侠士速到恶人谷支援。恶人谷侠士也请速回恶人谷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2702,阶段·破阵点将1·正在结算;3540,阶段·物资车2·出发剩余;3550,阶段·物资车2·正在出发;3600,阶段·首领出战·助战剩余;3605,阶段·首领出战·助战结束;5400,阶段·破阵点将2·结算剩余;5402,阶段·破阵点将2·正在结算;5410,阶段·物资车3·正在出发;7200,阶段·本场攻防·结束剩余;7205,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23" s="36" t="s">
        <v>2718</v>
      </c>
      <c r="V23" s="36" t="s">
        <v>2416</v>
      </c>
      <c r="W23" s="36" t="s">
        <v>2302</v>
      </c>
      <c r="X23" s="40" t="s">
        <v>2412</v>
      </c>
      <c r="Y23" s="36" t="s">
        <v>2625</v>
      </c>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row>
    <row r="24" spans="1:72" s="36" customFormat="1" x14ac:dyDescent="0.15">
      <c r="A24" s="36" t="s">
        <v>2162</v>
      </c>
      <c r="B24" s="36">
        <v>-1</v>
      </c>
      <c r="T24" s="36" t="str">
        <f t="shared" si="0"/>
        <v>},[-1]={</v>
      </c>
    </row>
    <row r="25" spans="1:72" s="36" customFormat="1" x14ac:dyDescent="0.15">
      <c r="C25" s="36" t="s">
        <v>2593</v>
      </c>
      <c r="D25" s="36" t="s">
        <v>2594</v>
      </c>
      <c r="K25" s="36" t="s">
        <v>1432</v>
      </c>
      <c r="M25" s="36">
        <v>1</v>
      </c>
      <c r="T25" s="36" t="str">
        <f t="shared" si="0"/>
        <v>{szContent="(.-)【(.-)】帮会的(.-)大侠成功护送祭祀物资到达(.-)据点，该据点将士备受鼓舞，战意高昂，战时必将固若金汤！",szNote="祭天·{$1}·[{$2}]·{$4}",col={255,255,100,},bReg=true,[20]={},tCountdown={{nClass=20,nIcon=8838,nFrame=1,szName="{$1}祭天·[{$2}]·{$4}",nTime=30,key="通用事件",},},},</v>
      </c>
      <c r="U25" s="36" t="s">
        <v>2595</v>
      </c>
    </row>
    <row r="26" spans="1:72" x14ac:dyDescent="0.15">
      <c r="C26" t="s">
        <v>1773</v>
      </c>
      <c r="K26" t="s">
        <v>1432</v>
      </c>
      <c r="T26" s="36" t="str">
        <f t="shared" si="0"/>
        <v>{szContent="为保障各位侠士的安全，浩气盟和恶人谷重新派出了守卫，在野外地图侠士重伤后复活可回到阵营复活点！\n",col={255,255,100,},[20]={},tCountdown={{nClass=20,nIcon=1465,nFrame=-1,bHold=true,szName="据点攻防·消失模式",nTime=1799.795,key="阵营活动",},},},</v>
      </c>
      <c r="U26" t="s">
        <v>2563</v>
      </c>
    </row>
    <row r="27" spans="1:72" x14ac:dyDescent="0.15">
      <c r="C27" t="s">
        <v>1786</v>
      </c>
      <c r="K27" t="s">
        <v>1432</v>
      </c>
      <c r="T27" s="36" t="str">
        <f t="shared" si="0"/>
        <v>{szContent="据点争夺战即将开始，为防弄虚作假者，即将对据点活动地图进行清场操作，同时清空此前所有排队队列，请各阵营侠士做好准备。拥有据点地图优先进入权的帮众可提前进入地图以作防守准备，不会被清出地图。\n",col={255,255,100,},[20]={},tCountdown={{nClass=20,nIcon=5815,nFrame=-1,szName="阵营活动",nTime="1,据点攻防·开始排队;10,据点攻防·开始排队;60,据点攻防·等待排队",nRefresh=1,key="阵营活动",},},},</v>
      </c>
      <c r="U27" t="s">
        <v>1922</v>
      </c>
    </row>
    <row r="28" spans="1:72" x14ac:dyDescent="0.15">
      <c r="C28" s="36" t="s">
        <v>1796</v>
      </c>
      <c r="K28" t="s">
        <v>1438</v>
      </c>
      <c r="T28" s="36" t="str">
        <f t="shared" si="0"/>
        <v>{szContent="阵营攻防战即将开始，为防弄虚作假者，即将对“恶人谷”地图进行清场操作，并在“下午六点三十分”开始攻防排队，请勿在下午六点三十分前排队，将被视为无效，请侠士们提前做好准备。\n",col={255,100,100,},[20]={},tCountdown={{nClass=20,nIcon=1465,nFrame=-1,bHold=true,szName="阵营攻防·恶人谷·18:30",nTime=599.795,key="阵营活动",},},},</v>
      </c>
      <c r="U28" t="s">
        <v>2564</v>
      </c>
    </row>
    <row r="29" spans="1:72" x14ac:dyDescent="0.15">
      <c r="C29" s="36" t="s">
        <v>1791</v>
      </c>
      <c r="K29" t="s">
        <v>1438</v>
      </c>
      <c r="T29" s="36" t="str">
        <f t="shared" si="0"/>
        <v>{szContent="阵营攻防战即将开始，为防弄虚作假者，即将对“恶人谷”地图进行清场操作，并在“中午十二点三十分”开始攻防排队，请勿在中午十二点三十分前排队，将被视为无效，请侠士们提前做好准备。\n",col={255,100,100,},[20]={},tCountdown={{nClass=20,nIcon=1465,nFrame=-1,bHold=true,szName="阵营攻防·恶人谷·12:30",nTime=599.795,key="阵营活动",},},},</v>
      </c>
      <c r="U29" t="s">
        <v>2565</v>
      </c>
    </row>
    <row r="30" spans="1:72" x14ac:dyDescent="0.15">
      <c r="C30" s="36" t="s">
        <v>1795</v>
      </c>
      <c r="K30" t="s">
        <v>1565</v>
      </c>
      <c r="T30" s="36" t="str">
        <f t="shared" si="0"/>
        <v>{szContent="阵营攻防战即将开始，为防弄虚作假者，即将对“浩气盟”地图进行清场操作，并在“下午六点三十分”开始攻防排队，请勿在下午六点三十分前排队，将被视为无效，请侠士们提前做好准备。\n",col={100,100,255,},[20]={},tCountdown={{nClass=20,nIcon=1465,nFrame=-1,bHold=true,szName="阵营攻防·浩气盟·18:30",nTime=599.795,key="阵营活动",},},},</v>
      </c>
      <c r="U30" t="s">
        <v>2566</v>
      </c>
    </row>
    <row r="31" spans="1:72" x14ac:dyDescent="0.15">
      <c r="C31" s="36" t="s">
        <v>1792</v>
      </c>
      <c r="K31" t="s">
        <v>1565</v>
      </c>
      <c r="T31" s="36" t="str">
        <f t="shared" si="0"/>
        <v>{szContent="阵营攻防战即将开始，为防弄虚作假者，即将对“浩气盟”地图进行清场操作，并在“中午十二点三十分”开始攻防排队，请勿在中午十二点三十分前排队，将被视为无效，请侠士们提前做好准备。\n",col={100,100,255,},[20]={},tCountdown={{nClass=20,nIcon=1465,nFrame=-1,bHold=true,szName="阵营攻防·浩气盟·12:30",nTime=599.795,key="阵营活动",},},},</v>
      </c>
      <c r="U31" t="s">
        <v>2567</v>
      </c>
    </row>
    <row r="32" spans="1:72" x14ac:dyDescent="0.15">
      <c r="C32" s="36" t="s">
        <v>1794</v>
      </c>
      <c r="K32" t="s">
        <v>1438</v>
      </c>
      <c r="T32" s="36" t="str">
        <f t="shared" si="0"/>
        <v>{szContent="阵营攻防排队正式开始，同时清空此前所有排队队列，尚未排队的侠士们速速前往恶人谷地图参与排队，亦可与主城战场的冷倪之、冷允之对话进行排队。\n",col={255,100,100,},[20]={},tCountdown={{nClass=20,nIcon=5815,nFrame=-1,szName="阵营攻防·开始排队",nTime="1,阵营攻防·开始排队;10,阵营攻防·开始排队",nRefresh=1,key="阵营活动",},{nClass=20,nIcon=14889,nFrame=3,szName="主战场·恶人谷",nTime=60,key="大攻防·主战场",},{nClass=20,nIcon=14890,nFrame=7,szName="奇袭场·浩气盟",nTime=60,key="大攻防·奇袭场",},},},</v>
      </c>
      <c r="U32" t="s">
        <v>1788</v>
      </c>
      <c r="V32" t="s">
        <v>1774</v>
      </c>
      <c r="W32" t="s">
        <v>1777</v>
      </c>
    </row>
    <row r="33" spans="1:26" x14ac:dyDescent="0.15">
      <c r="C33" s="36" t="s">
        <v>1793</v>
      </c>
      <c r="K33" t="s">
        <v>1565</v>
      </c>
      <c r="T33" s="36" t="str">
        <f t="shared" si="0"/>
        <v>{szContent="阵营攻防排队正式开始，同时清空此前所有排队队列，尚未排队的侠士们速速前往浩气盟地图参与排队，亦可与主城战场的冷倪之、冷允之对话进行排队。\n",col={100,100,255,},[20]={},tCountdown={{nClass=20,nIcon=5815,nFrame=-1,szName="阵营攻防·开始排队",nTime="1,阵营攻防·开始排队;10,阵营攻防·开始排队",nRefresh=1,key="阵营活动",},{nClass=20,nIcon=14890,nFrame=7,szName="主战场·浩气盟",nTime=60,key="大攻防·主战场",},{nClass=20,nIcon=14889,nFrame=3,szName="奇袭场·恶人谷",nTime=60,key="大攻防·奇袭场",},},},</v>
      </c>
      <c r="U33" t="s">
        <v>1788</v>
      </c>
      <c r="V33" t="s">
        <v>1776</v>
      </c>
      <c r="W33" t="s">
        <v>1775</v>
      </c>
    </row>
    <row r="34" spans="1:26" s="36" customFormat="1" x14ac:dyDescent="0.15">
      <c r="A34" s="36" t="s">
        <v>2690</v>
      </c>
      <c r="B34" s="36">
        <v>-21</v>
      </c>
      <c r="T34" s="36" t="str">
        <f t="shared" si="0"/>
        <v>},[-21]={</v>
      </c>
    </row>
    <row r="35" spans="1:26" s="36" customFormat="1" x14ac:dyDescent="0.15">
      <c r="C35" s="36" t="s">
        <v>1948</v>
      </c>
      <c r="D35" s="36" t="s">
        <v>2132</v>
      </c>
      <c r="K35" s="36" t="s">
        <v>1432</v>
      </c>
      <c r="M35" s="36">
        <v>1</v>
      </c>
      <c r="T35" s="36" t="str">
        <f t="shared" si="0"/>
        <v>{szContent="^本场战役已结束，双方战事惨烈，但终是(.-)略胜一筹，(.-)！(.-)士气大涨(%d-)分！",szNote="据点攻防·{$1}·{$2}",col={255,255,100,},bReg=true,[20]={},tCountdown={{nClass=20,nIcon=2400,nFrame=0,szName="{$1}·{$2}",nTime=30,nRefresh=2,key="阵营活动",},},},</v>
      </c>
      <c r="U35" s="36" t="s">
        <v>1977</v>
      </c>
    </row>
    <row r="36" spans="1:26" s="36" customFormat="1" x14ac:dyDescent="0.15">
      <c r="C36" s="36" t="s">
        <v>1491</v>
      </c>
      <c r="D36" s="36" t="s">
        <v>1492</v>
      </c>
      <c r="K36" s="36" t="s">
        <v>1432</v>
      </c>
      <c r="M36" s="36">
        <v>1</v>
      </c>
      <c r="T36" s="36" t="str">
        <f t="shared" si="0"/>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36" s="36" t="s">
        <v>2417</v>
      </c>
      <c r="V36" s="36" t="s">
        <v>2418</v>
      </c>
      <c r="W36" s="36" t="s">
        <v>2419</v>
      </c>
      <c r="X36" s="36" t="s">
        <v>2293</v>
      </c>
      <c r="Y36" s="36" t="s">
        <v>2294</v>
      </c>
    </row>
    <row r="37" spans="1:26" s="36" customFormat="1" x14ac:dyDescent="0.15">
      <c r="C37" s="36" t="s">
        <v>1798</v>
      </c>
      <c r="D37" s="36" t="s">
        <v>1493</v>
      </c>
      <c r="K37" s="36" t="s">
        <v>1432</v>
      </c>
      <c r="M37" s="36">
        <v>1</v>
      </c>
      <c r="T37" s="36" t="str">
        <f t="shared" si="0"/>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37" s="36" t="s">
        <v>1861</v>
      </c>
      <c r="V37" s="36" t="s">
        <v>2421</v>
      </c>
      <c r="W37" s="36" t="s">
        <v>2423</v>
      </c>
      <c r="X37" s="36" t="s">
        <v>2424</v>
      </c>
      <c r="Y37" s="36" t="s">
        <v>2200</v>
      </c>
      <c r="Z37" s="36" t="s">
        <v>2201</v>
      </c>
    </row>
    <row r="38" spans="1:26" s="36" customFormat="1" x14ac:dyDescent="0.15">
      <c r="C38" s="36" t="s">
        <v>1936</v>
      </c>
      <c r="D38" s="36" t="s">
        <v>1938</v>
      </c>
      <c r="K38" s="36" t="s">
        <v>1438</v>
      </c>
      <c r="T38" s="36"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38" s="36" t="s">
        <v>2024</v>
      </c>
    </row>
    <row r="39" spans="1:26" s="36" customFormat="1" x14ac:dyDescent="0.15">
      <c r="C39" s="36" t="s">
        <v>1935</v>
      </c>
      <c r="D39" s="36" t="s">
        <v>1937</v>
      </c>
      <c r="K39" s="36" t="s">
        <v>1565</v>
      </c>
      <c r="T39" s="36"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39" s="36" t="s">
        <v>2025</v>
      </c>
    </row>
    <row r="40" spans="1:26" s="36" customFormat="1" x14ac:dyDescent="0.15">
      <c r="C40" s="36" t="s">
        <v>1932</v>
      </c>
      <c r="D40" s="36" t="s">
        <v>2131</v>
      </c>
      <c r="K40" s="36" t="s">
        <v>1432</v>
      </c>
      <c r="Q40" s="36">
        <v>1</v>
      </c>
      <c r="T40" s="36" t="str">
        <f t="shared" si="0"/>
        <v>{szContent="本场战役已结束，双方战事惨烈，未分胜负！双方士气各涨500分！\n",szNote="据点攻防·平局",col={255,255,100,},[20]={bCenterAlarm=true,},tCountdown={{nClass=20,nIcon=2400,nFrame=0,szName="据点攻防·平局",nTime=30,nRefresh=2,key="阵营活动",},},},</v>
      </c>
      <c r="U40" s="36" t="s">
        <v>1934</v>
      </c>
    </row>
    <row r="41" spans="1:26" s="36" customFormat="1" x14ac:dyDescent="0.15">
      <c r="C41" s="36" t="s">
        <v>2202</v>
      </c>
      <c r="D41" s="36" t="s">
        <v>2203</v>
      </c>
      <c r="K41" s="36" t="s">
        <v>1432</v>
      </c>
      <c r="T41" s="36" t="str">
        <f t="shared" si="0"/>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41" s="36" t="s">
        <v>2299</v>
      </c>
      <c r="V41" s="39"/>
    </row>
    <row r="42" spans="1:26" s="36" customFormat="1" x14ac:dyDescent="0.15">
      <c r="C42" s="36" t="s">
        <v>2196</v>
      </c>
      <c r="D42" s="36" t="s">
        <v>2197</v>
      </c>
      <c r="K42" s="36" t="s">
        <v>1432</v>
      </c>
      <c r="T42" s="36" t="str">
        <f t="shared" si="0"/>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42" s="36" t="s">
        <v>2298</v>
      </c>
      <c r="V42" s="39"/>
    </row>
    <row r="43" spans="1:26" s="36" customFormat="1" x14ac:dyDescent="0.15">
      <c r="C43" s="36" t="s">
        <v>1933</v>
      </c>
      <c r="D43" s="36" t="s">
        <v>2117</v>
      </c>
      <c r="K43" s="36" t="s">
        <v>1432</v>
      </c>
      <c r="T43" s="36" t="str">
        <f t="shared" si="0"/>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43" s="36" t="s">
        <v>1790</v>
      </c>
      <c r="V43" s="41" t="s">
        <v>2290</v>
      </c>
    </row>
    <row r="44" spans="1:26" s="36" customFormat="1" x14ac:dyDescent="0.15">
      <c r="C44" s="36" t="s">
        <v>1574</v>
      </c>
      <c r="K44" s="36" t="s">
        <v>1432</v>
      </c>
      <c r="T44" s="36" t="str">
        <f t="shared" si="0"/>
        <v>{szContent="阴山大草原·分线据点争夺正式开始，场景内交通已中断。\n",col={255,255,100,},[20]={},tCountdown={{nClass=20,nIcon=13,szName="分流活动",nTime=-2,key="分流活动",},{nClass=20,nIcon=3536,nFrame=4,szName="小攻防·阴山大草原·正式开始",nTime=10,nRefresh=3600,key="分流活动",},},},</v>
      </c>
      <c r="U44" s="36" t="s">
        <v>2381</v>
      </c>
      <c r="V44" s="36" t="s">
        <v>2382</v>
      </c>
    </row>
    <row r="45" spans="1:26" s="36" customFormat="1" x14ac:dyDescent="0.15">
      <c r="C45" s="36" t="s">
        <v>1572</v>
      </c>
      <c r="K45" s="36" t="s">
        <v>1432</v>
      </c>
      <c r="T45" s="36" t="str">
        <f t="shared" si="0"/>
        <v>{szContent="前线战况空前激烈！未能进入前线据点争夺场景参与战斗的侠士，可前往阴山大草原助本阵营后方物资运送一臂之力！只需完成增援任务，也可以参与本日逐鹿中原结算奖励发放。\n",col={255,255,100,},[20]={},tCountdown={{nClass=20,nIcon=3536,nFrame=4,szName="小攻防·阴山大草原·分流",nTime=10,nRefresh=3600,key="分流活动",},},},</v>
      </c>
      <c r="U45" s="36" t="s">
        <v>2378</v>
      </c>
    </row>
    <row r="46" spans="1:26" s="36" customFormat="1" x14ac:dyDescent="0.15">
      <c r="C46" s="36" t="s">
        <v>1573</v>
      </c>
      <c r="K46" s="36" t="s">
        <v>1432</v>
      </c>
      <c r="T46" s="36" t="str">
        <f t="shared" si="0"/>
        <v>{szContent="逐鹿中原前线战况空前激烈，位于阴山大草原的分线据点争夺将于5分钟后开启！未能进入前线据点争夺场景的侠士可从沙盘地图（Ctrl + M）动态分线入口，或主城战场区小曾和小珍处进入分线场景。\n",col={255,255,100,},[20]={},tCountdown={{nClass=20,nIcon=13,szName="分流活动",nTime=-2,key="分流活动",},{nClass=20,nIcon=3536,nFrame=4,szName="小攻防·阴山大草原·分线开启",nTime=10,nRefresh=3600,key="分流活动",},},},</v>
      </c>
      <c r="U46" s="36" t="s">
        <v>2381</v>
      </c>
      <c r="V46" s="36" t="s">
        <v>2383</v>
      </c>
    </row>
    <row r="47" spans="1:26" s="36" customFormat="1" x14ac:dyDescent="0.15">
      <c r="C47" s="36" t="s">
        <v>1575</v>
      </c>
      <c r="K47" s="36" t="s">
        <v>1432</v>
      </c>
      <c r="T47" s="36" t="str">
        <f t="shared" si="0"/>
        <v>{szContent="阵营攻防首领战奇袭场分线已经开启，现可前往本日奇袭场分线参与争夺，也可通过主城战场区分线接引人前往各个奇袭场分线参与。\n",col={255,255,100,},[20]={},tCountdown={{nClass=20,nIcon=3536,nFrame=4,szName="攻防·奇袭场·分线·开启",nTime=30,nRefresh=10,key="分流活动",},},},</v>
      </c>
      <c r="U47" s="36" t="s">
        <v>2379</v>
      </c>
    </row>
    <row r="48" spans="1:26" x14ac:dyDescent="0.15">
      <c r="A48" t="s">
        <v>1923</v>
      </c>
      <c r="B48">
        <v>-2</v>
      </c>
      <c r="T48" s="36" t="str">
        <f t="shared" si="0"/>
        <v>},[-2]={</v>
      </c>
    </row>
    <row r="49" spans="1:38" s="36" customFormat="1" x14ac:dyDescent="0.15">
      <c r="C49" s="36" t="s">
        <v>1948</v>
      </c>
      <c r="D49" s="36" t="s">
        <v>2132</v>
      </c>
      <c r="K49" s="36" t="s">
        <v>1432</v>
      </c>
      <c r="M49" s="36">
        <v>1</v>
      </c>
      <c r="T49" s="36" t="str">
        <f t="shared" si="0"/>
        <v>{szContent="^本场战役已结束，双方战事惨烈，但终是(.-)略胜一筹，(.-)！(.-)士气大涨(%d-)分！",szNote="据点攻防·{$1}·{$2}",col={255,255,100,},bReg=true,[20]={},tCountdown={{nClass=20,nIcon=2400,nFrame=0,szName="{$1}·{$2}",nTime=30,nRefresh=2,key="阵营活动",},},},</v>
      </c>
      <c r="U49" s="36" t="s">
        <v>1977</v>
      </c>
    </row>
    <row r="50" spans="1:38" s="36" customFormat="1" x14ac:dyDescent="0.15">
      <c r="C50" s="36" t="s">
        <v>1491</v>
      </c>
      <c r="D50" s="36" t="s">
        <v>1492</v>
      </c>
      <c r="K50" s="36" t="s">
        <v>1432</v>
      </c>
      <c r="M50" s="36">
        <v>1</v>
      </c>
      <c r="T50" s="36" t="str">
        <f t="shared" si="0"/>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50" s="36" t="s">
        <v>2417</v>
      </c>
      <c r="V50" s="36" t="s">
        <v>2418</v>
      </c>
      <c r="W50" s="36" t="s">
        <v>2419</v>
      </c>
      <c r="X50" s="36" t="s">
        <v>2293</v>
      </c>
      <c r="Y50" s="36" t="s">
        <v>2294</v>
      </c>
    </row>
    <row r="51" spans="1:38" s="36" customFormat="1" x14ac:dyDescent="0.15">
      <c r="C51" s="36" t="s">
        <v>1798</v>
      </c>
      <c r="D51" s="36" t="s">
        <v>1493</v>
      </c>
      <c r="K51" s="36" t="s">
        <v>1432</v>
      </c>
      <c r="M51" s="36">
        <v>1</v>
      </c>
      <c r="T51" s="36" t="str">
        <f t="shared" si="0"/>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51" s="36" t="s">
        <v>1861</v>
      </c>
      <c r="V51" s="36" t="s">
        <v>2421</v>
      </c>
      <c r="W51" s="36" t="s">
        <v>2423</v>
      </c>
      <c r="X51" s="36" t="s">
        <v>2424</v>
      </c>
      <c r="Y51" s="36" t="s">
        <v>2200</v>
      </c>
      <c r="Z51" s="36" t="s">
        <v>2201</v>
      </c>
    </row>
    <row r="52" spans="1:38" s="36" customFormat="1" x14ac:dyDescent="0.15">
      <c r="C52" s="36" t="s">
        <v>1936</v>
      </c>
      <c r="D52" s="36" t="s">
        <v>1938</v>
      </c>
      <c r="K52" s="36" t="s">
        <v>1438</v>
      </c>
      <c r="T52" s="36"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2" s="36" t="s">
        <v>2024</v>
      </c>
    </row>
    <row r="53" spans="1:38" s="36" customFormat="1" x14ac:dyDescent="0.15">
      <c r="C53" s="36" t="s">
        <v>1935</v>
      </c>
      <c r="D53" s="36" t="s">
        <v>1937</v>
      </c>
      <c r="K53" s="36" t="s">
        <v>1565</v>
      </c>
      <c r="T53" s="36"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53" s="36" t="s">
        <v>2025</v>
      </c>
    </row>
    <row r="54" spans="1:38" s="36" customFormat="1" x14ac:dyDescent="0.15">
      <c r="C54" s="36" t="s">
        <v>1932</v>
      </c>
      <c r="D54" s="36" t="s">
        <v>2131</v>
      </c>
      <c r="K54" s="36" t="s">
        <v>1432</v>
      </c>
      <c r="Q54" s="36">
        <v>1</v>
      </c>
      <c r="T54" s="36" t="str">
        <f t="shared" si="0"/>
        <v>{szContent="本场战役已结束，双方战事惨烈，未分胜负！双方士气各涨500分！\n",szNote="据点攻防·平局",col={255,255,100,},[20]={bCenterAlarm=true,},tCountdown={{nClass=20,nIcon=2400,nFrame=0,szName="据点攻防·平局",nTime=30,nRefresh=2,key="阵营活动",},},},</v>
      </c>
      <c r="U54" s="36" t="s">
        <v>1934</v>
      </c>
    </row>
    <row r="55" spans="1:38" s="36" customFormat="1" x14ac:dyDescent="0.15">
      <c r="C55" s="36" t="s">
        <v>2202</v>
      </c>
      <c r="D55" s="36" t="s">
        <v>2203</v>
      </c>
      <c r="K55" s="36" t="s">
        <v>1432</v>
      </c>
      <c r="T55" s="36" t="str">
        <f t="shared" si="0"/>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55" s="36" t="s">
        <v>2299</v>
      </c>
      <c r="V55" s="39"/>
    </row>
    <row r="56" spans="1:38" s="36" customFormat="1" x14ac:dyDescent="0.15">
      <c r="C56" s="36" t="s">
        <v>2196</v>
      </c>
      <c r="D56" s="36" t="s">
        <v>2197</v>
      </c>
      <c r="K56" s="36" t="s">
        <v>1432</v>
      </c>
      <c r="T56" s="36" t="str">
        <f t="shared" si="0"/>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56" s="36" t="s">
        <v>2298</v>
      </c>
      <c r="V56" s="39"/>
    </row>
    <row r="57" spans="1:38" s="36" customFormat="1" x14ac:dyDescent="0.15">
      <c r="C57" s="36" t="s">
        <v>1933</v>
      </c>
      <c r="D57" s="36" t="s">
        <v>2117</v>
      </c>
      <c r="K57" s="36" t="s">
        <v>1432</v>
      </c>
      <c r="T57" s="36" t="str">
        <f t="shared" si="0"/>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57" s="36" t="s">
        <v>1790</v>
      </c>
      <c r="V57" s="41" t="s">
        <v>2290</v>
      </c>
    </row>
    <row r="58" spans="1:38" x14ac:dyDescent="0.15">
      <c r="C58" t="s">
        <v>1574</v>
      </c>
      <c r="K58" t="s">
        <v>1432</v>
      </c>
      <c r="T58" s="36" t="str">
        <f t="shared" si="0"/>
        <v>{szContent="阴山大草原·分线据点争夺正式开始，场景内交通已中断。\n",col={255,255,100,},[20]={},tCountdown={{nClass=20,nIcon=13,szName="分流活动",nTime=-2,key="分流活动",},{nClass=20,nIcon=3536,nFrame=4,szName="小攻防·阴山大草原·正式开始",nTime=10,nRefresh=3600,key="分流活动",},},},</v>
      </c>
      <c r="U58" s="36" t="s">
        <v>2381</v>
      </c>
      <c r="V58" t="s">
        <v>2382</v>
      </c>
    </row>
    <row r="59" spans="1:38" x14ac:dyDescent="0.15">
      <c r="C59" t="s">
        <v>1572</v>
      </c>
      <c r="K59" t="s">
        <v>1432</v>
      </c>
      <c r="T59" s="36" t="str">
        <f t="shared" si="0"/>
        <v>{szContent="前线战况空前激烈！未能进入前线据点争夺场景参与战斗的侠士，可前往阴山大草原助本阵营后方物资运送一臂之力！只需完成增援任务，也可以参与本日逐鹿中原结算奖励发放。\n",col={255,255,100,},[20]={},tCountdown={{nClass=20,nIcon=3536,nFrame=4,szName="小攻防·阴山大草原·分流",nTime=10,nRefresh=3600,key="分流活动",},},},</v>
      </c>
      <c r="U59" t="s">
        <v>2378</v>
      </c>
    </row>
    <row r="60" spans="1:38" x14ac:dyDescent="0.15">
      <c r="C60" t="s">
        <v>1573</v>
      </c>
      <c r="K60" t="s">
        <v>1432</v>
      </c>
      <c r="T60" s="36" t="str">
        <f t="shared" si="0"/>
        <v>{szContent="逐鹿中原前线战况空前激烈，位于阴山大草原的分线据点争夺将于5分钟后开启！未能进入前线据点争夺场景的侠士可从沙盘地图（Ctrl + M）动态分线入口，或主城战场区小曾和小珍处进入分线场景。\n",col={255,255,100,},[20]={},tCountdown={{nClass=20,nIcon=13,szName="分流活动",nTime=-2,key="分流活动",},{nClass=20,nIcon=3536,nFrame=4,szName="小攻防·阴山大草原·分线开启",nTime=10,nRefresh=3600,key="分流活动",},},},</v>
      </c>
      <c r="U60" s="36" t="s">
        <v>2381</v>
      </c>
      <c r="V60" t="s">
        <v>2383</v>
      </c>
    </row>
    <row r="61" spans="1:38" x14ac:dyDescent="0.15">
      <c r="C61" t="s">
        <v>1575</v>
      </c>
      <c r="K61" t="s">
        <v>1432</v>
      </c>
      <c r="T61" s="36" t="str">
        <f t="shared" si="0"/>
        <v>{szContent="阵营攻防首领战奇袭场分线已经开启，现可前往本日奇袭场分线参与争夺，也可通过主城战场区分线接引人前往各个奇袭场分线参与。\n",col={255,255,100,},[20]={},tCountdown={{nClass=20,nIcon=3536,nFrame=4,szName="攻防·奇袭场·分线·开启",nTime=30,nRefresh=10,key="分流活动",},},},</v>
      </c>
      <c r="U61" t="s">
        <v>2379</v>
      </c>
    </row>
    <row r="62" spans="1:38" s="42" customFormat="1" x14ac:dyDescent="0.15">
      <c r="A62" s="42" t="s">
        <v>963</v>
      </c>
      <c r="B62" s="42">
        <v>-7</v>
      </c>
      <c r="T62" s="36" t="str">
        <f t="shared" si="0"/>
        <v>},[-7]={</v>
      </c>
    </row>
    <row r="63" spans="1:38" s="36" customFormat="1" x14ac:dyDescent="0.15">
      <c r="C63" s="36" t="s">
        <v>1948</v>
      </c>
      <c r="D63" s="36" t="s">
        <v>2132</v>
      </c>
      <c r="K63" s="36" t="s">
        <v>1432</v>
      </c>
      <c r="M63" s="36">
        <v>1</v>
      </c>
      <c r="Q63" s="36">
        <v>1</v>
      </c>
      <c r="T63" s="36" t="str">
        <f t="shared" si="0"/>
        <v>{szContent="^本场战役已结束，双方战事惨烈，但终是(.-)略胜一筹，(.-)！(.-)士气大涨(%d-)分！",szNote="据点攻防·{$1}·{$2}",col={255,255,100,},bReg=true,[20]={bCenterAlarm=true,},tCountdown={{nClass=20,nIcon=2400,nFrame=0,szName="{$1}·{$2}",nTime=30,nRefresh=2,key="阵营活动",},},},</v>
      </c>
      <c r="U63" s="36" t="s">
        <v>1977</v>
      </c>
    </row>
    <row r="64" spans="1:38" x14ac:dyDescent="0.15">
      <c r="C64" t="s">
        <v>1491</v>
      </c>
      <c r="D64" t="s">
        <v>1492</v>
      </c>
      <c r="K64" t="s">
        <v>1432</v>
      </c>
      <c r="M64">
        <v>1</v>
      </c>
      <c r="T64" s="36" t="str">
        <f t="shared" si="0"/>
        <v>{szContent="([浩气恶人]+)[盟谷]-的【(.-)】帮会成功占领【(.-)】据点！",szNote="{$3}·{$1}占领",col={255,255,100,},bReg=true,[20]={},tCountdown={{nClass=20,nIcon=13,szName="{$3}·浩气大旗",nTime=-1,key="{$3}·浩气大旗",},{nClass=20,nIcon=13,szName="{$3}·恶人大旗",nTime=-1,key="{$3}·恶人大旗",},{nClass=20,nIcon=14887,nFrame=3,szName="【{$3}】·恶人[{$2}]占领",nTime=30,nRefresh=1,key="{$3}·浩气占领",},{nClass=20,nIcon=14888,nFrame=7,szName="【{$3}】·浩气[{$2}]占领",nTime=30,nRefresh=1,key="{$3}·恶人占领",},{nClass=20,nIcon=13,szName="{$3}·{$1}占领",nTime=-1,key="{$3}·{$1}占领",},},},</v>
      </c>
      <c r="U64" s="36" t="s">
        <v>2291</v>
      </c>
      <c r="V64" s="36" t="s">
        <v>2292</v>
      </c>
      <c r="W64" s="36" t="s">
        <v>2295</v>
      </c>
      <c r="X64" s="36" t="s">
        <v>2296</v>
      </c>
      <c r="Y64" s="36" t="s">
        <v>2297</v>
      </c>
      <c r="Z64" s="36"/>
      <c r="AA64" s="36"/>
      <c r="AB64" s="36"/>
      <c r="AE64" s="36"/>
      <c r="AF64" s="36"/>
      <c r="AG64" s="36"/>
      <c r="AH64" s="36"/>
      <c r="AI64" s="36"/>
      <c r="AJ64" s="36"/>
      <c r="AK64" s="36"/>
      <c r="AL64" s="36"/>
    </row>
    <row r="65" spans="1:26" s="36" customFormat="1" x14ac:dyDescent="0.15">
      <c r="C65" s="36" t="s">
        <v>1798</v>
      </c>
      <c r="D65" s="36" t="s">
        <v>1493</v>
      </c>
      <c r="K65" s="36" t="s">
        <v>1432</v>
      </c>
      <c r="M65" s="36">
        <v>1</v>
      </c>
      <c r="T65" s="36" t="str">
        <f t="shared" si="0"/>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65" s="36" t="s">
        <v>1861</v>
      </c>
      <c r="V65" s="36" t="s">
        <v>2421</v>
      </c>
      <c r="W65" s="36" t="s">
        <v>2423</v>
      </c>
      <c r="X65" s="36" t="s">
        <v>2424</v>
      </c>
      <c r="Y65" s="36" t="s">
        <v>2200</v>
      </c>
      <c r="Z65" s="36" t="s">
        <v>2201</v>
      </c>
    </row>
    <row r="66" spans="1:26" s="36" customFormat="1" x14ac:dyDescent="0.15">
      <c r="C66" s="36" t="s">
        <v>1936</v>
      </c>
      <c r="D66" s="36" t="s">
        <v>1938</v>
      </c>
      <c r="K66" s="36" t="s">
        <v>1438</v>
      </c>
      <c r="T66" s="36"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66" s="36" t="s">
        <v>2024</v>
      </c>
    </row>
    <row r="67" spans="1:26" s="36" customFormat="1" x14ac:dyDescent="0.15">
      <c r="C67" s="36" t="s">
        <v>1935</v>
      </c>
      <c r="D67" s="36" t="s">
        <v>1937</v>
      </c>
      <c r="K67" s="36" t="s">
        <v>1565</v>
      </c>
      <c r="T67" s="36" t="str">
        <f t="shared" ref="T67:T130" si="1">IF(ISBLANK(B67)=FALSE,IF(ISBLANK(B66),"},["&amp;B67&amp;"]={","["&amp;B67&amp;"]={"),IF(AND(ISBLANK(B67),ISBLANK(C67),ISBLANK(L67),ISBLANK(M67),OR(ISBLANK(B66)=FALSE,ISBLANK(C66)=FALSE,ISBLANK(L66)=FALSE,ISBLANK(M66)=FALSE)),"},},}",IF(ISBLANK(C67),"","{szContent="""&amp;C67&amp;""","&amp;IF(D67&lt;&gt;"","szNote="""&amp;D67&amp;""",","")&amp;IF(K67&lt;&gt;"","col={"&amp;K67&amp;"},","")&amp;IF(L67&gt;0,"bSearch=true,","")&amp;IF(M67&gt;0,"bReg=true,","")&amp;"[20]={"&amp;IF(N67&gt;0,"szVoice="""&amp;N67&amp;""",","")&amp;IF(O67&gt;0,"bTeamChannel=true,","")&amp;IF(P67&gt;0,"bWhisperChannel=true,","")&amp;IF(Q67&gt;0,"bCenterAlarm=true,","")&amp;IF(R67&gt;0,"bScreenHead=true,","")&amp;IF(S67&gt;0,"bFullScreen=true,","")&amp;"},"&amp;IF(U67&lt;&gt;"","tCountdown={"&amp;_xlfn.TEXTJOIN("",TRUE,U67:AAF67)&amp;"},","")&amp;"},")))</f>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67" s="36" t="s">
        <v>2025</v>
      </c>
    </row>
    <row r="68" spans="1:26" x14ac:dyDescent="0.15">
      <c r="C68" t="s">
        <v>1577</v>
      </c>
      <c r="K68" t="s">
        <v>1432</v>
      </c>
      <c r="T68" s="36" t="str">
        <f t="shared" si="1"/>
        <v>{szContent="本场贡献值进入前1200名，额外获得3000威名，可通过邮件领取\n",col={255,255,100,},[20]={},tCountdown={{nClass=20,nIcon=3536,nFrame=6,szName="攻防进入前1200名",nTime=10,key="阵营活动",},},},</v>
      </c>
      <c r="U68" t="s">
        <v>1789</v>
      </c>
    </row>
    <row r="69" spans="1:26" s="36" customFormat="1" x14ac:dyDescent="0.15">
      <c r="C69" s="36" t="s">
        <v>2202</v>
      </c>
      <c r="D69" s="36" t="s">
        <v>2203</v>
      </c>
      <c r="K69" s="36" t="s">
        <v>1432</v>
      </c>
      <c r="T69" s="36"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69" s="36" t="s">
        <v>2299</v>
      </c>
      <c r="V69" s="38" t="s">
        <v>2572</v>
      </c>
      <c r="W69" s="38" t="s">
        <v>2569</v>
      </c>
    </row>
    <row r="70" spans="1:26" s="36" customFormat="1" x14ac:dyDescent="0.15">
      <c r="C70" s="36" t="s">
        <v>1932</v>
      </c>
      <c r="D70" s="36" t="s">
        <v>2131</v>
      </c>
      <c r="K70" s="36" t="s">
        <v>1432</v>
      </c>
      <c r="Q70" s="36">
        <v>1</v>
      </c>
      <c r="T70" s="36" t="str">
        <f t="shared" si="1"/>
        <v>{szContent="本场战役已结束，双方战事惨烈，未分胜负！双方士气各涨500分！\n",szNote="据点攻防·平局",col={255,255,100,},[20]={bCenterAlarm=true,},tCountdown={{nClass=20,nIcon=2400,nFrame=0,szName="据点攻防·平局",nTime=30,nRefresh=2,key="阵营活动",},},},</v>
      </c>
      <c r="U70" s="36" t="s">
        <v>1934</v>
      </c>
    </row>
    <row r="71" spans="1:26" x14ac:dyDescent="0.15">
      <c r="C71" t="s">
        <v>1933</v>
      </c>
      <c r="D71" t="s">
        <v>2117</v>
      </c>
      <c r="K71" t="s">
        <v>1432</v>
      </c>
      <c r="T71" s="36" t="str">
        <f t="shared" si="1"/>
        <v>{szContent="据点争夺已结束，所有交通已恢复。\n",szNote="据点攻防·已经结束",col={255,255,100,},[20]={},tCountdown={{nClass=20,nIcon=3536,nFrame=0,szName="据点攻防·活动结束",nTime=5,key="阵营活动",},{nClass=20,nIcon=13,szName="狼牙先锋首领",nTime=0,key="狼牙先锋首领",},{nClass=20,nIcon=13,szName="离开据点·大旗重置",nTime=0,key="离开据点·大旗重置",},{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71" t="s">
        <v>2380</v>
      </c>
      <c r="V71" t="s">
        <v>2128</v>
      </c>
      <c r="W71" s="36" t="s">
        <v>2129</v>
      </c>
      <c r="X71" s="41" t="s">
        <v>2290</v>
      </c>
    </row>
    <row r="72" spans="1:26" x14ac:dyDescent="0.15">
      <c r="C72" t="s">
        <v>1574</v>
      </c>
      <c r="K72" t="s">
        <v>1432</v>
      </c>
      <c r="T72" s="36" t="str">
        <f t="shared" si="1"/>
        <v>{szContent="阴山大草原·分线据点争夺正式开始，场景内交通已中断。\n",col={255,255,100,},[20]={},tCountdown={{nClass=20,nIcon=13,szName="分流活动",nTime=-2,key="分流活动",},{nClass=20,nIcon=3536,nFrame=4,szName="小攻防·阴山大草原·正式开始",nTime=10,nRefresh=3600,key="分流活动",},},},</v>
      </c>
      <c r="U72" s="36" t="s">
        <v>2381</v>
      </c>
      <c r="V72" s="36" t="s">
        <v>2382</v>
      </c>
    </row>
    <row r="73" spans="1:26" x14ac:dyDescent="0.15">
      <c r="C73" t="s">
        <v>1573</v>
      </c>
      <c r="D73" t="s">
        <v>2686</v>
      </c>
      <c r="K73" t="s">
        <v>1432</v>
      </c>
      <c r="T73" s="36"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5分钟·开启分线",col={255,255,100,},[20]={},tCountdown={{nClass=20,nIcon=13,szName="分流活动",nTime=-2,key="分流活动",},{nClass=20,nIcon=3536,nFrame=4,szName="小攻防·阴山大草原·分线开启",nTime=10,nRefresh=3600,key="分流活动",},},},</v>
      </c>
      <c r="U73" s="36" t="s">
        <v>2381</v>
      </c>
      <c r="V73" s="36" t="s">
        <v>2383</v>
      </c>
    </row>
    <row r="74" spans="1:26" x14ac:dyDescent="0.15">
      <c r="C74" t="s">
        <v>1576</v>
      </c>
      <c r="D74" t="s">
        <v>2369</v>
      </c>
      <c r="K74" t="s">
        <v>1432</v>
      </c>
      <c r="T74" s="36" t="str">
        <f t="shared" si="1"/>
        <v>{szContent="前线据点之争已经打响，争夺正式开始，沙盘地图（CTRL + M）绘有详细战略意图，谁将称霸中原，我们拭目以待！\n",szNote="据点攻防·正式开始",col={255,255,100,},[20]={},tCountdown={{nClass=20,nIcon=3536,nFrame=0,szName="据点攻防·正式开始",nTime=10,key="阵营活动",},},},</v>
      </c>
      <c r="U74" t="s">
        <v>2621</v>
      </c>
    </row>
    <row r="75" spans="1:26" x14ac:dyDescent="0.15">
      <c r="C75" t="s">
        <v>1575</v>
      </c>
      <c r="K75" t="s">
        <v>1432</v>
      </c>
      <c r="T75" s="36" t="str">
        <f t="shared" si="1"/>
        <v>{szContent="阵营攻防首领战奇袭场分线已经开启，现可前往本日奇袭场分线参与争夺，也可通过主城战场区分线接引人前往各个奇袭场分线参与。\n",col={255,255,100,},[20]={},tCountdown={{nClass=20,nIcon=3536,nFrame=4,szName="攻防·奇袭场·分线·开启",nTime=30,nRefresh=10,key="分流活动",},},},</v>
      </c>
      <c r="U75" t="s">
        <v>2379</v>
      </c>
    </row>
    <row r="76" spans="1:26" s="36" customFormat="1" x14ac:dyDescent="0.15">
      <c r="A76" s="36" t="s">
        <v>2685</v>
      </c>
      <c r="B76" s="36">
        <v>-20</v>
      </c>
      <c r="T76" s="36" t="str">
        <f t="shared" si="1"/>
        <v>},[-20]={</v>
      </c>
    </row>
    <row r="77" spans="1:26" s="36" customFormat="1" x14ac:dyDescent="0.15">
      <c r="C77" s="36" t="s">
        <v>1803</v>
      </c>
      <c r="D77" s="36" t="s">
        <v>1494</v>
      </c>
      <c r="K77" s="36" t="s">
        <v>1432</v>
      </c>
      <c r="M77" s="36">
        <v>1</v>
      </c>
      <c r="T77" s="36" t="str">
        <f t="shared" si="1"/>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77" s="36" t="s">
        <v>2425</v>
      </c>
      <c r="V77" s="36" t="s">
        <v>2426</v>
      </c>
      <c r="W77" s="36" t="s">
        <v>2427</v>
      </c>
      <c r="X77" s="36" t="s">
        <v>1771</v>
      </c>
      <c r="Y77" s="36" t="s">
        <v>1772</v>
      </c>
    </row>
    <row r="78" spans="1:26" s="36" customFormat="1" x14ac:dyDescent="0.15">
      <c r="A78" s="36" t="s">
        <v>2161</v>
      </c>
      <c r="B78" s="36">
        <v>-3</v>
      </c>
      <c r="T78" s="36" t="str">
        <f t="shared" si="1"/>
        <v>},[-3]={</v>
      </c>
    </row>
    <row r="79" spans="1:26" s="36" customFormat="1" x14ac:dyDescent="0.15">
      <c r="C79" s="36" t="s">
        <v>1794</v>
      </c>
      <c r="K79" s="36" t="s">
        <v>1438</v>
      </c>
      <c r="T79" s="36" t="str">
        <f t="shared" si="1"/>
        <v>{szContent="阵营攻防排队正式开始，同时清空此前所有排队队列，尚未排队的侠士们速速前往恶人谷地图参与排队，亦可与主城战场的冷倪之、冷允之对话进行排队。\n",col={255,100,100,},[20]={},tCountdown={{nClass=20,nIcon=5815,nFrame=3,szName="主战场·恶人谷",nTime="1,阵营攻防·开始排队·恶人谷;10,阵营攻防·开始排队·恶人谷",key="大攻防·主战场",},},},</v>
      </c>
      <c r="U79" s="36" t="s">
        <v>2164</v>
      </c>
    </row>
    <row r="80" spans="1:26" s="36" customFormat="1" x14ac:dyDescent="0.15">
      <c r="C80" s="36" t="s">
        <v>1793</v>
      </c>
      <c r="K80" s="36" t="s">
        <v>1565</v>
      </c>
      <c r="T80" s="36" t="str">
        <f t="shared" si="1"/>
        <v>{szContent="阵营攻防排队正式开始，同时清空此前所有排队队列，尚未排队的侠士们速速前往浩气盟地图参与排队，亦可与主城战场的冷倪之、冷允之对话进行排队。\n",col={100,100,255,},[20]={},tCountdown={{nClass=20,nIcon=5815,nFrame=7,szName="主战场·浩气盟",nTime="1,阵营攻防·开始排队·浩气盟;10,阵营攻防·开始排队·浩气盟",key="大攻防·主战场",},},},</v>
      </c>
      <c r="U80" s="36" t="s">
        <v>2163</v>
      </c>
    </row>
    <row r="81" spans="1:30" s="36" customFormat="1" x14ac:dyDescent="0.15">
      <c r="A81" s="36" t="s">
        <v>2093</v>
      </c>
      <c r="B81" s="36">
        <v>74</v>
      </c>
      <c r="T81" s="36" t="str">
        <f t="shared" si="1"/>
        <v>},[74]={</v>
      </c>
    </row>
    <row r="82" spans="1:30" s="36" customFormat="1" x14ac:dyDescent="0.15">
      <c r="C82" s="36" t="s">
        <v>1488</v>
      </c>
      <c r="D82" s="36" t="s">
        <v>1489</v>
      </c>
      <c r="K82" s="36" t="s">
        <v>1432</v>
      </c>
      <c r="T82" s="36" t="str">
        <f t="shared" si="1"/>
        <v>{szContent="本场攻防“奇袭场”已结束，浩气盟侠士和恶人谷侠士经过一场恶战，势均力敌，最终打为平手，暂时休战！\n",szNote="奇袭场·平手",col={255,255,100,},[20]={},tCountdown={{nClass=20,nIcon=2402,nFrame=4,szName="奇袭场·平手",nTime=57,nRefresh=5,key="大攻防·奇袭场",},},},</v>
      </c>
      <c r="U82" s="36" t="s">
        <v>2401</v>
      </c>
    </row>
    <row r="83" spans="1:30" s="36" customFormat="1" x14ac:dyDescent="0.15">
      <c r="C83" s="36" t="s">
        <v>2096</v>
      </c>
      <c r="D83" s="36" t="s">
        <v>1490</v>
      </c>
      <c r="K83" s="36" t="s">
        <v>1432</v>
      </c>
      <c r="T83" s="36" t="str">
        <f t="shared" si="1"/>
        <v>{szContent="本场攻防“主战场”已结束，浩气盟侠士和恶人谷侠士经过一场恶战，势均力敌，最终打为平手，暂时休战！\n",szNote="主战场·平手",col={255,255,100,},[20]={},tCountdown={{nClass=20,nIcon=2400,nFrame=0,szName="主战场·平手",nTime=57,nRefresh=5,key="大攻防·主战场",},},},</v>
      </c>
      <c r="U83" s="36" t="s">
        <v>2400</v>
      </c>
    </row>
    <row r="84" spans="1:30" s="36" customFormat="1" x14ac:dyDescent="0.15">
      <c r="C84" s="36" t="s">
        <v>1487</v>
      </c>
      <c r="D84" s="36" t="s">
        <v>1931</v>
      </c>
      <c r="K84" s="36" t="s">
        <v>1432</v>
      </c>
      <c r="M84" s="36">
        <v>1</v>
      </c>
      <c r="Q84" s="36">
        <v>1</v>
      </c>
      <c r="T84" s="36" t="str">
        <f t="shared" si="1"/>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v>
      </c>
      <c r="U84" s="36" t="s">
        <v>2510</v>
      </c>
      <c r="V84" s="36" t="s">
        <v>2511</v>
      </c>
      <c r="W84" s="36" t="s">
        <v>2187</v>
      </c>
      <c r="X84" s="36" t="s">
        <v>2397</v>
      </c>
      <c r="Y84" s="36" t="s">
        <v>2396</v>
      </c>
    </row>
    <row r="85" spans="1:30" s="36" customFormat="1" x14ac:dyDescent="0.15">
      <c r="C85" s="36" t="s">
        <v>1948</v>
      </c>
      <c r="D85" s="36" t="s">
        <v>2132</v>
      </c>
      <c r="K85" s="36" t="s">
        <v>1432</v>
      </c>
      <c r="M85" s="36">
        <v>1</v>
      </c>
      <c r="Q85" s="36">
        <v>1</v>
      </c>
      <c r="T85" s="36" t="str">
        <f t="shared" si="1"/>
        <v>{szContent="^本场战役已结束，双方战事惨烈，但终是(.-)略胜一筹，(.-)！(.-)士气大涨(%d-)分！",szNote="据点攻防·{$1}·{$2}",col={255,255,100,},bReg=true,[20]={bCenterAlarm=true,},tCountdown={{nClass=20,nIcon=2400,nFrame=0,szName="{$1}·{$2}",nTime=30,nRefresh=2,key="阵营活动",},},},</v>
      </c>
      <c r="U85" s="36" t="s">
        <v>1977</v>
      </c>
    </row>
    <row r="86" spans="1:30" s="36" customFormat="1" x14ac:dyDescent="0.15">
      <c r="C86" s="36" t="s">
        <v>1491</v>
      </c>
      <c r="D86" s="36" t="s">
        <v>1492</v>
      </c>
      <c r="K86" s="36" t="s">
        <v>1432</v>
      </c>
      <c r="M86" s="36">
        <v>1</v>
      </c>
      <c r="T86" s="36" t="str">
        <f t="shared" si="1"/>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86" s="36" t="s">
        <v>2417</v>
      </c>
      <c r="V86" s="36" t="s">
        <v>2418</v>
      </c>
      <c r="W86" s="36" t="s">
        <v>2419</v>
      </c>
      <c r="X86" s="36" t="s">
        <v>2293</v>
      </c>
      <c r="Y86" s="36" t="s">
        <v>2294</v>
      </c>
    </row>
    <row r="87" spans="1:30" s="36" customFormat="1" x14ac:dyDescent="0.15">
      <c r="C87" s="36" t="s">
        <v>1798</v>
      </c>
      <c r="D87" s="36" t="s">
        <v>1493</v>
      </c>
      <c r="K87" s="36" t="s">
        <v>1432</v>
      </c>
      <c r="M87" s="36">
        <v>1</v>
      </c>
      <c r="T87" s="36"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87" s="36" t="s">
        <v>1861</v>
      </c>
      <c r="V87" s="36" t="s">
        <v>2421</v>
      </c>
      <c r="W87" s="36" t="s">
        <v>2423</v>
      </c>
      <c r="X87" s="36" t="s">
        <v>2424</v>
      </c>
      <c r="Y87" s="36" t="s">
        <v>2200</v>
      </c>
      <c r="Z87" s="36" t="s">
        <v>2201</v>
      </c>
    </row>
    <row r="88" spans="1:30" s="36" customFormat="1" x14ac:dyDescent="0.15">
      <c r="C88" s="36" t="s">
        <v>1936</v>
      </c>
      <c r="D88" s="36" t="s">
        <v>1938</v>
      </c>
      <c r="K88" s="36" t="s">
        <v>1438</v>
      </c>
      <c r="T88" s="36"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88" s="36" t="s">
        <v>2024</v>
      </c>
    </row>
    <row r="89" spans="1:30" s="36" customFormat="1" x14ac:dyDescent="0.15">
      <c r="C89" s="36" t="s">
        <v>1935</v>
      </c>
      <c r="D89" s="36" t="s">
        <v>1937</v>
      </c>
      <c r="K89" s="36" t="s">
        <v>1565</v>
      </c>
      <c r="T89" s="36"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89" s="36" t="s">
        <v>2025</v>
      </c>
    </row>
    <row r="90" spans="1:30" s="36" customFormat="1" x14ac:dyDescent="0.15">
      <c r="C90" s="36" t="s">
        <v>1932</v>
      </c>
      <c r="D90" s="36" t="s">
        <v>2131</v>
      </c>
      <c r="K90" s="36" t="s">
        <v>1432</v>
      </c>
      <c r="Q90" s="36">
        <v>1</v>
      </c>
      <c r="T90" s="36" t="str">
        <f t="shared" si="1"/>
        <v>{szContent="本场战役已结束，双方战事惨烈，未分胜负！双方士气各涨500分！\n",szNote="据点攻防·平局",col={255,255,100,},[20]={bCenterAlarm=true,},tCountdown={{nClass=20,nIcon=2400,nFrame=0,szName="据点攻防·平局",nTime=30,nRefresh=2,key="阵营活动",},},},</v>
      </c>
      <c r="U90" s="36" t="s">
        <v>1934</v>
      </c>
    </row>
    <row r="91" spans="1:30" s="36" customFormat="1" x14ac:dyDescent="0.15">
      <c r="C91" s="36" t="s">
        <v>1933</v>
      </c>
      <c r="D91" s="36" t="s">
        <v>2117</v>
      </c>
      <c r="K91" s="36" t="s">
        <v>1432</v>
      </c>
      <c r="T91" s="36" t="str">
        <f t="shared" si="1"/>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91" s="36" t="s">
        <v>1790</v>
      </c>
      <c r="V91" s="41" t="s">
        <v>2290</v>
      </c>
    </row>
    <row r="92" spans="1:30" s="36" customFormat="1" x14ac:dyDescent="0.15">
      <c r="C92" s="36" t="s">
        <v>2202</v>
      </c>
      <c r="D92" s="36" t="s">
        <v>2203</v>
      </c>
      <c r="K92" s="36" t="s">
        <v>1432</v>
      </c>
      <c r="T92" s="36"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92" s="36" t="s">
        <v>2299</v>
      </c>
      <c r="V92" s="39"/>
    </row>
    <row r="93" spans="1:30" s="36" customFormat="1" x14ac:dyDescent="0.15">
      <c r="C93" s="36" t="s">
        <v>2196</v>
      </c>
      <c r="D93" s="36" t="s">
        <v>2197</v>
      </c>
      <c r="K93" s="36" t="s">
        <v>1432</v>
      </c>
      <c r="T93" s="36" t="str">
        <f t="shared" si="1"/>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93" s="36" t="s">
        <v>2298</v>
      </c>
      <c r="V93" s="39"/>
    </row>
    <row r="94" spans="1:30" s="36" customFormat="1" x14ac:dyDescent="0.15">
      <c r="A94" s="36" t="s">
        <v>1805</v>
      </c>
      <c r="B94" s="36">
        <v>22</v>
      </c>
      <c r="T94" s="36" t="str">
        <f t="shared" si="1"/>
        <v>},[22]={</v>
      </c>
    </row>
    <row r="95" spans="1:30" s="36" customFormat="1" x14ac:dyDescent="0.15">
      <c r="C95" s="36" t="s">
        <v>1798</v>
      </c>
      <c r="D95" s="36" t="s">
        <v>1493</v>
      </c>
      <c r="G95" s="36" t="s">
        <v>2204</v>
      </c>
      <c r="K95" s="36" t="s">
        <v>1432</v>
      </c>
      <c r="M95" s="36">
        <v>1</v>
      </c>
      <c r="T95" s="36" t="str">
        <f t="shared" si="1"/>
        <v>{szContent="([浩气恶人]+)[盟谷]-位于([^%d]-)的【(.-)据点】大旗被夺",szNote="{$3}·{$1}大旗被夺",col={255,255,100,},bReg=true,[20]={},tCountdown={{nClass=20,nIcon=592,nFrame=4,szName="{$3}·大旗重置",nTime=-1,key="{$3}·大旗重置",},{nClass=20,nIcon=1465,nFrame=-1,szName=" ",nTime=-2,nRefresh=7200,key="武王城·浩气大旗",},{nClass=20,nIcon=1465,nFrame=-1,szName=" ",nTime=-2,nRefresh=7200,key="武王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武王城】恶人·占领剩余",nTime=600.1,nRefresh=720,key="武王城·浩气大旗",},{nClass=20,nIcon=3444,nFrame=7,szName="【武王城】浩气·占领剩余",nTime=600.1,nRefresh=720,key="武王城·恶人大旗",},},},</v>
      </c>
      <c r="U95" s="36" t="s">
        <v>1861</v>
      </c>
      <c r="V95" s="36" t="str">
        <f>"{nClass=20,nIcon=1465,nFrame=-1,szName="&amp;""" """&amp;",nTime=-2,nRefresh=7200,key="""&amp;G95&amp;"·浩气大旗"&amp;""",},"</f>
        <v>{nClass=20,nIcon=1465,nFrame=-1,szName=" ",nTime=-2,nRefresh=7200,key="武王城·浩气大旗",},</v>
      </c>
      <c r="W95" s="36" t="str">
        <f>"{nClass=20,nIcon=1465,nFrame=-1,szName="&amp;""" """&amp;",nTime=-2,nRefresh=7200,key="""&amp;G95&amp;"·恶人大旗"&amp;""",},"</f>
        <v>{nClass=20,nIcon=1465,nFrame=-1,szName=" ",nTime=-2,nRefresh=7200,key="武王城·恶人大旗",},</v>
      </c>
      <c r="X95" s="36" t="s">
        <v>2421</v>
      </c>
      <c r="Y95" s="36" t="s">
        <v>2423</v>
      </c>
      <c r="Z95" s="36" t="s">
        <v>2431</v>
      </c>
      <c r="AA95" s="36" t="s">
        <v>2232</v>
      </c>
      <c r="AB95" s="36" t="s">
        <v>2233</v>
      </c>
      <c r="AC95" s="36" t="str">
        <f>"{nClass=20,nIcon=3445,nFrame=3,szName="&amp;"""【"&amp;G95&amp;"】恶人·占领剩余"""&amp;",nTime=600.1,nRefresh=720,key="&amp;""""&amp;G95&amp;"·浩气大旗"""&amp;",},"</f>
        <v>{nClass=20,nIcon=3445,nFrame=3,szName="【武王城】恶人·占领剩余",nTime=600.1,nRefresh=720,key="武王城·浩气大旗",},</v>
      </c>
      <c r="AD95" s="36" t="str">
        <f>"{nClass=20,nIcon=3444,nFrame=7,szName="&amp;"""【"&amp;G95&amp;"】浩气·占领剩余"""&amp;",nTime=600.1,nRefresh=720,key="&amp;""""&amp;G95&amp;"·恶人大旗"""&amp;",},"</f>
        <v>{nClass=20,nIcon=3444,nFrame=7,szName="【武王城】浩气·占领剩余",nTime=600.1,nRefresh=720,key="武王城·恶人大旗",},</v>
      </c>
    </row>
    <row r="96" spans="1:30" s="36" customFormat="1" x14ac:dyDescent="0.15">
      <c r="C96" s="36" t="s">
        <v>2433</v>
      </c>
      <c r="D96" s="36" t="s">
        <v>1820</v>
      </c>
      <c r="K96" s="36" t="s">
        <v>1432</v>
      </c>
      <c r="M96" s="36">
        <v>1</v>
      </c>
      <c r="T96" s="36" t="str">
        <f t="shared" si="1"/>
        <v>{szContent="^【(.*)】据点大旗(.*)重置回初始位置！\n",szNote="{$1}·大旗重置",col={255,255,100,},bReg=true,[20]={},tCountdown={{nClass=20,nIcon=1465,szName="武王城·大旗重置",nTime=-2,nRefresh=7200,key="武王城·大旗重置",},{nClass=20,nIcon=13,szName="【{$1}】大旗重置",nTime=-2,key="{$1}·大旗重置",},{nClass=20,nIcon=592,nFrame=4,szName="【{$1}】大旗重置",nTime=30,key="{$1}·大旗重置",},{nClass=20,nIcon=592,nFrame=4,szName="【武王城】大旗重置",nTime=180,nRefresh=7200,key="武王城·大旗重置",},},},</v>
      </c>
      <c r="U96" s="36" t="s">
        <v>2449</v>
      </c>
      <c r="V96" s="36" t="s">
        <v>2429</v>
      </c>
      <c r="W96" s="36" t="s">
        <v>1898</v>
      </c>
      <c r="X96" s="36" t="s">
        <v>2450</v>
      </c>
    </row>
    <row r="97" spans="1:34" s="36" customFormat="1" x14ac:dyDescent="0.15">
      <c r="C97" s="36" t="s">
        <v>1611</v>
      </c>
      <c r="K97" s="36" t="s">
        <v>1432</v>
      </c>
      <c r="T97" s="36" t="str">
        <f t="shared" si="1"/>
        <v>{szContent="本场浩气盟攻防即将结束，南屏山物资运送暂且休整，等待下一场攻防开启！\n",col={255,255,100,},[20]={},tCountdown={{nClass=20,nIcon=13,nFrame=0,szName="粮草先行·活动结束",nTime=5,key="粮草先行·浩气盟",},{nClass=20,nIcon=13,szName="粮草先行·恶人谷",nTime=0,key="粮草先行·恶人谷",},{nClass=20,nIcon=589,nFrame=7,szName="赵新宇",nTime="60,赵新宇·刷新剩余;62,赵新宇·即将刷新",nRefresh=0,key="赵新宇",},},},</v>
      </c>
      <c r="U97" s="36" t="s">
        <v>2319</v>
      </c>
      <c r="V97" s="36" t="s">
        <v>2322</v>
      </c>
      <c r="W97" s="36" t="s">
        <v>2323</v>
      </c>
    </row>
    <row r="98" spans="1:34" s="36" customFormat="1" x14ac:dyDescent="0.15">
      <c r="C98" s="36" t="s">
        <v>1571</v>
      </c>
      <c r="K98" s="36" t="s">
        <v>1438</v>
      </c>
      <c r="T98" s="36" t="str">
        <f t="shared" si="1"/>
        <v>{szContent="南屏山恶人谷伴江村援军已到，营地夺回，交通恢复！\n",col={255,100,100,},[20]={},tCountdown={{nClass=20,nIcon=589,nFrame=7,szName="赵新宇·已刷新",nTime=10,nRefresh=600,key="赵新宇",},},},</v>
      </c>
      <c r="U98" s="36" t="s">
        <v>1658</v>
      </c>
    </row>
    <row r="99" spans="1:34" s="36" customFormat="1" x14ac:dyDescent="0.15">
      <c r="C99" s="36" t="s">
        <v>1570</v>
      </c>
      <c r="K99" s="36" t="s">
        <v>1565</v>
      </c>
      <c r="T99" s="36" t="str">
        <f t="shared" si="1"/>
        <v>{szContent="南屏山浩气盟望北村援军已到，营地夺回，交通恢复！\n",col={100,100,255,},[20]={},tCountdown={{nClass=20,nIcon=308,nFrame=3,szName="方超·已刷新",nTime=10,nRefresh=600,key="方超",},},},</v>
      </c>
      <c r="U99" s="36" t="s">
        <v>1657</v>
      </c>
    </row>
    <row r="100" spans="1:34" x14ac:dyDescent="0.15">
      <c r="A100" t="s">
        <v>1806</v>
      </c>
      <c r="B100">
        <v>30</v>
      </c>
      <c r="T100" s="36" t="str">
        <f t="shared" si="1"/>
        <v>},[30]={</v>
      </c>
    </row>
    <row r="101" spans="1:34" s="36" customFormat="1" x14ac:dyDescent="0.15">
      <c r="C101" s="36" t="s">
        <v>1798</v>
      </c>
      <c r="D101" s="36" t="s">
        <v>1493</v>
      </c>
      <c r="G101" s="36" t="s">
        <v>2205</v>
      </c>
      <c r="K101" s="36" t="s">
        <v>1432</v>
      </c>
      <c r="M101" s="36">
        <v>1</v>
      </c>
      <c r="T101" s="36" t="str">
        <f t="shared" si="1"/>
        <v>{szContent="([浩气恶人]+)[盟谷]-位于([^%d]-)的【(.-)据点】大旗被夺",szNote="{$3}·{$1}大旗被夺",col={255,255,100,},bReg=true,[20]={},tCountdown={{nClass=20,nIcon=592,nFrame=4,szName="{$3}·大旗重置",nTime=-1,key="{$3}·大旗重置",},{nClass=20,nIcon=1465,nFrame=-1,szName=" ",nTime=-2,nRefresh=7200,key="凛风堡·浩气大旗",},{nClass=20,nIcon=1465,nFrame=-1,szName=" ",nTime=-2,nRefresh=7200,key="凛风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凛风堡】恶人·占领剩余",nTime=600.1,nRefresh=720,key="凛风堡·浩气大旗",},{nClass=20,nIcon=3444,nFrame=7,szName="【凛风堡】浩气·占领剩余",nTime=600.1,nRefresh=720,key="凛风堡·恶人大旗",},},},</v>
      </c>
      <c r="U101" s="36" t="s">
        <v>1861</v>
      </c>
      <c r="V101" s="36" t="str">
        <f>"{nClass=20,nIcon=1465,nFrame=-1,szName="&amp;""" """&amp;",nTime=-2,nRefresh=7200,key="""&amp;G101&amp;"·浩气大旗"&amp;""",},"</f>
        <v>{nClass=20,nIcon=1465,nFrame=-1,szName=" ",nTime=-2,nRefresh=7200,key="凛风堡·浩气大旗",},</v>
      </c>
      <c r="W101" s="36" t="str">
        <f>"{nClass=20,nIcon=1465,nFrame=-1,szName="&amp;""" """&amp;",nTime=-2,nRefresh=7200,key="""&amp;G101&amp;"·恶人大旗"&amp;""",},"</f>
        <v>{nClass=20,nIcon=1465,nFrame=-1,szName=" ",nTime=-2,nRefresh=7200,key="凛风堡·恶人大旗",},</v>
      </c>
      <c r="X101" s="36" t="s">
        <v>2421</v>
      </c>
      <c r="Y101" s="36" t="s">
        <v>2423</v>
      </c>
      <c r="Z101" s="36" t="s">
        <v>2431</v>
      </c>
      <c r="AA101" s="36" t="s">
        <v>2232</v>
      </c>
      <c r="AB101" s="36" t="s">
        <v>2233</v>
      </c>
      <c r="AC101" s="36" t="str">
        <f>"{nClass=20,nIcon=3445,nFrame=3,szName="&amp;"""【"&amp;G101&amp;"】恶人·占领剩余"""&amp;",nTime=600.1,nRefresh=720,key="&amp;""""&amp;G101&amp;"·浩气大旗"""&amp;",},"</f>
        <v>{nClass=20,nIcon=3445,nFrame=3,szName="【凛风堡】恶人·占领剩余",nTime=600.1,nRefresh=720,key="凛风堡·浩气大旗",},</v>
      </c>
      <c r="AD101" s="36" t="str">
        <f>"{nClass=20,nIcon=3444,nFrame=7,szName="&amp;"""【"&amp;G101&amp;"】浩气·占领剩余"""&amp;",nTime=600.1,nRefresh=720,key="&amp;""""&amp;G101&amp;"·恶人大旗"""&amp;",},"</f>
        <v>{nClass=20,nIcon=3444,nFrame=7,szName="【凛风堡】浩气·占领剩余",nTime=600.1,nRefresh=720,key="凛风堡·恶人大旗",},</v>
      </c>
    </row>
    <row r="102" spans="1:34" x14ac:dyDescent="0.15">
      <c r="C102" t="s">
        <v>1925</v>
      </c>
      <c r="D102" s="36" t="s">
        <v>1820</v>
      </c>
      <c r="K102" t="s">
        <v>1432</v>
      </c>
      <c r="M102">
        <v>1</v>
      </c>
      <c r="T102" s="36" t="str">
        <f t="shared" si="1"/>
        <v>{szContent="^【(.*)】据点大旗(.*)重置回初始位置！\n",szNote="{$1}·大旗重置",col={255,255,100,},bReg=true,[20]={},tCountdown={{nClass=20,nIcon=1465,szName="凛风堡·大旗重置",nTime=-2,nRefresh=7200,key="凛风堡·大旗重置",},{nClass=20,nIcon=13,szName="【{$1}】大旗重置",nTime=-2,key="{$1}·大旗重置",},{nClass=20,nIcon=592,nFrame=4,szName="【{$1}】大旗重置",nTime=30,key="{$1}·大旗重置",},{nClass=20,nIcon=592,nFrame=4,szName="【凛风堡】大旗重置",nTime=180,nRefresh=7200,key="凛风堡·大旗重置",},},},</v>
      </c>
      <c r="U102" s="36" t="s">
        <v>2448</v>
      </c>
      <c r="V102" s="36" t="s">
        <v>2429</v>
      </c>
      <c r="W102" s="36" t="s">
        <v>1898</v>
      </c>
      <c r="X102" s="36" t="s">
        <v>1864</v>
      </c>
    </row>
    <row r="103" spans="1:34" x14ac:dyDescent="0.15">
      <c r="C103" t="s">
        <v>1567</v>
      </c>
      <c r="K103" t="s">
        <v>1432</v>
      </c>
      <c r="T103" s="36" t="str">
        <f t="shared" si="1"/>
        <v>{szContent="本场恶人谷攻防即将结束，昆仑物资运送暂且休整，等待下一场攻防开启！\n",col={255,255,100,},[20]={},tCountdown={{nClass=20,nIcon=13,nFrame=0,szName="粮草先行·活动结束",nTime=5,key="粮草先行·恶人谷",},{nClass=20,nIcon=13,szName="粮草先行·浩气盟",nTime=0,key="粮草先行·浩气盟",},{nClass=20,nIcon=2864,nFrame=7,szName="霸图",nTime="60,霸图·刷新剩余;62,霸图·即将刷新",nRefresh=0,key="霸图",},{nClass=20,nIcon=845,nFrame=3,szName="孙永恒",nTime="60,孙永恒·刷新剩余;62,孙永恒·即将刷新",nRefresh=0,key="孙永恒",},},},</v>
      </c>
      <c r="U103" t="s">
        <v>2320</v>
      </c>
      <c r="V103" t="s">
        <v>2321</v>
      </c>
      <c r="W103" s="36" t="s">
        <v>2324</v>
      </c>
      <c r="X103" s="36" t="s">
        <v>2325</v>
      </c>
    </row>
    <row r="104" spans="1:34" x14ac:dyDescent="0.15">
      <c r="C104" t="s">
        <v>1569</v>
      </c>
      <c r="K104" t="s">
        <v>1438</v>
      </c>
      <c r="T104" s="36" t="str">
        <f t="shared" si="1"/>
        <v>{szContent="昆仑山恶人谷西昆仑高地援军已到，营地夺回，交通恢复！\n",col={255,100,100,},[20]={},tCountdown={{nClass=20,nIcon=2864,nFrame=7,szName="霸图·已刷新",nTime=10,nRefresh=600,key="霸图",},},},</v>
      </c>
      <c r="U104" s="36" t="s">
        <v>1660</v>
      </c>
    </row>
    <row r="105" spans="1:34" x14ac:dyDescent="0.15">
      <c r="C105" t="s">
        <v>1568</v>
      </c>
      <c r="K105" t="s">
        <v>1565</v>
      </c>
      <c r="T105" s="36" t="str">
        <f t="shared" si="1"/>
        <v>{szContent="昆仑山浩气盟东昆仑高地援军已到，营地夺回，交通恢复！\n",col={100,100,255,},[20]={},tCountdown={{nClass=20,nIcon=845,nFrame=3,szName="孙永恒·已刷新",nTime=10,nRefresh=600,key="孙永恒",},},},</v>
      </c>
      <c r="U105" s="36" t="s">
        <v>1659</v>
      </c>
    </row>
    <row r="106" spans="1:34" x14ac:dyDescent="0.15">
      <c r="A106" t="s">
        <v>1807</v>
      </c>
      <c r="B106">
        <v>21</v>
      </c>
      <c r="T106" s="36" t="str">
        <f t="shared" si="1"/>
        <v>},[21]={</v>
      </c>
    </row>
    <row r="107" spans="1:34" s="36" customFormat="1" x14ac:dyDescent="0.15">
      <c r="C107" s="36" t="s">
        <v>1798</v>
      </c>
      <c r="D107" s="36" t="s">
        <v>1493</v>
      </c>
      <c r="G107" s="36" t="s">
        <v>2206</v>
      </c>
      <c r="H107" s="36" t="s">
        <v>2207</v>
      </c>
      <c r="K107" s="36" t="s">
        <v>1432</v>
      </c>
      <c r="M107" s="36">
        <v>1</v>
      </c>
      <c r="T107" s="36" t="str">
        <f t="shared" si="1"/>
        <v>{szContent="([浩气恶人]+)[盟谷]-位于([^%d]-)的【(.-)据点】大旗被夺",szNote="{$3}·{$1}大旗被夺",col={255,255,100,},bReg=true,[20]={},tCountdown={{nClass=20,nIcon=592,nFrame=4,szName="{$3}·大旗重置",nTime=-1,key="{$3}·大旗重置",},{nClass=20,nIcon=1465,nFrame=-1,szName=" ",nTime=-2,nRefresh=7200,key="盘龙坞·浩气大旗",},{nClass=20,nIcon=1465,nFrame=-1,szName=" ",nTime=-2,nRefresh=7200,key="逐鹿坪·浩气大旗",},{nClass=20,nIcon=1465,nFrame=-1,szName=" ",nTime=-2,nRefresh=7200,key="盘龙坞·恶人大旗",},{nClass=20,nIcon=1465,nFrame=-1,szName=" ",nTime=-2,nRefresh=7200,key="逐鹿坪·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盘龙坞】恶人·占领剩余",nTime=600.1,nRefresh=720,key="盘龙坞·浩气大旗",},{nClass=20,nIcon=3445,nFrame=3,szName="【逐鹿坪】恶人·占领剩余",nTime=600.1,nRefresh=720,key="逐鹿坪·浩气大旗",},{nClass=20,nIcon=3444,nFrame=7,szName="【盘龙坞】浩气·占领剩余",nTime=600.1,nRefresh=720,key="盘龙坞·恶人大旗",},{nClass=20,nIcon=3444,nFrame=7,szName="【逐鹿坪】浩气·占领剩余",nTime=600.1,nRefresh=720,key="逐鹿坪·恶人大旗",},},},</v>
      </c>
      <c r="U107" s="36" t="s">
        <v>1861</v>
      </c>
      <c r="V107" s="36" t="str">
        <f>"{nClass=20,nIcon=1465,nFrame=-1,szName="&amp;""" """&amp;",nTime=-2,nRefresh=7200,key="""&amp;G107&amp;"·浩气大旗"&amp;""",},"</f>
        <v>{nClass=20,nIcon=1465,nFrame=-1,szName=" ",nTime=-2,nRefresh=7200,key="盘龙坞·浩气大旗",},</v>
      </c>
      <c r="W107" s="36" t="str">
        <f>"{nClass=20,nIcon=1465,nFrame=-1,szName="&amp;""" """&amp;",nTime=-2,nRefresh=7200,key="""&amp;H107&amp;"·浩气大旗"&amp;""",},"</f>
        <v>{nClass=20,nIcon=1465,nFrame=-1,szName=" ",nTime=-2,nRefresh=7200,key="逐鹿坪·浩气大旗",},</v>
      </c>
      <c r="X107" s="36" t="str">
        <f>"{nClass=20,nIcon=1465,nFrame=-1,szName="&amp;""" """&amp;",nTime=-2,nRefresh=7200,key="""&amp;G107&amp;"·恶人大旗"&amp;""",},"</f>
        <v>{nClass=20,nIcon=1465,nFrame=-1,szName=" ",nTime=-2,nRefresh=7200,key="盘龙坞·恶人大旗",},</v>
      </c>
      <c r="Y107" s="36" t="str">
        <f>"{nClass=20,nIcon=1465,nFrame=-1,szName="&amp;""" """&amp;",nTime=-2,nRefresh=7200,key="""&amp;H107&amp;"·恶人大旗"&amp;""",},"</f>
        <v>{nClass=20,nIcon=1465,nFrame=-1,szName=" ",nTime=-2,nRefresh=7200,key="逐鹿坪·恶人大旗",},</v>
      </c>
      <c r="Z107" s="36" t="s">
        <v>2420</v>
      </c>
      <c r="AA107" s="36" t="s">
        <v>2422</v>
      </c>
      <c r="AB107" s="36" t="s">
        <v>2430</v>
      </c>
      <c r="AC107" s="36" t="s">
        <v>2232</v>
      </c>
      <c r="AD107" s="36" t="s">
        <v>2233</v>
      </c>
      <c r="AE107" s="36" t="str">
        <f>"{nClass=20,nIcon=3445,nFrame=3,szName="&amp;"""【"&amp;G107&amp;"】恶人·占领剩余"""&amp;",nTime=600.1,nRefresh=720,key="&amp;""""&amp;G107&amp;"·浩气大旗"""&amp;",},"</f>
        <v>{nClass=20,nIcon=3445,nFrame=3,szName="【盘龙坞】恶人·占领剩余",nTime=600.1,nRefresh=720,key="盘龙坞·浩气大旗",},</v>
      </c>
      <c r="AF107" s="36" t="str">
        <f>"{nClass=20,nIcon=3445,nFrame=3,szName="&amp;"""【"&amp;H107&amp;"】恶人·占领剩余"""&amp;",nTime=600.1,nRefresh=720,key="&amp;""""&amp;H107&amp;"·浩气大旗"""&amp;",},"</f>
        <v>{nClass=20,nIcon=3445,nFrame=3,szName="【逐鹿坪】恶人·占领剩余",nTime=600.1,nRefresh=720,key="逐鹿坪·浩气大旗",},</v>
      </c>
      <c r="AG107" s="36" t="str">
        <f>"{nClass=20,nIcon=3444,nFrame=7,szName="&amp;"""【"&amp;G107&amp;"】浩气·占领剩余"""&amp;",nTime=600.1,nRefresh=720,key="&amp;""""&amp;G107&amp;"·恶人大旗"""&amp;",},"</f>
        <v>{nClass=20,nIcon=3444,nFrame=7,szName="【盘龙坞】浩气·占领剩余",nTime=600.1,nRefresh=720,key="盘龙坞·恶人大旗",},</v>
      </c>
      <c r="AH107" s="36" t="str">
        <f>"{nClass=20,nIcon=3444,nFrame=7,szName="&amp;"""【"&amp;H107&amp;"】浩气·占领剩余"""&amp;",nTime=600.1,nRefresh=720,key="&amp;""""&amp;H107&amp;"·恶人大旗"""&amp;",},"</f>
        <v>{nClass=20,nIcon=3444,nFrame=7,szName="【逐鹿坪】浩气·占领剩余",nTime=600.1,nRefresh=720,key="逐鹿坪·恶人大旗",},</v>
      </c>
    </row>
    <row r="108" spans="1:34" x14ac:dyDescent="0.15">
      <c r="C108" t="s">
        <v>1925</v>
      </c>
      <c r="D108" s="36" t="s">
        <v>1820</v>
      </c>
      <c r="K108" t="s">
        <v>1432</v>
      </c>
      <c r="M108">
        <v>1</v>
      </c>
      <c r="T108" s="36" t="str">
        <f t="shared" si="1"/>
        <v>{szContent="^【(.*)】据点大旗(.*)重置回初始位置！\n",szNote="{$1}·大旗重置",col={255,255,100,},bReg=true,[20]={},tCountdown={{nClass=20,nIcon=1465,szName="盘龙坞·大旗重置",nTime=-2,nRefresh=7200,key="盘龙坞·大旗重置",},{nClass=20,nIcon=1465,szName="逐鹿坪·大旗重置",nTime=-2,nRefresh=7200,key="逐鹿坪·大旗重置",},{nClass=20,nIcon=13,szName="【{$1}】大旗重置",nTime=-2,key="{$1}·大旗重置",},{nClass=20,nIcon=592,nFrame=4,szName="【{$1}】大旗重置",nTime=30,key="{$1}·大旗重置",},{nClass=20,nIcon=592,nFrame=4,szName="【盘龙坞】大旗重置",nTime=180,nRefresh=7200,key="盘龙坞·大旗重置",},{nClass=20,nIcon=592,nFrame=4,szName="【逐鹿坪】大旗重置",nTime=180,nRefresh=7200,key="逐鹿坪·大旗重置",},},},</v>
      </c>
      <c r="U108" s="36" t="s">
        <v>2463</v>
      </c>
      <c r="V108" s="36" t="s">
        <v>2476</v>
      </c>
      <c r="W108" s="36" t="s">
        <v>2428</v>
      </c>
      <c r="X108" s="36" t="s">
        <v>1897</v>
      </c>
      <c r="Y108" s="36" t="s">
        <v>1870</v>
      </c>
      <c r="Z108" s="36" t="s">
        <v>2451</v>
      </c>
      <c r="AA108" s="36"/>
    </row>
    <row r="109" spans="1:34" x14ac:dyDescent="0.15">
      <c r="A109" t="s">
        <v>1808</v>
      </c>
      <c r="B109">
        <v>23</v>
      </c>
      <c r="T109" s="36" t="str">
        <f t="shared" si="1"/>
        <v>},[23]={</v>
      </c>
      <c r="Z109" s="36"/>
      <c r="AA109" s="36"/>
    </row>
    <row r="110" spans="1:34" s="36" customFormat="1" x14ac:dyDescent="0.15">
      <c r="C110" s="36" t="s">
        <v>1798</v>
      </c>
      <c r="D110" s="36" t="s">
        <v>1493</v>
      </c>
      <c r="G110" s="36" t="s">
        <v>2208</v>
      </c>
      <c r="H110" s="36" t="s">
        <v>2209</v>
      </c>
      <c r="K110" s="36" t="s">
        <v>1432</v>
      </c>
      <c r="M110" s="36">
        <v>1</v>
      </c>
      <c r="T110" s="36" t="str">
        <f t="shared" si="1"/>
        <v>{szContent="([浩气恶人]+)[盟谷]-位于([^%d]-)的【(.-)据点】大旗被夺",szNote="{$3}·{$1}大旗被夺",col={255,255,100,},bReg=true,[20]={},tCountdown={{nClass=20,nIcon=592,nFrame=4,szName="{$3}·大旗重置",nTime=-1,key="{$3}·大旗重置",},{nClass=20,nIcon=1465,nFrame=-1,szName=" ",nTime=-2,nRefresh=7200,key="龙门镇·浩气大旗",},{nClass=20,nIcon=1465,nFrame=-1,szName=" ",nTime=-2,nRefresh=7200,key="飞沙关·浩气大旗",},{nClass=20,nIcon=1465,nFrame=-1,szName=" ",nTime=-2,nRefresh=7200,key="龙门镇·恶人大旗",},{nClass=20,nIcon=1465,nFrame=-1,szName=" ",nTime=-2,nRefresh=7200,key="飞沙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龙门镇】恶人·占领剩余",nTime=600.1,nRefresh=720,key="龙门镇·浩气大旗",},{nClass=20,nIcon=3445,nFrame=3,szName="【飞沙关】恶人·占领剩余",nTime=600.1,nRefresh=720,key="飞沙关·浩气大旗",},{nClass=20,nIcon=3444,nFrame=7,szName="【龙门镇】浩气·占领剩余",nTime=600.1,nRefresh=720,key="龙门镇·恶人大旗",},{nClass=20,nIcon=3444,nFrame=7,szName="【飞沙关】浩气·占领剩余",nTime=600.1,nRefresh=720,key="飞沙关·恶人大旗",},},},</v>
      </c>
      <c r="U110" s="36" t="s">
        <v>1861</v>
      </c>
      <c r="V110" s="36" t="str">
        <f>"{nClass=20,nIcon=1465,nFrame=-1,szName="&amp;""" """&amp;",nTime=-2,nRefresh=7200,key="""&amp;G110&amp;"·浩气大旗"&amp;""",},"</f>
        <v>{nClass=20,nIcon=1465,nFrame=-1,szName=" ",nTime=-2,nRefresh=7200,key="龙门镇·浩气大旗",},</v>
      </c>
      <c r="W110" s="36" t="str">
        <f>"{nClass=20,nIcon=1465,nFrame=-1,szName="&amp;""" """&amp;",nTime=-2,nRefresh=7200,key="""&amp;H110&amp;"·浩气大旗"&amp;""",},"</f>
        <v>{nClass=20,nIcon=1465,nFrame=-1,szName=" ",nTime=-2,nRefresh=7200,key="飞沙关·浩气大旗",},</v>
      </c>
      <c r="X110" s="36" t="str">
        <f>"{nClass=20,nIcon=1465,nFrame=-1,szName="&amp;""" """&amp;",nTime=-2,nRefresh=7200,key="""&amp;G110&amp;"·恶人大旗"&amp;""",},"</f>
        <v>{nClass=20,nIcon=1465,nFrame=-1,szName=" ",nTime=-2,nRefresh=7200,key="龙门镇·恶人大旗",},</v>
      </c>
      <c r="Y110" s="36" t="str">
        <f>"{nClass=20,nIcon=1465,nFrame=-1,szName="&amp;""" """&amp;",nTime=-2,nRefresh=7200,key="""&amp;H110&amp;"·恶人大旗"&amp;""",},"</f>
        <v>{nClass=20,nIcon=1465,nFrame=-1,szName=" ",nTime=-2,nRefresh=7200,key="飞沙关·恶人大旗",},</v>
      </c>
      <c r="Z110" s="36" t="s">
        <v>2420</v>
      </c>
      <c r="AA110" s="36" t="s">
        <v>2422</v>
      </c>
      <c r="AB110" s="36" t="s">
        <v>2430</v>
      </c>
      <c r="AC110" s="36" t="s">
        <v>2232</v>
      </c>
      <c r="AD110" s="36" t="s">
        <v>2233</v>
      </c>
      <c r="AE110" s="36" t="str">
        <f>"{nClass=20,nIcon=3445,nFrame=3,szName="&amp;"""【"&amp;G110&amp;"】恶人·占领剩余"""&amp;",nTime=600.1,nRefresh=720,key="&amp;""""&amp;G110&amp;"·浩气大旗"""&amp;",},"</f>
        <v>{nClass=20,nIcon=3445,nFrame=3,szName="【龙门镇】恶人·占领剩余",nTime=600.1,nRefresh=720,key="龙门镇·浩气大旗",},</v>
      </c>
      <c r="AF110" s="36" t="str">
        <f>"{nClass=20,nIcon=3445,nFrame=3,szName="&amp;"""【"&amp;H110&amp;"】恶人·占领剩余"""&amp;",nTime=600.1,nRefresh=720,key="&amp;""""&amp;H110&amp;"·浩气大旗"""&amp;",},"</f>
        <v>{nClass=20,nIcon=3445,nFrame=3,szName="【飞沙关】恶人·占领剩余",nTime=600.1,nRefresh=720,key="飞沙关·浩气大旗",},</v>
      </c>
      <c r="AG110" s="36" t="str">
        <f>"{nClass=20,nIcon=3444,nFrame=7,szName="&amp;"""【"&amp;G110&amp;"】浩气·占领剩余"""&amp;",nTime=600.1,nRefresh=720,key="&amp;""""&amp;G110&amp;"·恶人大旗"""&amp;",},"</f>
        <v>{nClass=20,nIcon=3444,nFrame=7,szName="【龙门镇】浩气·占领剩余",nTime=600.1,nRefresh=720,key="龙门镇·恶人大旗",},</v>
      </c>
      <c r="AH110" s="36" t="str">
        <f>"{nClass=20,nIcon=3444,nFrame=7,szName="&amp;"""【"&amp;H110&amp;"】浩气·占领剩余"""&amp;",nTime=600.1,nRefresh=720,key="&amp;""""&amp;H110&amp;"·恶人大旗"""&amp;",},"</f>
        <v>{nClass=20,nIcon=3444,nFrame=7,szName="【飞沙关】浩气·占领剩余",nTime=600.1,nRefresh=720,key="飞沙关·恶人大旗",},</v>
      </c>
    </row>
    <row r="111" spans="1:34" x14ac:dyDescent="0.15">
      <c r="C111" t="s">
        <v>1925</v>
      </c>
      <c r="D111" s="36" t="s">
        <v>1820</v>
      </c>
      <c r="K111" t="s">
        <v>1432</v>
      </c>
      <c r="M111">
        <v>1</v>
      </c>
      <c r="T111" s="36" t="str">
        <f t="shared" si="1"/>
        <v>{szContent="^【(.*)】据点大旗(.*)重置回初始位置！\n",szNote="{$1}·大旗重置",col={255,255,100,},bReg=true,[20]={},tCountdown={{nClass=20,nIcon=1465,szName="龙门镇·大旗重置",nTime=-2,nRefresh=7200,key="龙门镇·大旗重置",},{nClass=20,nIcon=1465,szName="飞沙关·大旗重置",nTime=-2,nRefresh=7200,key="飞沙关·大旗重置",},{nClass=20,nIcon=13,szName="【{$1}】大旗重置",nTime=-2,key="{$1}·大旗重置",},{nClass=20,nIcon=592,nFrame=4,szName="【{$1}】大旗重置",nTime=30,key="{$1}·大旗重置",},{nClass=20,nIcon=592,nFrame=4,szName="【龙门镇】大旗重置",nTime=180,nRefresh=7200,key="龙门镇·大旗重置",},{nClass=20,nIcon=592,nFrame=4,szName="【飞沙关】大旗重置",nTime=180,nRefresh=7200,key="飞沙关·大旗重置",},},},</v>
      </c>
      <c r="U111" s="36" t="s">
        <v>2464</v>
      </c>
      <c r="V111" s="36" t="s">
        <v>2477</v>
      </c>
      <c r="W111" s="36" t="s">
        <v>2428</v>
      </c>
      <c r="X111" s="36" t="s">
        <v>1897</v>
      </c>
      <c r="Y111" s="36" t="s">
        <v>1879</v>
      </c>
      <c r="Z111" s="36" t="s">
        <v>2452</v>
      </c>
      <c r="AA111" s="36"/>
    </row>
    <row r="112" spans="1:34" x14ac:dyDescent="0.15">
      <c r="A112" t="s">
        <v>1809</v>
      </c>
      <c r="B112">
        <v>9</v>
      </c>
      <c r="T112" s="36" t="str">
        <f t="shared" si="1"/>
        <v>},[9]={</v>
      </c>
      <c r="Z112" s="36"/>
      <c r="AA112" s="36"/>
    </row>
    <row r="113" spans="1:34" s="36" customFormat="1" x14ac:dyDescent="0.15">
      <c r="C113" s="36" t="s">
        <v>1798</v>
      </c>
      <c r="D113" s="36" t="s">
        <v>1493</v>
      </c>
      <c r="G113" s="36" t="s">
        <v>2210</v>
      </c>
      <c r="H113" s="36" t="s">
        <v>2211</v>
      </c>
      <c r="K113" s="36" t="s">
        <v>1432</v>
      </c>
      <c r="M113" s="36">
        <v>1</v>
      </c>
      <c r="T113" s="36" t="str">
        <f t="shared" si="1"/>
        <v>{szContent="([浩气恶人]+)[盟谷]-位于([^%d]-)的【(.-)据点】大旗被夺",szNote="{$3}·{$1}大旗被夺",col={255,255,100,},bReg=true,[20]={},tCountdown={{nClass=20,nIcon=592,nFrame=4,szName="{$3}·大旗重置",nTime=-1,key="{$3}·大旗重置",},{nClass=20,nIcon=1465,nFrame=-1,szName=" ",nTime=-2,nRefresh=7200,key="红莲岗·浩气大旗",},{nClass=20,nIcon=1465,nFrame=-1,szName=" ",nTime=-2,nRefresh=7200,key="秋雨堡·浩气大旗",},{nClass=20,nIcon=1465,nFrame=-1,szName=" ",nTime=-2,nRefresh=7200,key="红莲岗·恶人大旗",},{nClass=20,nIcon=1465,nFrame=-1,szName=" ",nTime=-2,nRefresh=7200,key="秋雨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红莲岗】恶人·占领剩余",nTime=600.1,nRefresh=720,key="红莲岗·浩气大旗",},{nClass=20,nIcon=3445,nFrame=3,szName="【秋雨堡】恶人·占领剩余",nTime=600.1,nRefresh=720,key="秋雨堡·浩气大旗",},{nClass=20,nIcon=3444,nFrame=7,szName="【红莲岗】浩气·占领剩余",nTime=600.1,nRefresh=720,key="红莲岗·恶人大旗",},{nClass=20,nIcon=3444,nFrame=7,szName="【秋雨堡】浩气·占领剩余",nTime=600.1,nRefresh=720,key="秋雨堡·恶人大旗",},},},</v>
      </c>
      <c r="U113" s="36" t="s">
        <v>1861</v>
      </c>
      <c r="V113" s="36" t="str">
        <f>"{nClass=20,nIcon=1465,nFrame=-1,szName="&amp;""" """&amp;",nTime=-2,nRefresh=7200,key="""&amp;G113&amp;"·浩气大旗"&amp;""",},"</f>
        <v>{nClass=20,nIcon=1465,nFrame=-1,szName=" ",nTime=-2,nRefresh=7200,key="红莲岗·浩气大旗",},</v>
      </c>
      <c r="W113" s="36" t="str">
        <f>"{nClass=20,nIcon=1465,nFrame=-1,szName="&amp;""" """&amp;",nTime=-2,nRefresh=7200,key="""&amp;H113&amp;"·浩气大旗"&amp;""",},"</f>
        <v>{nClass=20,nIcon=1465,nFrame=-1,szName=" ",nTime=-2,nRefresh=7200,key="秋雨堡·浩气大旗",},</v>
      </c>
      <c r="X113" s="36" t="str">
        <f>"{nClass=20,nIcon=1465,nFrame=-1,szName="&amp;""" """&amp;",nTime=-2,nRefresh=7200,key="""&amp;G113&amp;"·恶人大旗"&amp;""",},"</f>
        <v>{nClass=20,nIcon=1465,nFrame=-1,szName=" ",nTime=-2,nRefresh=7200,key="红莲岗·恶人大旗",},</v>
      </c>
      <c r="Y113" s="36" t="str">
        <f>"{nClass=20,nIcon=1465,nFrame=-1,szName="&amp;""" """&amp;",nTime=-2,nRefresh=7200,key="""&amp;H113&amp;"·恶人大旗"&amp;""",},"</f>
        <v>{nClass=20,nIcon=1465,nFrame=-1,szName=" ",nTime=-2,nRefresh=7200,key="秋雨堡·恶人大旗",},</v>
      </c>
      <c r="Z113" s="36" t="s">
        <v>2420</v>
      </c>
      <c r="AA113" s="36" t="s">
        <v>2422</v>
      </c>
      <c r="AB113" s="36" t="s">
        <v>2430</v>
      </c>
      <c r="AC113" s="36" t="s">
        <v>2232</v>
      </c>
      <c r="AD113" s="36" t="s">
        <v>2233</v>
      </c>
      <c r="AE113" s="36" t="str">
        <f>"{nClass=20,nIcon=3445,nFrame=3,szName="&amp;"""【"&amp;G113&amp;"】恶人·占领剩余"""&amp;",nTime=600.1,nRefresh=720,key="&amp;""""&amp;G113&amp;"·浩气大旗"""&amp;",},"</f>
        <v>{nClass=20,nIcon=3445,nFrame=3,szName="【红莲岗】恶人·占领剩余",nTime=600.1,nRefresh=720,key="红莲岗·浩气大旗",},</v>
      </c>
      <c r="AF113" s="36" t="str">
        <f>"{nClass=20,nIcon=3445,nFrame=3,szName="&amp;"""【"&amp;H113&amp;"】恶人·占领剩余"""&amp;",nTime=600.1,nRefresh=720,key="&amp;""""&amp;H113&amp;"·浩气大旗"""&amp;",},"</f>
        <v>{nClass=20,nIcon=3445,nFrame=3,szName="【秋雨堡】恶人·占领剩余",nTime=600.1,nRefresh=720,key="秋雨堡·浩气大旗",},</v>
      </c>
      <c r="AG113" s="36" t="str">
        <f>"{nClass=20,nIcon=3444,nFrame=7,szName="&amp;"""【"&amp;G113&amp;"】浩气·占领剩余"""&amp;",nTime=600.1,nRefresh=720,key="&amp;""""&amp;G113&amp;"·恶人大旗"""&amp;",},"</f>
        <v>{nClass=20,nIcon=3444,nFrame=7,szName="【红莲岗】浩气·占领剩余",nTime=600.1,nRefresh=720,key="红莲岗·恶人大旗",},</v>
      </c>
      <c r="AH113" s="36" t="str">
        <f>"{nClass=20,nIcon=3444,nFrame=7,szName="&amp;"""【"&amp;H113&amp;"】浩气·占领剩余"""&amp;",nTime=600.1,nRefresh=720,key="&amp;""""&amp;H113&amp;"·恶人大旗"""&amp;",},"</f>
        <v>{nClass=20,nIcon=3444,nFrame=7,szName="【秋雨堡】浩气·占领剩余",nTime=600.1,nRefresh=720,key="秋雨堡·恶人大旗",},</v>
      </c>
    </row>
    <row r="114" spans="1:34" x14ac:dyDescent="0.15">
      <c r="C114" t="s">
        <v>1925</v>
      </c>
      <c r="D114" s="36" t="s">
        <v>1820</v>
      </c>
      <c r="K114" t="s">
        <v>1432</v>
      </c>
      <c r="M114">
        <v>1</v>
      </c>
      <c r="T114" s="36" t="str">
        <f t="shared" si="1"/>
        <v>{szContent="^【(.*)】据点大旗(.*)重置回初始位置！\n",szNote="{$1}·大旗重置",col={255,255,100,},bReg=true,[20]={},tCountdown={{nClass=20,nIcon=1465,szName="红莲岗·大旗重置",nTime=-2,nRefresh=7200,key="红莲岗·大旗重置",},{nClass=20,nIcon=1465,szName="秋雨堡·大旗重置",nTime=-2,nRefresh=7200,key="秋雨堡·大旗重置",},{nClass=20,nIcon=13,szName="【{$1}】大旗重置",nTime=-2,key="{$1}·大旗重置",},{nClass=20,nIcon=592,nFrame=4,szName="【{$1}】大旗重置",nTime=30,key="{$1}·大旗重置",},{nClass=20,nIcon=592,nFrame=4,szName="【红莲岗】大旗重置",nTime=180,nRefresh=7200,key="红莲岗·大旗重置",},{nClass=20,nIcon=592,nFrame=4,szName="【秋雨堡】大旗重置",nTime=180,nRefresh=7200,key="秋雨堡·大旗重置",},},},</v>
      </c>
      <c r="U114" s="36" t="s">
        <v>2465</v>
      </c>
      <c r="V114" s="36" t="s">
        <v>2478</v>
      </c>
      <c r="W114" s="36" t="s">
        <v>2428</v>
      </c>
      <c r="X114" s="36" t="s">
        <v>1897</v>
      </c>
      <c r="Y114" s="36" t="s">
        <v>1881</v>
      </c>
      <c r="Z114" s="36" t="s">
        <v>2453</v>
      </c>
      <c r="AA114" s="36"/>
    </row>
    <row r="115" spans="1:34" x14ac:dyDescent="0.15">
      <c r="A115" t="s">
        <v>1810</v>
      </c>
      <c r="B115">
        <v>13</v>
      </c>
      <c r="T115" s="36" t="str">
        <f t="shared" si="1"/>
        <v>},[13]={</v>
      </c>
      <c r="Z115" s="36"/>
      <c r="AA115" s="36"/>
    </row>
    <row r="116" spans="1:34" s="36" customFormat="1" x14ac:dyDescent="0.15">
      <c r="C116" s="36" t="s">
        <v>1798</v>
      </c>
      <c r="D116" s="36" t="s">
        <v>1493</v>
      </c>
      <c r="G116" s="36" t="s">
        <v>2212</v>
      </c>
      <c r="H116" s="36" t="s">
        <v>2213</v>
      </c>
      <c r="K116" s="36" t="s">
        <v>1432</v>
      </c>
      <c r="M116" s="36">
        <v>1</v>
      </c>
      <c r="T116" s="36" t="str">
        <f t="shared" si="1"/>
        <v>{szContent="([浩气恶人]+)[盟谷]-位于([^%d]-)的【(.-)据点】大旗被夺",szNote="{$3}·{$1}大旗被夺",col={255,255,100,},bReg=true,[20]={},tCountdown={{nClass=20,nIcon=592,nFrame=4,szName="{$3}·大旗重置",nTime=-1,key="{$3}·大旗重置",},{nClass=20,nIcon=1465,nFrame=-1,szName=" ",nTime=-2,nRefresh=7200,key="金门关·浩气大旗",},{nClass=20,nIcon=1465,nFrame=-1,szName=" ",nTime=-2,nRefresh=7200,key="青云坞·浩气大旗",},{nClass=20,nIcon=1465,nFrame=-1,szName=" ",nTime=-2,nRefresh=7200,key="金门关·恶人大旗",},{nClass=20,nIcon=1465,nFrame=-1,szName=" ",nTime=-2,nRefresh=7200,key="青云坞·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金门关】恶人·占领剩余",nTime=600.1,nRefresh=720,key="金门关·浩气大旗",},{nClass=20,nIcon=3445,nFrame=3,szName="【青云坞】恶人·占领剩余",nTime=600.1,nRefresh=720,key="青云坞·浩气大旗",},{nClass=20,nIcon=3444,nFrame=7,szName="【金门关】浩气·占领剩余",nTime=600.1,nRefresh=720,key="金门关·恶人大旗",},{nClass=20,nIcon=3444,nFrame=7,szName="【青云坞】浩气·占领剩余",nTime=600.1,nRefresh=720,key="青云坞·恶人大旗",},},},</v>
      </c>
      <c r="U116" s="36" t="s">
        <v>1861</v>
      </c>
      <c r="V116" s="36" t="str">
        <f>"{nClass=20,nIcon=1465,nFrame=-1,szName="&amp;""" """&amp;",nTime=-2,nRefresh=7200,key="""&amp;G116&amp;"·浩气大旗"&amp;""",},"</f>
        <v>{nClass=20,nIcon=1465,nFrame=-1,szName=" ",nTime=-2,nRefresh=7200,key="金门关·浩气大旗",},</v>
      </c>
      <c r="W116" s="36" t="str">
        <f>"{nClass=20,nIcon=1465,nFrame=-1,szName="&amp;""" """&amp;",nTime=-2,nRefresh=7200,key="""&amp;H116&amp;"·浩气大旗"&amp;""",},"</f>
        <v>{nClass=20,nIcon=1465,nFrame=-1,szName=" ",nTime=-2,nRefresh=7200,key="青云坞·浩气大旗",},</v>
      </c>
      <c r="X116" s="36" t="str">
        <f>"{nClass=20,nIcon=1465,nFrame=-1,szName="&amp;""" """&amp;",nTime=-2,nRefresh=7200,key="""&amp;G116&amp;"·恶人大旗"&amp;""",},"</f>
        <v>{nClass=20,nIcon=1465,nFrame=-1,szName=" ",nTime=-2,nRefresh=7200,key="金门关·恶人大旗",},</v>
      </c>
      <c r="Y116" s="36" t="str">
        <f>"{nClass=20,nIcon=1465,nFrame=-1,szName="&amp;""" """&amp;",nTime=-2,nRefresh=7200,key="""&amp;H116&amp;"·恶人大旗"&amp;""",},"</f>
        <v>{nClass=20,nIcon=1465,nFrame=-1,szName=" ",nTime=-2,nRefresh=7200,key="青云坞·恶人大旗",},</v>
      </c>
      <c r="Z116" s="36" t="s">
        <v>2420</v>
      </c>
      <c r="AA116" s="36" t="s">
        <v>2422</v>
      </c>
      <c r="AB116" s="36" t="s">
        <v>2430</v>
      </c>
      <c r="AC116" s="36" t="s">
        <v>2232</v>
      </c>
      <c r="AD116" s="36" t="s">
        <v>2233</v>
      </c>
      <c r="AE116" s="36" t="str">
        <f>"{nClass=20,nIcon=3445,nFrame=3,szName="&amp;"""【"&amp;G116&amp;"】恶人·占领剩余"""&amp;",nTime=600.1,nRefresh=720,key="&amp;""""&amp;G116&amp;"·浩气大旗"""&amp;",},"</f>
        <v>{nClass=20,nIcon=3445,nFrame=3,szName="【金门关】恶人·占领剩余",nTime=600.1,nRefresh=720,key="金门关·浩气大旗",},</v>
      </c>
      <c r="AF116" s="36" t="str">
        <f>"{nClass=20,nIcon=3445,nFrame=3,szName="&amp;"""【"&amp;H116&amp;"】恶人·占领剩余"""&amp;",nTime=600.1,nRefresh=720,key="&amp;""""&amp;H116&amp;"·浩气大旗"""&amp;",},"</f>
        <v>{nClass=20,nIcon=3445,nFrame=3,szName="【青云坞】恶人·占领剩余",nTime=600.1,nRefresh=720,key="青云坞·浩气大旗",},</v>
      </c>
      <c r="AG116" s="36" t="str">
        <f>"{nClass=20,nIcon=3444,nFrame=7,szName="&amp;"""【"&amp;G116&amp;"】浩气·占领剩余"""&amp;",nTime=600.1,nRefresh=720,key="&amp;""""&amp;G116&amp;"·恶人大旗"""&amp;",},"</f>
        <v>{nClass=20,nIcon=3444,nFrame=7,szName="【金门关】浩气·占领剩余",nTime=600.1,nRefresh=720,key="金门关·恶人大旗",},</v>
      </c>
      <c r="AH116" s="36" t="str">
        <f>"{nClass=20,nIcon=3444,nFrame=7,szName="&amp;"""【"&amp;H116&amp;"】浩气·占领剩余"""&amp;",nTime=600.1,nRefresh=720,key="&amp;""""&amp;H116&amp;"·恶人大旗"""&amp;",},"</f>
        <v>{nClass=20,nIcon=3444,nFrame=7,szName="【青云坞】浩气·占领剩余",nTime=600.1,nRefresh=720,key="青云坞·恶人大旗",},</v>
      </c>
    </row>
    <row r="117" spans="1:34" x14ac:dyDescent="0.15">
      <c r="C117" t="s">
        <v>1925</v>
      </c>
      <c r="D117" s="36" t="s">
        <v>1820</v>
      </c>
      <c r="K117" t="s">
        <v>1432</v>
      </c>
      <c r="M117">
        <v>1</v>
      </c>
      <c r="T117" s="36" t="str">
        <f t="shared" si="1"/>
        <v>{szContent="^【(.*)】据点大旗(.*)重置回初始位置！\n",szNote="{$1}·大旗重置",col={255,255,100,},bReg=true,[20]={},tCountdown={{nClass=20,nIcon=1465,szName="金门关·大旗重置",nTime=-2,nRefresh=7200,key="金门关·大旗重置",},{nClass=20,nIcon=1465,szName="青云坞·大旗重置",nTime=-2,nRefresh=7200,key="青云坞·大旗重置",},{nClass=20,nIcon=13,szName="【{$1}】大旗重置",nTime=-2,key="{$1}·大旗重置",},{nClass=20,nIcon=592,nFrame=4,szName="【{$1}】大旗重置",nTime=30,key="{$1}·大旗重置",},{nClass=20,nIcon=592,nFrame=4,szName="【金门关】大旗重置",nTime=180,nRefresh=7200,key="金门关·大旗重置",},{nClass=20,nIcon=592,nFrame=4,szName="【青云坞】大旗重置",nTime=180,nRefresh=7200,key="青云坞·大旗重置",},},},</v>
      </c>
      <c r="U117" s="36" t="s">
        <v>2466</v>
      </c>
      <c r="V117" s="36" t="s">
        <v>2479</v>
      </c>
      <c r="W117" s="36" t="s">
        <v>2428</v>
      </c>
      <c r="X117" s="36" t="s">
        <v>1897</v>
      </c>
      <c r="Y117" s="36" t="s">
        <v>1882</v>
      </c>
      <c r="Z117" s="36" t="s">
        <v>2454</v>
      </c>
      <c r="AA117" s="36"/>
    </row>
    <row r="118" spans="1:34" x14ac:dyDescent="0.15">
      <c r="A118" t="s">
        <v>1811</v>
      </c>
      <c r="B118">
        <v>35</v>
      </c>
      <c r="T118" s="36" t="str">
        <f t="shared" si="1"/>
        <v>},[35]={</v>
      </c>
      <c r="Z118" s="36"/>
      <c r="AA118" s="36"/>
    </row>
    <row r="119" spans="1:34" s="36" customFormat="1" x14ac:dyDescent="0.15">
      <c r="C119" s="36" t="s">
        <v>1798</v>
      </c>
      <c r="D119" s="36" t="s">
        <v>1493</v>
      </c>
      <c r="G119" s="36" t="s">
        <v>2214</v>
      </c>
      <c r="H119" s="36" t="s">
        <v>2215</v>
      </c>
      <c r="K119" s="36" t="s">
        <v>1432</v>
      </c>
      <c r="M119" s="36">
        <v>1</v>
      </c>
      <c r="T119" s="36" t="str">
        <f t="shared" si="1"/>
        <v>{szContent="([浩气恶人]+)[盟谷]-位于([^%d]-)的【(.-)据点】大旗被夺",szNote="{$3}·{$1}大旗被夺",col={255,255,100,},bReg=true,[20]={},tCountdown={{nClass=20,nIcon=592,nFrame=4,szName="{$3}·大旗重置",nTime=-1,key="{$3}·大旗重置",},{nClass=20,nIcon=1465,nFrame=-1,szName=" ",nTime=-2,nRefresh=7200,key="激流坞·浩气大旗",},{nClass=20,nIcon=1465,nFrame=-1,szName=" ",nTime=-2,nRefresh=7200,key="不空关·浩气大旗",},{nClass=20,nIcon=1465,nFrame=-1,szName=" ",nTime=-2,nRefresh=7200,key="激流坞·恶人大旗",},{nClass=20,nIcon=1465,nFrame=-1,szName=" ",nTime=-2,nRefresh=7200,key="不空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激流坞】恶人·占领剩余",nTime=600.1,nRefresh=720,key="激流坞·浩气大旗",},{nClass=20,nIcon=3445,nFrame=3,szName="【不空关】恶人·占领剩余",nTime=600.1,nRefresh=720,key="不空关·浩气大旗",},{nClass=20,nIcon=3444,nFrame=7,szName="【激流坞】浩气·占领剩余",nTime=600.1,nRefresh=720,key="激流坞·恶人大旗",},{nClass=20,nIcon=3444,nFrame=7,szName="【不空关】浩气·占领剩余",nTime=600.1,nRefresh=720,key="不空关·恶人大旗",},},},</v>
      </c>
      <c r="U119" s="36" t="s">
        <v>1861</v>
      </c>
      <c r="V119" s="36" t="str">
        <f>"{nClass=20,nIcon=1465,nFrame=-1,szName="&amp;""" """&amp;",nTime=-2,nRefresh=7200,key="""&amp;G119&amp;"·浩气大旗"&amp;""",},"</f>
        <v>{nClass=20,nIcon=1465,nFrame=-1,szName=" ",nTime=-2,nRefresh=7200,key="激流坞·浩气大旗",},</v>
      </c>
      <c r="W119" s="36" t="str">
        <f>"{nClass=20,nIcon=1465,nFrame=-1,szName="&amp;""" """&amp;",nTime=-2,nRefresh=7200,key="""&amp;H119&amp;"·浩气大旗"&amp;""",},"</f>
        <v>{nClass=20,nIcon=1465,nFrame=-1,szName=" ",nTime=-2,nRefresh=7200,key="不空关·浩气大旗",},</v>
      </c>
      <c r="X119" s="36" t="str">
        <f>"{nClass=20,nIcon=1465,nFrame=-1,szName="&amp;""" """&amp;",nTime=-2,nRefresh=7200,key="""&amp;G119&amp;"·恶人大旗"&amp;""",},"</f>
        <v>{nClass=20,nIcon=1465,nFrame=-1,szName=" ",nTime=-2,nRefresh=7200,key="激流坞·恶人大旗",},</v>
      </c>
      <c r="Y119" s="36" t="str">
        <f>"{nClass=20,nIcon=1465,nFrame=-1,szName="&amp;""" """&amp;",nTime=-2,nRefresh=7200,key="""&amp;H119&amp;"·恶人大旗"&amp;""",},"</f>
        <v>{nClass=20,nIcon=1465,nFrame=-1,szName=" ",nTime=-2,nRefresh=7200,key="不空关·恶人大旗",},</v>
      </c>
      <c r="Z119" s="36" t="s">
        <v>2420</v>
      </c>
      <c r="AA119" s="36" t="s">
        <v>2422</v>
      </c>
      <c r="AB119" s="36" t="s">
        <v>2430</v>
      </c>
      <c r="AC119" s="36" t="s">
        <v>2232</v>
      </c>
      <c r="AD119" s="36" t="s">
        <v>2233</v>
      </c>
      <c r="AE119" s="36" t="str">
        <f>"{nClass=20,nIcon=3445,nFrame=3,szName="&amp;"""【"&amp;G119&amp;"】恶人·占领剩余"""&amp;",nTime=600.1,nRefresh=720,key="&amp;""""&amp;G119&amp;"·浩气大旗"""&amp;",},"</f>
        <v>{nClass=20,nIcon=3445,nFrame=3,szName="【激流坞】恶人·占领剩余",nTime=600.1,nRefresh=720,key="激流坞·浩气大旗",},</v>
      </c>
      <c r="AF119" s="36" t="str">
        <f>"{nClass=20,nIcon=3445,nFrame=3,szName="&amp;"""【"&amp;H119&amp;"】恶人·占领剩余"""&amp;",nTime=600.1,nRefresh=720,key="&amp;""""&amp;H119&amp;"·浩气大旗"""&amp;",},"</f>
        <v>{nClass=20,nIcon=3445,nFrame=3,szName="【不空关】恶人·占领剩余",nTime=600.1,nRefresh=720,key="不空关·浩气大旗",},</v>
      </c>
      <c r="AG119" s="36" t="str">
        <f>"{nClass=20,nIcon=3444,nFrame=7,szName="&amp;"""【"&amp;G119&amp;"】浩气·占领剩余"""&amp;",nTime=600.1,nRefresh=720,key="&amp;""""&amp;G119&amp;"·恶人大旗"""&amp;",},"</f>
        <v>{nClass=20,nIcon=3444,nFrame=7,szName="【激流坞】浩气·占领剩余",nTime=600.1,nRefresh=720,key="激流坞·恶人大旗",},</v>
      </c>
      <c r="AH119" s="36" t="str">
        <f>"{nClass=20,nIcon=3444,nFrame=7,szName="&amp;"""【"&amp;H119&amp;"】浩气·占领剩余"""&amp;",nTime=600.1,nRefresh=720,key="&amp;""""&amp;H119&amp;"·恶人大旗"""&amp;",},"</f>
        <v>{nClass=20,nIcon=3444,nFrame=7,szName="【不空关】浩气·占领剩余",nTime=600.1,nRefresh=720,key="不空关·恶人大旗",},</v>
      </c>
    </row>
    <row r="120" spans="1:34" x14ac:dyDescent="0.15">
      <c r="C120" t="s">
        <v>1925</v>
      </c>
      <c r="D120" s="36" t="s">
        <v>1820</v>
      </c>
      <c r="K120" t="s">
        <v>1432</v>
      </c>
      <c r="M120">
        <v>1</v>
      </c>
      <c r="T120" s="36" t="str">
        <f t="shared" si="1"/>
        <v>{szContent="^【(.*)】据点大旗(.*)重置回初始位置！\n",szNote="{$1}·大旗重置",col={255,255,100,},bReg=true,[20]={},tCountdown={{nClass=20,nIcon=1465,szName="激流坞·大旗重置",nTime=-2,nRefresh=7200,key="激流坞·大旗重置",},{nClass=20,nIcon=1465,szName="不空关·大旗重置",nTime=-2,nRefresh=7200,key="不空关·大旗重置",},{nClass=20,nIcon=13,szName="【{$1}】大旗重置",nTime=-2,key="{$1}·大旗重置",},{nClass=20,nIcon=592,nFrame=4,szName="【{$1}】大旗重置",nTime=30,key="{$1}·大旗重置",},{nClass=20,nIcon=592,nFrame=4,szName="【激流坞】大旗重置",nTime=180,nRefresh=7200,key="激流坞·大旗重置",},{nClass=20,nIcon=592,nFrame=4,szName="【不空关】大旗重置",nTime=180,nRefresh=7200,key="不空关·大旗重置",},},},</v>
      </c>
      <c r="U120" s="36" t="s">
        <v>2467</v>
      </c>
      <c r="V120" s="36" t="s">
        <v>2480</v>
      </c>
      <c r="W120" s="36" t="s">
        <v>2428</v>
      </c>
      <c r="X120" s="36" t="s">
        <v>1897</v>
      </c>
      <c r="Y120" s="36" t="s">
        <v>1884</v>
      </c>
      <c r="Z120" s="36" t="s">
        <v>2455</v>
      </c>
      <c r="AA120" s="36"/>
    </row>
    <row r="121" spans="1:34" x14ac:dyDescent="0.15">
      <c r="A121" t="s">
        <v>1812</v>
      </c>
      <c r="B121">
        <v>100</v>
      </c>
      <c r="T121" s="36" t="str">
        <f t="shared" si="1"/>
        <v>},[100]={</v>
      </c>
      <c r="Z121" s="36"/>
      <c r="AA121" s="36"/>
    </row>
    <row r="122" spans="1:34" s="36" customFormat="1" x14ac:dyDescent="0.15">
      <c r="C122" s="36" t="s">
        <v>1798</v>
      </c>
      <c r="D122" s="36" t="s">
        <v>1493</v>
      </c>
      <c r="G122" s="36" t="s">
        <v>2216</v>
      </c>
      <c r="H122" s="36" t="s">
        <v>2217</v>
      </c>
      <c r="K122" s="36" t="s">
        <v>1432</v>
      </c>
      <c r="M122" s="36">
        <v>1</v>
      </c>
      <c r="T122" s="36" t="str">
        <f t="shared" si="1"/>
        <v>{szContent="([浩气恶人]+)[盟谷]-位于([^%d]-)的【(.-)据点】大旗被夺",szNote="{$3}·{$1}大旗被夺",col={255,255,100,},bReg=true,[20]={},tCountdown={{nClass=20,nIcon=592,nFrame=4,szName="{$3}·大旗重置",nTime=-1,key="{$3}·大旗重置",},{nClass=20,nIcon=1465,nFrame=-1,szName=" ",nTime=-2,nRefresh=7200,key="日月崖·浩气大旗",},{nClass=20,nIcon=1465,nFrame=-1,szName=" ",nTime=-2,nRefresh=7200,key="卧龙坡·浩气大旗",},{nClass=20,nIcon=1465,nFrame=-1,szName=" ",nTime=-2,nRefresh=7200,key="日月崖·恶人大旗",},{nClass=20,nIcon=1465,nFrame=-1,szName=" ",nTime=-2,nRefresh=7200,key="卧龙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日月崖】恶人·占领剩余",nTime=600.1,nRefresh=720,key="日月崖·浩气大旗",},{nClass=20,nIcon=3445,nFrame=3,szName="【卧龙坡】恶人·占领剩余",nTime=600.1,nRefresh=720,key="卧龙坡·浩气大旗",},{nClass=20,nIcon=3444,nFrame=7,szName="【日月崖】浩气·占领剩余",nTime=600.1,nRefresh=720,key="日月崖·恶人大旗",},{nClass=20,nIcon=3444,nFrame=7,szName="【卧龙坡】浩气·占领剩余",nTime=600.1,nRefresh=720,key="卧龙坡·恶人大旗",},},},</v>
      </c>
      <c r="U122" s="36" t="s">
        <v>1861</v>
      </c>
      <c r="V122" s="36" t="str">
        <f>"{nClass=20,nIcon=1465,nFrame=-1,szName="&amp;""" """&amp;",nTime=-2,nRefresh=7200,key="""&amp;G122&amp;"·浩气大旗"&amp;""",},"</f>
        <v>{nClass=20,nIcon=1465,nFrame=-1,szName=" ",nTime=-2,nRefresh=7200,key="日月崖·浩气大旗",},</v>
      </c>
      <c r="W122" s="36" t="str">
        <f>"{nClass=20,nIcon=1465,nFrame=-1,szName="&amp;""" """&amp;",nTime=-2,nRefresh=7200,key="""&amp;H122&amp;"·浩气大旗"&amp;""",},"</f>
        <v>{nClass=20,nIcon=1465,nFrame=-1,szName=" ",nTime=-2,nRefresh=7200,key="卧龙坡·浩气大旗",},</v>
      </c>
      <c r="X122" s="36" t="str">
        <f>"{nClass=20,nIcon=1465,nFrame=-1,szName="&amp;""" """&amp;",nTime=-2,nRefresh=7200,key="""&amp;G122&amp;"·恶人大旗"&amp;""",},"</f>
        <v>{nClass=20,nIcon=1465,nFrame=-1,szName=" ",nTime=-2,nRefresh=7200,key="日月崖·恶人大旗",},</v>
      </c>
      <c r="Y122" s="36" t="str">
        <f>"{nClass=20,nIcon=1465,nFrame=-1,szName="&amp;""" """&amp;",nTime=-2,nRefresh=7200,key="""&amp;H122&amp;"·恶人大旗"&amp;""",},"</f>
        <v>{nClass=20,nIcon=1465,nFrame=-1,szName=" ",nTime=-2,nRefresh=7200,key="卧龙坡·恶人大旗",},</v>
      </c>
      <c r="Z122" s="36" t="s">
        <v>2420</v>
      </c>
      <c r="AA122" s="36" t="s">
        <v>2422</v>
      </c>
      <c r="AB122" s="36" t="s">
        <v>2430</v>
      </c>
      <c r="AC122" s="36" t="s">
        <v>2232</v>
      </c>
      <c r="AD122" s="36" t="s">
        <v>2233</v>
      </c>
      <c r="AE122" s="36" t="str">
        <f>"{nClass=20,nIcon=3445,nFrame=3,szName="&amp;"""【"&amp;G122&amp;"】恶人·占领剩余"""&amp;",nTime=600.1,nRefresh=720,key="&amp;""""&amp;G122&amp;"·浩气大旗"""&amp;",},"</f>
        <v>{nClass=20,nIcon=3445,nFrame=3,szName="【日月崖】恶人·占领剩余",nTime=600.1,nRefresh=720,key="日月崖·浩气大旗",},</v>
      </c>
      <c r="AF122" s="36" t="str">
        <f>"{nClass=20,nIcon=3445,nFrame=3,szName="&amp;"""【"&amp;H122&amp;"】恶人·占领剩余"""&amp;",nTime=600.1,nRefresh=720,key="&amp;""""&amp;H122&amp;"·浩气大旗"""&amp;",},"</f>
        <v>{nClass=20,nIcon=3445,nFrame=3,szName="【卧龙坡】恶人·占领剩余",nTime=600.1,nRefresh=720,key="卧龙坡·浩气大旗",},</v>
      </c>
      <c r="AG122" s="36" t="str">
        <f>"{nClass=20,nIcon=3444,nFrame=7,szName="&amp;"""【"&amp;G122&amp;"】浩气·占领剩余"""&amp;",nTime=600.1,nRefresh=720,key="&amp;""""&amp;G122&amp;"·恶人大旗"""&amp;",},"</f>
        <v>{nClass=20,nIcon=3444,nFrame=7,szName="【日月崖】浩气·占领剩余",nTime=600.1,nRefresh=720,key="日月崖·恶人大旗",},</v>
      </c>
      <c r="AH122" s="36" t="str">
        <f>"{nClass=20,nIcon=3444,nFrame=7,szName="&amp;"""【"&amp;H122&amp;"】浩气·占领剩余"""&amp;",nTime=600.1,nRefresh=720,key="&amp;""""&amp;H122&amp;"·恶人大旗"""&amp;",},"</f>
        <v>{nClass=20,nIcon=3444,nFrame=7,szName="【卧龙坡】浩气·占领剩余",nTime=600.1,nRefresh=720,key="卧龙坡·恶人大旗",},</v>
      </c>
    </row>
    <row r="123" spans="1:34" x14ac:dyDescent="0.15">
      <c r="C123" t="s">
        <v>1925</v>
      </c>
      <c r="D123" s="36" t="s">
        <v>1820</v>
      </c>
      <c r="K123" t="s">
        <v>1432</v>
      </c>
      <c r="M123">
        <v>1</v>
      </c>
      <c r="T123" s="36" t="str">
        <f t="shared" si="1"/>
        <v>{szContent="^【(.*)】据点大旗(.*)重置回初始位置！\n",szNote="{$1}·大旗重置",col={255,255,100,},bReg=true,[20]={},tCountdown={{nClass=20,nIcon=1465,szName="日月崖·大旗重置",nTime=-2,nRefresh=7200,key="日月崖·大旗重置",},{nClass=20,nIcon=1465,szName="卧龙坡·大旗重置",nTime=-2,nRefresh=7200,key="卧龙坡·大旗重置",},{nClass=20,nIcon=13,szName="【{$1}】大旗重置",nTime=-2,key="{$1}·大旗重置",},{nClass=20,nIcon=592,nFrame=4,szName="【{$1}】大旗重置",nTime=30,key="{$1}·大旗重置",},{nClass=20,nIcon=592,nFrame=4,szName="【日月崖】大旗重置",nTime=180,nRefresh=7200,key="日月崖·大旗重置",},{nClass=20,nIcon=592,nFrame=4,szName="【卧龙坡】大旗重置",nTime=180,nRefresh=7200,key="卧龙坡·大旗重置",},},},</v>
      </c>
      <c r="U123" s="36" t="s">
        <v>2468</v>
      </c>
      <c r="V123" s="36" t="s">
        <v>2481</v>
      </c>
      <c r="W123" s="36" t="s">
        <v>2428</v>
      </c>
      <c r="X123" s="36" t="s">
        <v>1897</v>
      </c>
      <c r="Y123" s="36" t="s">
        <v>1886</v>
      </c>
      <c r="Z123" s="36" t="s">
        <v>2456</v>
      </c>
      <c r="AA123" s="36"/>
    </row>
    <row r="124" spans="1:34" x14ac:dyDescent="0.15">
      <c r="A124" t="s">
        <v>1813</v>
      </c>
      <c r="B124">
        <v>101</v>
      </c>
      <c r="T124" s="36" t="str">
        <f t="shared" si="1"/>
        <v>},[101]={</v>
      </c>
      <c r="Z124" s="36"/>
      <c r="AA124" s="36"/>
    </row>
    <row r="125" spans="1:34" s="36" customFormat="1" x14ac:dyDescent="0.15">
      <c r="C125" s="36" t="s">
        <v>1798</v>
      </c>
      <c r="D125" s="36" t="s">
        <v>1493</v>
      </c>
      <c r="G125" s="36" t="s">
        <v>2218</v>
      </c>
      <c r="H125" s="36" t="s">
        <v>2219</v>
      </c>
      <c r="K125" s="36" t="s">
        <v>1432</v>
      </c>
      <c r="M125" s="36">
        <v>1</v>
      </c>
      <c r="T125" s="36" t="str">
        <f t="shared" si="1"/>
        <v>{szContent="([浩气恶人]+)[盟谷]-位于([^%d]-)的【(.-)据点】大旗被夺",szNote="{$3}·{$1}大旗被夺",col={255,255,100,},bReg=true,[20]={},tCountdown={{nClass=20,nIcon=592,nFrame=4,szName="{$3}·大旗重置",nTime=-1,key="{$3}·大旗重置",},{nClass=20,nIcon=1465,nFrame=-1,szName=" ",nTime=-2,nRefresh=7200,key="霜戈堡·浩气大旗",},{nClass=20,nIcon=1465,nFrame=-1,szName=" ",nTime=-2,nRefresh=7200,key="澜沧城·浩气大旗",},{nClass=20,nIcon=1465,nFrame=-1,szName=" ",nTime=-2,nRefresh=7200,key="霜戈堡·恶人大旗",},{nClass=20,nIcon=1465,nFrame=-1,szName=" ",nTime=-2,nRefresh=7200,key="澜沧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霜戈堡】恶人·占领剩余",nTime=600.1,nRefresh=720,key="霜戈堡·浩气大旗",},{nClass=20,nIcon=3445,nFrame=3,szName="【澜沧城】恶人·占领剩余",nTime=600.1,nRefresh=720,key="澜沧城·浩气大旗",},{nClass=20,nIcon=3444,nFrame=7,szName="【霜戈堡】浩气·占领剩余",nTime=600.1,nRefresh=720,key="霜戈堡·恶人大旗",},{nClass=20,nIcon=3444,nFrame=7,szName="【澜沧城】浩气·占领剩余",nTime=600.1,nRefresh=720,key="澜沧城·恶人大旗",},},},</v>
      </c>
      <c r="U125" s="36" t="s">
        <v>1861</v>
      </c>
      <c r="V125" s="36" t="str">
        <f>"{nClass=20,nIcon=1465,nFrame=-1,szName="&amp;""" """&amp;",nTime=-2,nRefresh=7200,key="""&amp;G125&amp;"·浩气大旗"&amp;""",},"</f>
        <v>{nClass=20,nIcon=1465,nFrame=-1,szName=" ",nTime=-2,nRefresh=7200,key="霜戈堡·浩气大旗",},</v>
      </c>
      <c r="W125" s="36" t="str">
        <f>"{nClass=20,nIcon=1465,nFrame=-1,szName="&amp;""" """&amp;",nTime=-2,nRefresh=7200,key="""&amp;H125&amp;"·浩气大旗"&amp;""",},"</f>
        <v>{nClass=20,nIcon=1465,nFrame=-1,szName=" ",nTime=-2,nRefresh=7200,key="澜沧城·浩气大旗",},</v>
      </c>
      <c r="X125" s="36" t="str">
        <f>"{nClass=20,nIcon=1465,nFrame=-1,szName="&amp;""" """&amp;",nTime=-2,nRefresh=7200,key="""&amp;G125&amp;"·恶人大旗"&amp;""",},"</f>
        <v>{nClass=20,nIcon=1465,nFrame=-1,szName=" ",nTime=-2,nRefresh=7200,key="霜戈堡·恶人大旗",},</v>
      </c>
      <c r="Y125" s="36" t="str">
        <f>"{nClass=20,nIcon=1465,nFrame=-1,szName="&amp;""" """&amp;",nTime=-2,nRefresh=7200,key="""&amp;H125&amp;"·恶人大旗"&amp;""",},"</f>
        <v>{nClass=20,nIcon=1465,nFrame=-1,szName=" ",nTime=-2,nRefresh=7200,key="澜沧城·恶人大旗",},</v>
      </c>
      <c r="Z125" s="36" t="s">
        <v>2420</v>
      </c>
      <c r="AA125" s="36" t="s">
        <v>2422</v>
      </c>
      <c r="AB125" s="36" t="s">
        <v>2430</v>
      </c>
      <c r="AC125" s="36" t="s">
        <v>2232</v>
      </c>
      <c r="AD125" s="36" t="s">
        <v>2233</v>
      </c>
      <c r="AE125" s="36" t="str">
        <f>"{nClass=20,nIcon=3445,nFrame=3,szName="&amp;"""【"&amp;G125&amp;"】恶人·占领剩余"""&amp;",nTime=600.1,nRefresh=720,key="&amp;""""&amp;G125&amp;"·浩气大旗"""&amp;",},"</f>
        <v>{nClass=20,nIcon=3445,nFrame=3,szName="【霜戈堡】恶人·占领剩余",nTime=600.1,nRefresh=720,key="霜戈堡·浩气大旗",},</v>
      </c>
      <c r="AF125" s="36" t="str">
        <f>"{nClass=20,nIcon=3445,nFrame=3,szName="&amp;"""【"&amp;H125&amp;"】恶人·占领剩余"""&amp;",nTime=600.1,nRefresh=720,key="&amp;""""&amp;H125&amp;"·浩气大旗"""&amp;",},"</f>
        <v>{nClass=20,nIcon=3445,nFrame=3,szName="【澜沧城】恶人·占领剩余",nTime=600.1,nRefresh=720,key="澜沧城·浩气大旗",},</v>
      </c>
      <c r="AG125" s="36" t="str">
        <f>"{nClass=20,nIcon=3444,nFrame=7,szName="&amp;"""【"&amp;G125&amp;"】浩气·占领剩余"""&amp;",nTime=600.1,nRefresh=720,key="&amp;""""&amp;G125&amp;"·恶人大旗"""&amp;",},"</f>
        <v>{nClass=20,nIcon=3444,nFrame=7,szName="【霜戈堡】浩气·占领剩余",nTime=600.1,nRefresh=720,key="霜戈堡·恶人大旗",},</v>
      </c>
      <c r="AH125" s="36" t="str">
        <f>"{nClass=20,nIcon=3444,nFrame=7,szName="&amp;"""【"&amp;H125&amp;"】浩气·占领剩余"""&amp;",nTime=600.1,nRefresh=720,key="&amp;""""&amp;H125&amp;"·恶人大旗"""&amp;",},"</f>
        <v>{nClass=20,nIcon=3444,nFrame=7,szName="【澜沧城】浩气·占领剩余",nTime=600.1,nRefresh=720,key="澜沧城·恶人大旗",},</v>
      </c>
    </row>
    <row r="126" spans="1:34" x14ac:dyDescent="0.15">
      <c r="C126" t="s">
        <v>1925</v>
      </c>
      <c r="D126" s="36" t="s">
        <v>1820</v>
      </c>
      <c r="K126" t="s">
        <v>1432</v>
      </c>
      <c r="M126">
        <v>1</v>
      </c>
      <c r="T126" s="36" t="str">
        <f t="shared" si="1"/>
        <v>{szContent="^【(.*)】据点大旗(.*)重置回初始位置！\n",szNote="{$1}·大旗重置",col={255,255,100,},bReg=true,[20]={},tCountdown={{nClass=20,nIcon=1465,szName="霜戈堡·大旗重置",nTime=-2,nRefresh=7200,key="霜戈堡·大旗重置",},{nClass=20,nIcon=1465,szName="澜沧城·大旗重置",nTime=-2,nRefresh=7200,key="澜沧城·大旗重置",},{nClass=20,nIcon=13,szName="【{$1}】大旗重置",nTime=-2,key="{$1}·大旗重置",},{nClass=20,nIcon=592,nFrame=4,szName="【{$1}】大旗重置",nTime=30,key="{$1}·大旗重置",},{nClass=20,nIcon=592,nFrame=4,szName="【霜戈堡】大旗重置",nTime=180,nRefresh=7200,key="霜戈堡·大旗重置",},{nClass=20,nIcon=592,nFrame=4,szName="【澜沧城】大旗重置",nTime=180,nRefresh=7200,key="澜沧城·大旗重置",},},},</v>
      </c>
      <c r="U126" s="36" t="s">
        <v>2469</v>
      </c>
      <c r="V126" s="36" t="s">
        <v>2482</v>
      </c>
      <c r="W126" s="36" t="s">
        <v>2428</v>
      </c>
      <c r="X126" s="36" t="s">
        <v>1897</v>
      </c>
      <c r="Y126" s="36" t="s">
        <v>1888</v>
      </c>
      <c r="Z126" s="36" t="s">
        <v>2457</v>
      </c>
      <c r="AA126" s="36"/>
    </row>
    <row r="127" spans="1:34" x14ac:dyDescent="0.15">
      <c r="A127" t="s">
        <v>1814</v>
      </c>
      <c r="B127">
        <v>103</v>
      </c>
      <c r="T127" s="36" t="str">
        <f t="shared" si="1"/>
        <v>},[103]={</v>
      </c>
      <c r="Z127" s="36"/>
      <c r="AA127" s="36"/>
    </row>
    <row r="128" spans="1:34" s="36" customFormat="1" x14ac:dyDescent="0.15">
      <c r="C128" s="36" t="s">
        <v>1798</v>
      </c>
      <c r="D128" s="36" t="s">
        <v>1493</v>
      </c>
      <c r="G128" s="36" t="s">
        <v>2220</v>
      </c>
      <c r="H128" s="36" t="s">
        <v>2221</v>
      </c>
      <c r="K128" s="36" t="s">
        <v>1432</v>
      </c>
      <c r="M128" s="36">
        <v>1</v>
      </c>
      <c r="T128" s="36" t="str">
        <f t="shared" si="1"/>
        <v>{szContent="([浩气恶人]+)[盟谷]-位于([^%d]-)的【(.-)据点】大旗被夺",szNote="{$3}·{$1}大旗被夺",col={255,255,100,},bReg=true,[20]={},tCountdown={{nClass=20,nIcon=592,nFrame=4,szName="{$3}·大旗重置",nTime=-1,key="{$3}·大旗重置",},{nClass=20,nIcon=1465,nFrame=-1,szName=" ",nTime=-2,nRefresh=7200,key="神池岭·浩气大旗",},{nClass=20,nIcon=1465,nFrame=-1,szName=" ",nTime=-2,nRefresh=7200,key="烈日岗·浩气大旗",},{nClass=20,nIcon=1465,nFrame=-1,szName=" ",nTime=-2,nRefresh=7200,key="神池岭·恶人大旗",},{nClass=20,nIcon=1465,nFrame=-1,szName=" ",nTime=-2,nRefresh=7200,key="烈日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神池岭】恶人·占领剩余",nTime=600.1,nRefresh=720,key="神池岭·浩气大旗",},{nClass=20,nIcon=3445,nFrame=3,szName="【烈日岗】恶人·占领剩余",nTime=600.1,nRefresh=720,key="烈日岗·浩气大旗",},{nClass=20,nIcon=3444,nFrame=7,szName="【神池岭】浩气·占领剩余",nTime=600.1,nRefresh=720,key="神池岭·恶人大旗",},{nClass=20,nIcon=3444,nFrame=7,szName="【烈日岗】浩气·占领剩余",nTime=600.1,nRefresh=720,key="烈日岗·恶人大旗",},},},</v>
      </c>
      <c r="U128" s="36" t="s">
        <v>1861</v>
      </c>
      <c r="V128" s="36" t="str">
        <f>"{nClass=20,nIcon=1465,nFrame=-1,szName="&amp;""" """&amp;",nTime=-2,nRefresh=7200,key="""&amp;G128&amp;"·浩气大旗"&amp;""",},"</f>
        <v>{nClass=20,nIcon=1465,nFrame=-1,szName=" ",nTime=-2,nRefresh=7200,key="神池岭·浩气大旗",},</v>
      </c>
      <c r="W128" s="36" t="str">
        <f>"{nClass=20,nIcon=1465,nFrame=-1,szName="&amp;""" """&amp;",nTime=-2,nRefresh=7200,key="""&amp;H128&amp;"·浩气大旗"&amp;""",},"</f>
        <v>{nClass=20,nIcon=1465,nFrame=-1,szName=" ",nTime=-2,nRefresh=7200,key="烈日岗·浩气大旗",},</v>
      </c>
      <c r="X128" s="36" t="str">
        <f>"{nClass=20,nIcon=1465,nFrame=-1,szName="&amp;""" """&amp;",nTime=-2,nRefresh=7200,key="""&amp;G128&amp;"·恶人大旗"&amp;""",},"</f>
        <v>{nClass=20,nIcon=1465,nFrame=-1,szName=" ",nTime=-2,nRefresh=7200,key="神池岭·恶人大旗",},</v>
      </c>
      <c r="Y128" s="36" t="str">
        <f>"{nClass=20,nIcon=1465,nFrame=-1,szName="&amp;""" """&amp;",nTime=-2,nRefresh=7200,key="""&amp;H128&amp;"·恶人大旗"&amp;""",},"</f>
        <v>{nClass=20,nIcon=1465,nFrame=-1,szName=" ",nTime=-2,nRefresh=7200,key="烈日岗·恶人大旗",},</v>
      </c>
      <c r="Z128" s="36" t="s">
        <v>2420</v>
      </c>
      <c r="AA128" s="36" t="s">
        <v>2422</v>
      </c>
      <c r="AB128" s="36" t="s">
        <v>2430</v>
      </c>
      <c r="AC128" s="36" t="s">
        <v>2232</v>
      </c>
      <c r="AD128" s="36" t="s">
        <v>2233</v>
      </c>
      <c r="AE128" s="36" t="str">
        <f>"{nClass=20,nIcon=3445,nFrame=3,szName="&amp;"""【"&amp;G128&amp;"】恶人·占领剩余"""&amp;",nTime=600.1,nRefresh=720,key="&amp;""""&amp;G128&amp;"·浩气大旗"""&amp;",},"</f>
        <v>{nClass=20,nIcon=3445,nFrame=3,szName="【神池岭】恶人·占领剩余",nTime=600.1,nRefresh=720,key="神池岭·浩气大旗",},</v>
      </c>
      <c r="AF128" s="36" t="str">
        <f>"{nClass=20,nIcon=3445,nFrame=3,szName="&amp;"""【"&amp;H128&amp;"】恶人·占领剩余"""&amp;",nTime=600.1,nRefresh=720,key="&amp;""""&amp;H128&amp;"·浩气大旗"""&amp;",},"</f>
        <v>{nClass=20,nIcon=3445,nFrame=3,szName="【烈日岗】恶人·占领剩余",nTime=600.1,nRefresh=720,key="烈日岗·浩气大旗",},</v>
      </c>
      <c r="AG128" s="36" t="str">
        <f>"{nClass=20,nIcon=3444,nFrame=7,szName="&amp;"""【"&amp;G128&amp;"】浩气·占领剩余"""&amp;",nTime=600.1,nRefresh=720,key="&amp;""""&amp;G128&amp;"·恶人大旗"""&amp;",},"</f>
        <v>{nClass=20,nIcon=3444,nFrame=7,szName="【神池岭】浩气·占领剩余",nTime=600.1,nRefresh=720,key="神池岭·恶人大旗",},</v>
      </c>
      <c r="AH128" s="36" t="str">
        <f>"{nClass=20,nIcon=3444,nFrame=7,szName="&amp;"""【"&amp;H128&amp;"】浩气·占领剩余"""&amp;",nTime=600.1,nRefresh=720,key="&amp;""""&amp;H128&amp;"·恶人大旗"""&amp;",},"</f>
        <v>{nClass=20,nIcon=3444,nFrame=7,szName="【烈日岗】浩气·占领剩余",nTime=600.1,nRefresh=720,key="烈日岗·恶人大旗",},</v>
      </c>
    </row>
    <row r="129" spans="1:36" x14ac:dyDescent="0.15">
      <c r="C129" t="s">
        <v>1925</v>
      </c>
      <c r="D129" s="36" t="s">
        <v>1820</v>
      </c>
      <c r="K129" t="s">
        <v>1432</v>
      </c>
      <c r="M129">
        <v>1</v>
      </c>
      <c r="T129" s="36" t="str">
        <f t="shared" si="1"/>
        <v>{szContent="^【(.*)】据点大旗(.*)重置回初始位置！\n",szNote="{$1}·大旗重置",col={255,255,100,},bReg=true,[20]={},tCountdown={{nClass=20,nIcon=1465,szName="神池岭·大旗重置",nTime=-2,nRefresh=7200,key="神池岭·大旗重置",},{nClass=20,nIcon=1465,szName="烈日岗·大旗重置",nTime=-2,nRefresh=7200,key="烈日岗·大旗重置",},{nClass=20,nIcon=13,szName="【{$1}】大旗重置",nTime=-2,key="{$1}·大旗重置",},{nClass=20,nIcon=592,nFrame=4,szName="【{$1}】大旗重置",nTime=30,key="{$1}·大旗重置",},{nClass=20,nIcon=592,nFrame=4,szName="【神池岭】大旗重置",nTime=180,nRefresh=7200,key="神池岭·大旗重置",},{nClass=20,nIcon=592,nFrame=4,szName="【烈日岗】大旗重置",nTime=180,nRefresh=7200,key="烈日岗·大旗重置",},},},</v>
      </c>
      <c r="U129" s="36" t="s">
        <v>2470</v>
      </c>
      <c r="V129" s="36" t="s">
        <v>2483</v>
      </c>
      <c r="W129" s="36" t="s">
        <v>2428</v>
      </c>
      <c r="X129" s="36" t="s">
        <v>1897</v>
      </c>
      <c r="Y129" s="36" t="s">
        <v>1890</v>
      </c>
      <c r="Z129" s="36" t="s">
        <v>2458</v>
      </c>
      <c r="AA129" s="36"/>
    </row>
    <row r="130" spans="1:36" x14ac:dyDescent="0.15">
      <c r="A130" t="s">
        <v>1815</v>
      </c>
      <c r="B130">
        <v>104</v>
      </c>
      <c r="T130" s="36" t="str">
        <f t="shared" si="1"/>
        <v>},[104]={</v>
      </c>
      <c r="Z130" s="36"/>
      <c r="AA130" s="36"/>
    </row>
    <row r="131" spans="1:36" s="36" customFormat="1" x14ac:dyDescent="0.15">
      <c r="C131" s="36" t="s">
        <v>1798</v>
      </c>
      <c r="D131" s="36" t="s">
        <v>1493</v>
      </c>
      <c r="G131" s="36" t="s">
        <v>2222</v>
      </c>
      <c r="H131" s="36" t="s">
        <v>2223</v>
      </c>
      <c r="K131" s="36" t="s">
        <v>1432</v>
      </c>
      <c r="M131" s="36">
        <v>1</v>
      </c>
      <c r="T131" s="36" t="str">
        <f t="shared" ref="T131:T150" si="2">IF(ISBLANK(B131)=FALSE,IF(ISBLANK(B130),"},["&amp;B131&amp;"]={","["&amp;B131&amp;"]={"),IF(AND(ISBLANK(B131),ISBLANK(C131),ISBLANK(L131),ISBLANK(M131),OR(ISBLANK(B130)=FALSE,ISBLANK(C130)=FALSE,ISBLANK(L130)=FALSE,ISBLANK(M130)=FALSE)),"},},}",IF(ISBLANK(C131),"","{szContent="""&amp;C131&amp;""","&amp;IF(D131&lt;&gt;"","szNote="""&amp;D131&amp;""",","")&amp;IF(K131&lt;&gt;"","col={"&amp;K131&amp;"},","")&amp;IF(L131&gt;0,"bSearch=true,","")&amp;IF(M131&gt;0,"bReg=true,","")&amp;"[20]={"&amp;IF(N131&gt;0,"szVoice="""&amp;N131&amp;""",","")&amp;IF(O131&gt;0,"bTeamChannel=true,","")&amp;IF(P131&gt;0,"bWhisperChannel=true,","")&amp;IF(Q131&gt;0,"bCenterAlarm=true,","")&amp;IF(R131&gt;0,"bScreenHead=true,","")&amp;IF(S131&gt;0,"bFullScreen=true,","")&amp;"},"&amp;IF(U131&lt;&gt;"","tCountdown={"&amp;_xlfn.TEXTJOIN("",TRUE,U131:AAF131)&amp;"},","")&amp;"},")))</f>
        <v>{szContent="([浩气恶人]+)[盟谷]-位于([^%d]-)的【(.-)据点】大旗被夺",szNote="{$3}·{$1}大旗被夺",col={255,255,100,},bReg=true,[20]={},tCountdown={{nClass=20,nIcon=592,nFrame=4,szName="{$3}·大旗重置",nTime=-1,key="{$3}·大旗重置",},{nClass=20,nIcon=1465,nFrame=-1,szName=" ",nTime=-2,nRefresh=7200,key="凤鸣堡·浩气大旗",},{nClass=20,nIcon=1465,nFrame=-1,szName=" ",nTime=-2,nRefresh=7200,key="惊虬谷·浩气大旗",},{nClass=20,nIcon=1465,nFrame=-1,szName=" ",nTime=-2,nRefresh=7200,key="凤鸣堡·恶人大旗",},{nClass=20,nIcon=1465,nFrame=-1,szName=" ",nTime=-2,nRefresh=7200,key="惊虬谷·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凤鸣堡】恶人·占领剩余",nTime=600.1,nRefresh=720,key="凤鸣堡·浩气大旗",},{nClass=20,nIcon=3445,nFrame=3,szName="【惊虬谷】恶人·占领剩余",nTime=600.1,nRefresh=720,key="惊虬谷·浩气大旗",},{nClass=20,nIcon=3444,nFrame=7,szName="【凤鸣堡】浩气·占领剩余",nTime=600.1,nRefresh=720,key="凤鸣堡·恶人大旗",},{nClass=20,nIcon=3444,nFrame=7,szName="【惊虬谷】浩气·占领剩余",nTime=600.1,nRefresh=720,key="惊虬谷·恶人大旗",},},},</v>
      </c>
      <c r="U131" s="36" t="s">
        <v>1861</v>
      </c>
      <c r="V131" s="36" t="str">
        <f>"{nClass=20,nIcon=1465,nFrame=-1,szName="&amp;""" """&amp;",nTime=-2,nRefresh=7200,key="""&amp;G131&amp;"·浩气大旗"&amp;""",},"</f>
        <v>{nClass=20,nIcon=1465,nFrame=-1,szName=" ",nTime=-2,nRefresh=7200,key="凤鸣堡·浩气大旗",},</v>
      </c>
      <c r="W131" s="36" t="str">
        <f>"{nClass=20,nIcon=1465,nFrame=-1,szName="&amp;""" """&amp;",nTime=-2,nRefresh=7200,key="""&amp;H131&amp;"·浩气大旗"&amp;""",},"</f>
        <v>{nClass=20,nIcon=1465,nFrame=-1,szName=" ",nTime=-2,nRefresh=7200,key="惊虬谷·浩气大旗",},</v>
      </c>
      <c r="X131" s="36" t="str">
        <f>"{nClass=20,nIcon=1465,nFrame=-1,szName="&amp;""" """&amp;",nTime=-2,nRefresh=7200,key="""&amp;G131&amp;"·恶人大旗"&amp;""",},"</f>
        <v>{nClass=20,nIcon=1465,nFrame=-1,szName=" ",nTime=-2,nRefresh=7200,key="凤鸣堡·恶人大旗",},</v>
      </c>
      <c r="Y131" s="36" t="str">
        <f>"{nClass=20,nIcon=1465,nFrame=-1,szName="&amp;""" """&amp;",nTime=-2,nRefresh=7200,key="""&amp;H131&amp;"·恶人大旗"&amp;""",},"</f>
        <v>{nClass=20,nIcon=1465,nFrame=-1,szName=" ",nTime=-2,nRefresh=7200,key="惊虬谷·恶人大旗",},</v>
      </c>
      <c r="Z131" s="36" t="s">
        <v>2420</v>
      </c>
      <c r="AA131" s="36" t="s">
        <v>2422</v>
      </c>
      <c r="AB131" s="36" t="s">
        <v>2430</v>
      </c>
      <c r="AC131" s="36" t="s">
        <v>2232</v>
      </c>
      <c r="AD131" s="36" t="s">
        <v>2233</v>
      </c>
      <c r="AE131" s="36" t="str">
        <f>"{nClass=20,nIcon=3445,nFrame=3,szName="&amp;"""【"&amp;G131&amp;"】恶人·占领剩余"""&amp;",nTime=600.1,nRefresh=720,key="&amp;""""&amp;G131&amp;"·浩气大旗"""&amp;",},"</f>
        <v>{nClass=20,nIcon=3445,nFrame=3,szName="【凤鸣堡】恶人·占领剩余",nTime=600.1,nRefresh=720,key="凤鸣堡·浩气大旗",},</v>
      </c>
      <c r="AF131" s="36" t="str">
        <f>"{nClass=20,nIcon=3445,nFrame=3,szName="&amp;"""【"&amp;H131&amp;"】恶人·占领剩余"""&amp;",nTime=600.1,nRefresh=720,key="&amp;""""&amp;H131&amp;"·浩气大旗"""&amp;",},"</f>
        <v>{nClass=20,nIcon=3445,nFrame=3,szName="【惊虬谷】恶人·占领剩余",nTime=600.1,nRefresh=720,key="惊虬谷·浩气大旗",},</v>
      </c>
      <c r="AG131" s="36" t="str">
        <f>"{nClass=20,nIcon=3444,nFrame=7,szName="&amp;"""【"&amp;G131&amp;"】浩气·占领剩余"""&amp;",nTime=600.1,nRefresh=720,key="&amp;""""&amp;G131&amp;"·恶人大旗"""&amp;",},"</f>
        <v>{nClass=20,nIcon=3444,nFrame=7,szName="【凤鸣堡】浩气·占领剩余",nTime=600.1,nRefresh=720,key="凤鸣堡·恶人大旗",},</v>
      </c>
      <c r="AH131" s="36" t="str">
        <f>"{nClass=20,nIcon=3444,nFrame=7,szName="&amp;"""【"&amp;H131&amp;"】浩气·占领剩余"""&amp;",nTime=600.1,nRefresh=720,key="&amp;""""&amp;H131&amp;"·恶人大旗"""&amp;",},"</f>
        <v>{nClass=20,nIcon=3444,nFrame=7,szName="【惊虬谷】浩气·占领剩余",nTime=600.1,nRefresh=720,key="惊虬谷·恶人大旗",},</v>
      </c>
    </row>
    <row r="132" spans="1:36" x14ac:dyDescent="0.15">
      <c r="C132" t="s">
        <v>1925</v>
      </c>
      <c r="D132" s="36" t="s">
        <v>1820</v>
      </c>
      <c r="K132" t="s">
        <v>1432</v>
      </c>
      <c r="M132">
        <v>1</v>
      </c>
      <c r="T132" s="36" t="str">
        <f t="shared" si="2"/>
        <v>{szContent="^【(.*)】据点大旗(.*)重置回初始位置！\n",szNote="{$1}·大旗重置",col={255,255,100,},bReg=true,[20]={},tCountdown={{nClass=20,nIcon=1465,szName="凤鸣堡·大旗重置",nTime=-2,nRefresh=7200,key="凤鸣堡·大旗重置",},{nClass=20,nIcon=1465,szName="惊虬谷·大旗重置",nTime=-2,nRefresh=7200,key="惊虬谷·大旗重置",},{nClass=20,nIcon=13,szName="【{$1}】大旗重置",nTime=-2,key="{$1}·大旗重置",},{nClass=20,nIcon=592,nFrame=4,szName="【{$1}】大旗重置",nTime=30,key="{$1}·大旗重置",},{nClass=20,nIcon=592,nFrame=4,szName="【凤鸣堡】大旗重置",nTime=180,nRefresh=7200,key="凤鸣堡·大旗重置",},{nClass=20,nIcon=592,nFrame=4,szName="【惊虬谷】大旗重置",nTime=180,nRefresh=7200,key="惊虬谷·大旗重置",},},},</v>
      </c>
      <c r="U132" s="36" t="s">
        <v>2471</v>
      </c>
      <c r="V132" s="36" t="s">
        <v>2484</v>
      </c>
      <c r="W132" s="36" t="s">
        <v>2428</v>
      </c>
      <c r="X132" s="36" t="s">
        <v>1897</v>
      </c>
      <c r="Y132" s="36" t="s">
        <v>1892</v>
      </c>
      <c r="Z132" s="36" t="s">
        <v>2459</v>
      </c>
      <c r="AA132" s="36"/>
    </row>
    <row r="133" spans="1:36" x14ac:dyDescent="0.15">
      <c r="A133" t="s">
        <v>1816</v>
      </c>
      <c r="B133">
        <v>105</v>
      </c>
      <c r="T133" s="36" t="str">
        <f t="shared" si="2"/>
        <v>},[105]={</v>
      </c>
      <c r="Z133" s="36"/>
      <c r="AA133" s="36"/>
    </row>
    <row r="134" spans="1:36" s="36" customFormat="1" x14ac:dyDescent="0.15">
      <c r="C134" s="36" t="s">
        <v>1798</v>
      </c>
      <c r="D134" s="36" t="s">
        <v>1493</v>
      </c>
      <c r="G134" s="36" t="s">
        <v>2224</v>
      </c>
      <c r="H134" s="36" t="s">
        <v>2225</v>
      </c>
      <c r="K134" s="36" t="s">
        <v>1432</v>
      </c>
      <c r="M134" s="36">
        <v>1</v>
      </c>
      <c r="T134" s="36" t="str">
        <f t="shared" si="2"/>
        <v>{szContent="([浩气恶人]+)[盟谷]-位于([^%d]-)的【(.-)据点】大旗被夺",szNote="{$3}·{$1}大旗被夺",col={255,255,100,},bReg=true,[20]={},tCountdown={{nClass=20,nIcon=592,nFrame=4,szName="{$3}·大旗重置",nTime=-1,key="{$3}·大旗重置",},{nClass=20,nIcon=1465,nFrame=-1,szName=" ",nTime=-2,nRefresh=7200,key="大理山城·浩气大旗",},{nClass=20,nIcon=1465,nFrame=-1,szName=" ",nTime=-2,nRefresh=7200,key="千岩关·浩气大旗",},{nClass=20,nIcon=1465,nFrame=-1,szName=" ",nTime=-2,nRefresh=7200,key="大理山城·恶人大旗",},{nClass=20,nIcon=1465,nFrame=-1,szName=" ",nTime=-2,nRefresh=7200,key="千岩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大理山城】恶人·占领剩余",nTime=600.1,nRefresh=720,key="大理山城·浩气大旗",},{nClass=20,nIcon=3445,nFrame=3,szName="【千岩关】恶人·占领剩余",nTime=600.1,nRefresh=720,key="千岩关·浩气大旗",},{nClass=20,nIcon=3444,nFrame=7,szName="【大理山城】浩气·占领剩余",nTime=600.1,nRefresh=720,key="大理山城·恶人大旗",},{nClass=20,nIcon=3444,nFrame=7,szName="【千岩关】浩气·占领剩余",nTime=600.1,nRefresh=720,key="千岩关·恶人大旗",},},},</v>
      </c>
      <c r="U134" s="36" t="s">
        <v>1861</v>
      </c>
      <c r="V134" s="36" t="str">
        <f>"{nClass=20,nIcon=1465,nFrame=-1,szName="&amp;""" """&amp;",nTime=-2,nRefresh=7200,key="""&amp;G134&amp;"·浩气大旗"&amp;""",},"</f>
        <v>{nClass=20,nIcon=1465,nFrame=-1,szName=" ",nTime=-2,nRefresh=7200,key="大理山城·浩气大旗",},</v>
      </c>
      <c r="W134" s="36" t="str">
        <f>"{nClass=20,nIcon=1465,nFrame=-1,szName="&amp;""" """&amp;",nTime=-2,nRefresh=7200,key="""&amp;H134&amp;"·浩气大旗"&amp;""",},"</f>
        <v>{nClass=20,nIcon=1465,nFrame=-1,szName=" ",nTime=-2,nRefresh=7200,key="千岩关·浩气大旗",},</v>
      </c>
      <c r="X134" s="36" t="str">
        <f>"{nClass=20,nIcon=1465,nFrame=-1,szName="&amp;""" """&amp;",nTime=-2,nRefresh=7200,key="""&amp;G134&amp;"·恶人大旗"&amp;""",},"</f>
        <v>{nClass=20,nIcon=1465,nFrame=-1,szName=" ",nTime=-2,nRefresh=7200,key="大理山城·恶人大旗",},</v>
      </c>
      <c r="Y134" s="36" t="str">
        <f>"{nClass=20,nIcon=1465,nFrame=-1,szName="&amp;""" """&amp;",nTime=-2,nRefresh=7200,key="""&amp;H134&amp;"·恶人大旗"&amp;""",},"</f>
        <v>{nClass=20,nIcon=1465,nFrame=-1,szName=" ",nTime=-2,nRefresh=7200,key="千岩关·恶人大旗",},</v>
      </c>
      <c r="Z134" s="36" t="s">
        <v>2420</v>
      </c>
      <c r="AA134" s="36" t="s">
        <v>2422</v>
      </c>
      <c r="AB134" s="36" t="s">
        <v>2430</v>
      </c>
      <c r="AC134" s="36" t="s">
        <v>2232</v>
      </c>
      <c r="AD134" s="36" t="s">
        <v>2233</v>
      </c>
      <c r="AE134" s="36" t="str">
        <f>"{nClass=20,nIcon=3445,nFrame=3,szName="&amp;"""【"&amp;G134&amp;"】恶人·占领剩余"""&amp;",nTime=600.1,nRefresh=720,key="&amp;""""&amp;G134&amp;"·浩气大旗"""&amp;",},"</f>
        <v>{nClass=20,nIcon=3445,nFrame=3,szName="【大理山城】恶人·占领剩余",nTime=600.1,nRefresh=720,key="大理山城·浩气大旗",},</v>
      </c>
      <c r="AF134" s="36" t="str">
        <f>"{nClass=20,nIcon=3445,nFrame=3,szName="&amp;"""【"&amp;H134&amp;"】恶人·占领剩余"""&amp;",nTime=600.1,nRefresh=720,key="&amp;""""&amp;H134&amp;"·浩气大旗"""&amp;",},"</f>
        <v>{nClass=20,nIcon=3445,nFrame=3,szName="【千岩关】恶人·占领剩余",nTime=600.1,nRefresh=720,key="千岩关·浩气大旗",},</v>
      </c>
      <c r="AG134" s="36" t="str">
        <f>"{nClass=20,nIcon=3444,nFrame=7,szName="&amp;"""【"&amp;G134&amp;"】浩气·占领剩余"""&amp;",nTime=600.1,nRefresh=720,key="&amp;""""&amp;G134&amp;"·恶人大旗"""&amp;",},"</f>
        <v>{nClass=20,nIcon=3444,nFrame=7,szName="【大理山城】浩气·占领剩余",nTime=600.1,nRefresh=720,key="大理山城·恶人大旗",},</v>
      </c>
      <c r="AH134" s="36" t="str">
        <f>"{nClass=20,nIcon=3444,nFrame=7,szName="&amp;"""【"&amp;H134&amp;"】浩气·占领剩余"""&amp;",nTime=600.1,nRefresh=720,key="&amp;""""&amp;H134&amp;"·恶人大旗"""&amp;",},"</f>
        <v>{nClass=20,nIcon=3444,nFrame=7,szName="【千岩关】浩气·占领剩余",nTime=600.1,nRefresh=720,key="千岩关·恶人大旗",},</v>
      </c>
    </row>
    <row r="135" spans="1:36" x14ac:dyDescent="0.15">
      <c r="C135" t="s">
        <v>1925</v>
      </c>
      <c r="D135" s="36" t="s">
        <v>1820</v>
      </c>
      <c r="K135" t="s">
        <v>1432</v>
      </c>
      <c r="M135">
        <v>1</v>
      </c>
      <c r="T135" s="36" t="str">
        <f t="shared" si="2"/>
        <v>{szContent="^【(.*)】据点大旗(.*)重置回初始位置！\n",szNote="{$1}·大旗重置",col={255,255,100,},bReg=true,[20]={},tCountdown={{nClass=20,nIcon=1465,szName="大理山城·大旗重置",nTime=-2,nRefresh=7200,key="大理山城·大旗重置",},{nClass=20,nIcon=1465,szName="千岩关·大旗重置",nTime=-2,nRefresh=7200,key="千岩关·大旗重置",},{nClass=20,nIcon=13,szName="【{$1}】大旗重置",nTime=-2,key="{$1}·大旗重置",},{nClass=20,nIcon=592,nFrame=4,szName="【{$1}】大旗重置",nTime=30,key="{$1}·大旗重置",},{nClass=20,nIcon=592,nFrame=4,szName="【大理山城】大旗重置",nTime=180,nRefresh=7200,key="大理山城·大旗重置",},{nClass=20,nIcon=592,nFrame=4,szName="【千岩关】大旗重置",nTime=180,nRefresh=7200,key="千岩关·大旗重置",},},},</v>
      </c>
      <c r="U135" s="36" t="s">
        <v>2472</v>
      </c>
      <c r="V135" s="36" t="s">
        <v>2485</v>
      </c>
      <c r="W135" s="36" t="s">
        <v>2428</v>
      </c>
      <c r="X135" s="36" t="s">
        <v>1897</v>
      </c>
      <c r="Y135" s="36" t="s">
        <v>1894</v>
      </c>
      <c r="Z135" s="36" t="s">
        <v>2460</v>
      </c>
      <c r="AA135" s="36"/>
    </row>
    <row r="136" spans="1:36" x14ac:dyDescent="0.15">
      <c r="A136" t="s">
        <v>1817</v>
      </c>
      <c r="B136">
        <v>139</v>
      </c>
      <c r="T136" s="36" t="str">
        <f t="shared" si="2"/>
        <v>},[139]={</v>
      </c>
      <c r="Z136" s="36"/>
      <c r="AA136" s="36"/>
    </row>
    <row r="137" spans="1:36" s="36" customFormat="1" x14ac:dyDescent="0.15">
      <c r="C137" s="36" t="s">
        <v>1798</v>
      </c>
      <c r="D137" s="36" t="s">
        <v>1493</v>
      </c>
      <c r="G137" s="36" t="s">
        <v>2226</v>
      </c>
      <c r="H137" s="36" t="s">
        <v>2227</v>
      </c>
      <c r="K137" s="36" t="s">
        <v>1432</v>
      </c>
      <c r="M137" s="36">
        <v>1</v>
      </c>
      <c r="T137" s="36" t="str">
        <f t="shared" si="2"/>
        <v>{szContent="([浩气恶人]+)[盟谷]-位于([^%d]-)的【(.-)据点】大旗被夺",szNote="{$3}·{$1}大旗被夺",col={255,255,100,},bReg=true,[20]={},tCountdown={{nClass=20,nIcon=592,nFrame=4,szName="{$3}·大旗重置",nTime=-1,key="{$3}·大旗重置",},{nClass=20,nIcon=1465,nFrame=-1,szName=" ",nTime=-2,nRefresh=7200,key="枫湖寨·浩气大旗",},{nClass=20,nIcon=1465,nFrame=-1,szName=" ",nTime=-2,nRefresh=7200,key="啖杏林·浩气大旗",},{nClass=20,nIcon=1465,nFrame=-1,szName=" ",nTime=-2,nRefresh=7200,key="枫湖寨·恶人大旗",},{nClass=20,nIcon=1465,nFrame=-1,szName=" ",nTime=-2,nRefresh=7200,key="啖杏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枫湖寨】恶人·占领剩余",nTime=600.1,nRefresh=720,key="枫湖寨·浩气大旗",},{nClass=20,nIcon=3445,nFrame=3,szName="【啖杏林】恶人·占领剩余",nTime=600.1,nRefresh=720,key="啖杏林·浩气大旗",},{nClass=20,nIcon=3444,nFrame=7,szName="【枫湖寨】浩气·占领剩余",nTime=600.1,nRefresh=720,key="枫湖寨·恶人大旗",},{nClass=20,nIcon=3444,nFrame=7,szName="【啖杏林】浩气·占领剩余",nTime=600.1,nRefresh=720,key="啖杏林·恶人大旗",},},},</v>
      </c>
      <c r="U137" s="36" t="s">
        <v>1861</v>
      </c>
      <c r="V137" s="36" t="str">
        <f>"{nClass=20,nIcon=1465,nFrame=-1,szName="&amp;""" """&amp;",nTime=-2,nRefresh=7200,key="""&amp;G137&amp;"·浩气大旗"&amp;""",},"</f>
        <v>{nClass=20,nIcon=1465,nFrame=-1,szName=" ",nTime=-2,nRefresh=7200,key="枫湖寨·浩气大旗",},</v>
      </c>
      <c r="W137" s="36" t="str">
        <f>"{nClass=20,nIcon=1465,nFrame=-1,szName="&amp;""" """&amp;",nTime=-2,nRefresh=7200,key="""&amp;H137&amp;"·浩气大旗"&amp;""",},"</f>
        <v>{nClass=20,nIcon=1465,nFrame=-1,szName=" ",nTime=-2,nRefresh=7200,key="啖杏林·浩气大旗",},</v>
      </c>
      <c r="X137" s="36" t="str">
        <f>"{nClass=20,nIcon=1465,nFrame=-1,szName="&amp;""" """&amp;",nTime=-2,nRefresh=7200,key="""&amp;G137&amp;"·恶人大旗"&amp;""",},"</f>
        <v>{nClass=20,nIcon=1465,nFrame=-1,szName=" ",nTime=-2,nRefresh=7200,key="枫湖寨·恶人大旗",},</v>
      </c>
      <c r="Y137" s="36" t="str">
        <f>"{nClass=20,nIcon=1465,nFrame=-1,szName="&amp;""" """&amp;",nTime=-2,nRefresh=7200,key="""&amp;H137&amp;"·恶人大旗"&amp;""",},"</f>
        <v>{nClass=20,nIcon=1465,nFrame=-1,szName=" ",nTime=-2,nRefresh=7200,key="啖杏林·恶人大旗",},</v>
      </c>
      <c r="Z137" s="36" t="s">
        <v>2420</v>
      </c>
      <c r="AA137" s="36" t="s">
        <v>2422</v>
      </c>
      <c r="AB137" s="36" t="s">
        <v>2430</v>
      </c>
      <c r="AC137" s="36" t="s">
        <v>2232</v>
      </c>
      <c r="AD137" s="36" t="s">
        <v>2233</v>
      </c>
      <c r="AE137" s="36" t="str">
        <f>"{nClass=20,nIcon=3445,nFrame=3,szName="&amp;"""【"&amp;G137&amp;"】恶人·占领剩余"""&amp;",nTime=600.1,nRefresh=720,key="&amp;""""&amp;G137&amp;"·浩气大旗"""&amp;",},"</f>
        <v>{nClass=20,nIcon=3445,nFrame=3,szName="【枫湖寨】恶人·占领剩余",nTime=600.1,nRefresh=720,key="枫湖寨·浩气大旗",},</v>
      </c>
      <c r="AF137" s="36" t="str">
        <f>"{nClass=20,nIcon=3445,nFrame=3,szName="&amp;"""【"&amp;H137&amp;"】恶人·占领剩余"""&amp;",nTime=600.1,nRefresh=720,key="&amp;""""&amp;H137&amp;"·浩气大旗"""&amp;",},"</f>
        <v>{nClass=20,nIcon=3445,nFrame=3,szName="【啖杏林】恶人·占领剩余",nTime=600.1,nRefresh=720,key="啖杏林·浩气大旗",},</v>
      </c>
      <c r="AG137" s="36" t="str">
        <f>"{nClass=20,nIcon=3444,nFrame=7,szName="&amp;"""【"&amp;G137&amp;"】浩气·占领剩余"""&amp;",nTime=600.1,nRefresh=720,key="&amp;""""&amp;G137&amp;"·恶人大旗"""&amp;",},"</f>
        <v>{nClass=20,nIcon=3444,nFrame=7,szName="【枫湖寨】浩气·占领剩余",nTime=600.1,nRefresh=720,key="枫湖寨·恶人大旗",},</v>
      </c>
      <c r="AH137" s="36" t="str">
        <f>"{nClass=20,nIcon=3444,nFrame=7,szName="&amp;"""【"&amp;H137&amp;"】浩气·占领剩余"""&amp;",nTime=600.1,nRefresh=720,key="&amp;""""&amp;H137&amp;"·恶人大旗"""&amp;",},"</f>
        <v>{nClass=20,nIcon=3444,nFrame=7,szName="【啖杏林】浩气·占领剩余",nTime=600.1,nRefresh=720,key="啖杏林·恶人大旗",},</v>
      </c>
    </row>
    <row r="138" spans="1:36" x14ac:dyDescent="0.15">
      <c r="C138" t="s">
        <v>1925</v>
      </c>
      <c r="D138" s="36" t="s">
        <v>1820</v>
      </c>
      <c r="K138" t="s">
        <v>1432</v>
      </c>
      <c r="M138">
        <v>1</v>
      </c>
      <c r="T138" s="36" t="str">
        <f t="shared" si="2"/>
        <v>{szContent="^【(.*)】据点大旗(.*)重置回初始位置！\n",szNote="{$1}·大旗重置",col={255,255,100,},bReg=true,[20]={},tCountdown={{nClass=20,nIcon=1465,szName="枫湖寨·大旗重置",nTime=-2,nRefresh=7200,key="枫湖寨·大旗重置",},{nClass=20,nIcon=1465,szName="啖杏林·大旗重置",nTime=-2,nRefresh=7200,key="啖杏林·大旗重置",},{nClass=20,nIcon=13,szName="【{$1}】大旗重置",nTime=-2,key="{$1}·大旗重置",},{nClass=20,nIcon=592,nFrame=4,szName="【{$1}】大旗重置",nTime=30,key="{$1}·大旗重置",},{nClass=20,nIcon=592,nFrame=4,szName="【枫湖寨】大旗重置",nTime=180,nRefresh=7200,key="枫湖寨·大旗重置",},{nClass=20,nIcon=592,nFrame=4,szName="【啖杏林】大旗重置",nTime=180,nRefresh=7200,key="啖杏林·大旗重置",},},},</v>
      </c>
      <c r="U138" s="36" t="s">
        <v>2473</v>
      </c>
      <c r="V138" s="36" t="s">
        <v>2486</v>
      </c>
      <c r="W138" s="36" t="s">
        <v>2428</v>
      </c>
      <c r="X138" s="36" t="s">
        <v>1897</v>
      </c>
      <c r="Y138" s="36" t="s">
        <v>1896</v>
      </c>
      <c r="Z138" s="36" t="s">
        <v>2461</v>
      </c>
      <c r="AA138" s="36"/>
    </row>
    <row r="139" spans="1:36" x14ac:dyDescent="0.15">
      <c r="A139" t="s">
        <v>1818</v>
      </c>
      <c r="B139">
        <v>153</v>
      </c>
      <c r="T139" s="36" t="str">
        <f t="shared" si="2"/>
        <v>},[153]={</v>
      </c>
      <c r="Z139" s="36"/>
      <c r="AA139" s="36"/>
    </row>
    <row r="140" spans="1:36" s="36" customFormat="1" x14ac:dyDescent="0.15">
      <c r="C140" s="36" t="s">
        <v>1798</v>
      </c>
      <c r="D140" s="36" t="s">
        <v>1493</v>
      </c>
      <c r="G140" s="36" t="s">
        <v>2228</v>
      </c>
      <c r="H140" s="36" t="s">
        <v>2229</v>
      </c>
      <c r="K140" s="36" t="s">
        <v>1432</v>
      </c>
      <c r="M140" s="36">
        <v>1</v>
      </c>
      <c r="T140" s="36" t="str">
        <f t="shared" si="2"/>
        <v>{szContent="([浩气恶人]+)[盟谷]-位于([^%d]-)的【(.-)据点】大旗被夺",szNote="{$3}·{$1}大旗被夺",col={255,255,100,},bReg=true,[20]={},tCountdown={{nClass=20,nIcon=592,nFrame=4,szName="{$3}·大旗重置",nTime=-1,key="{$3}·大旗重置",},{nClass=20,nIcon=1465,nFrame=-1,szName=" ",nTime=-2,nRefresh=7200,key="扶风郡·浩气大旗",},{nClass=20,nIcon=1465,nFrame=-1,szName=" ",nTime=-2,nRefresh=7200,key="世外坡·浩气大旗",},{nClass=20,nIcon=1465,nFrame=-1,szName=" ",nTime=-2,nRefresh=7200,key="扶风郡·恶人大旗",},{nClass=20,nIcon=1465,nFrame=-1,szName=" ",nTime=-2,nRefresh=7200,key="世外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扶风郡】恶人·占领剩余",nTime=600.1,nRefresh=720,key="扶风郡·浩气大旗",},{nClass=20,nIcon=3445,nFrame=3,szName="【世外坡】恶人·占领剩余",nTime=600.1,nRefresh=720,key="世外坡·浩气大旗",},{nClass=20,nIcon=3444,nFrame=7,szName="【扶风郡】浩气·占领剩余",nTime=600.1,nRefresh=720,key="扶风郡·恶人大旗",},{nClass=20,nIcon=3444,nFrame=7,szName="【世外坡】浩气·占领剩余",nTime=600.1,nRefresh=720,key="世外坡·恶人大旗",},},},</v>
      </c>
      <c r="U140" s="36" t="s">
        <v>1861</v>
      </c>
      <c r="V140" s="36" t="str">
        <f>"{nClass=20,nIcon=1465,nFrame=-1,szName="&amp;""" """&amp;",nTime=-2,nRefresh=7200,key="""&amp;G140&amp;"·浩气大旗"&amp;""",},"</f>
        <v>{nClass=20,nIcon=1465,nFrame=-1,szName=" ",nTime=-2,nRefresh=7200,key="扶风郡·浩气大旗",},</v>
      </c>
      <c r="W140" s="36" t="str">
        <f>"{nClass=20,nIcon=1465,nFrame=-1,szName="&amp;""" """&amp;",nTime=-2,nRefresh=7200,key="""&amp;H140&amp;"·浩气大旗"&amp;""",},"</f>
        <v>{nClass=20,nIcon=1465,nFrame=-1,szName=" ",nTime=-2,nRefresh=7200,key="世外坡·浩气大旗",},</v>
      </c>
      <c r="X140" s="36" t="str">
        <f>"{nClass=20,nIcon=1465,nFrame=-1,szName="&amp;""" """&amp;",nTime=-2,nRefresh=7200,key="""&amp;G140&amp;"·恶人大旗"&amp;""",},"</f>
        <v>{nClass=20,nIcon=1465,nFrame=-1,szName=" ",nTime=-2,nRefresh=7200,key="扶风郡·恶人大旗",},</v>
      </c>
      <c r="Y140" s="36" t="str">
        <f>"{nClass=20,nIcon=1465,nFrame=-1,szName="&amp;""" """&amp;",nTime=-2,nRefresh=7200,key="""&amp;H140&amp;"·恶人大旗"&amp;""",},"</f>
        <v>{nClass=20,nIcon=1465,nFrame=-1,szName=" ",nTime=-2,nRefresh=7200,key="世外坡·恶人大旗",},</v>
      </c>
      <c r="Z140" s="36" t="s">
        <v>2420</v>
      </c>
      <c r="AA140" s="36" t="s">
        <v>2422</v>
      </c>
      <c r="AB140" s="36" t="s">
        <v>2430</v>
      </c>
      <c r="AC140" s="36" t="s">
        <v>2232</v>
      </c>
      <c r="AD140" s="36" t="s">
        <v>2233</v>
      </c>
      <c r="AE140" s="36" t="str">
        <f>"{nClass=20,nIcon=3445,nFrame=3,szName="&amp;"""【"&amp;G140&amp;"】恶人·占领剩余"""&amp;",nTime=600.1,nRefresh=720,key="&amp;""""&amp;G140&amp;"·浩气大旗"""&amp;",},"</f>
        <v>{nClass=20,nIcon=3445,nFrame=3,szName="【扶风郡】恶人·占领剩余",nTime=600.1,nRefresh=720,key="扶风郡·浩气大旗",},</v>
      </c>
      <c r="AF140" s="36" t="str">
        <f>"{nClass=20,nIcon=3445,nFrame=3,szName="&amp;"""【"&amp;H140&amp;"】恶人·占领剩余"""&amp;",nTime=600.1,nRefresh=720,key="&amp;""""&amp;H140&amp;"·浩气大旗"""&amp;",},"</f>
        <v>{nClass=20,nIcon=3445,nFrame=3,szName="【世外坡】恶人·占领剩余",nTime=600.1,nRefresh=720,key="世外坡·浩气大旗",},</v>
      </c>
      <c r="AG140" s="36" t="str">
        <f>"{nClass=20,nIcon=3444,nFrame=7,szName="&amp;"""【"&amp;G140&amp;"】浩气·占领剩余"""&amp;",nTime=600.1,nRefresh=720,key="&amp;""""&amp;G140&amp;"·恶人大旗"""&amp;",},"</f>
        <v>{nClass=20,nIcon=3444,nFrame=7,szName="【扶风郡】浩气·占领剩余",nTime=600.1,nRefresh=720,key="扶风郡·恶人大旗",},</v>
      </c>
      <c r="AH140" s="36" t="str">
        <f>"{nClass=20,nIcon=3444,nFrame=7,szName="&amp;"""【"&amp;H140&amp;"】浩气·占领剩余"""&amp;",nTime=600.1,nRefresh=720,key="&amp;""""&amp;H140&amp;"·恶人大旗"""&amp;",},"</f>
        <v>{nClass=20,nIcon=3444,nFrame=7,szName="【世外坡】浩气·占领剩余",nTime=600.1,nRefresh=720,key="世外坡·恶人大旗",},</v>
      </c>
    </row>
    <row r="141" spans="1:36" x14ac:dyDescent="0.15">
      <c r="C141" t="s">
        <v>1925</v>
      </c>
      <c r="D141" s="36" t="s">
        <v>1820</v>
      </c>
      <c r="K141" t="s">
        <v>1432</v>
      </c>
      <c r="M141">
        <v>1</v>
      </c>
      <c r="T141" s="36" t="str">
        <f t="shared" si="2"/>
        <v>{szContent="^【(.*)】据点大旗(.*)重置回初始位置！\n",szNote="{$1}·大旗重置",col={255,255,100,},bReg=true,[20]={},tCountdown={{nClass=20,nIcon=1465,szName="扶风郡·大旗重置",nTime=-2,nRefresh=7200,key="扶风郡·大旗重置",},{nClass=20,nIcon=1465,szName="世外坡·大旗重置",nTime=-2,nRefresh=7200,key="世外坡·大旗重置",},{nClass=20,nIcon=13,szName="【{$1}】大旗重置",nTime=-2,key="{$1}·大旗重置",},{nClass=20,nIcon=592,nFrame=4,szName="【{$1}】大旗重置",nTime=30,key="{$1}·大旗重置",},{nClass=20,nIcon=592,nFrame=4,szName="【扶风郡】大旗重置",nTime=180,nRefresh=7200,key="扶风郡·大旗重置",},{nClass=20,nIcon=592,nFrame=4,szName="【世外坡】大旗重置",nTime=180,nRefresh=7200,key="世外坡·大旗重置",},},},</v>
      </c>
      <c r="U141" s="36" t="s">
        <v>2474</v>
      </c>
      <c r="V141" s="36" t="s">
        <v>2487</v>
      </c>
      <c r="W141" s="36" t="s">
        <v>2428</v>
      </c>
      <c r="X141" s="36" t="s">
        <v>1898</v>
      </c>
      <c r="Y141" s="36" t="s">
        <v>1868</v>
      </c>
      <c r="Z141" s="36" t="s">
        <v>2462</v>
      </c>
      <c r="AA141" s="36"/>
    </row>
    <row r="142" spans="1:36" x14ac:dyDescent="0.15">
      <c r="A142" t="s">
        <v>1819</v>
      </c>
      <c r="B142">
        <v>216</v>
      </c>
      <c r="T142" s="36" t="str">
        <f t="shared" si="2"/>
        <v>},[216]={</v>
      </c>
      <c r="Z142" s="36"/>
      <c r="AA142" s="36"/>
    </row>
    <row r="143" spans="1:36" x14ac:dyDescent="0.15">
      <c r="C143" s="36" t="s">
        <v>1799</v>
      </c>
      <c r="D143" t="s">
        <v>1493</v>
      </c>
      <c r="G143" t="s">
        <v>2230</v>
      </c>
      <c r="H143" t="s">
        <v>2231</v>
      </c>
      <c r="K143" t="s">
        <v>1432</v>
      </c>
      <c r="M143">
        <v>1</v>
      </c>
      <c r="T143" s="36" t="str">
        <f t="shared" si="2"/>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43" s="36" t="s">
        <v>1861</v>
      </c>
      <c r="V143" s="36" t="s">
        <v>2420</v>
      </c>
      <c r="W143" s="36" t="s">
        <v>2422</v>
      </c>
      <c r="X143" s="36" t="s">
        <v>2432</v>
      </c>
      <c r="Y143" s="36" t="s">
        <v>2200</v>
      </c>
      <c r="Z143" s="36" t="s">
        <v>2201</v>
      </c>
      <c r="AC143" s="36"/>
      <c r="AD143" s="36"/>
      <c r="AE143" s="36"/>
      <c r="AF143" s="36"/>
      <c r="AG143" s="36"/>
      <c r="AH143" s="36"/>
      <c r="AI143" s="36"/>
      <c r="AJ143" s="36"/>
    </row>
    <row r="144" spans="1:36" x14ac:dyDescent="0.15">
      <c r="C144" t="s">
        <v>1925</v>
      </c>
      <c r="D144" s="36" t="s">
        <v>1820</v>
      </c>
      <c r="K144" t="s">
        <v>1432</v>
      </c>
      <c r="M144">
        <v>1</v>
      </c>
      <c r="T144" s="36" t="str">
        <f t="shared" si="2"/>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nRefresh=7200,key="云台营·大旗重置",},{nClass=20,nIcon=592,nFrame=4,szName="【高阳营】大旗重置",nTime=180,nRefresh=7200,key="高阳营·大旗重置",},},},</v>
      </c>
      <c r="U144" s="36" t="s">
        <v>2475</v>
      </c>
      <c r="V144" s="36" t="s">
        <v>2488</v>
      </c>
      <c r="W144" s="36" t="s">
        <v>2428</v>
      </c>
      <c r="X144" s="36" t="s">
        <v>1897</v>
      </c>
      <c r="Y144" s="36" t="s">
        <v>1919</v>
      </c>
      <c r="Z144" s="36" t="s">
        <v>1920</v>
      </c>
      <c r="AA144" s="36"/>
    </row>
    <row r="145" spans="1:45" s="36" customFormat="1" x14ac:dyDescent="0.15">
      <c r="C145" s="40" t="s">
        <v>1803</v>
      </c>
      <c r="D145" s="36" t="s">
        <v>1494</v>
      </c>
      <c r="K145" s="36" t="s">
        <v>1432</v>
      </c>
      <c r="M145" s="36">
        <v>1</v>
      </c>
      <c r="T145" s="36" t="str">
        <f t="shared" si="2"/>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45" s="36" t="s">
        <v>2425</v>
      </c>
      <c r="V145" s="36" t="s">
        <v>2426</v>
      </c>
      <c r="W145" s="36" t="s">
        <v>2427</v>
      </c>
      <c r="X145" s="36" t="s">
        <v>1771</v>
      </c>
      <c r="Y145" s="36" t="s">
        <v>1772</v>
      </c>
    </row>
    <row r="146" spans="1:45" x14ac:dyDescent="0.15">
      <c r="A146" t="s">
        <v>613</v>
      </c>
      <c r="B146">
        <v>656</v>
      </c>
      <c r="T146" s="36" t="str">
        <f t="shared" si="2"/>
        <v>},[656]={</v>
      </c>
    </row>
    <row r="147" spans="1:45" x14ac:dyDescent="0.15">
      <c r="C147" s="36" t="s">
        <v>1799</v>
      </c>
      <c r="D147" t="s">
        <v>1493</v>
      </c>
      <c r="G147" s="36" t="s">
        <v>2230</v>
      </c>
      <c r="H147" s="36" t="s">
        <v>2231</v>
      </c>
      <c r="K147" t="s">
        <v>1432</v>
      </c>
      <c r="M147">
        <v>1</v>
      </c>
      <c r="T147" s="36" t="str">
        <f t="shared" si="2"/>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47" s="36" t="s">
        <v>1861</v>
      </c>
      <c r="V147" t="s">
        <v>2420</v>
      </c>
      <c r="W147" t="s">
        <v>2422</v>
      </c>
      <c r="X147" s="36" t="s">
        <v>2432</v>
      </c>
      <c r="Y147" s="36" t="s">
        <v>2200</v>
      </c>
      <c r="Z147" s="36" t="s">
        <v>2201</v>
      </c>
      <c r="AC147" s="36"/>
      <c r="AD147" s="36"/>
      <c r="AE147" s="36"/>
    </row>
    <row r="148" spans="1:45" x14ac:dyDescent="0.15">
      <c r="C148" t="s">
        <v>1925</v>
      </c>
      <c r="D148" s="36" t="s">
        <v>1820</v>
      </c>
      <c r="K148" t="s">
        <v>1432</v>
      </c>
      <c r="M148">
        <v>1</v>
      </c>
      <c r="T148" s="36" t="str">
        <f t="shared" si="2"/>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nRefresh=7200,key="云台营·大旗重置",},{nClass=20,nIcon=592,nFrame=4,szName="【高阳营】大旗重置",nTime=180,nRefresh=7200,key="高阳营·大旗重置",},},},</v>
      </c>
      <c r="U148" s="36" t="s">
        <v>2475</v>
      </c>
      <c r="V148" s="36" t="s">
        <v>2488</v>
      </c>
      <c r="W148" s="36" t="s">
        <v>2428</v>
      </c>
      <c r="X148" s="36" t="s">
        <v>1897</v>
      </c>
      <c r="Y148" s="36" t="s">
        <v>1919</v>
      </c>
      <c r="Z148" s="36" t="s">
        <v>1920</v>
      </c>
      <c r="AA148" s="36"/>
      <c r="AB148" s="36"/>
      <c r="AC148" s="36"/>
      <c r="AD148" s="36"/>
      <c r="AE148" s="36"/>
      <c r="AF148" s="36"/>
      <c r="AG148" s="36"/>
      <c r="AH148" s="36"/>
      <c r="AI148" s="36"/>
      <c r="AJ148" s="36"/>
      <c r="AK148" s="36"/>
      <c r="AL148" s="36"/>
      <c r="AM148" s="36"/>
      <c r="AN148" s="36"/>
      <c r="AO148" s="36"/>
      <c r="AP148" s="36"/>
      <c r="AQ148" s="36"/>
      <c r="AR148" s="36"/>
      <c r="AS148" s="36"/>
    </row>
    <row r="149" spans="1:45" s="36" customFormat="1" x14ac:dyDescent="0.15">
      <c r="C149" s="40" t="s">
        <v>1803</v>
      </c>
      <c r="D149" s="36" t="s">
        <v>1494</v>
      </c>
      <c r="K149" s="36" t="s">
        <v>1432</v>
      </c>
      <c r="M149" s="36">
        <v>1</v>
      </c>
      <c r="T149" s="36" t="str">
        <f t="shared" si="2"/>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49" s="36" t="s">
        <v>2425</v>
      </c>
      <c r="V149" s="36" t="s">
        <v>2426</v>
      </c>
      <c r="W149" s="36" t="s">
        <v>2427</v>
      </c>
      <c r="X149" s="36" t="s">
        <v>1771</v>
      </c>
      <c r="Y149" s="36" t="s">
        <v>1772</v>
      </c>
    </row>
    <row r="150" spans="1:45" x14ac:dyDescent="0.15">
      <c r="T150" s="36" t="str">
        <f t="shared" si="2"/>
        <v>},},}</v>
      </c>
    </row>
    <row r="151" spans="1:45" x14ac:dyDescent="0.15">
      <c r="T151" s="36"/>
    </row>
    <row r="152" spans="1:45" x14ac:dyDescent="0.15">
      <c r="T152" s="36"/>
    </row>
    <row r="153" spans="1:45" x14ac:dyDescent="0.15">
      <c r="T153" s="36"/>
    </row>
  </sheetData>
  <autoFilter ref="A1:BG149" xr:uid="{CA93DE1B-A3F3-4B99-8EB6-90DC2B8497E1}"/>
  <phoneticPr fontId="18" type="noConversion"/>
  <pageMargins left="0.7" right="0.7" top="0.75" bottom="0.75" header="0.3" footer="0.3"/>
  <pageSetup paperSize="9" orientation="portrait" horizontalDpi="1200" verticalDpi="1200" r:id="rId1"/>
</worksheet>
</file>

<file path=docProps/app.xml><?xml version="1.0" encoding="utf-8"?>
<Properties xmlns="http://purl.oclc.org/ooxml/officeDocument/extendedProperties" xmlns:vt="http://purl.oclc.org/ooxml/officeDocument/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茗伊团队监控数据总控</vt:lpstr>
      <vt:lpstr>字典</vt:lpstr>
      <vt:lpstr>有利气劲</vt:lpstr>
      <vt:lpstr>不利气劲</vt:lpstr>
      <vt:lpstr>武学招式</vt:lpstr>
      <vt:lpstr>系统角色</vt:lpstr>
      <vt:lpstr>交互物件</vt:lpstr>
      <vt:lpstr>角色喊话</vt:lpstr>
      <vt:lpstr>系统频道</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荷花鲤</dc:creator>
  <cp:lastModifiedBy>TIAN</cp:lastModifiedBy>
  <dcterms:created xsi:type="dcterms:W3CDTF">2024-01-14T19:36:11Z</dcterms:created>
  <dcterms:modified xsi:type="dcterms:W3CDTF">2026-04-12T05:52:01Z</dcterms:modified>
</cp:coreProperties>
</file>