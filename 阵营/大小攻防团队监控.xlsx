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有利气劲!$A$1:$AS$46</definedName>
    <definedName name="_xlnm._FilterDatabase" localSheetId="3" hidden="1">不利气劲!$A$1:$BY$101</definedName>
    <definedName name="_xlnm._FilterDatabase" localSheetId="5" hidden="1">系统角色!$A$1:$X$412</definedName>
    <definedName name="_xlnm._FilterDatabase" localSheetId="7" hidden="1">角色喊话!$A$1:$AV$199</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<sst xmlns="http://schemas.openxmlformats.org/spreadsheetml/2006/main" count="5953" uniqueCount="2707">
  <si>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</si>
  <si>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</si>
  <si>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</si>
  <si>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</si>
  <si>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</si>
  <si>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</si>
  <si>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</si>
  <si>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</si>
  <si>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</si>
  <si>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</si>
  <si>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</si>
  <si>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</si>
  <si>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</si>
  <si>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</si>
  <si>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</si>
  <si>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</si>
  <si>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</si>
  <si>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</si>
  <si>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</si>
  <si>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</si>
  <si>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</si>
  <si>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</si>
  <si>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</si>
  <si>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</si>
  <si>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</si>
  <si>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</si>
  <si>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</si>
  <si>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</si>
  <si>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</si>
  <si>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</si>
  <si>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</si>
  <si>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</si>
  <si>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</si>
  <si>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</si>
  <si>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</si>
  <si>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</si>
  <si>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</si>
  <si>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</si>
  <si>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</si>
  <si>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</si>
  <si>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</si>
  <si>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</si>
  <si>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</si>
  <si>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</si>
  <si>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</si>
  <si>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</si>
  <si>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</si>
  <si>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</si>
  <si>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</si>
  <si>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</si>
  <si>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</si>
  <si>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</si>
  <si>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</si>
  <si>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</si>
  <si>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</si>
  <si>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</si>
  <si>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</si>
  <si>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</si>
  <si>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</si>
  <si>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</si>
  <si>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</si>
  <si>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</si>
  <si>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</si>
  <si>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</si>
  <si>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</si>
  <si>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</si>
  <si>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</si>
  <si>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</si>
  <si>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</si>
  <si>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</si>
  <si>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</si>
  <si>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</si>
  <si>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</si>
  <si>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</si>
  <si>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</si>
  <si>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</si>
  <si>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</si>
  <si>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</si>
  <si>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</si>
  <si>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</si>
  <si>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</si>
  <si>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</si>
  <si>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</si>
  <si>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</si>
  <si>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</si>
  <si>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</si>
  <si>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</si>
  <si>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</si>
  <si>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</si>
  <si>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</si>
  <si>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</si>
  <si>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</si>
  <si>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</si>
  <si>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</si>
  <si>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</si>
  <si>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</si>
  <si>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</si>
  <si>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</si>
  <si>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</si>
  <si>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</si>
  <si>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</si>
  <si>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</si>
  <si>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</si>
  <si>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</si>
  <si>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</si>
  <si>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</si>
  <si>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</si>
  <si>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</si>
  <si>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</si>
  <si>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</si>
  <si>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</si>
  <si>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</si>
  <si>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</si>
  <si>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</si>
  <si>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</si>
  <si>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</si>
  <si>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</si>
  <si>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</si>
  <si>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</si>
  <si>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</si>
  <si>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</si>
  <si>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</si>
  <si>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</si>
  <si>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</si>
  <si>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</si>
  <si>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</si>
  <si>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</si>
  <si>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</si>
  <si>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</si>
  <si>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</si>
  <si>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</si>
  <si>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</si>
  <si>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</si>
  <si>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</si>
  <si>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</si>
  <si>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</si>
  <si>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</si>
  <si>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</si>
  <si>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</si>
  <si>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</si>
  <si>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</si>
  <si>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</si>
  <si>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</si>
  <si>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</si>
  <si>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</si>
  <si>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</si>
  <si>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</si>
  <si>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</si>
  <si>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</si>
  <si>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</si>
  <si>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</si>
  <si>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</si>
  <si>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</si>
  <si>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</si>
  <si>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</si>
  <si>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</si>
  <si>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</si>
  <si>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</si>
  <si>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</si>
  <si>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</si>
  <si>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</si>
  <si>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</si>
  <si>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</si>
  <si>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</si>
  <si>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</si>
  <si>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</si>
  <si>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</si>
  <si>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</si>
  <si>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</si>
  <si>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</si>
  <si>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</si>
  <si>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</si>
  <si>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</si>
  <si>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</si>
  <si>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</si>
  <si>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</si>
  <si>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</si>
  <si>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</si>
  <si>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</si>
  <si>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</si>
  <si>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</si>
  <si>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</si>
  <si>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</si>
  <si>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</si>
  <si>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</si>
  <si>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</si>
  <si>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</si>
  <si>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</si>
  <si>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</si>
  <si>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</si>
  <si>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</si>
  <si>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</si>
  <si>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</si>
  <si>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</si>
  <si>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</si>
  <si>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</si>
  <si>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</si>
  <si>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</si>
  <si>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</si>
  <si>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</si>
  <si>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</si>
  <si>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</si>
  <si>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</si>
  <si>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</si>
  <si>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</si>
  <si>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</si>
  <si>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</si>
  <si>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</si>
  <si>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</si>
  <si>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</si>
  <si>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</si>
  <si>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</si>
  <si>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</si>
  <si>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</si>
  <si>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</si>
  <si>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</si>
  <si>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</si>
  <si>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</si>
  <si>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</si>
  <si>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</si>
  <si>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</si>
  <si>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</si>
  <si>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</si>
  <si>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</si>
  <si>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</si>
  <si>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</si>
  <si>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</si>
  <si>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</si>
  <si>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</si>
  <si>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</si>
  <si>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</si>
  <si>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</si>
  <si>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</si>
  <si>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</si>
  <si>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</si>
  <si>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</si>
  <si>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</si>
  <si>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</si>
  <si>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</si>
  <si>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</si>
  <si>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</si>
  <si>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</si>
  <si>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</si>
  <si>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</si>
  <si>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</si>
  <si>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</si>
  <si>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</si>
  <si>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</si>
  <si>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</si>
  <si>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</si>
  <si>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</si>
  <si>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</si>
  <si>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</si>
  <si>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</si>
  <si>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</si>
  <si>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</si>
  <si>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</si>
  <si>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</si>
  <si>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</si>
  <si>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</si>
  <si>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</si>
  <si>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</si>
  <si>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</si>
  <si>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</si>
  <si>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</si>
  <si>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</si>
  <si>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</si>
  <si>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</si>
  <si>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</si>
  <si>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</si>
  <si>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</si>
  <si>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</si>
  <si>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</si>
  <si>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</si>
  <si>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</si>
  <si>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</si>
  <si>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</si>
  <si>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</si>
  <si>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</si>
  <si>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</si>
  <si>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</si>
  <si>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</si>
  <si>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</si>
  <si>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</si>
  <si>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</si>
  <si>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</si>
  <si>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</si>
  <si>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</si>
  <si>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</si>
  <si>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</si>
  <si>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</si>
  <si>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</si>
  <si>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</si>
  <si>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</si>
  <si>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</si>
  <si>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</si>
  <si>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</si>
  <si>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</si>
  <si>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</si>
  <si>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</si>
  <si>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</si>
  <si>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</si>
  <si>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</si>
  <si>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</si>
  <si>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</si>
  <si>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</si>
  <si>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</si>
  <si>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</si>
  <si>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</si>
  <si>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</si>
  <si>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</si>
  <si>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</si>
  <si>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</si>
  <si>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</si>
  <si>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</si>
  <si>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</si>
  <si>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</si>
  <si>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</si>
  <si>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</si>
  <si>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</si>
  <si>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</si>
  <si>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</si>
  <si>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</si>
  <si>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</si>
  <si>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</si>
  <si>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</si>
  <si>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</si>
  <si>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</si>
  <si>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</si>
  <si>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</si>
  <si>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</si>
  <si>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</si>
  <si>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</si>
  <si>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</si>
  <si>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</si>
  <si>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</si>
  <si>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</si>
  <si>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</si>
  <si>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</si>
  <si>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</si>
  <si>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</si>
  <si>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</si>
  <si>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</si>
  <si>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</si>
  <si>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</si>
  <si>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</si>
  <si>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</si>
  <si>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</si>
  <si>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</si>
  <si>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</si>
  <si>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</si>
  <si>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</si>
  <si>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</si>
  <si>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</si>
  <si>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</si>
  <si>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</si>
  <si>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</si>
  <si>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</si>
  <si>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</si>
  <si>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</si>
  <si>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</si>
  <si>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</si>
  <si>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</si>
  <si>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</si>
  <si>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</si>
  <si>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</si>
  <si>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</si>
  <si>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</si>
  <si>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</si>
  <si>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</si>
  <si>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</si>
  <si>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</si>
  <si>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</si>
  <si>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</si>
  <si>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</si>
  <si>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</si>
  <si>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</si>
  <si>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</si>
  <si>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</si>
  <si>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</si>
  <si>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</si>
  <si>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</si>
  <si>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</si>
  <si>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</si>
  <si>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</si>
  <si>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</si>
  <si>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</si>
  <si>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</si>
  <si>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</si>
  <si>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</si>
  <si>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</si>
  <si>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</si>
  <si>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</si>
  <si>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</si>
  <si>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</si>
  <si>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</si>
  <si>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</si>
  <si>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</si>
  <si>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</si>
  <si>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</si>
  <si>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</si>
  <si>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</si>
  <si>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</si>
  <si>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</si>
  <si>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</si>
  <si>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</si>
  <si>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</si>
  <si>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</si>
  <si>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</si>
  <si>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</si>
  <si>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</si>
  <si>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</si>
  <si>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</si>
  <si>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</si>
  <si>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</si>
  <si>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</si>
  <si>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</si>
  <si>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</si>
  <si>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</si>
  <si>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</si>
  <si>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</si>
  <si>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</si>
  <si>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</si>
  <si>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</si>
  <si>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</si>
  <si>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</si>
  <si>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</si>
  <si>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</si>
  <si>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</si>
  <si>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</si>
  <si>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</si>
  <si>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</si>
  <si>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</si>
  <si>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</si>
  <si>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</si>
  <si>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</si>
  <si>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</si>
  <si>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</si>
  <si>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</si>
  <si>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</si>
  <si>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</si>
  <si>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</si>
  <si>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</si>
  <si>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</si>
  <si>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</si>
  <si>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</si>
  <si>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</si>
  <si>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</si>
  <si>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</si>
  <si>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</si>
  <si>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</si>
  <si>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</si>
  <si>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</si>
  <si>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</si>
  <si>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</si>
  <si>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</si>
  <si>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</si>
  <si>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</si>
  <si>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</si>
  <si>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</si>
  <si>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</si>
  <si>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</si>
  <si>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</si>
  <si>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</si>
  <si>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</si>
  <si>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</si>
  <si>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</si>
  <si>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</si>
  <si>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</si>
  <si>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</si>
  <si>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</si>
  <si>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</si>
  <si>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</si>
  <si>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</si>
  <si>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</si>
  <si>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</si>
  <si>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</si>
  <si>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</si>
  <si>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</si>
  <si>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</si>
  <si>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</si>
  <si>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</si>
  <si>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</si>
  <si>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</si>
  <si>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</si>
  <si>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</si>
  <si>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</si>
  <si>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</si>
  <si>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</si>
  <si>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</si>
  <si>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</si>
  <si>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</si>
  <si>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</si>
  <si>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</si>
  <si>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</si>
  <si>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</si>
  <si>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</si>
  <si>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</si>
  <si>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</si>
  <si>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</si>
  <si>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</si>
  <si>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</si>
  <si>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</si>
  <si>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</si>
  <si>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</si>
  <si>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</si>
  <si>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</si>
  <si>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</si>
  <si>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</si>
  <si>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</si>
  <si>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</si>
  <si>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</si>
  <si>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</si>
  <si>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</si>
  <si>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</si>
  <si>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</si>
  <si>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</si>
  <si>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</si>
  <si>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</si>
  <si>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</si>
  <si>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</si>
  <si>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</si>
  <si>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</si>
  <si>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</si>
  <si>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</si>
  <si>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</si>
  <si>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</si>
  <si>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</si>
  <si>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</si>
  <si>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</si>
  <si>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</si>
  <si>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</si>
  <si>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</si>
  <si>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</si>
  <si>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</si>
  <si>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</si>
  <si>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</si>
  <si>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</si>
  <si>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</si>
  <si>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</si>
  <si>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</si>
  <si>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</si>
  <si>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</si>
  <si>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</si>
  <si>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</si>
  <si>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</si>
  <si>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</si>
  <si>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</si>
  <si>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</si>
  <si>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</si>
  <si>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</si>
  <si>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</si>
  <si>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</si>
  <si>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</si>
  <si>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</si>
  <si>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</si>
  <si>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</si>
  <si>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</si>
  <si>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</si>
  <si>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</si>
  <si>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</si>
  <si>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</si>
  <si>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</si>
  <si>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</si>
  <si>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</si>
  <si>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</si>
  <si>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</si>
  <si>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</si>
  <si>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</si>
  <si>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</si>
  <si>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</si>
  <si>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</si>
  <si>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</si>
  <si>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</si>
  <si>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</si>
  <si>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</si>
  <si>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</si>
  <si>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</si>
  <si>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</si>
  <si>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</si>
  <si>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</si>
  <si>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</si>
  <si>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</si>
  <si>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</si>
  <si>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</si>
  <si>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</si>
  <si>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</si>
  <si>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</si>
  <si>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</si>
  <si>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</si>
  <si>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</si>
  <si>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</si>
  <si>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</si>
  <si>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</si>
  <si>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</si>
  <si>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</si>
  <si>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</si>
  <si>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</si>
  <si>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</si>
  <si>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</si>
  <si>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</si>
  <si>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</si>
  <si>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</si>
  <si>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</si>
  <si>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</si>
  <si>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</si>
  <si>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</si>
  <si>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</si>
  <si>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</si>
  <si>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</si>
  <si>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</si>
  <si>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</si>
  <si>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</si>
  <si>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</si>
  <si>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</si>
  <si>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</si>
  <si>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</si>
  <si>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</si>
  <si>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</si>
  <si>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</si>
  <si>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</si>
  <si>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</si>
  <si>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</si>
  <si>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</si>
  <si>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</si>
  <si>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</si>
  <si>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</si>
  <si>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</si>
  <si>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</si>
  <si>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</si>
  <si>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</si>
  <si>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</si>
  <si>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</si>
  <si>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</si>
  <si>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</si>
  <si>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</si>
  <si>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</si>
  <si>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</si>
  <si>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</si>
  <si>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</si>
  <si>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</si>
  <si>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</si>
  <si>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</si>
  <si>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</si>
  <si>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</si>
  <si>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</si>
  <si>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</si>
  <si>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</si>
  <si>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</si>
  <si>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</si>
  <si>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</si>
  <si>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</si>
  <si>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</si>
  <si>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</si>
  <si>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</si>
  <si>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</si>
  <si>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</si>
  <si>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</si>
  <si>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</si>
  <si>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</si>
  <si>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</si>
  <si>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</si>
  <si>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</si>
  <si>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</si>
  <si>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</si>
  <si>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</si>
  <si>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</si>
  <si>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</si>
  <si>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</si>
  <si>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</si>
  <si>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</si>
  <si>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</si>
  <si>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</si>
  <si>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</si>
  <si>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</si>
  <si>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</si>
  <si>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</si>
  <si>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</si>
  <si>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</si>
  <si>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</si>
  <si>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</si>
  <si>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</si>
  <si>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</si>
  <si>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</si>
  <si>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</si>
  <si>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</si>
  <si>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</si>
  <si>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</si>
  <si>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</si>
  <si>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</si>
  <si>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</si>
  <si>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</si>
  <si>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</si>
  <si>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</si>
  <si>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</si>
  <si>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</si>
  <si>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</si>
  <si>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</si>
  <si>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</si>
  <si>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</si>
  <si>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</si>
  <si>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</si>
  <si>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</si>
  <si>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</si>
  <si>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</si>
  <si>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</si>
  <si>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</si>
  <si>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</si>
  <si>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</si>
  <si>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</si>
  <si>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</si>
  <si>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</si>
  <si>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</si>
  <si>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</si>
  <si>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</si>
  <si>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</si>
  <si>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</si>
  <si>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</si>
  <si>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</si>
  <si>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</si>
  <si>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</si>
  <si>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</si>
  <si>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</si>
  <si>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</si>
  <si>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</si>
  <si>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</si>
  <si>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</si>
  <si>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</si>
  <si>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</si>
  <si>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</si>
  <si>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</si>
  <si>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</si>
  <si>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</si>
  <si>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</si>
  <si>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</si>
  <si>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</si>
  <si>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</si>
  <si>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</si>
  <si>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</si>
  <si>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</si>
  <si>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</si>
  <si>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</si>
  <si>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</si>
  <si>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</si>
  <si>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</si>
  <si>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</si>
  <si>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</si>
  <si>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</si>
  <si>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</si>
  <si>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</si>
  <si>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</si>
  <si>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</si>
  <si>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</si>
  <si>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</si>
  <si>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</si>
  <si>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</si>
  <si>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</si>
  <si>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</si>
  <si>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</si>
  <si>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</si>
  <si>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</si>
  <si>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</si>
  <si>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</si>
  <si>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</si>
  <si>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</si>
  <si>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</si>
  <si>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</si>
  <si>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</si>
  <si>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</si>
  <si>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</si>
  <si>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</si>
  <si>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</si>
  <si>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</si>
  <si>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</si>
  <si>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</si>
  <si>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</si>
  <si>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</si>
  <si>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</si>
  <si>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</si>
  <si>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</si>
  <si>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</si>
  <si>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</si>
  <si>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</si>
  <si>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</si>
  <si>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</si>
  <si>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</si>
  <si>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</si>
  <si>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</si>
  <si>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</si>
  <si>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</si>
  <si>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</si>
  <si>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</si>
  <si>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</si>
  <si>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</si>
  <si>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</si>
  <si>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</si>
  <si>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</si>
  <si>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</si>
  <si>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</si>
  <si>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</si>
  <si>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</si>
  <si>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</si>
  <si>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</si>
  <si>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</si>
  <si>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</si>
  <si>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</si>
  <si>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</si>
  <si>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</si>
  <si>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</si>
  <si>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</si>
  <si>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</si>
  <si>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</si>
  <si>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</si>
  <si>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</si>
  <si>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</si>
  <si>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</si>
  <si>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</si>
  <si>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</si>
  <si>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</si>
  <si>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</si>
  <si>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</si>
  <si>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</si>
  <si>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</si>
  <si>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</si>
  <si>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</si>
  <si>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</si>
  <si>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</si>
  <si>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</si>
  <si>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</si>
  <si>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</si>
  <si>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</si>
  <si>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</si>
  <si>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</si>
  <si>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</si>
  <si>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</si>
  <si>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</si>
  <si>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</si>
  <si>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</si>
  <si>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</si>
  <si>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</si>
  <si>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</si>
  <si>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</si>
  <si>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</si>
  <si>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</si>
  <si>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</si>
  <si>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</si>
  <si>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</si>
  <si>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</si>
  <si>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</si>
  <si>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</si>
  <si>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</si>
  <si>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</si>
  <si>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</si>
  <si>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</si>
  <si>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</si>
  <si>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</si>
  <si>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</si>
  <si>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</si>
  <si>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</si>
  <si>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</si>
  <si>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</si>
  <si>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</si>
  <si>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</si>
  <si>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</si>
  <si>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</si>
  <si>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</si>
  <si>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</si>
  <si>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</si>
  <si>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</si>
  <si>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</si>
  <si>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</si>
  <si>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</si>
  <si>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</si>
  <si>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</si>
  <si>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</si>
  <si>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</si>
  <si>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</si>
  <si>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</si>
  <si>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</si>
  <si>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</si>
  <si>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</si>
  <si>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</si>
  <si>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</si>
  <si>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</si>
  <si>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</si>
  <si>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</si>
  <si>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</si>
  <si>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</si>
  <si>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</si>
  <si>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</si>
  <si>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</si>
  <si>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</si>
  <si>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</si>
  <si>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</si>
  <si>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</si>
  <si>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</si>
  <si>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</si>
  <si>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</si>
  <si>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</si>
  <si>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</si>
  <si>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</si>
  <si>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</si>
  <si>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</si>
  <si>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</si>
  <si>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</si>
  <si>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</si>
  <si>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</si>
  <si>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</si>
  <si>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</si>
  <si>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</si>
  <si>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</si>
  <si>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</si>
  <si>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</si>
  <si>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</si>
  <si>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</si>
  <si>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</si>
  <si>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</si>
  <si>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</si>
  <si>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</si>
  <si>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</si>
  <si>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</si>
  <si>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</si>
  <si>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</si>
  <si>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</si>
  <si>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</si>
  <si>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</si>
  <si>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</si>
  <si>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</si>
  <si>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</si>
  <si>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</si>
  <si>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</si>
  <si>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</si>
  <si>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</si>
  <si>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</si>
  <si>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</si>
  <si>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</si>
  <si>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</si>
  <si>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</si>
  <si>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</si>
  <si>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</si>
  <si>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</si>
  <si>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</si>
  <si>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</si>
  <si>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</si>
  <si>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</si>
  <si>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</si>
  <si>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</si>
  <si>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</si>
  <si>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</si>
  <si>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</si>
  <si>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</si>
  <si>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</si>
  <si>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</si>
  <si>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</si>
  <si>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</si>
  <si>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</si>
  <si>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</si>
  <si>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</si>
  <si>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</si>
  <si>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</si>
  <si>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</si>
  <si>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</si>
  <si>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</si>
  <si>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</si>
  <si>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</si>
  <si>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</si>
  <si>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</si>
  <si>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</si>
  <si>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</si>
  <si>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</si>
  <si>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</si>
  <si>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</si>
  <si>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</si>
  <si>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</si>
  <si>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</si>
  <si>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</si>
  <si>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</si>
  <si>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</si>
  <si>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</si>
  <si>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</si>
  <si>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</si>
  <si>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</si>
  <si>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</si>
  <si>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</si>
  <si>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</si>
  <si>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</si>
  <si>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</si>
  <si>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</si>
  <si>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</si>
  <si>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</si>
  <si>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</si>
  <si>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</si>
  <si>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</si>
  <si>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</si>
  <si>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</si>
  <si>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</si>
  <si>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</si>
  <si>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</si>
  <si>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</si>
  <si>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</si>
  <si>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</si>
  <si>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</si>
  <si>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</si>
  <si>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</si>
  <si>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</si>
  <si>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</si>
  <si>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</si>
  <si>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</si>
  <si>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</si>
  <si>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</si>
  <si>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</si>
  <si>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</si>
  <si>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</si>
  <si>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</si>
  <si>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</si>
  <si>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</si>
  <si>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</si>
  <si>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</si>
  <si>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</si>
  <si>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</si>
  <si>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</si>
  <si>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</si>
  <si>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</si>
  <si>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</si>
  <si>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</si>
  <si>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</si>
  <si>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</si>
  <si>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</si>
  <si>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</si>
  <si>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</si>
  <si>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</si>
  <si>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</si>
  <si>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</si>
  <si>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</si>
  <si>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</si>
  <si>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</si>
  <si>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</si>
  <si>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</si>
  <si>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</si>
  <si>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</si>
  <si>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</si>
  <si>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</si>
  <si>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</si>
  <si>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</si>
  <si>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</si>
  <si>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</si>
  <si>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</si>
  <si>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</si>
  <si>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</si>
  <si>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</si>
  <si>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</si>
  <si>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</si>
  <si>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</si>
  <si>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</si>
  <si>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</si>
  <si>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</si>
  <si>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</si>
  <si>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</si>
  <si>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</si>
  <si>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</si>
  <si>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</si>
  <si>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</si>
  <si>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</si>
  <si>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</si>
  <si>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</si>
  <si>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</si>
  <si>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</si>
  <si>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</si>
  <si>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</si>
  <si>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</si>
  <si>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</si>
  <si>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</si>
  <si>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</si>
  <si>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</si>
  <si>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</si>
  <si>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</si>
  <si>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</si>
  <si>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</si>
  <si>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</si>
  <si>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</si>
  <si>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</si>
  <si>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</si>
  <si>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</si>
  <si>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</si>
  <si>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</si>
  <si>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</si>
  <si>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</si>
  <si>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</si>
  <si>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</si>
  <si>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</si>
  <si>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</si>
  <si>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</si>
  <si>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</si>
  <si>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</si>
  <si>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</si>
  <si>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</si>
  <si>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</si>
  <si>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</si>
  <si>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</si>
  <si>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</si>
  <si>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</si>
  <si>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</si>
  <si>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</si>
  <si>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</si>
  <si>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</si>
  <si>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</si>
  <si>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</si>
  <si>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</si>
  <si>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</si>
  <si>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</si>
  <si>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</si>
  <si>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</si>
  <si>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</si>
  <si>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</si>
  <si>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</si>
  <si>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</si>
  <si>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</si>
  <si>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</si>
  <si>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</si>
  <si>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</si>
  <si>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</si>
  <si>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</si>
  <si>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</si>
  <si>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</si>
  <si>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</si>
  <si>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</si>
  <si>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</si>
  <si>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</si>
  <si>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</si>
  <si>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</si>
  <si>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</si>
  <si>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</si>
  <si>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</si>
  <si>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</si>
  <si>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</si>
  <si>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</si>
  <si>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</si>
  <si>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</si>
  <si>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</si>
  <si>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</si>
  <si>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</si>
  <si>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</si>
  <si>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</si>
  <si>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</si>
  <si>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</si>
  <si>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</si>
  <si>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</si>
  <si>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</si>
  <si>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</si>
  <si>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</si>
  <si>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</si>
  <si>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</si>
  <si>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</si>
  <si>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</si>
  <si>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</si>
  <si>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</si>
  <si>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</si>
  <si>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</si>
  <si>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</si>
  <si>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</si>
  <si>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</si>
  <si>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</si>
  <si>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</si>
  <si>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</si>
  <si>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</si>
  <si>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</si>
  <si>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</si>
  <si>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</si>
  <si>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</si>
  <si>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</si>
  <si>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</si>
  <si>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</si>
  <si>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</si>
  <si>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</si>
  <si>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</si>
  <si>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</si>
  <si>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</si>
  <si>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</si>
  <si>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</si>
  <si>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</si>
  <si>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</si>
  <si>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</si>
  <si>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</si>
  <si>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</si>
  <si>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</si>
  <si>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</si>
  <si>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</si>
  <si>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</si>
  <si>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</si>
  <si>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</si>
  <si>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</si>
  <si>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</si>
  <si>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</si>
  <si>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</si>
  <si>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</si>
  <si>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</si>
  <si>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</si>
  <si>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</si>
  <si>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</si>
  <si>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</si>
  <si>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</si>
  <si>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</si>
  <si>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</si>
  <si>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</si>
  <si>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</si>
  <si>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</si>
  <si>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</si>
  <si>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</si>
  <si>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</si>
  <si>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</si>
  <si>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</si>
  <si>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</si>
  <si>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</si>
  <si>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</si>
  <si>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</si>
  <si>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</si>
  <si>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</si>
  <si>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</si>
  <si>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</si>
  <si>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</si>
  <si>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</si>
  <si>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</si>
  <si>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</si>
  <si>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</si>
  <si>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</si>
  <si>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</si>
  <si>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</si>
  <si>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</si>
  <si>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</si>
  <si>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</si>
  <si>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</si>
  <si>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</si>
  <si>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</si>
  <si>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</si>
  <si>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</si>
  <si>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</si>
  <si>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</si>
  <si>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</si>
  <si>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</si>
  <si>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</si>
  <si>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</si>
  <si>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</si>
  <si>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</si>
  <si>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</si>
  <si>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</si>
  <si>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</si>
  <si>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</si>
  <si>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</si>
  <si>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</si>
  <si>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</si>
  <si>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</si>
  <si>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</si>
  <si>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</si>
  <si>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</si>
  <si>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</si>
  <si>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</si>
  <si>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</si>
  <si>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</si>
  <si>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</si>
  <si>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</si>
  <si>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</si>
  <si>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</si>
  <si>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</si>
  <si>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</si>
  <si>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</si>
  <si>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</si>
  <si>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</si>
  <si>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</si>
  <si>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</si>
  <si>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</si>
  <si>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</si>
  <si>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</si>
  <si>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</si>
  <si>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</si>
  <si>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</si>
  <si>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</si>
  <si>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</si>
  <si>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</si>
  <si>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</si>
  <si>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</si>
  <si>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</si>
  <si>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</si>
  <si>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</si>
  <si>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</si>
  <si>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</si>
  <si>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</si>
  <si>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</si>
  <si>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</si>
  <si>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</si>
  <si>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</si>
  <si>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</si>
  <si>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</si>
  <si>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</si>
  <si>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</si>
  <si>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</si>
  <si>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</si>
  <si>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</si>
  <si>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</si>
  <si>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</si>
  <si>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</si>
  <si>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</si>
  <si>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</si>
  <si>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</si>
  <si>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</si>
  <si>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</si>
  <si>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</si>
  <si>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</si>
  <si>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</si>
  <si>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</si>
  <si>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</si>
  <si>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</si>
  <si>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</si>
  <si>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</si>
  <si>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</si>
  <si>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</si>
  <si>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</si>
  <si>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</si>
  <si>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</si>
  <si>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</si>
  <si>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</si>
  <si>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</si>
  <si>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</si>
  <si>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</si>
  <si>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</si>
  <si>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</si>
  <si>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</si>
  <si>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</si>
  <si>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</si>
  <si>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</si>
  <si>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</si>
  <si>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</si>
  <si>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</si>
  <si>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</si>
  <si>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</si>
  <si>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</si>
  <si>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</si>
  <si>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</si>
  <si>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</si>
  <si>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</si>
  <si>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</si>
  <si>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</si>
  <si>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</si>
  <si>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</si>
  <si>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</si>
  <si>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</si>
  <si>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</si>
  <si>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</si>
  <si>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</si>
  <si>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</si>
  <si>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</si>
  <si>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</si>
  <si>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</si>
  <si>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</si>
  <si>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</si>
  <si>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</si>
  <si>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</si>
  <si>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</si>
  <si>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</si>
  <si>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</si>
  <si>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</si>
  <si>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</si>
  <si>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</si>
  <si>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</si>
  <si>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</si>
  <si>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</si>
  <si>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</si>
  <si>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</si>
  <si>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</si>
  <si>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</si>
  <si>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</si>
  <si>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</si>
  <si>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</si>
  <si>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</si>
  <si>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</si>
  <si>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</si>
  <si>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</si>
  <si>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</si>
  <si>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</si>
  <si>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</si>
  <si>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</si>
  <si>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</si>
  <si>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</si>
  <si>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</si>
  <si>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</si>
  <si>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</si>
  <si>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</si>
  <si>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</si>
  <si>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</si>
  <si>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</si>
  <si>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</si>
  <si>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</si>
  <si>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</si>
  <si>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</si>
  <si>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</si>
  <si>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</si>
  <si>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</si>
  <si>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</si>
  <si>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</si>
  <si>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</si>
  <si>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</si>
  <si>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</si>
  <si>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</si>
  <si>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</si>
  <si>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</si>
  <si>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</si>
  <si>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</si>
  <si>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</si>
  <si>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</si>
  <si>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</si>
  <si>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</si>
  <si>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</si>
  <si>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</si>
  <si>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</si>
  <si>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</si>
  <si>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</si>
  <si>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</si>
  <si>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</si>
  <si>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</si>
  <si>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</si>
  <si>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</si>
  <si>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</si>
  <si>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</si>
  <si>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</si>
  <si>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</si>
  <si>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</si>
  <si>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</si>
  <si>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</si>
  <si>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</si>
  <si>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</si>
  <si>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</si>
  <si>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</si>
  <si>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</si>
  <si>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</si>
  <si>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</si>
  <si>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</si>
  <si>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</si>
  <si>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</si>
  <si>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</si>
  <si>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</si>
  <si>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</si>
  <si>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</si>
  <si>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</si>
  <si>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</si>
  <si>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</si>
  <si>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</si>
  <si>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</si>
  <si>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</si>
  <si>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</si>
  <si>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</si>
  <si>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</si>
  <si>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</si>
  <si>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</si>
  <si>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</si>
  <si>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</si>
  <si>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</si>
  <si>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</si>
  <si>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</si>
  <si>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</si>
  <si>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</si>
  <si>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</si>
  <si>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</si>
  <si>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</si>
  <si>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</si>
  <si>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</si>
  <si>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</si>
  <si>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</si>
  <si>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</si>
  <si>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</si>
  <si>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</si>
  <si>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</si>
  <si>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</si>
  <si>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</si>
  <si>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</si>
  <si>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</si>
  <si>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</si>
  <si>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</si>
  <si>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</si>
  <si>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</si>
  <si>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</si>
  <si>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</si>
  <si>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</si>
  <si>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</si>
  <si>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</si>
  <si>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</si>
  <si>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</si>
  <si>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</si>
  <si>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</si>
  <si>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</si>
  <si>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</si>
  <si>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</si>
  <si>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</si>
  <si>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</si>
  <si>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</si>
  <si>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</si>
  <si>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</si>
  <si>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</si>
  <si>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</si>
  <si>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</si>
  <si>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</si>
  <si>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</si>
  <si>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</si>
  <si>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</si>
  <si>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</si>
  <si>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</si>
  <si>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</si>
  <si>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</si>
  <si>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</si>
  <si>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</si>
  <si>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</si>
  <si>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</si>
  <si>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</si>
  <si>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</si>
  <si>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</si>
  <si>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</si>
  <si>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</si>
  <si>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</si>
  <si>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</si>
  <si>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</si>
  <si>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</si>
  <si>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</si>
  <si>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</si>
  <si>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</si>
  <si>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</si>
  <si>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</si>
  <si>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</si>
  <si>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</si>
  <si>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</si>
  <si>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</si>
  <si>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</si>
  <si>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</si>
  <si>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</si>
  <si>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</si>
  <si>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</si>
  <si>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</si>
  <si>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</si>
  <si>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</si>
  <si>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</si>
  <si>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</si>
  <si>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</si>
  <si>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</si>
  <si>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</si>
  <si>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</si>
  <si>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</si>
  <si>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</si>
  <si>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</si>
  <si>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</si>
  <si>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</si>
  <si>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</si>
  <si>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</si>
  <si>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</si>
  <si>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</si>
  <si>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</si>
  <si>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</si>
  <si>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</si>
  <si>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</si>
  <si>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</si>
  <si>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</si>
  <si>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</si>
  <si>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</si>
  <si>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</si>
  <si>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</si>
  <si>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</si>
  <si>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</si>
  <si>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</si>
  <si>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</si>
  <si>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</si>
  <si>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</si>
  <si>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</si>
  <si>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</si>
  <si>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</si>
  <si>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</si>
  <si>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</si>
  <si>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</si>
  <si>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</si>
  <si>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</si>
  <si>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</si>
  <si>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</si>
  <si>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</si>
  <si>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</si>
  <si>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</si>
  <si>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</si>
  <si>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</si>
  <si>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</si>
  <si>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</si>
  <si>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</si>
  <si>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</si>
  <si>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</si>
  <si>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</si>
  <si>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</si>
  <si>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</si>
  <si>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</si>
  <si>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</si>
  <si>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</si>
  <si>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</si>
  <si>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</si>
  <si>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</si>
  <si>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</si>
  <si>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</si>
  <si>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</si>
  <si>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</si>
  <si>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</si>
  <si>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</si>
  <si>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</si>
  <si>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</si>
  <si>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</si>
  <si>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</si>
  <si>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</si>
  <si>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</si>
  <si>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</si>
  <si>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</si>
  <si>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</si>
  <si>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</si>
  <si>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</si>
  <si>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</si>
  <si>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</si>
  <si>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</si>
  <si>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</si>
  <si>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</si>
  <si>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</si>
  <si>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</si>
  <si>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</si>
  <si>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</si>
  <si>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</si>
  <si>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</si>
  <si>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</si>
  <si>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</si>
  <si>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</si>
  <si>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</si>
  <si>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</si>
  <si>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</si>
  <si>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</si>
  <si>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</si>
  <si>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</si>
  <si>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</si>
  <si>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</si>
  <si>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</si>
  <si>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</si>
  <si>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</si>
  <si>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</si>
  <si>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</si>
  <si>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</si>
  <si>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</si>
  <si>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押镖</t>
  </si>
  <si>
    <t>押镖表现</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</si>
  <si>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</si>
  <si>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</si>
  <si>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</si>
  <si>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</si>
  <si>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</si>
  <si>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</si>
  <si>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</si>
  <si>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</si>
  <si>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</si>
  <si>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</si>
  <si>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</si>
  <si>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</si>
  <si>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</si>
  <si>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</si>
  <si>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</si>
  <si>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</si>
  <si>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</si>
  <si>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</si>
  <si>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</si>
  <si>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</si>
  <si>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</si>
  <si>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</si>
  <si>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</si>
  <si>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</si>
  <si>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</si>
  <si>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</si>
  <si>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</si>
  <si>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</si>
  <si>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</si>
  <si>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</si>
  <si>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</si>
  <si>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</si>
  <si>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</si>
  <si>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</si>
  <si>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</si>
  <si>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</si>
  <si>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</si>
  <si>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</si>
  <si>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</si>
  <si>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</si>
  <si>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</si>
  <si>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</si>
  <si>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</si>
  <si>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</si>
  <si>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</si>
  <si>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</si>
  <si>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</si>
  <si>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</si>
  <si>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</si>
  <si>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</si>
  <si>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</si>
  <si>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</si>
  <si>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</si>
  <si>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</si>
  <si>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</si>
  <si>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</si>
  <si>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</si>
  <si>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</si>
  <si>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</si>
  <si>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</si>
  <si>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</si>
  <si>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</si>
  <si>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</si>
  <si>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</si>
  <si>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</si>
  <si>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</si>
  <si>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</si>
  <si>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</si>
  <si>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</si>
  <si>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</si>
  <si>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</si>
  <si>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</si>
  <si>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</si>
  <si>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</si>
  <si>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</si>
  <si>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</si>
  <si>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</si>
  <si>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</si>
  <si>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</si>
  <si>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</si>
  <si>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</si>
  <si>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</si>
  <si>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</si>
  <si>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</si>
  <si>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</si>
  <si>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</si>
  <si>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</si>
  <si>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</si>
  <si>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</si>
  <si>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</si>
  <si>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</si>
  <si>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</si>
  <si>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</si>
  <si>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</si>
  <si>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</si>
  <si>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</si>
  <si>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</si>
  <si>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</si>
  <si>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</si>
  <si>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</si>
  <si>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</si>
  <si>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</si>
  <si>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</si>
  <si>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</si>
  <si>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</si>
  <si>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</si>
  <si>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</si>
  <si>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</si>
  <si>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</si>
  <si>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</si>
  <si>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</si>
  <si>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</si>
  <si>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</si>
  <si>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</si>
  <si>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</si>
  <si>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</si>
  <si>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</si>
  <si>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</si>
  <si>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</si>
  <si>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</si>
  <si>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</si>
  <si>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</si>
  <si>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</si>
  <si>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</si>
  <si>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</si>
  <si>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</si>
  <si>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</si>
  <si>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</si>
  <si>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</si>
  <si>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</si>
  <si>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</si>
  <si>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</si>
  <si>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</si>
  <si>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</si>
  <si>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</si>
  <si>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</si>
  <si>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</si>
  <si>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</si>
  <si>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</si>
  <si>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</si>
  <si>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</si>
  <si>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</si>
  <si>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</si>
  <si>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</si>
  <si>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</si>
  <si>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</si>
  <si>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</si>
  <si>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</si>
  <si>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</si>
  <si>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</si>
  <si>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</si>
  <si>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</si>
  <si>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</si>
  <si>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</si>
  <si>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</si>
  <si>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</si>
  <si>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</si>
  <si>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</si>
  <si>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</si>
  <si>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</si>
  <si>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</si>
  <si>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</si>
  <si>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</si>
  <si>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</si>
  <si>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</si>
  <si>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</si>
  <si>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</si>
  <si>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</si>
  <si>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</si>
  <si>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</si>
  <si>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</si>
  <si>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</si>
  <si>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</si>
  <si>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</si>
  <si>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</si>
  <si>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</si>
  <si>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</si>
  <si>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</si>
  <si>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</si>
  <si>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</si>
  <si>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</si>
  <si>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</si>
  <si>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</si>
  <si>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</si>
  <si>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</si>
  <si>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</si>
  <si>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</si>
  <si>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</si>
  <si>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</si>
  <si>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</si>
  <si>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</si>
  <si>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</si>
  <si>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</si>
  <si>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</si>
  <si>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</si>
  <si>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</si>
  <si>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</si>
  <si>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</si>
  <si>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</si>
  <si>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</si>
  <si>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</si>
  <si>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</si>
  <si>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</si>
  <si>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</si>
  <si>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</si>
  <si>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</si>
  <si>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</si>
  <si>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</si>
  <si>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</si>
  <si>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</si>
  <si>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</si>
  <si>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</si>
  <si>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</si>
  <si>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</si>
  <si>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</si>
  <si>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</si>
  <si>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</si>
  <si>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</si>
  <si>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</si>
  <si>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</si>
  <si>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</si>
  <si>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</si>
  <si>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</si>
  <si>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</si>
  <si>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</si>
  <si>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</si>
  <si>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</si>
  <si>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</si>
  <si>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</si>
  <si>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</si>
  <si>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</si>
  <si>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</si>
  <si>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</si>
  <si>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</si>
  <si>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</si>
  <si>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</si>
  <si>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</si>
  <si>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</si>
  <si>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</si>
  <si>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</si>
  <si>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</si>
  <si>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</si>
  <si>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</si>
  <si>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</si>
  <si>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</si>
  <si>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</si>
  <si>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</si>
  <si>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</si>
  <si>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</si>
  <si>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</si>
  <si>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</si>
  <si>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</si>
  <si>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</si>
  <si>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</si>
  <si>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</si>
  <si>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</si>
  <si>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</si>
  <si>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</si>
  <si>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</si>
  <si>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</si>
  <si>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</si>
  <si>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</si>
  <si>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</si>
  <si>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</si>
  <si>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</si>
  <si>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</si>
  <si>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</si>
  <si>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</si>
  <si>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</si>
  <si>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</si>
  <si>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</si>
  <si>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</si>
  <si>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</si>
  <si>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</si>
  <si>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</si>
  <si>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</si>
  <si>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</si>
  <si>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</si>
  <si>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</si>
  <si>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</si>
  <si>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</si>
  <si>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</si>
  <si>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</si>
  <si>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</si>
  <si>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</si>
  <si>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</si>
  <si>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</si>
  <si>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</si>
  <si>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</si>
  <si>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</si>
  <si>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</si>
  <si>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</si>
  <si>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</si>
  <si>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</si>
  <si>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</si>
  <si>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</si>
  <si>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</si>
  <si>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</si>
  <si>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</si>
  <si>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</si>
  <si>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</si>
  <si>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</si>
  <si>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</si>
  <si>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</si>
  <si>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</si>
  <si>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</si>
  <si>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</si>
  <si>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</si>
  <si>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</si>
  <si>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</si>
  <si>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</si>
  <si>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</si>
  <si>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</si>
  <si>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</si>
  <si>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</si>
  <si>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</si>
  <si>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</si>
  <si>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</si>
  <si>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</si>
  <si>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</si>
  <si>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</si>
  <si>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</si>
  <si>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</si>
  <si>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</si>
  <si>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</si>
  <si>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</si>
  <si>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</si>
  <si>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</si>
  <si>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</si>
  <si>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</si>
  <si>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</si>
  <si>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</si>
  <si>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</si>
  <si>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</si>
  <si>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</si>
  <si>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</si>
  <si>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</si>
  <si>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</si>
  <si>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</si>
  <si>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</si>
  <si>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</si>
  <si>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</si>
  <si>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</si>
  <si>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</si>
  <si>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</si>
  <si>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</si>
  <si>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</si>
  <si>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</si>
  <si>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</si>
  <si>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</si>
  <si>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</si>
  <si>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</si>
  <si>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</si>
  <si>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</si>
  <si>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</si>
  <si>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</si>
  <si>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</si>
  <si>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</si>
  <si>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</si>
  <si>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</si>
  <si>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</si>
  <si>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</si>
  <si>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</si>
  <si>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</si>
  <si>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</si>
  <si>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</si>
  <si>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</si>
  <si>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</si>
  <si>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</si>
  <si>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</si>
  <si>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</si>
  <si>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</si>
  <si>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</si>
  <si>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</si>
  <si>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</si>
  <si>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</si>
  <si>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</si>
  <si>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</si>
  <si>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</si>
  <si>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</si>
  <si>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</si>
  <si>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</si>
  <si>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</si>
  <si>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</si>
  <si>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</si>
  <si>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</si>
  <si>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</si>
  <si>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</si>
  <si>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</si>
  <si>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</si>
  <si>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</si>
  <si>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</si>
  <si>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</si>
  <si>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</si>
  <si>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</si>
  <si>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</si>
  <si>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</si>
  <si>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</si>
  <si>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</si>
  <si>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</si>
  <si>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</si>
  <si>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</si>
  <si>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</si>
  <si>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</si>
  <si>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</si>
  <si>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</si>
  <si>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</si>
  <si>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</si>
  <si>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</si>
  <si>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</si>
  <si>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</si>
  <si>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</si>
  <si>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</si>
  <si>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</si>
  <si>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</si>
  <si>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</si>
  <si>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</si>
  <si>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</si>
  <si>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</si>
  <si>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</si>
  <si>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</si>
  <si>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</si>
  <si>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</si>
  <si>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</si>
  <si>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</si>
  <si>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</si>
  <si>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</si>
  <si>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</si>
  <si>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</si>
  <si>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</si>
  <si>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</si>
  <si>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</si>
  <si>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</si>
  <si>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</si>
  <si>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</si>
  <si>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</si>
  <si>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</si>
  <si>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</si>
  <si>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</si>
  <si>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</si>
  <si>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</si>
  <si>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</si>
  <si>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</si>
  <si>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</si>
  <si>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</si>
  <si>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</si>
  <si>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</si>
  <si>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</si>
  <si>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</si>
  <si>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</si>
  <si>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</si>
  <si>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</si>
  <si>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</si>
  <si>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</si>
  <si>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</si>
  <si>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</si>
  <si>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</si>
  <si>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</si>
  <si>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</si>
  <si>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</si>
  <si>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</si>
  <si>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</si>
  <si>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</si>
  <si>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</si>
  <si>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</si>
  <si>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</si>
  <si>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</si>
  <si>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</si>
  <si>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</si>
  <si>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</si>
  <si>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</si>
  <si>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</si>
  <si>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</si>
  <si>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</si>
  <si>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</si>
  <si>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</si>
  <si>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</si>
  <si>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</si>
  <si>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</si>
  <si>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</si>
  <si>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</si>
  <si>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</si>
  <si>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</si>
  <si>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</si>
  <si>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</si>
  <si>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</si>
  <si>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</si>
  <si>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</si>
  <si>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</si>
  <si>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</si>
  <si>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</si>
  <si>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</si>
  <si>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</si>
  <si>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</si>
  <si>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</si>
  <si>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</si>
  <si>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</si>
  <si>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</si>
  <si>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</si>
  <si>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</si>
  <si>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</si>
  <si>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</si>
  <si>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</si>
  <si>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</si>
  <si>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</si>
  <si>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</si>
  <si>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</si>
  <si>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</si>
  <si>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</si>
  <si>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</si>
  <si>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</si>
  <si>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</si>
  <si>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</si>
  <si>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</si>
  <si>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</si>
  <si>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</si>
  <si>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</si>
  <si>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</si>
  <si>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</si>
  <si>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</si>
  <si>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</si>
  <si>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</si>
  <si>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</si>
  <si>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</si>
  <si>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</si>
  <si>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</si>
  <si>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</si>
  <si>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</si>
  <si>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</si>
  <si>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</si>
  <si>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</si>
  <si>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</si>
  <si>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</si>
  <si>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</si>
  <si>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</si>
  <si>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</si>
  <si>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</si>
  <si>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</si>
  <si>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</si>
  <si>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</si>
  <si>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</si>
  <si>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</si>
  <si>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</si>
  <si>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</si>
  <si>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</si>
  <si>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</si>
  <si>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</si>
  <si>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</si>
  <si>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</si>
  <si>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</si>
  <si>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</si>
  <si>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</si>
  <si>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</si>
  <si>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</si>
  <si>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</si>
  <si>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</si>
  <si>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</si>
  <si>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</si>
  <si>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</si>
  <si>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</si>
  <si>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</si>
  <si>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</si>
  <si>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</si>
  <si>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</si>
  <si>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</si>
  <si>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</si>
  <si>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</si>
  <si>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</si>
  <si>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</si>
  <si>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</si>
  <si>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</si>
  <si>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</si>
  <si>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</si>
  <si>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</si>
  <si>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</si>
  <si>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</si>
  <si>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</si>
  <si>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</si>
  <si>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</si>
  <si>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</si>
  <si>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</si>
  <si>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</si>
  <si>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</si>
  <si>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{nClass=14,nIcon=10450,nFrame=4,szName="恶人谷·内城物资·已刷新",nTime="10,恶人谷·内城物资·刷新;300,恶人谷·内城物资·拾取剩余;305,恶人谷·内城物资·已消失",nRefresh=0,key="恶人·物资车·运达",},</t>
  </si>
  <si>
    <t>{nClass=14,nIcon=10449,nFrame=4,szName="浩气盟·营地物资·已刷新",nTime="10,浩气盟·营地物资·刷新;300,浩气盟·营地物资·拾取剩余;305,浩气盟·营地物资·已消失",nRefresh=0,key="浩气·物资车·运达",},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</si>
  <si>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</si>
  <si>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</si>
  <si>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</si>
  <si>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</si>
  <si>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</si>
  <si>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</si>
  <si>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</si>
  <si>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</si>
  <si>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</si>
  <si>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</si>
  <si>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</si>
  <si>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</si>
  <si>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</si>
  <si>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</si>
  <si>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</si>
  <si>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</si>
  <si>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</si>
  <si>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</si>
  <si>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</si>
  <si>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</si>
  <si>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</si>
  <si>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</si>
  <si>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</si>
  <si>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</si>
  <si>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</si>
  <si>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</si>
  <si>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</si>
  <si>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</si>
  <si>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</si>
  <si>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</si>
  <si>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</si>
  <si>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</si>
  <si>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</si>
  <si>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</si>
  <si>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</si>
  <si>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</si>
  <si>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</si>
  <si>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</si>
  <si>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</si>
  <si>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</si>
  <si>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</si>
  <si>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</si>
  <si>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</si>
  <si>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</si>
  <si>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</si>
  <si>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</si>
  <si>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</si>
  <si>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</si>
  <si>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</si>
  <si>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</si>
  <si>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</si>
  <si>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</si>
  <si>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</si>
  <si>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</si>
  <si>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</si>
  <si>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</si>
  <si>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</si>
  <si>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</si>
  <si>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</si>
  <si>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</si>
  <si>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</si>
  <si>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</si>
  <si>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</si>
  <si>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</si>
  <si>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</si>
  <si>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</si>
  <si>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</si>
  <si>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</si>
  <si>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</si>
  <si>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</si>
  <si>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</si>
  <si>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</si>
  <si>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</si>
  <si>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</si>
  <si>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</si>
  <si>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</si>
  <si>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</si>
  <si>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</si>
  <si>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</si>
  <si>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</si>
  <si>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</si>
  <si>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</si>
  <si>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</si>
  <si>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</si>
  <si>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</si>
  <si>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</si>
  <si>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</si>
  <si>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</si>
  <si>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</si>
  <si>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</si>
  <si>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</si>
  <si>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</si>
  <si>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</si>
  <si>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</si>
  <si>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</si>
  <si>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</si>
  <si>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</si>
  <si>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</si>
  <si>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</si>
  <si>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</si>
  <si>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</si>
  <si>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</si>
  <si>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</si>
  <si>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</si>
  <si>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</si>
  <si>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</si>
  <si>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</si>
  <si>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</si>
  <si>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</si>
  <si>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</si>
  <si>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</si>
  <si>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</si>
  <si>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</si>
  <si>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</si>
  <si>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</si>
  <si>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</si>
  <si>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</si>
  <si>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</si>
  <si>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</si>
  <si>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</si>
  <si>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</si>
  <si>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</si>
  <si>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</si>
  <si>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</si>
  <si>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</si>
  <si>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</si>
  <si>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</si>
  <si>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</si>
  <si>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</si>
  <si>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</si>
  <si>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</si>
  <si>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</si>
  <si>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</si>
  <si>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</si>
  <si>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</si>
  <si>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</si>
  <si>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</si>
  <si>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</si>
  <si>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</si>
  <si>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</si>
  <si>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</si>
  <si>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</si>
  <si>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</si>
  <si>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</si>
  <si>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</si>
  <si>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</si>
  <si>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</si>
  <si>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</si>
  <si>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</si>
  <si>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</si>
  <si>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</si>
  <si>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</si>
  <si>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</si>
  <si>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</si>
  <si>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</si>
  <si>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</si>
  <si>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</si>
  <si>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</si>
  <si>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</si>
  <si>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</si>
  <si>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</si>
  <si>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</si>
  <si>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</si>
  <si>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</si>
  <si>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</si>
  <si>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</si>
  <si>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</si>
  <si>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</si>
  <si>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</si>
  <si>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{nClass=14,nIcon=16834,nFrame=1,szName="【{$1}】大旗·易伤{$3}层",nTime="60,【{$1}】大旗·易伤{$3}层;62,【{$1}】大旗·易伤冷却结束",nRefresh=0,key="{$1}·大旗易伤",},</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</si>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</sst>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1783951869000,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6"/>
  <sheetViews>
    <sheetView zoomScale="90" zoomScaleNormal="90" topLeftCell="W1" workbookViewId="0">
      <selection activeCell="AN14" sqref="AN14"/>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11035</v>
      </c>
      <c r="D13">
        <v>1</v>
      </c>
      <c r="G13" t="s">
        <v>1489</v>
      </c>
      <c r="K13" t="s">
        <v>1490</v>
      </c>
      <c r="T13">
        <v>1</v>
      </c>
      <c r="AN13" t="str">
        <f t="shared" si="0"/>
        <v>{dwID=11035,nLevel=1,szName="找镖师",szNote="寻找镖师",[1]={bBuffList=true,},[2]={},},</v>
      </c>
    </row>
    <row r="14" spans="1:42">
      <c r="C14">
        <v>7561</v>
      </c>
      <c r="D14">
        <v>1</v>
      </c>
      <c r="G14" t="s">
        <v>1491</v>
      </c>
      <c r="K14" t="s">
        <v>1492</v>
      </c>
      <c r="L14" t="s">
        <v>1493</v>
      </c>
      <c r="R14">
        <v>1</v>
      </c>
      <c r="S14">
        <v>1</v>
      </c>
      <c r="T14">
        <v>1</v>
      </c>
      <c r="V14">
        <v>1</v>
      </c>
      <c r="AE14" t="s">
        <v>1494</v>
      </c>
      <c r="AF14">
        <v>2</v>
      </c>
      <c r="AG14" t="s">
        <v>1495</v>
      </c>
      <c r="AH14" t="s">
        <v>1496</v>
      </c>
      <c r="AI14">
        <v>255</v>
      </c>
      <c r="AL14">
        <v>1</v>
      </c>
      <c r="AN1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1497</v>
      </c>
      <c r="AP14" t="s">
        <v>1498</v>
      </c>
    </row>
    <row r="15" spans="1:42">
      <c r="C15">
        <v>7525</v>
      </c>
      <c r="D15">
        <v>1</v>
      </c>
      <c r="G15" t="s">
        <v>1499</v>
      </c>
      <c r="K15" t="s">
        <v>1500</v>
      </c>
      <c r="L15" t="s">
        <v>1493</v>
      </c>
      <c r="R15">
        <v>1</v>
      </c>
      <c r="S15">
        <v>1</v>
      </c>
      <c r="T15">
        <v>1</v>
      </c>
      <c r="V15">
        <v>1</v>
      </c>
      <c r="AE15" t="s">
        <v>1494</v>
      </c>
      <c r="AF15">
        <v>2</v>
      </c>
      <c r="AG15" t="s">
        <v>1495</v>
      </c>
      <c r="AH15" t="s">
        <v>1496</v>
      </c>
      <c r="AI15">
        <v>255</v>
      </c>
      <c r="AL15">
        <v>1</v>
      </c>
      <c r="AN1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5" t="s">
        <v>1497</v>
      </c>
      <c r="AP15" t="s">
        <v>1498</v>
      </c>
    </row>
    <row r="16" customFormat="1" spans="1:42">
      <c r="C16">
        <v>7373</v>
      </c>
      <c r="D16">
        <v>1</v>
      </c>
      <c r="F16">
        <v>134</v>
      </c>
      <c r="G16" t="s">
        <v>1463</v>
      </c>
      <c r="I16">
        <v>3</v>
      </c>
      <c r="K16" t="s">
        <v>1469</v>
      </c>
      <c r="L16" t="s">
        <v>1470</v>
      </c>
      <c r="R16">
        <v>1</v>
      </c>
      <c r="AN16" t="str">
        <f t="shared" si="0"/>
        <v>{dwID=7373,nLevel=1,nIcon=134,szName="箭弩车",nScrutinyType=3,szNote="箭弩车记录ID",col={255,50,255,},[1]={bScreenHead=true,},[2]={},},</v>
      </c>
    </row>
    <row r="17" customFormat="1" spans="1:42">
      <c r="C17">
        <v>7492</v>
      </c>
      <c r="D17">
        <v>1</v>
      </c>
      <c r="G17" t="s">
        <v>1501</v>
      </c>
      <c r="I17">
        <v>2</v>
      </c>
      <c r="K17" t="s">
        <v>1502</v>
      </c>
      <c r="L17" t="s">
        <v>1475</v>
      </c>
      <c r="T17">
        <v>1</v>
      </c>
      <c r="AN17" t="str">
        <f t="shared" si="0"/>
        <v>{dwID=7492,nLevel=1,szName="御城矛",nScrutinyType=2,szNote="御城·矛",col={0,255,0,},[1]={bBuffList=true,},[2]={},},</v>
      </c>
    </row>
    <row r="18" customFormat="1" spans="1:42">
      <c r="C18">
        <v>8606</v>
      </c>
      <c r="D18">
        <v>1</v>
      </c>
      <c r="G18" t="s">
        <v>1476</v>
      </c>
      <c r="I18">
        <v>1</v>
      </c>
      <c r="K18" t="s">
        <v>1477</v>
      </c>
      <c r="T18">
        <v>1</v>
      </c>
      <c r="AN18" t="str">
        <f t="shared" si="0"/>
        <v>{dwID=8606,nLevel=1,szName="抗摔",nScrutinyType=1,szNote="抗摔·强健",[1]={bBuffList=true,},[2]={},},</v>
      </c>
    </row>
    <row r="19" customFormat="1" spans="1:42">
      <c r="A19" t="s">
        <v>1503</v>
      </c>
      <c r="B19">
        <v>50</v>
      </c>
      <c r="AN19" t="str">
        <f t="shared" si="0"/>
        <v>},[50]={</v>
      </c>
    </row>
    <row r="20" customFormat="1" spans="1:42">
      <c r="C20">
        <v>8477</v>
      </c>
      <c r="D20">
        <v>1</v>
      </c>
      <c r="F20">
        <v>6491</v>
      </c>
      <c r="G20" t="s">
        <v>1478</v>
      </c>
      <c r="I20">
        <v>1</v>
      </c>
      <c r="K20" t="s">
        <v>1479</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1480</v>
      </c>
      <c r="AP20" t="s">
        <v>1481</v>
      </c>
    </row>
    <row r="21" customFormat="1" spans="1:42">
      <c r="C21">
        <v>8607</v>
      </c>
      <c r="D21">
        <v>1</v>
      </c>
      <c r="G21" t="s">
        <v>1482</v>
      </c>
      <c r="I21">
        <v>1</v>
      </c>
      <c r="K21" t="s">
        <v>1483</v>
      </c>
      <c r="T21">
        <v>1</v>
      </c>
      <c r="AN21" t="str">
        <f t="shared" si="0"/>
        <v>{dwID=8607,nLevel=1,szName="气力",nScrutinyType=1,szNote="气力·调息",[1]={bBuffList=true,},[2]={},tCountdown={{nClass=1,nIcon=6678,nFrame=6,szName="骑御·调息",nTime=0,key="骑御·调息",},},},</v>
      </c>
      <c r="AO21" t="s">
        <v>1484</v>
      </c>
    </row>
    <row r="22" customFormat="1" spans="1:42">
      <c r="C22">
        <v>244</v>
      </c>
      <c r="D22">
        <v>1</v>
      </c>
      <c r="H22">
        <v>1</v>
      </c>
      <c r="I22">
        <v>1</v>
      </c>
      <c r="K22" t="s">
        <v>1485</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1486</v>
      </c>
      <c r="AP22" t="s">
        <v>1487</v>
      </c>
    </row>
    <row r="23" customFormat="1" spans="1:42">
      <c r="A23" t="s">
        <v>833</v>
      </c>
      <c r="B23">
        <v>74</v>
      </c>
      <c r="AN23" t="str">
        <f t="shared" si="0"/>
        <v>},[74]={</v>
      </c>
    </row>
    <row r="24" customFormat="1" spans="1:42">
      <c r="C24">
        <v>8477</v>
      </c>
      <c r="D24">
        <v>1</v>
      </c>
      <c r="F24">
        <v>6491</v>
      </c>
      <c r="G24" t="s">
        <v>1478</v>
      </c>
      <c r="I24">
        <v>1</v>
      </c>
      <c r="K24" t="s">
        <v>1479</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1480</v>
      </c>
      <c r="AP24" t="s">
        <v>1481</v>
      </c>
    </row>
    <row r="25" customFormat="1" spans="1:42">
      <c r="C25">
        <v>8607</v>
      </c>
      <c r="D25">
        <v>1</v>
      </c>
      <c r="I25">
        <v>1</v>
      </c>
      <c r="K25" t="s">
        <v>1483</v>
      </c>
      <c r="T25">
        <v>1</v>
      </c>
      <c r="AN25" t="str">
        <f t="shared" si="0"/>
        <v>{dwID=8607,nLevel=1,nScrutinyType=1,szNote="气力·调息",[1]={bBuffList=true,},[2]={},tCountdown={{nClass=1,nIcon=6678,nFrame=6,szName="骑御·调息",nTime=0,key="骑御·调息",},},},</v>
      </c>
      <c r="AO25" t="s">
        <v>1484</v>
      </c>
    </row>
    <row r="26" customFormat="1" spans="1:42">
      <c r="C26">
        <v>244</v>
      </c>
      <c r="D26">
        <v>1</v>
      </c>
      <c r="H26">
        <v>1</v>
      </c>
      <c r="I26">
        <v>1</v>
      </c>
      <c r="K26" t="s">
        <v>1485</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1486</v>
      </c>
      <c r="AP26" t="s">
        <v>1487</v>
      </c>
    </row>
    <row r="27" customFormat="1" spans="1:42">
      <c r="A27" t="s">
        <v>1060</v>
      </c>
      <c r="B27">
        <v>214</v>
      </c>
      <c r="AN27" t="str">
        <f t="shared" si="0"/>
        <v>},[214]={</v>
      </c>
    </row>
    <row r="28" customFormat="1" spans="1:42">
      <c r="C28">
        <v>10067</v>
      </c>
      <c r="D28">
        <v>1</v>
      </c>
      <c r="G28" t="s">
        <v>1504</v>
      </c>
      <c r="I28">
        <v>1</v>
      </c>
      <c r="K28" t="s">
        <v>1505</v>
      </c>
      <c r="L28" t="s">
        <v>1506</v>
      </c>
      <c r="T28">
        <v>1</v>
      </c>
      <c r="AN28" t="str">
        <f t="shared" si="0"/>
        <v>{dwID=10067,nLevel=1,szName="补货点",nScrutinyType=1,szNote="阴山商路贸易区",col={255,150,0,},[1]={bBuffList=true,},[2]={},},</v>
      </c>
    </row>
    <row r="29" customFormat="1" spans="1:42">
      <c r="C29">
        <v>7508</v>
      </c>
      <c r="D29">
        <v>1</v>
      </c>
      <c r="I29">
        <v>1</v>
      </c>
      <c r="K29" t="s">
        <v>1507</v>
      </c>
      <c r="L29" t="s">
        <v>1508</v>
      </c>
      <c r="R29">
        <v>1</v>
      </c>
      <c r="T29">
        <v>1</v>
      </c>
      <c r="AN29" t="str">
        <f t="shared" si="0"/>
        <v>{dwID=7508,nLevel=1,nScrutinyType=1,szNote="哑运",col={179,238,58,},[1]={bScreenHead=true,bBuffList=true,},[2]={},},</v>
      </c>
    </row>
    <row r="30" customFormat="1" spans="1:42">
      <c r="A30" t="s">
        <v>1063</v>
      </c>
      <c r="B30">
        <v>217</v>
      </c>
      <c r="AN30" t="str">
        <f t="shared" si="0"/>
        <v>},[217]={</v>
      </c>
    </row>
    <row r="31" customFormat="1" spans="1:42">
      <c r="C31">
        <v>7508</v>
      </c>
      <c r="D31">
        <v>1</v>
      </c>
      <c r="I31">
        <v>1</v>
      </c>
      <c r="K31" t="s">
        <v>1507</v>
      </c>
      <c r="L31" t="s">
        <v>1508</v>
      </c>
      <c r="R31">
        <v>1</v>
      </c>
      <c r="T31">
        <v>1</v>
      </c>
      <c r="AN31" t="str">
        <f t="shared" si="0"/>
        <v>{dwID=7508,nLevel=1,nScrutinyType=1,szNote="哑运",col={179,238,58,},[1]={bScreenHead=true,bBuffList=true,},[2]={},},</v>
      </c>
    </row>
    <row r="32" customFormat="1" spans="1:42">
      <c r="A32" t="s">
        <v>1062</v>
      </c>
      <c r="B32">
        <v>216</v>
      </c>
      <c r="AN32" t="str">
        <f t="shared" si="0"/>
        <v>},[216]={</v>
      </c>
    </row>
    <row r="33" customFormat="1" spans="1:42">
      <c r="C33">
        <v>10067</v>
      </c>
      <c r="D33">
        <v>1</v>
      </c>
      <c r="G33" t="s">
        <v>1504</v>
      </c>
      <c r="I33">
        <v>1</v>
      </c>
      <c r="K33" t="s">
        <v>1505</v>
      </c>
      <c r="L33" t="s">
        <v>1506</v>
      </c>
      <c r="T33">
        <v>1</v>
      </c>
      <c r="AN33" t="str">
        <f t="shared" si="0"/>
        <v>{dwID=10067,nLevel=1,szName="补货点",nScrutinyType=1,szNote="阴山商路贸易区",col={255,150,0,},[1]={bBuffList=true,},[2]={},},</v>
      </c>
    </row>
    <row r="34" customFormat="1" spans="1:42">
      <c r="C34">
        <v>7508</v>
      </c>
      <c r="D34">
        <v>1</v>
      </c>
      <c r="I34">
        <v>1</v>
      </c>
      <c r="K34" t="s">
        <v>1507</v>
      </c>
      <c r="L34" t="s">
        <v>1508</v>
      </c>
      <c r="R34">
        <v>1</v>
      </c>
      <c r="T34">
        <v>1</v>
      </c>
      <c r="AN34" t="str">
        <f t="shared" si="0"/>
        <v>{dwID=7508,nLevel=1,nScrutinyType=1,szNote="哑运",col={179,238,58,},[1]={bScreenHead=true,bBuffList=true,},[2]={},},</v>
      </c>
    </row>
    <row r="35" customFormat="1" spans="1:42">
      <c r="C35" s="3">
        <v>7561</v>
      </c>
      <c r="D35">
        <v>1</v>
      </c>
      <c r="G35" t="s">
        <v>1491</v>
      </c>
      <c r="K35" t="s">
        <v>1492</v>
      </c>
      <c r="L35" t="s">
        <v>1493</v>
      </c>
      <c r="R35">
        <v>1</v>
      </c>
      <c r="S35">
        <v>1</v>
      </c>
      <c r="T35">
        <v>1</v>
      </c>
      <c r="V35">
        <v>1</v>
      </c>
      <c r="AE35" t="s">
        <v>1494</v>
      </c>
      <c r="AF35">
        <v>2</v>
      </c>
      <c r="AG35" t="s">
        <v>1495</v>
      </c>
      <c r="AH35" t="s">
        <v>1496</v>
      </c>
      <c r="AI35">
        <v>255</v>
      </c>
      <c r="AL35">
        <v>1</v>
      </c>
      <c r="AN35"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1497</v>
      </c>
      <c r="AP35" t="s">
        <v>1498</v>
      </c>
    </row>
    <row r="36" customFormat="1" spans="1:42">
      <c r="C36" s="3">
        <v>7525</v>
      </c>
      <c r="D36">
        <v>1</v>
      </c>
      <c r="G36" t="s">
        <v>1499</v>
      </c>
      <c r="K36" t="s">
        <v>1500</v>
      </c>
      <c r="L36" t="s">
        <v>1493</v>
      </c>
      <c r="R36">
        <v>1</v>
      </c>
      <c r="S36">
        <v>1</v>
      </c>
      <c r="T36">
        <v>1</v>
      </c>
      <c r="V36">
        <v>1</v>
      </c>
      <c r="AE36" t="s">
        <v>1494</v>
      </c>
      <c r="AF36">
        <v>2</v>
      </c>
      <c r="AG36" t="s">
        <v>1495</v>
      </c>
      <c r="AH36" t="s">
        <v>1496</v>
      </c>
      <c r="AI36">
        <v>255</v>
      </c>
      <c r="AL36">
        <v>1</v>
      </c>
      <c r="AN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6" t="s">
        <v>1497</v>
      </c>
      <c r="AP36" t="s">
        <v>1498</v>
      </c>
    </row>
    <row r="37" customFormat="1" spans="1:42">
      <c r="C37" s="3">
        <v>7373</v>
      </c>
      <c r="D37">
        <v>1</v>
      </c>
      <c r="F37">
        <v>134</v>
      </c>
      <c r="G37" t="s">
        <v>1463</v>
      </c>
      <c r="I37">
        <v>3</v>
      </c>
      <c r="K37" t="s">
        <v>1469</v>
      </c>
      <c r="L37" t="s">
        <v>1470</v>
      </c>
      <c r="R37">
        <v>1</v>
      </c>
      <c r="AN37" t="str">
        <f t="shared" si="0"/>
        <v>{dwID=7373,nLevel=1,nIcon=134,szName="箭弩车",nScrutinyType=3,szNote="箭弩车记录ID",col={255,50,255,},[1]={bScreenHead=true,},[2]={},},</v>
      </c>
    </row>
    <row r="38" customFormat="1" spans="1:42">
      <c r="C38" s="3">
        <v>7492</v>
      </c>
      <c r="D38">
        <v>1</v>
      </c>
      <c r="G38" t="s">
        <v>1501</v>
      </c>
      <c r="I38">
        <v>2</v>
      </c>
      <c r="K38" t="s">
        <v>1502</v>
      </c>
      <c r="L38" t="s">
        <v>1475</v>
      </c>
      <c r="T38">
        <v>1</v>
      </c>
      <c r="AN38" t="str">
        <f t="shared" si="0"/>
        <v>{dwID=7492,nLevel=1,szName="御城矛",nScrutinyType=2,szNote="御城·矛",col={0,255,0,},[1]={bBuffList=true,},[2]={},},</v>
      </c>
    </row>
    <row r="39" customFormat="1" spans="1:42">
      <c r="C39" s="3">
        <v>8606</v>
      </c>
      <c r="D39">
        <v>1</v>
      </c>
      <c r="G39" t="s">
        <v>1476</v>
      </c>
      <c r="I39">
        <v>1</v>
      </c>
      <c r="K39" t="s">
        <v>1477</v>
      </c>
      <c r="T39">
        <v>1</v>
      </c>
      <c r="AN39" t="str">
        <f t="shared" si="0"/>
        <v>{dwID=8606,nLevel=1,szName="抗摔",nScrutinyType=1,szNote="抗摔·强健",[1]={bBuffList=true,},[2]={},},</v>
      </c>
    </row>
    <row r="40" customFormat="1" spans="1:42">
      <c r="A40" t="s">
        <v>1415</v>
      </c>
      <c r="B40">
        <v>656</v>
      </c>
      <c r="AN40" t="str">
        <f t="shared" si="0"/>
        <v>},[656]={</v>
      </c>
    </row>
    <row r="41" customFormat="1" spans="1:42">
      <c r="C41" s="3">
        <v>7561</v>
      </c>
      <c r="D41">
        <v>1</v>
      </c>
      <c r="G41" t="s">
        <v>1491</v>
      </c>
      <c r="K41" t="s">
        <v>1492</v>
      </c>
      <c r="L41" t="s">
        <v>1493</v>
      </c>
      <c r="R41">
        <v>1</v>
      </c>
      <c r="S41">
        <v>1</v>
      </c>
      <c r="T41">
        <v>1</v>
      </c>
      <c r="V41">
        <v>1</v>
      </c>
      <c r="AE41" t="s">
        <v>1494</v>
      </c>
      <c r="AF41">
        <v>2</v>
      </c>
      <c r="AG41" t="s">
        <v>1495</v>
      </c>
      <c r="AH41" t="s">
        <v>1496</v>
      </c>
      <c r="AI41">
        <v>255</v>
      </c>
      <c r="AL41">
        <v>1</v>
      </c>
      <c r="AN41"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1497</v>
      </c>
      <c r="AP41" t="s">
        <v>1498</v>
      </c>
    </row>
    <row r="42" customFormat="1" spans="1:42">
      <c r="C42" s="3">
        <v>7525</v>
      </c>
      <c r="D42">
        <v>1</v>
      </c>
      <c r="G42" t="s">
        <v>1499</v>
      </c>
      <c r="K42" t="s">
        <v>1500</v>
      </c>
      <c r="L42" t="s">
        <v>1493</v>
      </c>
      <c r="R42">
        <v>1</v>
      </c>
      <c r="S42">
        <v>1</v>
      </c>
      <c r="T42">
        <v>1</v>
      </c>
      <c r="V42">
        <v>1</v>
      </c>
      <c r="AE42" t="s">
        <v>1494</v>
      </c>
      <c r="AF42">
        <v>2</v>
      </c>
      <c r="AG42" t="s">
        <v>1495</v>
      </c>
      <c r="AH42" t="s">
        <v>1496</v>
      </c>
      <c r="AI42">
        <v>255</v>
      </c>
      <c r="AL42">
        <v>1</v>
      </c>
      <c r="AN42"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2" t="s">
        <v>1497</v>
      </c>
      <c r="AP42" t="s">
        <v>1498</v>
      </c>
    </row>
    <row r="43" customFormat="1" spans="1:42">
      <c r="C43" s="3">
        <v>7373</v>
      </c>
      <c r="D43">
        <v>1</v>
      </c>
      <c r="F43">
        <v>134</v>
      </c>
      <c r="G43" t="s">
        <v>1463</v>
      </c>
      <c r="I43">
        <v>3</v>
      </c>
      <c r="K43" t="s">
        <v>1469</v>
      </c>
      <c r="L43" t="s">
        <v>1470</v>
      </c>
      <c r="R43">
        <v>1</v>
      </c>
      <c r="AN43" t="str">
        <f t="shared" si="0"/>
        <v>{dwID=7373,nLevel=1,nIcon=134,szName="箭弩车",nScrutinyType=3,szNote="箭弩车记录ID",col={255,50,255,},[1]={bScreenHead=true,},[2]={},},</v>
      </c>
    </row>
    <row r="44" customFormat="1" spans="1:42">
      <c r="C44" s="3">
        <v>7492</v>
      </c>
      <c r="D44">
        <v>1</v>
      </c>
      <c r="G44" t="s">
        <v>1501</v>
      </c>
      <c r="I44">
        <v>2</v>
      </c>
      <c r="K44" t="s">
        <v>1502</v>
      </c>
      <c r="L44" t="s">
        <v>1475</v>
      </c>
      <c r="T44">
        <v>1</v>
      </c>
      <c r="AN44" t="str">
        <f t="shared" si="0"/>
        <v>{dwID=7492,nLevel=1,szName="御城矛",nScrutinyType=2,szNote="御城·矛",col={0,255,0,},[1]={bBuffList=true,},[2]={},},</v>
      </c>
    </row>
    <row r="45" customFormat="1" spans="1:42">
      <c r="C45" s="3">
        <v>8606</v>
      </c>
      <c r="D45">
        <v>1</v>
      </c>
      <c r="G45" t="s">
        <v>1476</v>
      </c>
      <c r="I45">
        <v>1</v>
      </c>
      <c r="K45" t="s">
        <v>1477</v>
      </c>
      <c r="T45">
        <v>1</v>
      </c>
      <c r="AN45" t="str">
        <f t="shared" si="0"/>
        <v>{dwID=8606,nLevel=1,szName="抗摔",nScrutinyType=1,szNote="抗摔·强健",[1]={bBuffList=true,},[2]={},},</v>
      </c>
    </row>
    <row r="46" spans="1:42">
      <c r="AN46" t="str">
        <f t="shared" si="0"/>
        <v>},},}</v>
      </c>
    </row>
  </sheetData>
  <autoFilter xmlns:etc="http://www.wps.cn/officeDocument/2017/etCustomData" ref="A1:AS4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01"/>
  <sheetViews>
    <sheetView tabSelected="1" zoomScale="90" zoomScaleNormal="90" topLeftCell="AE1" workbookViewId="0">
      <pane ySplit="1" topLeftCell="A41" activePane="bottomLeft" state="frozen"/>
      <selection/>
      <selection pane="bottomLeft" activeCell="AN11" sqref="AN11"/>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1509</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1510</v>
      </c>
      <c r="I3">
        <v>1</v>
      </c>
      <c r="K3" t="s">
        <v>1511</v>
      </c>
      <c r="L3" t="s">
        <v>1512</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1513</v>
      </c>
    </row>
    <row r="4" customFormat="1" spans="1:43">
      <c r="C4">
        <v>11559</v>
      </c>
      <c r="D4">
        <v>1</v>
      </c>
      <c r="F4">
        <v>1244</v>
      </c>
      <c r="G4" t="s">
        <v>1514</v>
      </c>
      <c r="I4">
        <v>1</v>
      </c>
      <c r="K4" t="s">
        <v>1515</v>
      </c>
      <c r="L4" t="s">
        <v>1470</v>
      </c>
      <c r="N4" t="s">
        <v>538</v>
      </c>
      <c r="O4">
        <v>1</v>
      </c>
      <c r="P4">
        <v>1</v>
      </c>
      <c r="Q4">
        <v>1</v>
      </c>
      <c r="R4">
        <v>1</v>
      </c>
      <c r="T4">
        <v>1</v>
      </c>
      <c r="U4">
        <v>1</v>
      </c>
      <c r="V4">
        <v>1</v>
      </c>
      <c r="AE4" t="s">
        <v>1516</v>
      </c>
      <c r="AF4">
        <v>3</v>
      </c>
      <c r="AG4" t="s">
        <v>1517</v>
      </c>
      <c r="AH4" t="s">
        <v>1518</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1519</v>
      </c>
    </row>
    <row r="5" customFormat="1" spans="1:43">
      <c r="C5">
        <v>30543</v>
      </c>
      <c r="D5">
        <v>1</v>
      </c>
      <c r="G5" t="s">
        <v>1520</v>
      </c>
      <c r="I5">
        <v>1</v>
      </c>
      <c r="K5" t="s">
        <v>1521</v>
      </c>
      <c r="L5" t="s">
        <v>1512</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1522</v>
      </c>
      <c r="AP5" t="s">
        <v>1523</v>
      </c>
    </row>
    <row r="6" customFormat="1" spans="1:43">
      <c r="C6">
        <v>30542</v>
      </c>
      <c r="D6">
        <v>1</v>
      </c>
      <c r="G6" t="s">
        <v>1524</v>
      </c>
      <c r="I6">
        <v>1</v>
      </c>
      <c r="K6" t="s">
        <v>1525</v>
      </c>
      <c r="L6" t="s">
        <v>1512</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1526</v>
      </c>
      <c r="AP6" t="s">
        <v>1527</v>
      </c>
    </row>
    <row r="7" customFormat="1" spans="1:43">
      <c r="C7">
        <v>30541</v>
      </c>
      <c r="D7">
        <v>1</v>
      </c>
      <c r="G7" t="s">
        <v>1528</v>
      </c>
      <c r="I7">
        <v>1</v>
      </c>
      <c r="K7" t="s">
        <v>1529</v>
      </c>
      <c r="L7" t="s">
        <v>1512</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1530</v>
      </c>
      <c r="AP7" t="s">
        <v>1531</v>
      </c>
    </row>
    <row r="8" customFormat="1" spans="1:43">
      <c r="C8">
        <v>30540</v>
      </c>
      <c r="D8">
        <v>1</v>
      </c>
      <c r="G8" t="s">
        <v>1532</v>
      </c>
      <c r="I8">
        <v>1</v>
      </c>
      <c r="K8" t="s">
        <v>1533</v>
      </c>
      <c r="L8" t="s">
        <v>1512</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1534</v>
      </c>
      <c r="AP8" t="s">
        <v>1535</v>
      </c>
    </row>
    <row r="9" customFormat="1" spans="1:43">
      <c r="C9">
        <v>30539</v>
      </c>
      <c r="D9">
        <v>1</v>
      </c>
      <c r="G9" t="s">
        <v>1536</v>
      </c>
      <c r="I9">
        <v>1</v>
      </c>
      <c r="K9" t="s">
        <v>1537</v>
      </c>
      <c r="L9" t="s">
        <v>1512</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1538</v>
      </c>
      <c r="AP9" t="s">
        <v>1539</v>
      </c>
    </row>
    <row r="10" customFormat="1" spans="1:43">
      <c r="C10">
        <v>30538</v>
      </c>
      <c r="D10">
        <v>1</v>
      </c>
      <c r="G10" t="s">
        <v>1540</v>
      </c>
      <c r="I10">
        <v>1</v>
      </c>
      <c r="K10" t="s">
        <v>1541</v>
      </c>
      <c r="L10" t="s">
        <v>1512</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1542</v>
      </c>
      <c r="AP10" t="s">
        <v>1543</v>
      </c>
    </row>
    <row r="11" customFormat="1" spans="1:43">
      <c r="C11">
        <v>10662</v>
      </c>
      <c r="D11">
        <v>1</v>
      </c>
      <c r="F11">
        <v>3287</v>
      </c>
      <c r="G11" t="s">
        <v>1544</v>
      </c>
      <c r="I11">
        <v>1</v>
      </c>
      <c r="K11" t="s">
        <v>1545</v>
      </c>
      <c r="L11" t="s">
        <v>1512</v>
      </c>
      <c r="T11">
        <v>1</v>
      </c>
      <c r="AN11" t="str">
        <f t="shared" si="0"/>
        <v>{dwID=10662,nLevel=1,nIcon=3287,szName="验战阶",nScrutinyType=1,szNote="前阶段战阶·占坑检测",col={255,255,0,},[1]={bBuffList=true,},[2]={},},</v>
      </c>
    </row>
    <row r="12" customFormat="1" spans="1:43">
      <c r="C12">
        <v>10305</v>
      </c>
      <c r="D12">
        <v>1</v>
      </c>
      <c r="G12" t="s">
        <v>1546</v>
      </c>
      <c r="I12">
        <v>1</v>
      </c>
      <c r="K12" t="s">
        <v>1547</v>
      </c>
      <c r="L12" t="s">
        <v>1470</v>
      </c>
      <c r="N12" t="s">
        <v>538</v>
      </c>
      <c r="O12">
        <v>1</v>
      </c>
      <c r="P12">
        <v>1</v>
      </c>
      <c r="Q12">
        <v>1</v>
      </c>
      <c r="T12">
        <v>1</v>
      </c>
      <c r="U12">
        <v>1</v>
      </c>
      <c r="AE12" t="s">
        <v>1548</v>
      </c>
      <c r="AF12">
        <v>2</v>
      </c>
      <c r="AG12" t="s">
        <v>1517</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1549</v>
      </c>
    </row>
    <row r="13" customFormat="1" spans="1:43">
      <c r="C13">
        <v>7756</v>
      </c>
      <c r="D13">
        <v>1</v>
      </c>
      <c r="I13">
        <v>1</v>
      </c>
      <c r="K13" t="s">
        <v>1550</v>
      </c>
      <c r="L13" t="s">
        <v>1512</v>
      </c>
      <c r="T13">
        <v>1</v>
      </c>
      <c r="AE13" t="s">
        <v>1551</v>
      </c>
      <c r="AF13">
        <v>3</v>
      </c>
      <c r="AG13" t="s">
        <v>1552</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1553</v>
      </c>
      <c r="AP13" t="s">
        <v>1554</v>
      </c>
    </row>
    <row r="14" customFormat="1" spans="1:43">
      <c r="C14">
        <v>29721</v>
      </c>
      <c r="D14">
        <v>1</v>
      </c>
      <c r="I14">
        <v>1</v>
      </c>
      <c r="K14" t="s">
        <v>1555</v>
      </c>
      <c r="L14" t="s">
        <v>1512</v>
      </c>
      <c r="AN14" t="str">
        <f t="shared" si="0"/>
        <v>{dwID=29721,nLevel=1,nScrutinyType=1,szNote="业务繁忙",col={255,255,0,},[1]={},[2]={},tCountdown={{nClass=1,nIcon=13,szName="通用事件",nTime=-1,nRefresh=99999,key="通用事件",},{nClass=2,nIcon=13,szName="通用事件",nTime=-2,key="通用事件",},},},</v>
      </c>
      <c r="AO14" t="s">
        <v>1556</v>
      </c>
      <c r="AP14" t="s">
        <v>1557</v>
      </c>
    </row>
    <row r="15" customFormat="1" spans="1:43">
      <c r="C15">
        <v>25654</v>
      </c>
      <c r="D15">
        <v>1</v>
      </c>
      <c r="I15">
        <v>1</v>
      </c>
      <c r="K15" t="s">
        <v>1558</v>
      </c>
      <c r="L15" t="s">
        <v>1512</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1559</v>
      </c>
      <c r="AP15" t="s">
        <v>1556</v>
      </c>
      <c r="AQ15" s="3" t="s">
        <v>1560</v>
      </c>
    </row>
    <row r="16" customFormat="1" spans="1:43">
      <c r="C16">
        <v>29007</v>
      </c>
      <c r="D16">
        <v>2</v>
      </c>
      <c r="I16">
        <v>1</v>
      </c>
      <c r="K16" t="s">
        <v>1561</v>
      </c>
      <c r="L16" t="s">
        <v>1562</v>
      </c>
      <c r="AN16" t="str">
        <f t="shared" si="0"/>
        <v>{dwID=29007,nLevel=2,nScrutinyType=1,szNote="九素化生·15尺伤害距离",col={128,238,255,},[1]={},[2]={},},</v>
      </c>
    </row>
    <row r="17" spans="1:46">
      <c r="C17">
        <v>2104</v>
      </c>
      <c r="D17">
        <v>1</v>
      </c>
      <c r="I17">
        <v>1</v>
      </c>
      <c r="K17" t="s">
        <v>1563</v>
      </c>
      <c r="L17" t="s">
        <v>1512</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1564</v>
      </c>
      <c r="AP17" t="s">
        <v>1565</v>
      </c>
      <c r="AQ17" t="s">
        <v>1566</v>
      </c>
      <c r="AR17" t="s">
        <v>1567</v>
      </c>
      <c r="AS17" t="s">
        <v>1568</v>
      </c>
      <c r="AT17" s="4" t="s">
        <v>1569</v>
      </c>
    </row>
    <row r="18" spans="1:46">
      <c r="C18">
        <v>2105</v>
      </c>
      <c r="D18">
        <v>1</v>
      </c>
      <c r="I18">
        <v>1</v>
      </c>
      <c r="K18" t="s">
        <v>1570</v>
      </c>
      <c r="L18" t="s">
        <v>1512</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1571</v>
      </c>
      <c r="AP18" s="3" t="s">
        <v>1572</v>
      </c>
      <c r="AQ18" t="s">
        <v>1573</v>
      </c>
    </row>
    <row r="19" customFormat="1" spans="1:46">
      <c r="C19">
        <v>10323</v>
      </c>
      <c r="D19">
        <v>1</v>
      </c>
      <c r="F19">
        <v>18973</v>
      </c>
      <c r="G19" t="s">
        <v>1574</v>
      </c>
      <c r="I19">
        <v>1</v>
      </c>
      <c r="K19" t="s">
        <v>1575</v>
      </c>
      <c r="T19">
        <v>1</v>
      </c>
      <c r="AN19" t="str">
        <f t="shared" si="0"/>
        <v>{dwID=10323,nLevel=1,nIcon=18973,szName="重伤",nScrutinyType=1,szNote="死亡挂机",[1]={bBuffList=true,},[2]={},},</v>
      </c>
    </row>
    <row r="20" customFormat="1" spans="1:46">
      <c r="C20">
        <v>7913</v>
      </c>
      <c r="D20">
        <v>1</v>
      </c>
      <c r="I20">
        <v>2</v>
      </c>
      <c r="K20" t="s">
        <v>1576</v>
      </c>
      <c r="L20" t="s">
        <v>1465</v>
      </c>
      <c r="T20">
        <v>1</v>
      </c>
      <c r="AE20" t="s">
        <v>1577</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1578</v>
      </c>
      <c r="L21" t="s">
        <v>1470</v>
      </c>
      <c r="R21">
        <v>1</v>
      </c>
      <c r="T21">
        <v>1</v>
      </c>
      <c r="AE21" t="s">
        <v>1579</v>
      </c>
      <c r="AF21">
        <v>4</v>
      </c>
      <c r="AG21" t="s">
        <v>1517</v>
      </c>
      <c r="AH21" t="s">
        <v>1518</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1580</v>
      </c>
      <c r="L22" t="s">
        <v>1581</v>
      </c>
      <c r="R22">
        <v>1</v>
      </c>
      <c r="T22">
        <v>1</v>
      </c>
      <c r="AE22" t="s">
        <v>1582</v>
      </c>
      <c r="AF22">
        <v>15</v>
      </c>
      <c r="AG22" t="s">
        <v>1583</v>
      </c>
      <c r="AH22" t="s">
        <v>1584</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1585</v>
      </c>
      <c r="I23">
        <v>2</v>
      </c>
      <c r="K23" t="s">
        <v>1586</v>
      </c>
      <c r="L23" t="s">
        <v>1512</v>
      </c>
      <c r="R23">
        <v>1</v>
      </c>
      <c r="T23">
        <v>1</v>
      </c>
      <c r="AE23" t="s">
        <v>1587</v>
      </c>
      <c r="AF23">
        <v>13</v>
      </c>
      <c r="AG23" t="s">
        <v>1588</v>
      </c>
      <c r="AH23" t="s">
        <v>1589</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1590</v>
      </c>
      <c r="I24">
        <v>1</v>
      </c>
      <c r="K24" t="s">
        <v>1580</v>
      </c>
      <c r="L24" t="s">
        <v>1581</v>
      </c>
      <c r="R24">
        <v>1</v>
      </c>
      <c r="T24">
        <v>1</v>
      </c>
      <c r="AN24" t="str">
        <f t="shared" si="0"/>
        <v>{dwID=1499,nLevel=1,szName="锁足·呔",nScrutinyType=1,szNote="锁足·首领",col={31,63,255,},[1]={bScreenHead=true,bBuffList=true,},[2]={},},</v>
      </c>
    </row>
    <row r="25" customFormat="1" spans="1:46">
      <c r="C25">
        <v>9677</v>
      </c>
      <c r="D25">
        <v>1</v>
      </c>
      <c r="F25">
        <v>2024</v>
      </c>
      <c r="G25" t="s">
        <v>1591</v>
      </c>
      <c r="I25">
        <v>1</v>
      </c>
      <c r="K25" t="s">
        <v>1591</v>
      </c>
      <c r="L25" t="s">
        <v>1512</v>
      </c>
      <c r="T25">
        <v>1</v>
      </c>
      <c r="AN25" t="str">
        <f t="shared" si="0"/>
        <v>{dwID=9677,nLevel=1,nIcon=2024,szName="轰炸",nScrutinyType=1,szNote="轰炸",col={255,255,0,},[1]={bBuffList=true,},[2]={},},</v>
      </c>
    </row>
    <row r="26" customFormat="1" spans="1:46">
      <c r="C26">
        <v>9871</v>
      </c>
      <c r="D26">
        <v>1</v>
      </c>
      <c r="F26">
        <v>7682</v>
      </c>
      <c r="G26" t="s">
        <v>1592</v>
      </c>
      <c r="I26">
        <v>2</v>
      </c>
      <c r="K26" t="s">
        <v>1593</v>
      </c>
      <c r="L26" t="s">
        <v>1594</v>
      </c>
      <c r="R26">
        <v>1</v>
      </c>
      <c r="T26">
        <v>1</v>
      </c>
      <c r="AF26">
        <v>3</v>
      </c>
      <c r="AG26" t="s">
        <v>1595</v>
      </c>
      <c r="AH26" t="s">
        <v>1596</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1597</v>
      </c>
      <c r="L27" t="s">
        <v>1594</v>
      </c>
      <c r="T27">
        <v>1</v>
      </c>
      <c r="V27">
        <v>1</v>
      </c>
      <c r="AF27">
        <v>1</v>
      </c>
      <c r="AG27" t="s">
        <v>1598</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1590</v>
      </c>
      <c r="I29">
        <v>1</v>
      </c>
      <c r="K29" t="s">
        <v>1580</v>
      </c>
      <c r="L29" t="s">
        <v>1581</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1510</v>
      </c>
      <c r="I31">
        <v>1</v>
      </c>
      <c r="K31" t="s">
        <v>1511</v>
      </c>
      <c r="L31" t="s">
        <v>1512</v>
      </c>
      <c r="AN31" t="str">
        <f t="shared" si="0"/>
        <v>{dwID=11567,nLevel=1,nIcon=1245,szName="答对",nScrutinyType=1,szNote="回答奖励",col={255,255,0,},[1]={},[2]={},tCountdown={{nClass=1,nIcon=13,nFrame=1,szName="答题验证·回答正确",nTime=5,key="挂机检测",},},},</v>
      </c>
      <c r="AO31" t="s">
        <v>1513</v>
      </c>
    </row>
    <row r="32" customFormat="1" spans="1:46">
      <c r="C32">
        <v>11559</v>
      </c>
      <c r="D32">
        <v>1</v>
      </c>
      <c r="F32">
        <v>1244</v>
      </c>
      <c r="G32" t="s">
        <v>1514</v>
      </c>
      <c r="I32">
        <v>1</v>
      </c>
      <c r="K32" t="s">
        <v>1515</v>
      </c>
      <c r="L32" t="s">
        <v>1470</v>
      </c>
      <c r="N32" t="s">
        <v>538</v>
      </c>
      <c r="O32">
        <v>1</v>
      </c>
      <c r="P32">
        <v>1</v>
      </c>
      <c r="Q32">
        <v>1</v>
      </c>
      <c r="R32">
        <v>1</v>
      </c>
      <c r="T32">
        <v>1</v>
      </c>
      <c r="U32">
        <v>1</v>
      </c>
      <c r="V32">
        <v>1</v>
      </c>
      <c r="AE32" t="s">
        <v>1516</v>
      </c>
      <c r="AF32">
        <v>3</v>
      </c>
      <c r="AG32" t="s">
        <v>1517</v>
      </c>
      <c r="AH32" t="s">
        <v>1518</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1519</v>
      </c>
    </row>
    <row r="33" customFormat="1" spans="3:45">
      <c r="C33">
        <v>11565</v>
      </c>
      <c r="D33">
        <v>1</v>
      </c>
      <c r="F33">
        <v>592</v>
      </c>
      <c r="G33" t="s">
        <v>1599</v>
      </c>
      <c r="K33" t="s">
        <v>1600</v>
      </c>
      <c r="L33" t="s">
        <v>1493</v>
      </c>
      <c r="R33">
        <v>1</v>
      </c>
      <c r="AN33" t="str">
        <f t="shared" si="0"/>
        <v>{dwID=11565,nLevel=1,nIcon=592,szName="大旗手",szNote="大旗手检测",col={0,255,255,},[1]={bScreenHead=true,},[2]={},},</v>
      </c>
    </row>
    <row r="34" customFormat="1" spans="3:45">
      <c r="C34">
        <v>32813</v>
      </c>
      <c r="D34">
        <v>1</v>
      </c>
      <c r="F34">
        <v>16834</v>
      </c>
      <c r="G34" t="s">
        <v>1601</v>
      </c>
      <c r="K34" t="s">
        <v>1602</v>
      </c>
      <c r="L34" t="s">
        <v>1603</v>
      </c>
      <c r="T34">
        <v>1</v>
      </c>
      <c r="V34">
        <v>1</v>
      </c>
      <c r="AE34" t="s">
        <v>1604</v>
      </c>
      <c r="AF34">
        <v>37</v>
      </c>
      <c r="AG34" t="s">
        <v>1605</v>
      </c>
      <c r="AH34" t="s">
        <v>1606</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1607</v>
      </c>
    </row>
    <row r="35" customFormat="1" spans="3:45">
      <c r="C35">
        <v>32812</v>
      </c>
      <c r="D35">
        <v>1</v>
      </c>
      <c r="F35">
        <v>3451</v>
      </c>
      <c r="G35" t="s">
        <v>1608</v>
      </c>
      <c r="K35" t="s">
        <v>1609</v>
      </c>
      <c r="L35" t="s">
        <v>1610</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1611</v>
      </c>
    </row>
    <row r="36" customFormat="1" spans="3:45">
      <c r="C36">
        <v>31381</v>
      </c>
      <c r="D36">
        <v>1</v>
      </c>
      <c r="G36" t="s">
        <v>1612</v>
      </c>
      <c r="K36" t="s">
        <v>1613</v>
      </c>
      <c r="L36" t="s">
        <v>1470</v>
      </c>
      <c r="R36">
        <v>1</v>
      </c>
      <c r="T36">
        <v>1</v>
      </c>
      <c r="AE36" t="s">
        <v>1614</v>
      </c>
      <c r="AF36">
        <v>11</v>
      </c>
      <c r="AG36" t="s">
        <v>1517</v>
      </c>
      <c r="AH36" t="s">
        <v>1518</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1615</v>
      </c>
      <c r="AP36" t="s">
        <v>1616</v>
      </c>
    </row>
    <row r="37" customFormat="1" spans="3:45">
      <c r="C37">
        <v>12888</v>
      </c>
      <c r="D37">
        <v>1</v>
      </c>
      <c r="G37" t="s">
        <v>1617</v>
      </c>
      <c r="I37">
        <v>2</v>
      </c>
      <c r="K37" t="s">
        <v>1618</v>
      </c>
      <c r="L37" t="s">
        <v>1619</v>
      </c>
      <c r="T37">
        <v>1</v>
      </c>
      <c r="V37">
        <v>1</v>
      </c>
      <c r="AE37" t="s">
        <v>1620</v>
      </c>
      <c r="AF37">
        <v>29</v>
      </c>
      <c r="AG37" t="s">
        <v>1621</v>
      </c>
      <c r="AH37" t="s">
        <v>1622</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1546</v>
      </c>
      <c r="I38">
        <v>1</v>
      </c>
      <c r="K38" t="s">
        <v>1623</v>
      </c>
      <c r="L38" t="s">
        <v>1470</v>
      </c>
      <c r="N38" t="s">
        <v>538</v>
      </c>
      <c r="O38">
        <v>1</v>
      </c>
      <c r="P38">
        <v>1</v>
      </c>
      <c r="Q38">
        <v>1</v>
      </c>
      <c r="T38">
        <v>1</v>
      </c>
      <c r="U38">
        <v>1</v>
      </c>
      <c r="AE38" t="s">
        <v>1548</v>
      </c>
      <c r="AF38">
        <v>2</v>
      </c>
      <c r="AG38" t="s">
        <v>1517</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1549</v>
      </c>
    </row>
    <row r="39" customFormat="1" spans="3:45">
      <c r="C39">
        <v>7913</v>
      </c>
      <c r="D39">
        <v>1</v>
      </c>
      <c r="I39">
        <v>2</v>
      </c>
      <c r="K39" t="s">
        <v>1576</v>
      </c>
      <c r="L39" t="s">
        <v>1465</v>
      </c>
      <c r="T39">
        <v>1</v>
      </c>
      <c r="AE39" t="s">
        <v>1577</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1578</v>
      </c>
      <c r="L40" t="s">
        <v>1470</v>
      </c>
      <c r="R40">
        <v>1</v>
      </c>
      <c r="T40">
        <v>1</v>
      </c>
      <c r="AE40" t="s">
        <v>1579</v>
      </c>
      <c r="AF40">
        <v>4</v>
      </c>
      <c r="AG40" t="s">
        <v>1517</v>
      </c>
      <c r="AH40" t="s">
        <v>1518</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1550</v>
      </c>
      <c r="L41" t="s">
        <v>1512</v>
      </c>
      <c r="T41">
        <v>1</v>
      </c>
      <c r="AE41" t="s">
        <v>1551</v>
      </c>
      <c r="AF41">
        <v>3</v>
      </c>
      <c r="AG41" t="s">
        <v>1552</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1553</v>
      </c>
      <c r="AP41" t="s">
        <v>1554</v>
      </c>
    </row>
    <row r="42" customFormat="1" spans="3:45">
      <c r="C42">
        <v>7497</v>
      </c>
      <c r="D42">
        <v>1</v>
      </c>
      <c r="G42" t="s">
        <v>1624</v>
      </c>
      <c r="I42">
        <v>2</v>
      </c>
      <c r="K42" t="s">
        <v>1625</v>
      </c>
      <c r="L42" t="s">
        <v>1512</v>
      </c>
      <c r="R42">
        <v>1</v>
      </c>
      <c r="T42">
        <v>1</v>
      </c>
      <c r="AE42" t="s">
        <v>1587</v>
      </c>
      <c r="AF42">
        <v>13</v>
      </c>
      <c r="AG42" t="s">
        <v>1588</v>
      </c>
      <c r="AH42" t="s">
        <v>1589</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1626</v>
      </c>
      <c r="I43">
        <v>2</v>
      </c>
      <c r="K43" t="s">
        <v>1627</v>
      </c>
      <c r="L43" t="s">
        <v>1512</v>
      </c>
      <c r="R43">
        <v>1</v>
      </c>
      <c r="T43">
        <v>1</v>
      </c>
      <c r="AE43" t="s">
        <v>1587</v>
      </c>
      <c r="AF43">
        <v>13</v>
      </c>
      <c r="AG43" t="s">
        <v>1588</v>
      </c>
      <c r="AH43" t="s">
        <v>1589</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1628</v>
      </c>
      <c r="I44">
        <v>1</v>
      </c>
      <c r="K44" t="s">
        <v>1629</v>
      </c>
      <c r="L44" t="s">
        <v>1581</v>
      </c>
      <c r="T44">
        <v>1</v>
      </c>
      <c r="V44">
        <v>1</v>
      </c>
      <c r="AF44">
        <v>37</v>
      </c>
      <c r="AG44" t="s">
        <v>1630</v>
      </c>
      <c r="AH44" t="s">
        <v>1584</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1580</v>
      </c>
      <c r="L45" t="s">
        <v>1581</v>
      </c>
      <c r="R45">
        <v>1</v>
      </c>
      <c r="T45">
        <v>1</v>
      </c>
      <c r="AE45" t="s">
        <v>1582</v>
      </c>
      <c r="AF45">
        <v>15</v>
      </c>
      <c r="AG45" t="s">
        <v>1583</v>
      </c>
      <c r="AH45" t="s">
        <v>1584</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1631</v>
      </c>
      <c r="L46" t="s">
        <v>1562</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1571</v>
      </c>
      <c r="AP46" s="3" t="s">
        <v>1572</v>
      </c>
      <c r="AQ46" s="3" t="s">
        <v>1560</v>
      </c>
      <c r="AR46" s="5" t="s">
        <v>1632</v>
      </c>
      <c r="AS46" s="5" t="s">
        <v>1633</v>
      </c>
    </row>
    <row r="47" customFormat="1" spans="3:45">
      <c r="C47">
        <v>11561</v>
      </c>
      <c r="D47">
        <v>1</v>
      </c>
      <c r="G47" t="s">
        <v>1634</v>
      </c>
      <c r="I47">
        <v>1</v>
      </c>
      <c r="K47" t="s">
        <v>1635</v>
      </c>
      <c r="L47" t="s">
        <v>1636</v>
      </c>
      <c r="AN47" t="str">
        <f t="shared" si="1"/>
        <v>{dwID=11561,nLevel=1,szName="据点内",nScrutinyType=1,szNote="判断是否在大旗附近",col={80,231,236,},[1]={},[2]={},tCountdown={{nClass=1,nIcon=1272,nFrame=2,szName="据点大旗·旗手提示",nTime=-1,key="据点大旗·旗手提示",},},},</v>
      </c>
      <c r="AO47" t="s">
        <v>1637</v>
      </c>
      <c r="AP47" s="7"/>
      <c r="AQ47" s="7"/>
      <c r="AR47" s="7"/>
    </row>
    <row r="48" spans="3:45">
      <c r="C48">
        <v>7723</v>
      </c>
      <c r="D48">
        <v>1</v>
      </c>
      <c r="I48">
        <v>2</v>
      </c>
      <c r="K48" t="s">
        <v>1597</v>
      </c>
      <c r="L48" t="s">
        <v>1594</v>
      </c>
      <c r="T48">
        <v>1</v>
      </c>
      <c r="V48">
        <v>1</v>
      </c>
      <c r="AF48">
        <v>1</v>
      </c>
      <c r="AG48" t="s">
        <v>1598</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1638</v>
      </c>
      <c r="I50">
        <v>1</v>
      </c>
      <c r="K50" t="s">
        <v>1639</v>
      </c>
      <c r="L50" t="s">
        <v>1512</v>
      </c>
      <c r="T50">
        <v>1</v>
      </c>
      <c r="AN50" t="str">
        <f t="shared" si="1"/>
        <v>{dwID=9992,nLevel=1,nIcon=8004,szName="大跑商",nScrutinyType=1,szNote="场景标记",col={255,255,0,},[1]={bBuffList=true,},[2]={},},</v>
      </c>
    </row>
    <row r="51" customFormat="1" spans="1:41">
      <c r="C51">
        <v>9982</v>
      </c>
      <c r="D51">
        <v>1</v>
      </c>
      <c r="I51">
        <v>2</v>
      </c>
      <c r="K51" t="s">
        <v>1640</v>
      </c>
      <c r="L51" t="s">
        <v>1594</v>
      </c>
      <c r="AE51" t="s">
        <v>1641</v>
      </c>
      <c r="AF51">
        <v>2</v>
      </c>
      <c r="AG51" t="s">
        <v>1595</v>
      </c>
      <c r="AH51" t="s">
        <v>1595</v>
      </c>
      <c r="AI51">
        <v>255</v>
      </c>
      <c r="AN51" t="str">
        <f t="shared" si="1"/>
        <v>{dwID=9982,nLevel=1,nScrutinyType=2,szNote="运货首领",col={255,255,255,},[1]={},[2]={},aCataclysmBuff={{szReminder="镖",nPriority=2,col="#FFFFFFFF",colScreenHead="#FFFFFFFF",nColAlpha=255,},},},</v>
      </c>
    </row>
    <row r="52" customFormat="1" spans="1:41">
      <c r="C52">
        <v>10068</v>
      </c>
      <c r="D52">
        <v>1</v>
      </c>
      <c r="F52">
        <v>216</v>
      </c>
      <c r="G52" t="s">
        <v>1642</v>
      </c>
      <c r="I52">
        <v>1</v>
      </c>
      <c r="K52" t="s">
        <v>1643</v>
      </c>
      <c r="L52" t="s">
        <v>1512</v>
      </c>
      <c r="T52">
        <v>1</v>
      </c>
      <c r="AN52" t="str">
        <f t="shared" si="1"/>
        <v>{dwID=10068,nLevel=1,nIcon=216,szName="押镖",nScrutinyType=1,szNote="押镖表现",col={255,255,0,},[1]={bBuffList=true,},[2]={},},</v>
      </c>
    </row>
    <row r="53" customFormat="1" spans="1:41">
      <c r="C53">
        <v>7851</v>
      </c>
      <c r="D53">
        <v>1</v>
      </c>
      <c r="I53">
        <v>1</v>
      </c>
      <c r="K53" t="s">
        <v>1644</v>
      </c>
      <c r="L53" t="s">
        <v>1581</v>
      </c>
      <c r="T53">
        <v>1</v>
      </c>
      <c r="AN53" t="str">
        <f t="shared" si="1"/>
        <v>{dwID=7851,nLevel=1,nScrutinyType=1,szNote="追踪·减速50%",col={31,63,255,},[1]={bBuffList=true,},[2]={},},</v>
      </c>
    </row>
    <row r="54" spans="1:41">
      <c r="A54" t="s">
        <v>1063</v>
      </c>
      <c r="B54">
        <v>217</v>
      </c>
      <c r="AN54" t="str">
        <f t="shared" si="1"/>
        <v>},[217]={</v>
      </c>
    </row>
    <row r="55" customFormat="1" spans="1:41">
      <c r="C55">
        <v>9992</v>
      </c>
      <c r="D55">
        <v>1</v>
      </c>
      <c r="F55">
        <v>8004</v>
      </c>
      <c r="G55" t="s">
        <v>1638</v>
      </c>
      <c r="I55">
        <v>1</v>
      </c>
      <c r="K55" t="s">
        <v>1639</v>
      </c>
      <c r="L55" t="s">
        <v>1512</v>
      </c>
      <c r="T55">
        <v>1</v>
      </c>
      <c r="AN55" t="str">
        <f t="shared" si="1"/>
        <v>{dwID=9992,nLevel=1,nIcon=8004,szName="大跑商",nScrutinyType=1,szNote="场景标记",col={255,255,0,},[1]={bBuffList=true,},[2]={},},</v>
      </c>
    </row>
    <row r="56" customFormat="1" spans="1:41">
      <c r="C56">
        <v>9982</v>
      </c>
      <c r="D56">
        <v>1</v>
      </c>
      <c r="I56">
        <v>2</v>
      </c>
      <c r="K56" t="s">
        <v>1640</v>
      </c>
      <c r="L56" t="s">
        <v>1594</v>
      </c>
      <c r="AE56" t="s">
        <v>1641</v>
      </c>
      <c r="AF56">
        <v>2</v>
      </c>
      <c r="AG56" t="s">
        <v>1595</v>
      </c>
      <c r="AH56" t="s">
        <v>1595</v>
      </c>
      <c r="AI56">
        <v>255</v>
      </c>
      <c r="AN56" t="str">
        <f t="shared" si="1"/>
        <v>{dwID=9982,nLevel=1,nScrutinyType=2,szNote="运货首领",col={255,255,255,},[1]={},[2]={},aCataclysmBuff={{szReminder="镖",nPriority=2,col="#FFFFFFFF",colScreenHead="#FFFFFFFF",nColAlpha=255,},},},</v>
      </c>
    </row>
    <row r="57" customFormat="1" spans="1:41">
      <c r="C57">
        <v>10068</v>
      </c>
      <c r="D57">
        <v>1</v>
      </c>
      <c r="F57">
        <v>216</v>
      </c>
      <c r="G57" t="s">
        <v>1642</v>
      </c>
      <c r="I57">
        <v>1</v>
      </c>
      <c r="K57" t="s">
        <v>1643</v>
      </c>
      <c r="L57" t="s">
        <v>1512</v>
      </c>
      <c r="T57">
        <v>1</v>
      </c>
      <c r="AN57" t="str">
        <f t="shared" si="1"/>
        <v>{dwID=10068,nLevel=1,nIcon=216,szName="押镖",nScrutinyType=1,szNote="押镖表现",col={255,255,0,},[1]={bBuffList=true,},[2]={},},</v>
      </c>
    </row>
    <row r="58" customFormat="1" spans="1:41">
      <c r="C58">
        <v>7851</v>
      </c>
      <c r="D58">
        <v>1</v>
      </c>
      <c r="I58">
        <v>1</v>
      </c>
      <c r="K58" t="s">
        <v>1644</v>
      </c>
      <c r="L58" t="s">
        <v>1581</v>
      </c>
      <c r="T58">
        <v>1</v>
      </c>
      <c r="AN58" t="str">
        <f t="shared" si="1"/>
        <v>{dwID=7851,nLevel=1,nScrutinyType=1,szNote="追踪·减速50%",col={31,63,255,},[1]={bBuffList=true,},[2]={},},</v>
      </c>
    </row>
    <row r="59" spans="1:41">
      <c r="A59" t="s">
        <v>1062</v>
      </c>
      <c r="B59">
        <v>216</v>
      </c>
      <c r="AN59" t="str">
        <f t="shared" si="1"/>
        <v>},[216]={</v>
      </c>
    </row>
    <row r="60" customFormat="1" spans="1:41">
      <c r="C60">
        <v>9992</v>
      </c>
      <c r="D60">
        <v>1</v>
      </c>
      <c r="F60">
        <v>8004</v>
      </c>
      <c r="G60" t="s">
        <v>1638</v>
      </c>
      <c r="I60">
        <v>1</v>
      </c>
      <c r="K60" t="s">
        <v>1639</v>
      </c>
      <c r="L60" t="s">
        <v>1512</v>
      </c>
      <c r="T60">
        <v>1</v>
      </c>
      <c r="AN60" t="str">
        <f t="shared" si="1"/>
        <v>{dwID=9992,nLevel=1,nIcon=8004,szName="大跑商",nScrutinyType=1,szNote="场景标记",col={255,255,0,},[1]={bBuffList=true,},[2]={},},</v>
      </c>
    </row>
    <row r="61" customFormat="1" spans="1:41">
      <c r="C61">
        <v>9982</v>
      </c>
      <c r="D61">
        <v>1</v>
      </c>
      <c r="I61">
        <v>2</v>
      </c>
      <c r="K61" t="s">
        <v>1640</v>
      </c>
      <c r="L61" t="s">
        <v>1594</v>
      </c>
      <c r="AE61" t="s">
        <v>1641</v>
      </c>
      <c r="AF61">
        <v>2</v>
      </c>
      <c r="AG61" t="s">
        <v>1595</v>
      </c>
      <c r="AH61" t="s">
        <v>1595</v>
      </c>
      <c r="AI61">
        <v>255</v>
      </c>
      <c r="AN61" t="str">
        <f t="shared" si="1"/>
        <v>{dwID=9982,nLevel=1,nScrutinyType=2,szNote="运货首领",col={255,255,255,},[1]={},[2]={},aCataclysmBuff={{szReminder="镖",nPriority=2,col="#FFFFFFFF",colScreenHead="#FFFFFFFF",nColAlpha=255,},},},</v>
      </c>
    </row>
    <row r="62" customFormat="1" spans="1:41">
      <c r="C62">
        <v>10068</v>
      </c>
      <c r="D62">
        <v>1</v>
      </c>
      <c r="F62">
        <v>216</v>
      </c>
      <c r="G62" t="s">
        <v>1642</v>
      </c>
      <c r="I62">
        <v>1</v>
      </c>
      <c r="K62" t="s">
        <v>1643</v>
      </c>
      <c r="L62" t="s">
        <v>1512</v>
      </c>
      <c r="T62">
        <v>1</v>
      </c>
      <c r="AN62" t="str">
        <f t="shared" si="1"/>
        <v>{dwID=10068,nLevel=1,nIcon=216,szName="押镖",nScrutinyType=1,szNote="押镖表现",col={255,255,0,},[1]={bBuffList=true,},[2]={},},</v>
      </c>
    </row>
    <row r="63" customFormat="1" spans="1:41">
      <c r="C63">
        <v>7851</v>
      </c>
      <c r="D63">
        <v>1</v>
      </c>
      <c r="I63">
        <v>1</v>
      </c>
      <c r="K63" t="s">
        <v>1644</v>
      </c>
      <c r="L63" t="s">
        <v>1581</v>
      </c>
      <c r="T63">
        <v>1</v>
      </c>
      <c r="AN63" t="str">
        <f t="shared" si="1"/>
        <v>{dwID=7851,nLevel=1,nScrutinyType=1,szNote="追踪·减速50%",col={31,63,255,},[1]={bBuffList=true,},[2]={},},</v>
      </c>
    </row>
    <row r="64" customFormat="1" spans="1:41">
      <c r="C64" s="3">
        <v>11567</v>
      </c>
      <c r="D64">
        <v>1</v>
      </c>
      <c r="F64">
        <v>1245</v>
      </c>
      <c r="G64" t="s">
        <v>1510</v>
      </c>
      <c r="I64">
        <v>1</v>
      </c>
      <c r="K64" t="s">
        <v>1511</v>
      </c>
      <c r="L64" t="s">
        <v>1512</v>
      </c>
      <c r="AN64" t="str">
        <f t="shared" si="1"/>
        <v>{dwID=11567,nLevel=1,nIcon=1245,szName="答对",nScrutinyType=1,szNote="回答奖励",col={255,255,0,},[1]={},[2]={},tCountdown={{nClass=1,nIcon=13,nFrame=1,szName="答题验证·回答正确",nTime=5,key="挂机检测",},},},</v>
      </c>
      <c r="AO64" t="s">
        <v>1513</v>
      </c>
    </row>
    <row r="65" customFormat="1" spans="3:45">
      <c r="C65" s="3">
        <v>11559</v>
      </c>
      <c r="D65">
        <v>1</v>
      </c>
      <c r="F65">
        <v>1244</v>
      </c>
      <c r="G65" t="s">
        <v>1514</v>
      </c>
      <c r="I65">
        <v>1</v>
      </c>
      <c r="K65" t="s">
        <v>1515</v>
      </c>
      <c r="L65" t="s">
        <v>1470</v>
      </c>
      <c r="N65" t="s">
        <v>538</v>
      </c>
      <c r="O65">
        <v>1</v>
      </c>
      <c r="P65">
        <v>1</v>
      </c>
      <c r="Q65">
        <v>1</v>
      </c>
      <c r="R65">
        <v>1</v>
      </c>
      <c r="T65">
        <v>1</v>
      </c>
      <c r="U65">
        <v>1</v>
      </c>
      <c r="V65">
        <v>1</v>
      </c>
      <c r="AE65" t="s">
        <v>1516</v>
      </c>
      <c r="AF65">
        <v>3</v>
      </c>
      <c r="AG65" t="s">
        <v>1517</v>
      </c>
      <c r="AH65" t="s">
        <v>1518</v>
      </c>
      <c r="AI65">
        <v>255</v>
      </c>
      <c r="AJ65">
        <v>1</v>
      </c>
      <c r="AK65">
        <v>1</v>
      </c>
      <c r="AL65">
        <v>1</v>
      </c>
      <c r="AN65"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5" t="s">
        <v>1519</v>
      </c>
    </row>
    <row r="66" customFormat="1" spans="3:45">
      <c r="C66" s="3">
        <v>11565</v>
      </c>
      <c r="D66">
        <v>1</v>
      </c>
      <c r="F66">
        <v>592</v>
      </c>
      <c r="G66" t="s">
        <v>1599</v>
      </c>
      <c r="K66" t="s">
        <v>1600</v>
      </c>
      <c r="L66" t="s">
        <v>1493</v>
      </c>
      <c r="R66">
        <v>1</v>
      </c>
      <c r="AN66" t="str">
        <f t="shared" si="1"/>
        <v>{dwID=11565,nLevel=1,nIcon=592,szName="大旗手",szNote="大旗手检测",col={0,255,255,},[1]={bScreenHead=true,},[2]={},},</v>
      </c>
    </row>
    <row r="67" customFormat="1" spans="3:45">
      <c r="C67" s="3">
        <v>32813</v>
      </c>
      <c r="D67">
        <v>1</v>
      </c>
      <c r="F67">
        <v>16834</v>
      </c>
      <c r="G67" t="s">
        <v>1601</v>
      </c>
      <c r="K67" t="s">
        <v>1602</v>
      </c>
      <c r="L67" t="s">
        <v>1603</v>
      </c>
      <c r="T67">
        <v>1</v>
      </c>
      <c r="V67">
        <v>1</v>
      </c>
      <c r="AE67" t="s">
        <v>1604</v>
      </c>
      <c r="AF67">
        <v>37</v>
      </c>
      <c r="AG67" t="s">
        <v>1605</v>
      </c>
      <c r="AH67" t="s">
        <v>1606</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7" t="s">
        <v>1607</v>
      </c>
    </row>
    <row r="68" customFormat="1" spans="3:45">
      <c r="C68" s="3">
        <v>32812</v>
      </c>
      <c r="D68">
        <v>1</v>
      </c>
      <c r="F68">
        <v>3451</v>
      </c>
      <c r="G68" t="s">
        <v>1608</v>
      </c>
      <c r="K68" t="s">
        <v>1609</v>
      </c>
      <c r="L68" t="s">
        <v>1610</v>
      </c>
      <c r="T68">
        <v>1</v>
      </c>
      <c r="AN68" t="str">
        <f t="shared" si="2"/>
        <v>{dwID=32812,nLevel=1,nIcon=3451,szName="损CD",szNote="据点大旗赛点CD",col={255,50,50,},[1]={bBuffList=true,},[2]={},tCountdown={{nClass=-1,nIcon=16834,nFrame=1,szName="大旗易伤",nTime="60,大旗赛点·触发冷却;62,大旗赛点·解除冷却",nRefresh=1,key="大旗易伤",},},},</v>
      </c>
      <c r="AO68" t="s">
        <v>1611</v>
      </c>
    </row>
    <row r="69" customFormat="1" spans="3:45">
      <c r="C69" s="3">
        <v>31381</v>
      </c>
      <c r="D69">
        <v>1</v>
      </c>
      <c r="G69" t="s">
        <v>1612</v>
      </c>
      <c r="K69" t="s">
        <v>1613</v>
      </c>
      <c r="L69" t="s">
        <v>1470</v>
      </c>
      <c r="R69">
        <v>1</v>
      </c>
      <c r="T69">
        <v>1</v>
      </c>
      <c r="AE69" t="s">
        <v>1614</v>
      </c>
      <c r="AF69">
        <v>11</v>
      </c>
      <c r="AG69" t="s">
        <v>1517</v>
      </c>
      <c r="AH69" t="s">
        <v>1518</v>
      </c>
      <c r="AI69">
        <v>255</v>
      </c>
      <c r="AL69">
        <v>1</v>
      </c>
      <c r="AN69"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9" t="s">
        <v>1615</v>
      </c>
      <c r="AP69" t="s">
        <v>1616</v>
      </c>
    </row>
    <row r="70" customFormat="1" spans="3:45">
      <c r="C70" s="3">
        <v>12888</v>
      </c>
      <c r="D70">
        <v>1</v>
      </c>
      <c r="G70" t="s">
        <v>1617</v>
      </c>
      <c r="I70">
        <v>2</v>
      </c>
      <c r="K70" t="s">
        <v>1618</v>
      </c>
      <c r="L70" t="s">
        <v>1619</v>
      </c>
      <c r="T70">
        <v>1</v>
      </c>
      <c r="V70">
        <v>1</v>
      </c>
      <c r="AE70" t="s">
        <v>1620</v>
      </c>
      <c r="AF70">
        <v>29</v>
      </c>
      <c r="AG70" t="s">
        <v>1621</v>
      </c>
      <c r="AH70" t="s">
        <v>1622</v>
      </c>
      <c r="AI70">
        <v>255</v>
      </c>
      <c r="AN70" t="str">
        <f t="shared" si="2"/>
        <v>{dwID=12888,nLevel=1,szName="减疗",nScrutinyType=2,szNote="火圈每层减疗10%",col={170,170,170,},[1]={bBuffList=true,bTeamPanel=true,},[2]={},aCataclysmBuff={{szReminder="疗",nPriority=29,col="#AAAAAAFF",colScreenHead="#AAAAAA",nColAlpha=255,},},},</v>
      </c>
    </row>
    <row r="71" customFormat="1" spans="3:45">
      <c r="C71" s="3">
        <v>8807</v>
      </c>
      <c r="D71">
        <v>1</v>
      </c>
      <c r="G71" t="s">
        <v>1546</v>
      </c>
      <c r="I71">
        <v>1</v>
      </c>
      <c r="K71" t="s">
        <v>1623</v>
      </c>
      <c r="L71" t="s">
        <v>1470</v>
      </c>
      <c r="N71" t="s">
        <v>538</v>
      </c>
      <c r="O71">
        <v>1</v>
      </c>
      <c r="P71">
        <v>1</v>
      </c>
      <c r="Q71">
        <v>1</v>
      </c>
      <c r="T71">
        <v>1</v>
      </c>
      <c r="U71">
        <v>1</v>
      </c>
      <c r="AE71" t="s">
        <v>1548</v>
      </c>
      <c r="AF71">
        <v>2</v>
      </c>
      <c r="AG71" t="s">
        <v>1517</v>
      </c>
      <c r="AI71">
        <v>255</v>
      </c>
      <c r="AJ71">
        <v>1</v>
      </c>
      <c r="AN71"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1" t="s">
        <v>1549</v>
      </c>
    </row>
    <row r="72" customFormat="1" spans="3:45">
      <c r="C72" s="3">
        <v>7913</v>
      </c>
      <c r="D72">
        <v>1</v>
      </c>
      <c r="I72">
        <v>2</v>
      </c>
      <c r="K72" t="s">
        <v>1576</v>
      </c>
      <c r="L72" t="s">
        <v>1465</v>
      </c>
      <c r="T72">
        <v>1</v>
      </c>
      <c r="AE72" t="s">
        <v>1577</v>
      </c>
      <c r="AF72">
        <v>5</v>
      </c>
      <c r="AG72" t="s">
        <v>1467</v>
      </c>
      <c r="AH72" t="s">
        <v>1468</v>
      </c>
      <c r="AI72">
        <v>255</v>
      </c>
      <c r="AJ72">
        <v>1</v>
      </c>
      <c r="AL72">
        <v>1</v>
      </c>
      <c r="AN72" t="str">
        <f t="shared" si="2"/>
        <v>{dwID=7913,nLevel=1,nScrutinyType=2,szNote="意涌系统通用抗百分比回血",col={255,204,0,},[1]={bBuffList=true,},[2]={},aCataclysmBuff={{szReminder="涌",nPriority=5,col="#FFCC00FF",colScreenHead="#FFCC00",nColAlpha=255,bAttention=true,bScreenHead=true,},},},</v>
      </c>
    </row>
    <row r="73" customFormat="1" spans="3:45">
      <c r="C73" s="3">
        <v>7911</v>
      </c>
      <c r="D73">
        <v>1</v>
      </c>
      <c r="I73">
        <v>2</v>
      </c>
      <c r="K73" t="s">
        <v>1578</v>
      </c>
      <c r="L73" t="s">
        <v>1470</v>
      </c>
      <c r="R73">
        <v>1</v>
      </c>
      <c r="T73">
        <v>1</v>
      </c>
      <c r="AE73" t="s">
        <v>1579</v>
      </c>
      <c r="AF73">
        <v>4</v>
      </c>
      <c r="AG73" t="s">
        <v>1517</v>
      </c>
      <c r="AH73" t="s">
        <v>1518</v>
      </c>
      <c r="AI73">
        <v>255</v>
      </c>
      <c r="AJ73">
        <v>1</v>
      </c>
      <c r="AL73">
        <v>1</v>
      </c>
      <c r="AN73" t="str">
        <f t="shared" si="2"/>
        <v>{dwID=7911,nLevel=1,nScrutinyType=2,szNote="繁忙",col={255,50,255,},[1]={bScreenHead=true,bBuffList=true,},[2]={},aCataclysmBuff={{szReminder="忙",nPriority=4,col="#FF32FFFF",colScreenHead="#FF32FF",nColAlpha=255,bAttention=true,bScreenHead=true,},},},</v>
      </c>
    </row>
    <row r="74" customFormat="1" spans="3:45">
      <c r="C74" s="3">
        <v>7756</v>
      </c>
      <c r="D74">
        <v>1</v>
      </c>
      <c r="I74">
        <v>1</v>
      </c>
      <c r="K74" t="s">
        <v>1550</v>
      </c>
      <c r="L74" t="s">
        <v>1512</v>
      </c>
      <c r="T74">
        <v>1</v>
      </c>
      <c r="AE74" t="s">
        <v>1551</v>
      </c>
      <c r="AF74">
        <v>3</v>
      </c>
      <c r="AG74" t="s">
        <v>1552</v>
      </c>
      <c r="AI74">
        <v>0</v>
      </c>
      <c r="AN74" t="str">
        <f t="shared" si="2"/>
        <v>{dwID=7756,nLevel=1,nScrutinyType=1,szNote="燃火20s",col={255,255,0,},[1]={bBuffList=true,},[2]={},aCataclysmBuff={{szReminder="火",nPriority=3,col="#00FFFF00",},},tCountdown={{nClass=1,nIcon=5399,nFrame=0,szName="增益·燃火·持续剩余",nTime=20,key="燃火",},{nClass=2,nIcon=13,szName="燃火",nTime=-1,key="燃火",},},},</v>
      </c>
      <c r="AO74" t="s">
        <v>1553</v>
      </c>
      <c r="AP74" t="s">
        <v>1554</v>
      </c>
    </row>
    <row r="75" customFormat="1" spans="3:45">
      <c r="C75" s="3">
        <v>7497</v>
      </c>
      <c r="D75">
        <v>1</v>
      </c>
      <c r="G75" t="s">
        <v>1624</v>
      </c>
      <c r="I75">
        <v>2</v>
      </c>
      <c r="K75" t="s">
        <v>1625</v>
      </c>
      <c r="L75" t="s">
        <v>1512</v>
      </c>
      <c r="R75">
        <v>1</v>
      </c>
      <c r="T75">
        <v>1</v>
      </c>
      <c r="AE75" t="s">
        <v>1587</v>
      </c>
      <c r="AF75">
        <v>13</v>
      </c>
      <c r="AG75" t="s">
        <v>1588</v>
      </c>
      <c r="AH75" t="s">
        <v>1589</v>
      </c>
      <c r="AI75">
        <v>255</v>
      </c>
      <c r="AL75">
        <v>1</v>
      </c>
      <c r="AN75" t="str">
        <f t="shared" si="2"/>
        <v>{dwID=7497,nLevel=1,szName="眩晕·抛掷",nScrutinyType=2,szNote="御城·抛掷",col={255,255,0,},[1]={bScreenHead=true,bBuffList=true,},[2]={},aCataclysmBuff={{szReminder="晕",nPriority=13,col="#FFFF00FF",colScreenHead="#FFFF00",nColAlpha=255,bScreenHead=true,},},},</v>
      </c>
    </row>
    <row r="76" customFormat="1" spans="3:45">
      <c r="C76" s="3">
        <v>7504</v>
      </c>
      <c r="D76">
        <v>1</v>
      </c>
      <c r="G76" t="s">
        <v>1626</v>
      </c>
      <c r="I76">
        <v>2</v>
      </c>
      <c r="K76" t="s">
        <v>1627</v>
      </c>
      <c r="L76" t="s">
        <v>1512</v>
      </c>
      <c r="R76">
        <v>1</v>
      </c>
      <c r="T76">
        <v>1</v>
      </c>
      <c r="AE76" t="s">
        <v>1587</v>
      </c>
      <c r="AF76">
        <v>13</v>
      </c>
      <c r="AG76" t="s">
        <v>1588</v>
      </c>
      <c r="AH76" t="s">
        <v>1589</v>
      </c>
      <c r="AI76">
        <v>255</v>
      </c>
      <c r="AL76">
        <v>1</v>
      </c>
      <c r="AN76" t="str">
        <f t="shared" si="2"/>
        <v>{dwID=7504,nLevel=1,szName="眩晕·御城",nScrutinyType=2,szNote="御城·精准",col={255,255,0,},[1]={bScreenHead=true,bBuffList=true,},[2]={},aCataclysmBuff={{szReminder="晕",nPriority=13,col="#FFFF00FF",colScreenHead="#FFFF00",nColAlpha=255,bScreenHead=true,},},},</v>
      </c>
    </row>
    <row r="77" customFormat="1" spans="3:45">
      <c r="C77" s="3">
        <v>7503</v>
      </c>
      <c r="D77">
        <v>1</v>
      </c>
      <c r="G77" t="s">
        <v>1628</v>
      </c>
      <c r="I77">
        <v>1</v>
      </c>
      <c r="K77" t="s">
        <v>1629</v>
      </c>
      <c r="L77" t="s">
        <v>1581</v>
      </c>
      <c r="T77">
        <v>1</v>
      </c>
      <c r="V77">
        <v>1</v>
      </c>
      <c r="AF77">
        <v>37</v>
      </c>
      <c r="AG77" t="s">
        <v>1630</v>
      </c>
      <c r="AH77" t="s">
        <v>1584</v>
      </c>
      <c r="AI77">
        <v>170</v>
      </c>
      <c r="AN77" t="str">
        <f t="shared" si="2"/>
        <v>{dwID=7503,nLevel=1,szName="减速·御城",nScrutinyType=1,szNote="御城·断股",col={31,63,255,},[1]={bBuffList=true,bTeamPanel=true,},[2]={},aCataclysmBuff={{nPriority=37,col="#1F3FFFAA",colScreenHead="#1F3FFF",nColAlpha=170,},},},</v>
      </c>
    </row>
    <row r="78" customFormat="1" spans="3:45">
      <c r="C78" s="3">
        <v>4038</v>
      </c>
      <c r="D78">
        <v>1</v>
      </c>
      <c r="I78">
        <v>1</v>
      </c>
      <c r="K78" t="s">
        <v>1580</v>
      </c>
      <c r="L78" t="s">
        <v>1581</v>
      </c>
      <c r="R78">
        <v>1</v>
      </c>
      <c r="T78">
        <v>1</v>
      </c>
      <c r="AE78" t="s">
        <v>1582</v>
      </c>
      <c r="AF78">
        <v>15</v>
      </c>
      <c r="AG78" t="s">
        <v>1583</v>
      </c>
      <c r="AH78" t="s">
        <v>1584</v>
      </c>
      <c r="AI78">
        <v>255</v>
      </c>
      <c r="AL78">
        <v>1</v>
      </c>
      <c r="AN78" t="str">
        <f t="shared" si="2"/>
        <v>{dwID=4038,nLevel=1,nScrutinyType=1,szNote="锁足·首领",col={31,63,255,},[1]={bScreenHead=true,bBuffList=true,},[2]={},aCataclysmBuff={{szReminder="锁",nPriority=15,col="#1F3FFFFF",colScreenHead="#1F3FFF",nColAlpha=255,bScreenHead=true,},},},</v>
      </c>
    </row>
    <row r="79" customFormat="1" spans="3:45">
      <c r="C79" s="3">
        <v>29007</v>
      </c>
      <c r="D79">
        <v>1</v>
      </c>
      <c r="I79">
        <v>1</v>
      </c>
      <c r="K79" t="s">
        <v>1631</v>
      </c>
      <c r="L79" t="s">
        <v>1562</v>
      </c>
      <c r="AN79"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9" s="3" t="s">
        <v>1571</v>
      </c>
      <c r="AP79" s="3" t="s">
        <v>1572</v>
      </c>
      <c r="AQ79" s="3" t="s">
        <v>1560</v>
      </c>
      <c r="AR79" s="5" t="s">
        <v>1632</v>
      </c>
      <c r="AS79" s="5" t="s">
        <v>1633</v>
      </c>
    </row>
    <row r="80" customFormat="1" spans="3:45">
      <c r="C80" s="3">
        <v>11561</v>
      </c>
      <c r="D80">
        <v>1</v>
      </c>
      <c r="G80" t="s">
        <v>1634</v>
      </c>
      <c r="I80">
        <v>1</v>
      </c>
      <c r="K80" t="s">
        <v>1635</v>
      </c>
      <c r="L80" t="s">
        <v>1636</v>
      </c>
      <c r="AN80" t="str">
        <f t="shared" si="2"/>
        <v>{dwID=11561,nLevel=1,szName="据点内",nScrutinyType=1,szNote="判断是否在大旗附近",col={80,231,236,},[1]={},[2]={},tCountdown={{nClass=1,nIcon=1272,nFrame=2,szName="据点大旗·旗手提示",nTime=-1,key="据点大旗·旗手提示",},},},</v>
      </c>
      <c r="AO80" t="s">
        <v>1637</v>
      </c>
      <c r="AP80" s="7"/>
      <c r="AQ80" s="7"/>
      <c r="AR80" s="7"/>
    </row>
    <row r="81" customFormat="1" spans="1:42">
      <c r="C81" s="3">
        <v>7723</v>
      </c>
      <c r="D81">
        <v>1</v>
      </c>
      <c r="I81">
        <v>2</v>
      </c>
      <c r="K81" t="s">
        <v>1597</v>
      </c>
      <c r="L81" t="s">
        <v>1594</v>
      </c>
      <c r="T81">
        <v>1</v>
      </c>
      <c r="V81">
        <v>1</v>
      </c>
      <c r="AF81">
        <v>1</v>
      </c>
      <c r="AG81" t="s">
        <v>1598</v>
      </c>
      <c r="AI81">
        <v>221</v>
      </c>
      <c r="AN81" t="str">
        <f t="shared" si="2"/>
        <v>{dwID=7723,nLevel=1,nScrutinyType=2,szNote="神机雷",col={255,255,255,},[1]={bBuffList=true,bTeamPanel=true,},[2]={},aCataclysmBuff={{nPriority=1,col="#FFFFFFDD",nColAlpha=221,},},},</v>
      </c>
    </row>
    <row r="82" customFormat="1" spans="1:42">
      <c r="A82" t="s">
        <v>1415</v>
      </c>
      <c r="B82">
        <v>656</v>
      </c>
      <c r="AN82" t="str">
        <f t="shared" si="2"/>
        <v>},[656]={</v>
      </c>
    </row>
    <row r="83" customFormat="1" spans="1:42">
      <c r="C83" s="3">
        <v>11567</v>
      </c>
      <c r="D83">
        <v>1</v>
      </c>
      <c r="F83">
        <v>1245</v>
      </c>
      <c r="G83" t="s">
        <v>1510</v>
      </c>
      <c r="I83">
        <v>1</v>
      </c>
      <c r="K83" t="s">
        <v>1511</v>
      </c>
      <c r="L83" t="s">
        <v>1512</v>
      </c>
      <c r="AN83" t="str">
        <f t="shared" si="2"/>
        <v>{dwID=11567,nLevel=1,nIcon=1245,szName="答对",nScrutinyType=1,szNote="回答奖励",col={255,255,0,},[1]={},[2]={},tCountdown={{nClass=1,nIcon=13,nFrame=1,szName="答题验证·回答正确",nTime=5,key="挂机检测",},},},</v>
      </c>
      <c r="AO83" t="s">
        <v>1513</v>
      </c>
    </row>
    <row r="84" customFormat="1" spans="1:42">
      <c r="C84" s="3">
        <v>11559</v>
      </c>
      <c r="D84">
        <v>1</v>
      </c>
      <c r="F84">
        <v>1244</v>
      </c>
      <c r="G84" t="s">
        <v>1514</v>
      </c>
      <c r="I84">
        <v>1</v>
      </c>
      <c r="K84" t="s">
        <v>1515</v>
      </c>
      <c r="L84" t="s">
        <v>1470</v>
      </c>
      <c r="N84" t="s">
        <v>538</v>
      </c>
      <c r="O84">
        <v>1</v>
      </c>
      <c r="P84">
        <v>1</v>
      </c>
      <c r="Q84">
        <v>1</v>
      </c>
      <c r="R84">
        <v>1</v>
      </c>
      <c r="T84">
        <v>1</v>
      </c>
      <c r="U84">
        <v>1</v>
      </c>
      <c r="V84">
        <v>1</v>
      </c>
      <c r="AE84" t="s">
        <v>1516</v>
      </c>
      <c r="AF84">
        <v>3</v>
      </c>
      <c r="AG84" t="s">
        <v>1517</v>
      </c>
      <c r="AH84" t="s">
        <v>1518</v>
      </c>
      <c r="AI84">
        <v>255</v>
      </c>
      <c r="AJ84">
        <v>1</v>
      </c>
      <c r="AK84">
        <v>1</v>
      </c>
      <c r="AL84">
        <v>1</v>
      </c>
      <c r="AN84"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4" t="s">
        <v>1519</v>
      </c>
    </row>
    <row r="85" customFormat="1" spans="1:42">
      <c r="C85" s="3">
        <v>11565</v>
      </c>
      <c r="D85">
        <v>1</v>
      </c>
      <c r="F85">
        <v>592</v>
      </c>
      <c r="G85" t="s">
        <v>1599</v>
      </c>
      <c r="K85" t="s">
        <v>1600</v>
      </c>
      <c r="L85" t="s">
        <v>1493</v>
      </c>
      <c r="R85">
        <v>1</v>
      </c>
      <c r="AN85" t="str">
        <f t="shared" si="2"/>
        <v>{dwID=11565,nLevel=1,nIcon=592,szName="大旗手",szNote="大旗手检测",col={0,255,255,},[1]={bScreenHead=true,},[2]={},},</v>
      </c>
    </row>
    <row r="86" customFormat="1" spans="1:42">
      <c r="C86" s="3">
        <v>32813</v>
      </c>
      <c r="D86">
        <v>1</v>
      </c>
      <c r="F86">
        <v>16834</v>
      </c>
      <c r="G86" t="s">
        <v>1601</v>
      </c>
      <c r="K86" t="s">
        <v>1602</v>
      </c>
      <c r="L86" t="s">
        <v>1603</v>
      </c>
      <c r="T86">
        <v>1</v>
      </c>
      <c r="V86">
        <v>1</v>
      </c>
      <c r="AE86" t="s">
        <v>1604</v>
      </c>
      <c r="AF86">
        <v>37</v>
      </c>
      <c r="AG86" t="s">
        <v>1605</v>
      </c>
      <c r="AH86" t="s">
        <v>1606</v>
      </c>
      <c r="AI86">
        <v>255</v>
      </c>
      <c r="AN86"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6" t="s">
        <v>1607</v>
      </c>
    </row>
    <row r="87" customFormat="1" spans="1:42">
      <c r="C87" s="3">
        <v>32812</v>
      </c>
      <c r="D87">
        <v>1</v>
      </c>
      <c r="F87">
        <v>3451</v>
      </c>
      <c r="G87" t="s">
        <v>1608</v>
      </c>
      <c r="K87" t="s">
        <v>1609</v>
      </c>
      <c r="L87" t="s">
        <v>1610</v>
      </c>
      <c r="T87">
        <v>1</v>
      </c>
      <c r="AN87" t="str">
        <f t="shared" si="2"/>
        <v>{dwID=32812,nLevel=1,nIcon=3451,szName="损CD",szNote="据点大旗赛点CD",col={255,50,50,},[1]={bBuffList=true,},[2]={},tCountdown={{nClass=-1,nIcon=16834,nFrame=1,szName="大旗易伤",nTime="60,大旗赛点·触发冷却;62,大旗赛点·解除冷却",nRefresh=1,key="大旗易伤",},},},</v>
      </c>
      <c r="AO87" t="s">
        <v>1611</v>
      </c>
    </row>
    <row r="88" customFormat="1" spans="1:42">
      <c r="C88" s="3">
        <v>31381</v>
      </c>
      <c r="D88">
        <v>1</v>
      </c>
      <c r="G88" t="s">
        <v>1612</v>
      </c>
      <c r="K88" t="s">
        <v>1613</v>
      </c>
      <c r="L88" t="s">
        <v>1470</v>
      </c>
      <c r="R88">
        <v>1</v>
      </c>
      <c r="T88">
        <v>1</v>
      </c>
      <c r="AE88" t="s">
        <v>1614</v>
      </c>
      <c r="AF88">
        <v>11</v>
      </c>
      <c r="AG88" t="s">
        <v>1517</v>
      </c>
      <c r="AH88" t="s">
        <v>1518</v>
      </c>
      <c r="AI88">
        <v>255</v>
      </c>
      <c r="AL88">
        <v>1</v>
      </c>
      <c r="AN88"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8" t="s">
        <v>1615</v>
      </c>
      <c r="AP88" t="s">
        <v>1616</v>
      </c>
    </row>
    <row r="89" customFormat="1" spans="1:42">
      <c r="C89" s="3">
        <v>12888</v>
      </c>
      <c r="D89">
        <v>1</v>
      </c>
      <c r="G89" t="s">
        <v>1617</v>
      </c>
      <c r="I89">
        <v>2</v>
      </c>
      <c r="K89" t="s">
        <v>1618</v>
      </c>
      <c r="L89" t="s">
        <v>1619</v>
      </c>
      <c r="T89">
        <v>1</v>
      </c>
      <c r="V89">
        <v>1</v>
      </c>
      <c r="AE89" t="s">
        <v>1620</v>
      </c>
      <c r="AF89">
        <v>29</v>
      </c>
      <c r="AG89" t="s">
        <v>1621</v>
      </c>
      <c r="AH89" t="s">
        <v>1622</v>
      </c>
      <c r="AI89">
        <v>255</v>
      </c>
      <c r="AN89" t="str">
        <f t="shared" si="2"/>
        <v>{dwID=12888,nLevel=1,szName="减疗",nScrutinyType=2,szNote="火圈每层减疗10%",col={170,170,170,},[1]={bBuffList=true,bTeamPanel=true,},[2]={},aCataclysmBuff={{szReminder="疗",nPriority=29,col="#AAAAAAFF",colScreenHead="#AAAAAA",nColAlpha=255,},},},</v>
      </c>
    </row>
    <row r="90" customFormat="1" spans="1:42">
      <c r="C90" s="3">
        <v>8807</v>
      </c>
      <c r="D90">
        <v>1</v>
      </c>
      <c r="G90" t="s">
        <v>1546</v>
      </c>
      <c r="I90">
        <v>1</v>
      </c>
      <c r="K90" t="s">
        <v>1623</v>
      </c>
      <c r="L90" t="s">
        <v>1470</v>
      </c>
      <c r="N90" t="s">
        <v>538</v>
      </c>
      <c r="O90">
        <v>1</v>
      </c>
      <c r="P90">
        <v>1</v>
      </c>
      <c r="Q90">
        <v>1</v>
      </c>
      <c r="T90">
        <v>1</v>
      </c>
      <c r="U90">
        <v>1</v>
      </c>
      <c r="AE90" t="s">
        <v>1548</v>
      </c>
      <c r="AF90">
        <v>2</v>
      </c>
      <c r="AG90" t="s">
        <v>1517</v>
      </c>
      <c r="AI90">
        <v>255</v>
      </c>
      <c r="AJ90">
        <v>1</v>
      </c>
      <c r="AN90"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90" t="s">
        <v>1549</v>
      </c>
    </row>
    <row r="91" customFormat="1" spans="1:42">
      <c r="C91" s="3">
        <v>7913</v>
      </c>
      <c r="D91">
        <v>1</v>
      </c>
      <c r="I91">
        <v>2</v>
      </c>
      <c r="K91" t="s">
        <v>1576</v>
      </c>
      <c r="L91" t="s">
        <v>1465</v>
      </c>
      <c r="T91">
        <v>1</v>
      </c>
      <c r="AE91" t="s">
        <v>1577</v>
      </c>
      <c r="AF91">
        <v>5</v>
      </c>
      <c r="AG91" t="s">
        <v>1467</v>
      </c>
      <c r="AH91" t="s">
        <v>1468</v>
      </c>
      <c r="AI91">
        <v>255</v>
      </c>
      <c r="AJ91">
        <v>1</v>
      </c>
      <c r="AL91">
        <v>1</v>
      </c>
      <c r="AN91" t="str">
        <f t="shared" si="2"/>
        <v>{dwID=7913,nLevel=1,nScrutinyType=2,szNote="意涌系统通用抗百分比回血",col={255,204,0,},[1]={bBuffList=true,},[2]={},aCataclysmBuff={{szReminder="涌",nPriority=5,col="#FFCC00FF",colScreenHead="#FFCC00",nColAlpha=255,bAttention=true,bScreenHead=true,},},},</v>
      </c>
    </row>
    <row r="92" customFormat="1" spans="1:42">
      <c r="C92" s="3">
        <v>7911</v>
      </c>
      <c r="D92">
        <v>1</v>
      </c>
      <c r="I92">
        <v>2</v>
      </c>
      <c r="K92" t="s">
        <v>1578</v>
      </c>
      <c r="L92" t="s">
        <v>1470</v>
      </c>
      <c r="R92">
        <v>1</v>
      </c>
      <c r="T92">
        <v>1</v>
      </c>
      <c r="AE92" t="s">
        <v>1579</v>
      </c>
      <c r="AF92">
        <v>4</v>
      </c>
      <c r="AG92" t="s">
        <v>1517</v>
      </c>
      <c r="AH92" t="s">
        <v>1518</v>
      </c>
      <c r="AI92">
        <v>255</v>
      </c>
      <c r="AJ92">
        <v>1</v>
      </c>
      <c r="AL92">
        <v>1</v>
      </c>
      <c r="AN92" t="str">
        <f t="shared" si="2"/>
        <v>{dwID=7911,nLevel=1,nScrutinyType=2,szNote="繁忙",col={255,50,255,},[1]={bScreenHead=true,bBuffList=true,},[2]={},aCataclysmBuff={{szReminder="忙",nPriority=4,col="#FF32FFFF",colScreenHead="#FF32FF",nColAlpha=255,bAttention=true,bScreenHead=true,},},},</v>
      </c>
    </row>
    <row r="93" customFormat="1" spans="1:42">
      <c r="C93" s="3">
        <v>7756</v>
      </c>
      <c r="D93">
        <v>1</v>
      </c>
      <c r="I93">
        <v>1</v>
      </c>
      <c r="K93" t="s">
        <v>1550</v>
      </c>
      <c r="L93" t="s">
        <v>1512</v>
      </c>
      <c r="T93">
        <v>1</v>
      </c>
      <c r="AE93" t="s">
        <v>1551</v>
      </c>
      <c r="AF93">
        <v>3</v>
      </c>
      <c r="AG93" t="s">
        <v>1552</v>
      </c>
      <c r="AI93">
        <v>0</v>
      </c>
      <c r="AN93" t="str">
        <f t="shared" si="2"/>
        <v>{dwID=7756,nLevel=1,nScrutinyType=1,szNote="燃火20s",col={255,255,0,},[1]={bBuffList=true,},[2]={},aCataclysmBuff={{szReminder="火",nPriority=3,col="#00FFFF00",},},tCountdown={{nClass=1,nIcon=5399,nFrame=0,szName="增益·燃火·持续剩余",nTime=20,key="燃火",},{nClass=2,nIcon=13,szName="燃火",nTime=-1,key="燃火",},},},</v>
      </c>
      <c r="AO93" t="s">
        <v>1553</v>
      </c>
      <c r="AP93" t="s">
        <v>1554</v>
      </c>
    </row>
    <row r="94" customFormat="1" spans="1:42">
      <c r="C94" s="3">
        <v>7497</v>
      </c>
      <c r="D94">
        <v>1</v>
      </c>
      <c r="G94" t="s">
        <v>1624</v>
      </c>
      <c r="I94">
        <v>2</v>
      </c>
      <c r="K94" t="s">
        <v>1625</v>
      </c>
      <c r="L94" t="s">
        <v>1512</v>
      </c>
      <c r="R94">
        <v>1</v>
      </c>
      <c r="T94">
        <v>1</v>
      </c>
      <c r="AE94" t="s">
        <v>1587</v>
      </c>
      <c r="AF94">
        <v>13</v>
      </c>
      <c r="AG94" t="s">
        <v>1588</v>
      </c>
      <c r="AH94" t="s">
        <v>1589</v>
      </c>
      <c r="AI94">
        <v>255</v>
      </c>
      <c r="AL94">
        <v>1</v>
      </c>
      <c r="AN94" t="str">
        <f t="shared" si="2"/>
        <v>{dwID=7497,nLevel=1,szName="眩晕·抛掷",nScrutinyType=2,szNote="御城·抛掷",col={255,255,0,},[1]={bScreenHead=true,bBuffList=true,},[2]={},aCataclysmBuff={{szReminder="晕",nPriority=13,col="#FFFF00FF",colScreenHead="#FFFF00",nColAlpha=255,bScreenHead=true,},},},</v>
      </c>
    </row>
    <row r="95" customFormat="1" spans="1:42">
      <c r="C95" s="3">
        <v>7504</v>
      </c>
      <c r="D95">
        <v>1</v>
      </c>
      <c r="G95" t="s">
        <v>1626</v>
      </c>
      <c r="I95">
        <v>2</v>
      </c>
      <c r="K95" t="s">
        <v>1627</v>
      </c>
      <c r="L95" t="s">
        <v>1512</v>
      </c>
      <c r="R95">
        <v>1</v>
      </c>
      <c r="T95">
        <v>1</v>
      </c>
      <c r="AE95" t="s">
        <v>1587</v>
      </c>
      <c r="AF95">
        <v>13</v>
      </c>
      <c r="AG95" t="s">
        <v>1588</v>
      </c>
      <c r="AH95" t="s">
        <v>1589</v>
      </c>
      <c r="AI95">
        <v>255</v>
      </c>
      <c r="AL95">
        <v>1</v>
      </c>
      <c r="AN95" t="str">
        <f t="shared" si="2"/>
        <v>{dwID=7504,nLevel=1,szName="眩晕·御城",nScrutinyType=2,szNote="御城·精准",col={255,255,0,},[1]={bScreenHead=true,bBuffList=true,},[2]={},aCataclysmBuff={{szReminder="晕",nPriority=13,col="#FFFF00FF",colScreenHead="#FFFF00",nColAlpha=255,bScreenHead=true,},},},</v>
      </c>
    </row>
    <row r="96" customFormat="1" spans="1:42">
      <c r="C96" s="3">
        <v>7503</v>
      </c>
      <c r="D96">
        <v>1</v>
      </c>
      <c r="G96" t="s">
        <v>1628</v>
      </c>
      <c r="I96">
        <v>1</v>
      </c>
      <c r="K96" t="s">
        <v>1629</v>
      </c>
      <c r="L96" t="s">
        <v>1581</v>
      </c>
      <c r="T96">
        <v>1</v>
      </c>
      <c r="V96">
        <v>1</v>
      </c>
      <c r="AF96">
        <v>37</v>
      </c>
      <c r="AG96" t="s">
        <v>1630</v>
      </c>
      <c r="AH96" t="s">
        <v>1584</v>
      </c>
      <c r="AI96">
        <v>170</v>
      </c>
      <c r="AN96" t="str">
        <f t="shared" si="2"/>
        <v>{dwID=7503,nLevel=1,szName="减速·御城",nScrutinyType=1,szNote="御城·断股",col={31,63,255,},[1]={bBuffList=true,bTeamPanel=true,},[2]={},aCataclysmBuff={{nPriority=37,col="#1F3FFFAA",colScreenHead="#1F3FFF",nColAlpha=170,},},},</v>
      </c>
    </row>
    <row r="97" customFormat="1" spans="3:45">
      <c r="C97" s="3">
        <v>4038</v>
      </c>
      <c r="D97">
        <v>1</v>
      </c>
      <c r="I97">
        <v>1</v>
      </c>
      <c r="K97" t="s">
        <v>1580</v>
      </c>
      <c r="L97" t="s">
        <v>1581</v>
      </c>
      <c r="R97">
        <v>1</v>
      </c>
      <c r="T97">
        <v>1</v>
      </c>
      <c r="AE97" t="s">
        <v>1582</v>
      </c>
      <c r="AF97">
        <v>15</v>
      </c>
      <c r="AG97" t="s">
        <v>1583</v>
      </c>
      <c r="AH97" t="s">
        <v>1584</v>
      </c>
      <c r="AI97">
        <v>255</v>
      </c>
      <c r="AL97">
        <v>1</v>
      </c>
      <c r="AN97" t="str">
        <f t="shared" si="2"/>
        <v>{dwID=4038,nLevel=1,nScrutinyType=1,szNote="锁足·首领",col={31,63,255,},[1]={bScreenHead=true,bBuffList=true,},[2]={},aCataclysmBuff={{szReminder="锁",nPriority=15,col="#1F3FFFFF",colScreenHead="#1F3FFF",nColAlpha=255,bScreenHead=true,},},},</v>
      </c>
    </row>
    <row r="98" customFormat="1" spans="3:45">
      <c r="C98" s="3">
        <v>29007</v>
      </c>
      <c r="D98">
        <v>1</v>
      </c>
      <c r="I98">
        <v>1</v>
      </c>
      <c r="K98" t="s">
        <v>1631</v>
      </c>
      <c r="L98" t="s">
        <v>1562</v>
      </c>
      <c r="AN98"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8" s="3" t="s">
        <v>1571</v>
      </c>
      <c r="AP98" s="3" t="s">
        <v>1572</v>
      </c>
      <c r="AQ98" s="3" t="s">
        <v>1560</v>
      </c>
      <c r="AR98" s="5" t="s">
        <v>1632</v>
      </c>
      <c r="AS98" s="5" t="s">
        <v>1633</v>
      </c>
    </row>
    <row r="99" customFormat="1" spans="3:45">
      <c r="C99" s="3">
        <v>11561</v>
      </c>
      <c r="D99">
        <v>1</v>
      </c>
      <c r="G99" t="s">
        <v>1634</v>
      </c>
      <c r="I99">
        <v>1</v>
      </c>
      <c r="K99" t="s">
        <v>1635</v>
      </c>
      <c r="L99" t="s">
        <v>1636</v>
      </c>
      <c r="AN99" t="str">
        <f>IF(B99&lt;&gt;"",IF(IFERROR(VALUE(C98),0)&lt;=0,"["&amp;B99&amp;"]={","},["&amp;B99&amp;"]={"),IF(C99&gt;0,"{dwID="&amp;C99&amp;","&amp;"nLevel="&amp;D99&amp;","&amp;IF(E99&gt;0,"nCount="&amp;E99&amp;",","")&amp;IF(F99&gt;0,"nIcon="&amp;F99&amp;",","")&amp;IF(G99&lt;&gt;"","szName="""&amp;G99&amp;""",","")&amp;IF(H99&gt;0,"bCheckLevel=true,","")&amp;IF(I99&gt;0,"nScrutinyType="&amp;I99&amp;",","")&amp;IF(J99&lt;&gt;"","tKungFu={"&amp;J99&amp;"},","")&amp;IF(K99&lt;&gt;"","szNote="""&amp;K99&amp;""",","")&amp;IF(L99&lt;&gt;"","col={"&amp;L99&amp;"},","")&amp;"[1]={"&amp;IF(M99&lt;&gt;"","tMark={"&amp;M99&amp;"},","")&amp;IF(N99&lt;&gt;"","szVoice="""&amp;N99&amp;""",","")&amp;IF(O99&gt;0,"bTeamChannel=true,","")&amp;IF(P99&gt;0,"bWhisperChannel=true,","")&amp;IF(Q99&gt;0,"bCenterAlarm=true,","")&amp;IF(R99&gt;0,"bScreenHead=true,","")&amp;IF(S99&gt;0,"bPartyBuffList=true,","")&amp;IF(T99&gt;0,"bBuffList=true,","")&amp;IF(U99&gt;0,"bFullScreen=true,","")&amp;IF(V99&gt;0,"bTeamPanel=true,","")&amp;IF(W99&gt;0,"bOnlySelfSrc=true,","")&amp;"},"&amp;"[2]={"&amp;IF(X99&gt;0,"bTeamChannel=true,","")&amp;IF(Y99&gt;0,"bWhisperChannel=true,","")&amp;IF(Z99&gt;0,"bCenterAlarm=true,","")&amp;"},"&amp;IF(OR(AA99&gt;0,AE99&lt;&gt;"",AF99&gt;0,AG99&lt;&gt;"",AH99&lt;&gt;"",AI99&gt;0,AJ99&gt;0,AK99&gt;0,AL99&gt;0),"aCataclysmBuff={{"&amp;IF(AA99&gt;0,"nStackNum="&amp;AA99&amp;",","")&amp;IF(AB99&lt;&gt;"","szStackOp="""&amp;AB99&amp;""",","")&amp;IF(AC99&gt;0,"bOnlyMine=true,","")&amp;IF(AD99&gt;0,"bOnlyMe=true,","")&amp;IF(AE99&lt;&gt;"","szReminder="""&amp;AE99&amp;""",","")&amp;IF(AF99&gt;0,"nPriority="&amp;AF99&amp;",","")&amp;IF(AG99&lt;&gt;"","col="""&amp;AG99&amp;""",","")&amp;IF(AH99&lt;&gt;"","colScreenHead="""&amp;AH99&amp;""",","")&amp;IF(AI99&gt;0,"nColAlpha="&amp;AI99&amp;",","")&amp;IF(AJ99&gt;0,"bAttention=true,","")&amp;IF(AK99&gt;0,"bCaution=true,","")&amp;IF(AL99&gt;0,"bScreenHead=true,","")&amp;"},"&amp;AM99&amp;"},","")&amp;IF(AO99&lt;&gt;"","tCountdown={"&amp;_xlfn.TEXTJOIN("",TRUE,AO99:ZZ99)&amp;"},","")&amp;"},",IF(C98&gt;0,"},","")&amp;IF(AND(B99="",C99="",OR(B98&lt;&gt;"",C98&lt;&gt;"")),"},}","")))</f>
        <v>{dwID=11561,nLevel=1,szName="据点内",nScrutinyType=1,szNote="判断是否在大旗附近",col={80,231,236,},[1]={},[2]={},tCountdown={{nClass=1,nIcon=1272,nFrame=2,szName="据点大旗·旗手提示",nTime=-1,key="据点大旗·旗手提示",},},},</v>
      </c>
      <c r="AO99" t="s">
        <v>1637</v>
      </c>
      <c r="AP99" s="7"/>
      <c r="AQ99" s="7"/>
      <c r="AR99" s="7"/>
    </row>
    <row r="100" customFormat="1" spans="3:45">
      <c r="C100" s="3">
        <v>7723</v>
      </c>
      <c r="D100">
        <v>1</v>
      </c>
      <c r="I100">
        <v>2</v>
      </c>
      <c r="K100" t="s">
        <v>1597</v>
      </c>
      <c r="L100" t="s">
        <v>1594</v>
      </c>
      <c r="T100">
        <v>1</v>
      </c>
      <c r="V100">
        <v>1</v>
      </c>
      <c r="AF100">
        <v>1</v>
      </c>
      <c r="AG100" t="s">
        <v>1598</v>
      </c>
      <c r="AI100">
        <v>221</v>
      </c>
      <c r="AN100" t="str">
        <f>IF(B100&lt;&gt;"",IF(IFERROR(VALUE(C99),0)&lt;=0,"["&amp;B100&amp;"]={","},["&amp;B100&amp;"]={"),IF(C100&gt;0,"{dwID="&amp;C100&amp;","&amp;"nLevel="&amp;D100&amp;","&amp;IF(E100&gt;0,"nCount="&amp;E100&amp;",","")&amp;IF(F100&gt;0,"nIcon="&amp;F100&amp;",","")&amp;IF(G100&lt;&gt;"","szName="""&amp;G100&amp;""",","")&amp;IF(H100&gt;0,"bCheckLevel=true,","")&amp;IF(I100&gt;0,"nScrutinyType="&amp;I100&amp;",","")&amp;IF(J100&lt;&gt;"","tKungFu={"&amp;J100&amp;"},","")&amp;IF(K100&lt;&gt;"","szNote="""&amp;K100&amp;""",","")&amp;IF(L100&lt;&gt;"","col={"&amp;L100&amp;"},","")&amp;"[1]={"&amp;IF(M100&lt;&gt;"","tMark={"&amp;M100&amp;"},","")&amp;IF(N100&lt;&gt;"","szVoice="""&amp;N100&amp;""",","")&amp;IF(O100&gt;0,"bTeamChannel=true,","")&amp;IF(P100&gt;0,"bWhisperChannel=true,","")&amp;IF(Q100&gt;0,"bCenterAlarm=true,","")&amp;IF(R100&gt;0,"bScreenHead=true,","")&amp;IF(S100&gt;0,"bPartyBuffList=true,","")&amp;IF(T100&gt;0,"bBuffList=true,","")&amp;IF(U100&gt;0,"bFullScreen=true,","")&amp;IF(V100&gt;0,"bTeamPanel=true,","")&amp;IF(W100&gt;0,"bOnlySelfSrc=true,","")&amp;"},"&amp;"[2]={"&amp;IF(X100&gt;0,"bTeamChannel=true,","")&amp;IF(Y100&gt;0,"bWhisperChannel=true,","")&amp;IF(Z100&gt;0,"bCenterAlarm=true,","")&amp;"},"&amp;IF(OR(AA100&gt;0,AE100&lt;&gt;"",AF100&gt;0,AG100&lt;&gt;"",AH100&lt;&gt;"",AI100&gt;0,AJ100&gt;0,AK100&gt;0,AL100&gt;0),"aCataclysmBuff={{"&amp;IF(AA100&gt;0,"nStackNum="&amp;AA100&amp;",","")&amp;IF(AB100&lt;&gt;"","szStackOp="""&amp;AB100&amp;""",","")&amp;IF(AC100&gt;0,"bOnlyMine=true,","")&amp;IF(AD100&gt;0,"bOnlyMe=true,","")&amp;IF(AE100&lt;&gt;"","szReminder="""&amp;AE100&amp;""",","")&amp;IF(AF100&gt;0,"nPriority="&amp;AF100&amp;",","")&amp;IF(AG100&lt;&gt;"","col="""&amp;AG100&amp;""",","")&amp;IF(AH100&lt;&gt;"","colScreenHead="""&amp;AH100&amp;""",","")&amp;IF(AI100&gt;0,"nColAlpha="&amp;AI100&amp;",","")&amp;IF(AJ100&gt;0,"bAttention=true,","")&amp;IF(AK100&gt;0,"bCaution=true,","")&amp;IF(AL100&gt;0,"bScreenHead=true,","")&amp;"},"&amp;AM100&amp;"},","")&amp;IF(AO100&lt;&gt;"","tCountdown={"&amp;_xlfn.TEXTJOIN("",TRUE,AO100:ZZ100)&amp;"},","")&amp;"},",IF(C99&gt;0,"},","")&amp;IF(AND(B100="",C100="",OR(B99&lt;&gt;"",C99&lt;&gt;"")),"},}","")))</f>
        <v>{dwID=7723,nLevel=1,nScrutinyType=2,szNote="神机雷",col={255,255,255,},[1]={bBuffList=true,bTeamPanel=true,},[2]={},aCataclysmBuff={{nPriority=1,col="#FFFFFFDD",nColAlpha=221,},},},</v>
      </c>
    </row>
    <row r="101" spans="3:45">
      <c r="AN101" t="str">
        <f>IF(B101&lt;&gt;"",IF(IFERROR(VALUE(C100),0)&lt;=0,"["&amp;B101&amp;"]={","},["&amp;B101&amp;"]={"),IF(C101&gt;0,"{dwID="&amp;C101&amp;","&amp;"nLevel="&amp;D101&amp;","&amp;IF(E101&gt;0,"nCount="&amp;E101&amp;",","")&amp;IF(F101&gt;0,"nIcon="&amp;F101&amp;",","")&amp;IF(G101&lt;&gt;"","szName="""&amp;G101&amp;""",","")&amp;IF(H101&gt;0,"bCheckLevel=true,","")&amp;IF(I101&gt;0,"nScrutinyType="&amp;I101&amp;",","")&amp;IF(J101&lt;&gt;"","tKungFu={"&amp;J101&amp;"},","")&amp;IF(K101&lt;&gt;"","szNote="""&amp;K101&amp;""",","")&amp;IF(L101&lt;&gt;"","col={"&amp;L101&amp;"},","")&amp;"[1]={"&amp;IF(M101&lt;&gt;"","tMark={"&amp;M101&amp;"},","")&amp;IF(N101&lt;&gt;"","szVoice="""&amp;N101&amp;""",","")&amp;IF(O101&gt;0,"bTeamChannel=true,","")&amp;IF(P101&gt;0,"bWhisperChannel=true,","")&amp;IF(Q101&gt;0,"bCenterAlarm=true,","")&amp;IF(R101&gt;0,"bScreenHead=true,","")&amp;IF(S101&gt;0,"bPartyBuffList=true,","")&amp;IF(T101&gt;0,"bBuffList=true,","")&amp;IF(U101&gt;0,"bFullScreen=true,","")&amp;IF(V101&gt;0,"bTeamPanel=true,","")&amp;IF(W101&gt;0,"bOnlySelfSrc=true,","")&amp;"},"&amp;"[2]={"&amp;IF(X101&gt;0,"bTeamChannel=true,","")&amp;IF(Y101&gt;0,"bWhisperChannel=true,","")&amp;IF(Z101&gt;0,"bCenterAlarm=true,","")&amp;"},"&amp;IF(OR(AA101&gt;0,AE101&lt;&gt;"",AF101&gt;0,AG101&lt;&gt;"",AH101&lt;&gt;"",AI101&gt;0,AJ101&gt;0,AK101&gt;0,AL101&gt;0),"aCataclysmBuff={{"&amp;IF(AA101&gt;0,"nStackNum="&amp;AA101&amp;",","")&amp;IF(AB101&lt;&gt;"","szStackOp="""&amp;AB101&amp;""",","")&amp;IF(AC101&gt;0,"bOnlyMine=true,","")&amp;IF(AD101&gt;0,"bOnlyMe=true,","")&amp;IF(AE101&lt;&gt;"","szReminder="""&amp;AE101&amp;""",","")&amp;IF(AF101&gt;0,"nPriority="&amp;AF101&amp;",","")&amp;IF(AG101&lt;&gt;"","col="""&amp;AG101&amp;""",","")&amp;IF(AH101&lt;&gt;"","colScreenHead="""&amp;AH101&amp;""",","")&amp;IF(AI101&gt;0,"nColAlpha="&amp;AI101&amp;",","")&amp;IF(AJ101&gt;0,"bAttention=true,","")&amp;IF(AK101&gt;0,"bCaution=true,","")&amp;IF(AL101&gt;0,"bScreenHead=true,","")&amp;"},"&amp;AM101&amp;"},","")&amp;IF(AO101&lt;&gt;"","tCountdown={"&amp;_xlfn.TEXTJOIN("",TRUE,AO101:ZZ101)&amp;"},","")&amp;"},",IF(C100&gt;0,"},","")&amp;IF(AND(B101="",C101="",OR(B100&lt;&gt;"",C100&lt;&gt;"")),"},}","")))</f>
        <v>},},}</v>
      </c>
    </row>
  </sheetData>
  <autoFilter xmlns:etc="http://www.wps.cn/officeDocument/2017/etCustomData" ref="A1:BY101"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1645</v>
      </c>
      <c r="M1" t="s">
        <v>1646</v>
      </c>
      <c r="N1" t="s">
        <v>1647</v>
      </c>
      <c r="O1" t="s">
        <v>1648</v>
      </c>
      <c r="P1" t="s">
        <v>1649</v>
      </c>
      <c r="Q1" t="s">
        <v>1650</v>
      </c>
      <c r="R1" t="s">
        <v>1651</v>
      </c>
      <c r="S1" t="s">
        <v>1652</v>
      </c>
      <c r="T1" t="s">
        <v>1653</v>
      </c>
      <c r="U1" t="s">
        <v>1654</v>
      </c>
      <c r="V1" t="s">
        <v>1655</v>
      </c>
      <c r="W1" t="s">
        <v>1656</v>
      </c>
      <c r="X1" t="s">
        <v>1657</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1658</v>
      </c>
      <c r="H3">
        <v>2</v>
      </c>
      <c r="J3" t="s">
        <v>1659</v>
      </c>
      <c r="K3" t="s">
        <v>1660</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1661</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1662</v>
      </c>
      <c r="Z4" t="s">
        <v>1663</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2"/>
  <sheetViews>
    <sheetView zoomScale="80" zoomScaleNormal="80" workbookViewId="0">
      <pane ySplit="1" topLeftCell="A2" activePane="bottomLeft" state="frozen"/>
      <selection/>
      <selection pane="bottomLeft" activeCell="V14" sqref="V14"/>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1664</v>
      </c>
      <c r="F1" t="s">
        <v>1665</v>
      </c>
      <c r="G1" t="s">
        <v>1427</v>
      </c>
      <c r="H1" t="s">
        <v>1430</v>
      </c>
      <c r="I1" t="s">
        <v>44</v>
      </c>
      <c r="J1" t="s">
        <v>1431</v>
      </c>
      <c r="K1" t="s">
        <v>1666</v>
      </c>
      <c r="L1" t="s">
        <v>1667</v>
      </c>
      <c r="M1" t="s">
        <v>1668</v>
      </c>
      <c r="N1" t="s">
        <v>1669</v>
      </c>
      <c r="O1" t="s">
        <v>1670</v>
      </c>
      <c r="P1" t="s">
        <v>1671</v>
      </c>
      <c r="Q1" t="s">
        <v>1672</v>
      </c>
      <c r="R1" t="s">
        <v>1673</v>
      </c>
      <c r="S1" t="s">
        <v>1674</v>
      </c>
      <c r="T1" t="s">
        <v>1675</v>
      </c>
      <c r="U1" t="s">
        <v>240</v>
      </c>
      <c r="V1" t="s">
        <v>1676</v>
      </c>
      <c r="W1" t="s">
        <v>259</v>
      </c>
    </row>
    <row r="2" customFormat="1" spans="1:23">
      <c r="A2" t="s">
        <v>1677</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1678</v>
      </c>
      <c r="U3" t="s">
        <v>1679</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1680</v>
      </c>
      <c r="U4" t="s">
        <v>1679</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1681</v>
      </c>
      <c r="U6" t="s">
        <v>1682</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1681</v>
      </c>
      <c r="U7" t="s">
        <v>1682</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1681</v>
      </c>
      <c r="U8" t="s">
        <v>1682</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1681</v>
      </c>
      <c r="U9" t="s">
        <v>1682</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1681</v>
      </c>
      <c r="U10" t="s">
        <v>1682</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1681</v>
      </c>
      <c r="U11" t="s">
        <v>1682</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1683</v>
      </c>
      <c r="U12" t="s">
        <v>1682</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1683</v>
      </c>
      <c r="U13" t="s">
        <v>1682</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1683</v>
      </c>
      <c r="U14" t="s">
        <v>1682</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1683</v>
      </c>
      <c r="U15" t="s">
        <v>1682</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1683</v>
      </c>
      <c r="U16" t="s">
        <v>1682</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1683</v>
      </c>
      <c r="U17" t="s">
        <v>1682</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1683</v>
      </c>
      <c r="U18" t="s">
        <v>1682</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1683</v>
      </c>
      <c r="U19" t="s">
        <v>1682</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1684</v>
      </c>
      <c r="U20" t="s">
        <v>1685</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1684</v>
      </c>
      <c r="U21" t="s">
        <v>1685</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1684</v>
      </c>
      <c r="U22" t="s">
        <v>1685</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1684</v>
      </c>
      <c r="U23" t="s">
        <v>1685</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1684</v>
      </c>
      <c r="U24" t="s">
        <v>1685</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1684</v>
      </c>
      <c r="U25" t="s">
        <v>1685</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1684</v>
      </c>
      <c r="U26" t="s">
        <v>1685</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1684</v>
      </c>
      <c r="U27" t="s">
        <v>1685</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1684</v>
      </c>
      <c r="U28" t="s">
        <v>1685</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1684</v>
      </c>
      <c r="U29" t="s">
        <v>1685</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1684</v>
      </c>
      <c r="U30" t="s">
        <v>1685</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1684</v>
      </c>
      <c r="U31" t="s">
        <v>1685</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1684</v>
      </c>
      <c r="U32" t="s">
        <v>1685</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1684</v>
      </c>
      <c r="U33" t="s">
        <v>1685</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1684</v>
      </c>
      <c r="U34" t="s">
        <v>1685</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1684</v>
      </c>
      <c r="U35" t="s">
        <v>1685</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1684</v>
      </c>
      <c r="U36" t="s">
        <v>1685</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1686</v>
      </c>
      <c r="U37" t="s">
        <v>1687</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1688</v>
      </c>
    </row>
    <row r="38" customFormat="1" spans="3:23">
      <c r="C38">
        <v>30004</v>
      </c>
      <c r="D38">
        <v>52</v>
      </c>
      <c r="I38" t="s">
        <v>1686</v>
      </c>
      <c r="U38" t="s">
        <v>1687</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1688</v>
      </c>
    </row>
    <row r="39" customFormat="1" spans="3:23">
      <c r="C39">
        <v>30003</v>
      </c>
      <c r="D39">
        <v>52</v>
      </c>
      <c r="I39" t="s">
        <v>1686</v>
      </c>
      <c r="U39" t="s">
        <v>1687</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1688</v>
      </c>
    </row>
    <row r="40" customFormat="1" spans="3:23">
      <c r="C40">
        <v>30002</v>
      </c>
      <c r="D40">
        <v>52</v>
      </c>
      <c r="I40" t="s">
        <v>1686</v>
      </c>
      <c r="U40" t="s">
        <v>1687</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1688</v>
      </c>
    </row>
    <row r="41" customFormat="1" spans="3:23">
      <c r="C41">
        <v>30001</v>
      </c>
      <c r="D41">
        <v>52</v>
      </c>
      <c r="I41" t="s">
        <v>1686</v>
      </c>
      <c r="U41" t="s">
        <v>1687</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1688</v>
      </c>
    </row>
    <row r="42" customFormat="1" spans="3:23">
      <c r="C42">
        <v>66809</v>
      </c>
      <c r="D42">
        <v>57</v>
      </c>
      <c r="G42" t="s">
        <v>1689</v>
      </c>
      <c r="I42" t="s">
        <v>1690</v>
      </c>
      <c r="O42">
        <v>1</v>
      </c>
      <c r="U42" t="s">
        <v>1691</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1692</v>
      </c>
      <c r="I43" t="s">
        <v>1693</v>
      </c>
      <c r="J43" s="9" t="s">
        <v>643</v>
      </c>
      <c r="O43">
        <v>1</v>
      </c>
      <c r="P43">
        <v>1</v>
      </c>
      <c r="U43" t="s">
        <v>1694</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1695</v>
      </c>
    </row>
    <row r="44" customFormat="1" spans="3:23">
      <c r="C44">
        <v>36823</v>
      </c>
      <c r="D44">
        <v>52</v>
      </c>
      <c r="G44" t="s">
        <v>1696</v>
      </c>
      <c r="I44" t="s">
        <v>1697</v>
      </c>
      <c r="J44" s="10" t="s">
        <v>648</v>
      </c>
      <c r="O44">
        <v>1</v>
      </c>
      <c r="P44">
        <v>1</v>
      </c>
      <c r="U44" t="s">
        <v>1698</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1699</v>
      </c>
    </row>
    <row r="45" customFormat="1" spans="3:23">
      <c r="C45">
        <v>36825</v>
      </c>
      <c r="D45">
        <v>52</v>
      </c>
      <c r="G45" t="s">
        <v>1700</v>
      </c>
      <c r="I45" t="s">
        <v>1700</v>
      </c>
      <c r="J45" t="s">
        <v>1470</v>
      </c>
      <c r="P45">
        <v>1</v>
      </c>
      <c r="U45" t="s">
        <v>1701</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1702</v>
      </c>
      <c r="J46" t="s">
        <v>1470</v>
      </c>
      <c r="P46">
        <v>1</v>
      </c>
      <c r="U46" t="s">
        <v>1703</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1704</v>
      </c>
    </row>
    <row r="47" customFormat="1" spans="3:23">
      <c r="C47">
        <v>36467</v>
      </c>
      <c r="D47">
        <v>52</v>
      </c>
      <c r="G47" t="s">
        <v>1705</v>
      </c>
      <c r="I47" t="s">
        <v>1706</v>
      </c>
      <c r="J47" s="9" t="s">
        <v>643</v>
      </c>
      <c r="P47">
        <v>1</v>
      </c>
      <c r="V47" t="str">
        <f t="shared" si="0"/>
        <v>{dwID=36467,nFrame=52,szName="恶人·神机车",szNote="恶人·神机车·底座",col={255,120,31,},[3]={bScreenHead=true,},[4]={},},</v>
      </c>
    </row>
    <row r="48" customFormat="1" spans="3:23">
      <c r="C48">
        <v>27617</v>
      </c>
      <c r="D48">
        <v>52</v>
      </c>
      <c r="G48" t="s">
        <v>1707</v>
      </c>
      <c r="I48" t="s">
        <v>1708</v>
      </c>
      <c r="J48" s="10" t="s">
        <v>648</v>
      </c>
      <c r="P48">
        <v>1</v>
      </c>
      <c r="V48" t="str">
        <f t="shared" si="0"/>
        <v>{dwID=27617,nFrame=52,szName="浩气·神机车",szNote="浩气·神机车·底座",col={31,230,255,},[3]={bScreenHead=true,},[4]={},},</v>
      </c>
    </row>
    <row r="49" customFormat="1" spans="1:23">
      <c r="C49">
        <v>36562</v>
      </c>
      <c r="D49">
        <v>52</v>
      </c>
      <c r="G49" t="s">
        <v>1709</v>
      </c>
      <c r="I49" t="s">
        <v>1710</v>
      </c>
      <c r="J49" s="9" t="s">
        <v>643</v>
      </c>
      <c r="P49">
        <v>1</v>
      </c>
      <c r="V49" t="str">
        <f t="shared" si="0"/>
        <v>{dwID=36562,nFrame=52,szName="恶人·组装神机车",szNote="恶人·神机车·组装中",col={255,120,31,},[3]={bScreenHead=true,},[4]={},},</v>
      </c>
    </row>
    <row r="50" customFormat="1" spans="1:23">
      <c r="C50">
        <v>36561</v>
      </c>
      <c r="D50">
        <v>52</v>
      </c>
      <c r="G50" t="s">
        <v>1711</v>
      </c>
      <c r="I50" t="s">
        <v>1712</v>
      </c>
      <c r="J50" s="10" t="s">
        <v>648</v>
      </c>
      <c r="P50">
        <v>1</v>
      </c>
      <c r="V50" t="str">
        <f t="shared" si="0"/>
        <v>{dwID=36561,nFrame=52,szName="浩气·组装神机车",szNote="浩气·神机车·组装中",col={31,230,255,},[3]={bScreenHead=true,},[4]={},},</v>
      </c>
    </row>
    <row r="51" customFormat="1" spans="1:23">
      <c r="C51">
        <v>36396</v>
      </c>
      <c r="D51">
        <v>52</v>
      </c>
      <c r="G51" t="s">
        <v>1713</v>
      </c>
      <c r="I51" t="s">
        <v>1714</v>
      </c>
      <c r="O51">
        <v>1</v>
      </c>
      <c r="P51">
        <v>1</v>
      </c>
      <c r="U51" t="s">
        <v>1715</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1716</v>
      </c>
    </row>
    <row r="52" customFormat="1" spans="1:23">
      <c r="C52">
        <v>36005</v>
      </c>
      <c r="D52">
        <v>52</v>
      </c>
      <c r="I52" t="s">
        <v>1717</v>
      </c>
      <c r="P52">
        <v>1</v>
      </c>
      <c r="U52" t="s">
        <v>1718</v>
      </c>
      <c r="V52" t="str">
        <f t="shared" si="0"/>
        <v>{dwID=36005,nFrame=52,szNote="神机台·没人状态",[3]={bScreenHead=true,},[4]={},aFocus={{dwMapID=-1,nMaxDistance=-1,tRelation={bAll=true,bEnemy=true,bAlly=true,},tLife={bEnable=true,szOperator="&lt;",nValue=10,},},},},</v>
      </c>
    </row>
    <row r="53" customFormat="1" spans="1:23">
      <c r="C53">
        <v>100133</v>
      </c>
      <c r="D53">
        <v>57</v>
      </c>
      <c r="I53" t="s">
        <v>1719</v>
      </c>
      <c r="P53">
        <v>1</v>
      </c>
      <c r="U53" t="s">
        <v>1720</v>
      </c>
      <c r="V53" t="str">
        <f t="shared" si="0"/>
        <v>{dwID=100133,nFrame=57,szNote="狼牙先锋首领",[3]={bScreenHead=true,},[4]={},aFocus={{dwMapID=-1,nMaxDistance=90,tRelation={bAll=false,bEnemy=true,bAlly=false,},tLife={bEnable=false,szOperator="&gt;",nValue=0,},},},},</v>
      </c>
    </row>
    <row r="54" customFormat="1" spans="1:23">
      <c r="C54">
        <v>30310</v>
      </c>
      <c r="D54">
        <v>47</v>
      </c>
      <c r="I54" t="s">
        <v>1721</v>
      </c>
      <c r="P54">
        <v>1</v>
      </c>
      <c r="U54" t="s">
        <v>1722</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1723</v>
      </c>
    </row>
    <row r="55" customFormat="1" spans="1:23">
      <c r="C55">
        <v>30322</v>
      </c>
      <c r="D55">
        <v>47</v>
      </c>
      <c r="I55" t="s">
        <v>1724</v>
      </c>
      <c r="P55">
        <v>1</v>
      </c>
      <c r="U55" t="s">
        <v>1722</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1725</v>
      </c>
    </row>
    <row r="56" customFormat="1" spans="1:23">
      <c r="C56">
        <v>30597</v>
      </c>
      <c r="D56">
        <v>47</v>
      </c>
      <c r="I56" t="s">
        <v>1726</v>
      </c>
      <c r="J56" s="9" t="s">
        <v>643</v>
      </c>
      <c r="P56">
        <v>1</v>
      </c>
      <c r="V56" t="str">
        <f t="shared" si="0"/>
        <v>{dwID=30597,nFrame=47,szNote="恶人谷货郎",col={255,120,31,},[3]={bScreenHead=true,},[4]={},},</v>
      </c>
    </row>
    <row r="57" customFormat="1" spans="1:23">
      <c r="C57">
        <v>30596</v>
      </c>
      <c r="D57">
        <v>47</v>
      </c>
      <c r="I57" t="s">
        <v>1727</v>
      </c>
      <c r="J57" s="10" t="s">
        <v>648</v>
      </c>
      <c r="P57">
        <v>1</v>
      </c>
      <c r="V57" t="str">
        <f t="shared" si="0"/>
        <v>{dwID=30596,nFrame=47,szNote="浩气盟货郎",col={31,230,255,},[3]={bScreenHead=true,},[4]={},},</v>
      </c>
    </row>
    <row r="58" customFormat="1" spans="1:23">
      <c r="C58">
        <v>30537</v>
      </c>
      <c r="D58">
        <v>47</v>
      </c>
      <c r="I58" t="s">
        <v>1728</v>
      </c>
      <c r="J58" t="s">
        <v>1729</v>
      </c>
      <c r="P58">
        <v>1</v>
      </c>
      <c r="U58" t="s">
        <v>1730</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1731</v>
      </c>
      <c r="P59">
        <v>1</v>
      </c>
      <c r="U59" t="s">
        <v>1732</v>
      </c>
      <c r="V59" t="str">
        <f t="shared" si="0"/>
        <v>{dwID=36388,nFrame=47,szNote="浩气·据点总管",[3]={bScreenHead=true,},[4]={},aFocus={{dwMapID=-1,nMaxDistance=6,tRelation={bAll=false,bEnemy=false,bAlly=true,},tLife={bEnable=false,szOperator="&gt;",nValue=0,},},},},</v>
      </c>
    </row>
    <row r="60" customFormat="1" spans="1:23">
      <c r="C60">
        <v>36387</v>
      </c>
      <c r="D60">
        <v>47</v>
      </c>
      <c r="I60" t="s">
        <v>1733</v>
      </c>
      <c r="P60">
        <v>1</v>
      </c>
      <c r="U60" t="s">
        <v>1732</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1692</v>
      </c>
      <c r="I62" t="s">
        <v>1734</v>
      </c>
      <c r="J62" s="9" t="s">
        <v>643</v>
      </c>
      <c r="O62">
        <v>1</v>
      </c>
      <c r="P62">
        <v>1</v>
      </c>
      <c r="U62" t="s">
        <v>1694</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1695</v>
      </c>
    </row>
    <row r="63" customFormat="1" spans="1:23">
      <c r="C63">
        <v>46195</v>
      </c>
      <c r="D63">
        <v>52</v>
      </c>
      <c r="G63" t="s">
        <v>1696</v>
      </c>
      <c r="I63" t="s">
        <v>1735</v>
      </c>
      <c r="J63" s="10" t="s">
        <v>648</v>
      </c>
      <c r="O63">
        <v>1</v>
      </c>
      <c r="P63">
        <v>1</v>
      </c>
      <c r="U63" t="s">
        <v>1698</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1699</v>
      </c>
    </row>
    <row r="64" customFormat="1" spans="1:23">
      <c r="C64">
        <v>46193</v>
      </c>
      <c r="D64">
        <v>52</v>
      </c>
      <c r="I64" t="s">
        <v>1702</v>
      </c>
      <c r="J64" t="s">
        <v>1470</v>
      </c>
      <c r="P64">
        <v>1</v>
      </c>
      <c r="U64" t="s">
        <v>1736</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1704</v>
      </c>
    </row>
    <row r="65" customFormat="1" spans="1:23">
      <c r="C65">
        <v>45171</v>
      </c>
      <c r="D65">
        <v>52</v>
      </c>
      <c r="G65" t="s">
        <v>1713</v>
      </c>
      <c r="I65" t="s">
        <v>1737</v>
      </c>
      <c r="O65">
        <v>1</v>
      </c>
      <c r="P65">
        <v>1</v>
      </c>
      <c r="U65" t="s">
        <v>1715</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1716</v>
      </c>
    </row>
    <row r="66" customFormat="1" spans="1:23">
      <c r="C66">
        <v>45170</v>
      </c>
      <c r="D66">
        <v>52</v>
      </c>
      <c r="I66" t="s">
        <v>1738</v>
      </c>
      <c r="P66">
        <v>1</v>
      </c>
      <c r="U66" t="s">
        <v>1718</v>
      </c>
      <c r="V66" t="str">
        <f t="shared" si="0"/>
        <v>{dwID=45170,nFrame=52,szNote="神机台·无人状态",[3]={bScreenHead=true,},[4]={},aFocus={{dwMapID=-1,nMaxDistance=-1,tRelation={bAll=true,bEnemy=true,bAlly=true,},tLife={bEnable=true,szOperator="&lt;",nValue=10,},},},},</v>
      </c>
    </row>
    <row r="67" spans="1:23">
      <c r="C67">
        <v>46057</v>
      </c>
      <c r="D67">
        <v>47</v>
      </c>
      <c r="I67" t="s">
        <v>1739</v>
      </c>
      <c r="J67" s="9" t="s">
        <v>643</v>
      </c>
      <c r="P67">
        <v>1</v>
      </c>
      <c r="U67" t="s">
        <v>1730</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1740</v>
      </c>
      <c r="J68" s="10" t="s">
        <v>648</v>
      </c>
      <c r="P68">
        <v>1</v>
      </c>
      <c r="U68" t="s">
        <v>1730</v>
      </c>
      <c r="V68" t="str">
        <f t="shared" si="1"/>
        <v>{dwID=46058,nFrame=47,szNote="浩气盟伍长",col={31,230,255,},[3]={bScreenHead=true,},[4]={},aFocus={{dwMapID=-1,nMaxDistance=10,tRelation={bAll=false,bEnemy=false,bAlly=true,},tLife={bEnable=false,szOperator="&gt;",nValue=0,},},},},</v>
      </c>
    </row>
    <row r="69" spans="1:23">
      <c r="C69">
        <v>46268</v>
      </c>
      <c r="D69">
        <v>47</v>
      </c>
      <c r="I69" t="s">
        <v>1741</v>
      </c>
      <c r="J69" t="s">
        <v>1470</v>
      </c>
      <c r="K69" t="s">
        <v>1742</v>
      </c>
      <c r="P69">
        <v>1</v>
      </c>
      <c r="U69" t="s">
        <v>1743</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36388</v>
      </c>
      <c r="D71">
        <v>47</v>
      </c>
      <c r="I71" t="s">
        <v>1731</v>
      </c>
      <c r="P71">
        <v>1</v>
      </c>
      <c r="U71" t="s">
        <v>1732</v>
      </c>
      <c r="V71" t="str">
        <f t="shared" si="1"/>
        <v>{dwID=36388,nFrame=47,szNote="浩气·据点总管",[3]={bScreenHead=true,},[4]={},aFocus={{dwMapID=-1,nMaxDistance=6,tRelation={bAll=false,bEnemy=false,bAlly=true,},tLife={bEnable=false,szOperator="&gt;",nValue=0,},},},},</v>
      </c>
    </row>
    <row r="72" customFormat="1" spans="1:23">
      <c r="C72">
        <v>5724</v>
      </c>
      <c r="D72">
        <v>47</v>
      </c>
      <c r="I72" t="s">
        <v>1744</v>
      </c>
      <c r="J72" t="s">
        <v>1745</v>
      </c>
      <c r="P72">
        <v>1</v>
      </c>
      <c r="U72" t="s">
        <v>1746</v>
      </c>
      <c r="V72"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2" t="s">
        <v>1747</v>
      </c>
    </row>
    <row r="73" spans="1:23">
      <c r="C73">
        <v>7607</v>
      </c>
      <c r="D73">
        <v>47</v>
      </c>
      <c r="I73" t="s">
        <v>1748</v>
      </c>
      <c r="J73" s="10" t="s">
        <v>648</v>
      </c>
      <c r="P73">
        <v>1</v>
      </c>
      <c r="U73" t="s">
        <v>1749</v>
      </c>
      <c r="V73" t="str">
        <f t="shared" si="1"/>
        <v>{dwID=7607,nFrame=47,szNote="王洵",col={31,230,255,},[3]={bScreenHead=true,},[4]={},aFocus={{dwMapID=-1,szDisplay="王洵·阵营前置",nMaxDistance=10,tRelation={bAll=false,bEnemy=false,bAlly=true,},tLife={bEnable=false,szOperator="&gt;",nValue=0,},},},},</v>
      </c>
    </row>
    <row r="74" spans="1:23">
      <c r="C74">
        <v>7606</v>
      </c>
      <c r="D74">
        <v>47</v>
      </c>
      <c r="I74" t="s">
        <v>1748</v>
      </c>
      <c r="J74" s="10" t="s">
        <v>648</v>
      </c>
      <c r="P74">
        <v>1</v>
      </c>
      <c r="U74" t="s">
        <v>1749</v>
      </c>
      <c r="V74" t="str">
        <f t="shared" si="1"/>
        <v>{dwID=7606,nFrame=47,szNote="王洵",col={31,230,255,},[3]={bScreenHead=true,},[4]={},aFocus={{dwMapID=-1,szDisplay="王洵·阵营前置",nMaxDistance=10,tRelation={bAll=false,bEnemy=false,bAlly=true,},tLife={bEnable=false,szOperator="&gt;",nValue=0,},},},},</v>
      </c>
    </row>
    <row r="75" spans="1:23">
      <c r="C75">
        <v>105586</v>
      </c>
      <c r="D75">
        <v>47</v>
      </c>
      <c r="I75" t="s">
        <v>1750</v>
      </c>
      <c r="J75" t="s">
        <v>1594</v>
      </c>
      <c r="P75">
        <v>1</v>
      </c>
      <c r="U75" t="s">
        <v>1751</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1752</v>
      </c>
      <c r="J76" t="s">
        <v>1594</v>
      </c>
      <c r="P76">
        <v>1</v>
      </c>
      <c r="U76" t="s">
        <v>1751</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1752</v>
      </c>
      <c r="J77" t="s">
        <v>1594</v>
      </c>
      <c r="P77">
        <v>1</v>
      </c>
      <c r="U77" t="s">
        <v>1751</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1753</v>
      </c>
      <c r="J78" t="s">
        <v>1594</v>
      </c>
      <c r="P78">
        <v>1</v>
      </c>
      <c r="U78" t="s">
        <v>1751</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1754</v>
      </c>
      <c r="J79" t="s">
        <v>1594</v>
      </c>
      <c r="P79">
        <v>1</v>
      </c>
      <c r="U79" t="s">
        <v>1751</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1755</v>
      </c>
      <c r="J80" t="s">
        <v>1594</v>
      </c>
      <c r="P80">
        <v>1</v>
      </c>
      <c r="U80" t="s">
        <v>1751</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1755</v>
      </c>
      <c r="J81" t="s">
        <v>1594</v>
      </c>
      <c r="P81">
        <v>1</v>
      </c>
      <c r="U81" t="s">
        <v>1751</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1756</v>
      </c>
      <c r="J82" t="s">
        <v>1594</v>
      </c>
      <c r="P82">
        <v>1</v>
      </c>
      <c r="U82" t="s">
        <v>1751</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1757</v>
      </c>
      <c r="J83" t="s">
        <v>1594</v>
      </c>
      <c r="P83">
        <v>1</v>
      </c>
      <c r="U83" t="s">
        <v>1751</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1757</v>
      </c>
      <c r="J84" t="s">
        <v>1594</v>
      </c>
      <c r="P84">
        <v>1</v>
      </c>
      <c r="U84" t="s">
        <v>1751</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1758</v>
      </c>
      <c r="J85" t="s">
        <v>1594</v>
      </c>
      <c r="P85">
        <v>1</v>
      </c>
      <c r="U85" t="s">
        <v>1751</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1758</v>
      </c>
      <c r="J86" t="s">
        <v>1594</v>
      </c>
      <c r="P86">
        <v>1</v>
      </c>
      <c r="U86" t="s">
        <v>1751</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1759</v>
      </c>
      <c r="J87" t="s">
        <v>1594</v>
      </c>
      <c r="P87">
        <v>1</v>
      </c>
      <c r="U87" t="s">
        <v>1751</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1760</v>
      </c>
      <c r="J88" t="s">
        <v>1594</v>
      </c>
      <c r="P88">
        <v>1</v>
      </c>
      <c r="U88" t="s">
        <v>1751</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1761</v>
      </c>
      <c r="J89" t="s">
        <v>1594</v>
      </c>
      <c r="P89">
        <v>1</v>
      </c>
      <c r="U89" t="s">
        <v>1751</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1762</v>
      </c>
      <c r="J90" t="s">
        <v>1594</v>
      </c>
      <c r="P90">
        <v>1</v>
      </c>
      <c r="U90" t="s">
        <v>1751</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1762</v>
      </c>
      <c r="J91" t="s">
        <v>1594</v>
      </c>
      <c r="P91">
        <v>1</v>
      </c>
      <c r="U91" t="s">
        <v>1751</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1763</v>
      </c>
      <c r="J92" t="s">
        <v>1594</v>
      </c>
      <c r="P92">
        <v>1</v>
      </c>
      <c r="U92" t="s">
        <v>1751</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1763</v>
      </c>
      <c r="J93" t="s">
        <v>1594</v>
      </c>
      <c r="P93">
        <v>1</v>
      </c>
      <c r="U93" t="s">
        <v>1751</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1764</v>
      </c>
      <c r="J94" t="s">
        <v>1594</v>
      </c>
      <c r="K94" t="s">
        <v>1742</v>
      </c>
      <c r="P94">
        <v>1</v>
      </c>
      <c r="U94" t="s">
        <v>1751</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1765</v>
      </c>
      <c r="J95" t="s">
        <v>1594</v>
      </c>
      <c r="K95" t="s">
        <v>1742</v>
      </c>
      <c r="P95">
        <v>1</v>
      </c>
      <c r="U95" t="s">
        <v>1751</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1766</v>
      </c>
      <c r="J96" t="s">
        <v>1594</v>
      </c>
      <c r="K96" t="s">
        <v>1742</v>
      </c>
      <c r="P96">
        <v>1</v>
      </c>
      <c r="U96" t="s">
        <v>1751</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1767</v>
      </c>
      <c r="J97" t="s">
        <v>1594</v>
      </c>
      <c r="K97" t="s">
        <v>1742</v>
      </c>
      <c r="P97">
        <v>1</v>
      </c>
      <c r="U97" t="s">
        <v>1751</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1768</v>
      </c>
      <c r="J98" t="s">
        <v>1594</v>
      </c>
      <c r="K98" t="s">
        <v>1742</v>
      </c>
      <c r="P98">
        <v>1</v>
      </c>
      <c r="U98" t="s">
        <v>1751</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1769</v>
      </c>
      <c r="J99" t="s">
        <v>1594</v>
      </c>
      <c r="K99" t="s">
        <v>1742</v>
      </c>
      <c r="P99">
        <v>1</v>
      </c>
      <c r="U99" t="s">
        <v>1751</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1770</v>
      </c>
      <c r="J100" t="s">
        <v>1594</v>
      </c>
      <c r="K100" t="s">
        <v>1742</v>
      </c>
      <c r="P100">
        <v>1</v>
      </c>
      <c r="U100" t="s">
        <v>1751</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1771</v>
      </c>
      <c r="J101" t="s">
        <v>1594</v>
      </c>
      <c r="K101" t="s">
        <v>1742</v>
      </c>
      <c r="P101">
        <v>1</v>
      </c>
      <c r="U101" t="s">
        <v>1751</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1772</v>
      </c>
      <c r="J102" t="s">
        <v>1594</v>
      </c>
      <c r="K102" t="s">
        <v>1742</v>
      </c>
      <c r="P102">
        <v>1</v>
      </c>
      <c r="U102" t="s">
        <v>1751</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1773</v>
      </c>
      <c r="J103" t="s">
        <v>1594</v>
      </c>
      <c r="K103" t="s">
        <v>1742</v>
      </c>
      <c r="P103">
        <v>1</v>
      </c>
      <c r="U103" t="s">
        <v>1751</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1774</v>
      </c>
      <c r="J104" t="s">
        <v>1594</v>
      </c>
      <c r="K104" t="s">
        <v>1742</v>
      </c>
      <c r="P104">
        <v>1</v>
      </c>
      <c r="U104" t="s">
        <v>1751</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1775</v>
      </c>
      <c r="J105" t="s">
        <v>1594</v>
      </c>
      <c r="K105" t="s">
        <v>1742</v>
      </c>
      <c r="P105">
        <v>1</v>
      </c>
      <c r="U105" t="s">
        <v>1751</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1776</v>
      </c>
      <c r="J106" t="s">
        <v>1594</v>
      </c>
      <c r="P106">
        <v>1</v>
      </c>
      <c r="U106" t="s">
        <v>1751</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6" t="s">
        <v>1777</v>
      </c>
      <c r="X106" t="s">
        <v>1778</v>
      </c>
    </row>
    <row r="107" spans="3:24">
      <c r="C107">
        <v>17238</v>
      </c>
      <c r="D107">
        <v>47</v>
      </c>
      <c r="I107" t="s">
        <v>1779</v>
      </c>
      <c r="J107" t="s">
        <v>1594</v>
      </c>
      <c r="P107">
        <v>1</v>
      </c>
      <c r="U107" t="s">
        <v>1751</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1777</v>
      </c>
      <c r="X107" t="s">
        <v>1778</v>
      </c>
    </row>
    <row r="108" spans="3:24">
      <c r="C108">
        <v>17240</v>
      </c>
      <c r="D108">
        <v>47</v>
      </c>
      <c r="I108" t="s">
        <v>1780</v>
      </c>
      <c r="J108" t="s">
        <v>1594</v>
      </c>
      <c r="P108">
        <v>1</v>
      </c>
      <c r="U108" t="s">
        <v>1751</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1777</v>
      </c>
      <c r="X108" t="s">
        <v>1778</v>
      </c>
    </row>
    <row r="109" spans="3:24">
      <c r="C109">
        <v>17239</v>
      </c>
      <c r="D109">
        <v>47</v>
      </c>
      <c r="I109" t="s">
        <v>1781</v>
      </c>
      <c r="J109" t="s">
        <v>1594</v>
      </c>
      <c r="P109">
        <v>1</v>
      </c>
      <c r="U109" t="s">
        <v>1751</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1777</v>
      </c>
      <c r="X109" t="s">
        <v>1778</v>
      </c>
    </row>
    <row r="110" spans="3:24">
      <c r="C110">
        <v>8954</v>
      </c>
      <c r="D110">
        <v>47</v>
      </c>
      <c r="I110" t="s">
        <v>1782</v>
      </c>
      <c r="J110" t="s">
        <v>1594</v>
      </c>
      <c r="P110">
        <v>1</v>
      </c>
      <c r="U110" t="s">
        <v>1751</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1777</v>
      </c>
      <c r="X110" t="s">
        <v>1778</v>
      </c>
    </row>
    <row r="111" spans="3:24">
      <c r="C111">
        <v>6230</v>
      </c>
      <c r="D111">
        <v>47</v>
      </c>
      <c r="I111" t="s">
        <v>1783</v>
      </c>
      <c r="J111" t="s">
        <v>1594</v>
      </c>
      <c r="P111">
        <v>1</v>
      </c>
      <c r="U111" t="s">
        <v>1751</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1777</v>
      </c>
      <c r="X111" t="s">
        <v>1778</v>
      </c>
    </row>
    <row r="112" spans="3:24">
      <c r="C112">
        <v>8952</v>
      </c>
      <c r="D112">
        <v>47</v>
      </c>
      <c r="I112" t="s">
        <v>1784</v>
      </c>
      <c r="J112" t="s">
        <v>1594</v>
      </c>
      <c r="P112">
        <v>1</v>
      </c>
      <c r="U112" t="s">
        <v>1751</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1777</v>
      </c>
      <c r="X112" t="s">
        <v>1778</v>
      </c>
    </row>
    <row r="113" spans="1:24">
      <c r="C113">
        <v>8953</v>
      </c>
      <c r="D113">
        <v>47</v>
      </c>
      <c r="I113" t="s">
        <v>1785</v>
      </c>
      <c r="J113" t="s">
        <v>1594</v>
      </c>
      <c r="P113">
        <v>1</v>
      </c>
      <c r="U113" t="s">
        <v>1751</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1777</v>
      </c>
      <c r="X113" t="s">
        <v>1778</v>
      </c>
    </row>
    <row r="114" spans="1:24">
      <c r="A114" t="s">
        <v>329</v>
      </c>
      <c r="B114">
        <v>27</v>
      </c>
      <c r="V114" t="str">
        <f t="shared" si="1"/>
        <v>},[27]={</v>
      </c>
    </row>
    <row r="115" customFormat="1" spans="1:24">
      <c r="C115">
        <v>36387</v>
      </c>
      <c r="D115">
        <v>47</v>
      </c>
      <c r="I115" t="s">
        <v>1733</v>
      </c>
      <c r="P115">
        <v>1</v>
      </c>
      <c r="U115" t="s">
        <v>1732</v>
      </c>
      <c r="V115" t="str">
        <f t="shared" si="1"/>
        <v>{dwID=36387,nFrame=47,szNote="恶人·据点总管",[3]={bScreenHead=true,},[4]={},aFocus={{dwMapID=-1,nMaxDistance=6,tRelation={bAll=false,bEnemy=false,bAlly=true,},tLife={bEnable=false,szOperator="&gt;",nValue=0,},},},},</v>
      </c>
    </row>
    <row r="116" spans="1:24">
      <c r="C116">
        <v>7604</v>
      </c>
      <c r="D116">
        <v>47</v>
      </c>
      <c r="I116" t="s">
        <v>1786</v>
      </c>
      <c r="J116" s="9" t="s">
        <v>643</v>
      </c>
      <c r="P116">
        <v>1</v>
      </c>
      <c r="U116" t="s">
        <v>1787</v>
      </c>
      <c r="V116" t="str">
        <f t="shared" si="1"/>
        <v>{dwID=7604,nFrame=47,szNote="何非笑周日7604",col={255,120,31,},[3]={bScreenHead=true,},[4]={},aFocus={{dwMapID=-1,szDisplay="何非笑·阵营前置",nMaxDistance=10,tRelation={bAll=false,bEnemy=false,bAlly=true,},tLife={bEnable=false,szOperator="&gt;",nValue=0,},},},},</v>
      </c>
    </row>
    <row r="117" spans="1:24">
      <c r="C117">
        <v>7605</v>
      </c>
      <c r="D117">
        <v>47</v>
      </c>
      <c r="I117" t="s">
        <v>1788</v>
      </c>
      <c r="J117" s="9" t="s">
        <v>643</v>
      </c>
      <c r="P117">
        <v>1</v>
      </c>
      <c r="U117" t="s">
        <v>1787</v>
      </c>
      <c r="V117" t="str">
        <f t="shared" si="1"/>
        <v>{dwID=7605,nFrame=47,szNote="何非笑",col={255,120,31,},[3]={bScreenHead=true,},[4]={},aFocus={{dwMapID=-1,szDisplay="何非笑·阵营前置",nMaxDistance=10,tRelation={bAll=false,bEnemy=false,bAlly=true,},tLife={bEnable=false,szOperator="&gt;",nValue=0,},},},},</v>
      </c>
    </row>
    <row r="118" spans="1:24">
      <c r="C118">
        <v>105586</v>
      </c>
      <c r="D118">
        <v>47</v>
      </c>
      <c r="I118" t="s">
        <v>1750</v>
      </c>
      <c r="J118" t="s">
        <v>1594</v>
      </c>
      <c r="P118">
        <v>1</v>
      </c>
      <c r="U118" t="s">
        <v>1751</v>
      </c>
      <c r="V118"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7779</v>
      </c>
      <c r="D119">
        <v>47</v>
      </c>
      <c r="I119" t="s">
        <v>1789</v>
      </c>
      <c r="J119" t="s">
        <v>1594</v>
      </c>
      <c r="P119">
        <v>1</v>
      </c>
      <c r="U119" t="s">
        <v>1751</v>
      </c>
      <c r="V119"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16900</v>
      </c>
      <c r="D120">
        <v>47</v>
      </c>
      <c r="I120" t="s">
        <v>1752</v>
      </c>
      <c r="J120" t="s">
        <v>1594</v>
      </c>
      <c r="P120">
        <v>1</v>
      </c>
      <c r="U120" t="s">
        <v>1751</v>
      </c>
      <c r="V120"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105828</v>
      </c>
      <c r="D121">
        <v>47</v>
      </c>
      <c r="I121" t="s">
        <v>1753</v>
      </c>
      <c r="J121" t="s">
        <v>1594</v>
      </c>
      <c r="P121">
        <v>1</v>
      </c>
      <c r="U121" t="s">
        <v>1751</v>
      </c>
      <c r="V121"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105789</v>
      </c>
      <c r="D122">
        <v>47</v>
      </c>
      <c r="I122" t="s">
        <v>1754</v>
      </c>
      <c r="J122" t="s">
        <v>1594</v>
      </c>
      <c r="P122">
        <v>1</v>
      </c>
      <c r="U122" t="s">
        <v>1751</v>
      </c>
      <c r="V122"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7777</v>
      </c>
      <c r="D123">
        <v>47</v>
      </c>
      <c r="I123" t="s">
        <v>1755</v>
      </c>
      <c r="J123" t="s">
        <v>1594</v>
      </c>
      <c r="P123">
        <v>1</v>
      </c>
      <c r="U123" t="s">
        <v>1751</v>
      </c>
      <c r="V123"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16899</v>
      </c>
      <c r="D124">
        <v>47</v>
      </c>
      <c r="I124" t="s">
        <v>1755</v>
      </c>
      <c r="J124" t="s">
        <v>1594</v>
      </c>
      <c r="P124">
        <v>1</v>
      </c>
      <c r="U124" t="s">
        <v>1751</v>
      </c>
      <c r="V124"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7783</v>
      </c>
      <c r="D125">
        <v>47</v>
      </c>
      <c r="I125" t="s">
        <v>1757</v>
      </c>
      <c r="J125" t="s">
        <v>1594</v>
      </c>
      <c r="P125">
        <v>1</v>
      </c>
      <c r="U125" t="s">
        <v>1751</v>
      </c>
      <c r="V12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16902</v>
      </c>
      <c r="D126">
        <v>47</v>
      </c>
      <c r="I126" t="s">
        <v>1757</v>
      </c>
      <c r="J126" t="s">
        <v>1594</v>
      </c>
      <c r="P126">
        <v>1</v>
      </c>
      <c r="U126" t="s">
        <v>1751</v>
      </c>
      <c r="V12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7766</v>
      </c>
      <c r="D127">
        <v>47</v>
      </c>
      <c r="I127" t="s">
        <v>1758</v>
      </c>
      <c r="J127" t="s">
        <v>1594</v>
      </c>
      <c r="P127">
        <v>1</v>
      </c>
      <c r="U127" t="s">
        <v>1751</v>
      </c>
      <c r="V12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16893</v>
      </c>
      <c r="D128">
        <v>47</v>
      </c>
      <c r="I128" t="s">
        <v>1758</v>
      </c>
      <c r="J128" t="s">
        <v>1594</v>
      </c>
      <c r="P128">
        <v>1</v>
      </c>
      <c r="U128" t="s">
        <v>1751</v>
      </c>
      <c r="V12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7786</v>
      </c>
      <c r="D129">
        <v>47</v>
      </c>
      <c r="I129" t="s">
        <v>1790</v>
      </c>
      <c r="J129" t="s">
        <v>1594</v>
      </c>
      <c r="P129">
        <v>1</v>
      </c>
      <c r="U129" t="s">
        <v>1751</v>
      </c>
      <c r="V129"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105585</v>
      </c>
      <c r="D130">
        <v>47</v>
      </c>
      <c r="I130" t="s">
        <v>1791</v>
      </c>
      <c r="J130" t="s">
        <v>1594</v>
      </c>
      <c r="P130">
        <v>1</v>
      </c>
      <c r="U130" t="s">
        <v>1751</v>
      </c>
      <c r="V130"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16898</v>
      </c>
      <c r="D131">
        <v>47</v>
      </c>
      <c r="I131" t="s">
        <v>1760</v>
      </c>
      <c r="J131" t="s">
        <v>1594</v>
      </c>
      <c r="P131">
        <v>1</v>
      </c>
      <c r="U131" t="s">
        <v>1751</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106924</v>
      </c>
      <c r="D132">
        <v>47</v>
      </c>
      <c r="I132" t="s">
        <v>1761</v>
      </c>
      <c r="J132" t="s">
        <v>1594</v>
      </c>
      <c r="P132">
        <v>1</v>
      </c>
      <c r="U132" t="s">
        <v>1751</v>
      </c>
      <c r="V132"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7770</v>
      </c>
      <c r="D133">
        <v>47</v>
      </c>
      <c r="I133" t="s">
        <v>1762</v>
      </c>
      <c r="J133" t="s">
        <v>1594</v>
      </c>
      <c r="P133">
        <v>1</v>
      </c>
      <c r="U133" t="s">
        <v>1751</v>
      </c>
      <c r="V133"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16896</v>
      </c>
      <c r="D134">
        <v>47</v>
      </c>
      <c r="I134" t="s">
        <v>1762</v>
      </c>
      <c r="J134" t="s">
        <v>1594</v>
      </c>
      <c r="P134">
        <v>1</v>
      </c>
      <c r="U134" t="s">
        <v>1751</v>
      </c>
      <c r="V134"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7767</v>
      </c>
      <c r="D135">
        <v>47</v>
      </c>
      <c r="I135" t="s">
        <v>1763</v>
      </c>
      <c r="J135" t="s">
        <v>1594</v>
      </c>
      <c r="P135">
        <v>1</v>
      </c>
      <c r="U135" t="s">
        <v>1751</v>
      </c>
      <c r="V135"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16894</v>
      </c>
      <c r="D136">
        <v>47</v>
      </c>
      <c r="I136" t="s">
        <v>1763</v>
      </c>
      <c r="J136" t="s">
        <v>1594</v>
      </c>
      <c r="P136">
        <v>1</v>
      </c>
      <c r="U136" t="s">
        <v>1751</v>
      </c>
      <c r="V1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105770</v>
      </c>
      <c r="D137">
        <v>47</v>
      </c>
      <c r="I137" t="s">
        <v>1764</v>
      </c>
      <c r="J137" t="s">
        <v>1594</v>
      </c>
      <c r="K137" t="s">
        <v>1742</v>
      </c>
      <c r="P137">
        <v>1</v>
      </c>
      <c r="U137" t="s">
        <v>1751</v>
      </c>
      <c r="V137"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105701</v>
      </c>
      <c r="D138">
        <v>47</v>
      </c>
      <c r="I138" t="s">
        <v>1765</v>
      </c>
      <c r="J138" t="s">
        <v>1594</v>
      </c>
      <c r="K138" t="s">
        <v>1742</v>
      </c>
      <c r="P138">
        <v>1</v>
      </c>
      <c r="U138" t="s">
        <v>1751</v>
      </c>
      <c r="V138"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105800</v>
      </c>
      <c r="D139">
        <v>47</v>
      </c>
      <c r="I139" t="s">
        <v>1766</v>
      </c>
      <c r="J139" t="s">
        <v>1594</v>
      </c>
      <c r="K139" t="s">
        <v>1742</v>
      </c>
      <c r="P139">
        <v>1</v>
      </c>
      <c r="U139" t="s">
        <v>1751</v>
      </c>
      <c r="V139"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7784</v>
      </c>
      <c r="D140">
        <v>47</v>
      </c>
      <c r="I140" t="s">
        <v>1767</v>
      </c>
      <c r="J140" t="s">
        <v>1594</v>
      </c>
      <c r="K140" t="s">
        <v>1742</v>
      </c>
      <c r="P140">
        <v>1</v>
      </c>
      <c r="U140" t="s">
        <v>1751</v>
      </c>
      <c r="V140"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105673</v>
      </c>
      <c r="D141">
        <v>47</v>
      </c>
      <c r="I141" t="s">
        <v>1768</v>
      </c>
      <c r="J141" t="s">
        <v>1594</v>
      </c>
      <c r="K141" t="s">
        <v>1742</v>
      </c>
      <c r="P141">
        <v>1</v>
      </c>
      <c r="U141" t="s">
        <v>1751</v>
      </c>
      <c r="V141"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105801</v>
      </c>
      <c r="D142">
        <v>47</v>
      </c>
      <c r="I142" t="s">
        <v>1769</v>
      </c>
      <c r="J142" t="s">
        <v>1594</v>
      </c>
      <c r="K142" t="s">
        <v>1742</v>
      </c>
      <c r="P142">
        <v>1</v>
      </c>
      <c r="U142" t="s">
        <v>1751</v>
      </c>
      <c r="V142"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105790</v>
      </c>
      <c r="D143">
        <v>47</v>
      </c>
      <c r="I143" t="s">
        <v>1770</v>
      </c>
      <c r="J143" t="s">
        <v>1594</v>
      </c>
      <c r="K143" t="s">
        <v>1742</v>
      </c>
      <c r="P143">
        <v>1</v>
      </c>
      <c r="U143" t="s">
        <v>1751</v>
      </c>
      <c r="V143"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105791</v>
      </c>
      <c r="D144">
        <v>47</v>
      </c>
      <c r="I144" t="s">
        <v>1792</v>
      </c>
      <c r="J144" t="s">
        <v>1594</v>
      </c>
      <c r="K144" t="s">
        <v>1742</v>
      </c>
      <c r="P144">
        <v>1</v>
      </c>
      <c r="U144" t="s">
        <v>1751</v>
      </c>
      <c r="V144"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105700</v>
      </c>
      <c r="D145">
        <v>47</v>
      </c>
      <c r="I145" t="s">
        <v>1793</v>
      </c>
      <c r="J145" t="s">
        <v>1594</v>
      </c>
      <c r="K145" t="s">
        <v>1742</v>
      </c>
      <c r="P145">
        <v>1</v>
      </c>
      <c r="U145" t="s">
        <v>1751</v>
      </c>
      <c r="V145"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105802</v>
      </c>
      <c r="D146">
        <v>47</v>
      </c>
      <c r="I146" t="s">
        <v>1773</v>
      </c>
      <c r="J146" t="s">
        <v>1594</v>
      </c>
      <c r="K146" t="s">
        <v>1742</v>
      </c>
      <c r="P146">
        <v>1</v>
      </c>
      <c r="U146" t="s">
        <v>1751</v>
      </c>
      <c r="V14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16897</v>
      </c>
      <c r="D147">
        <v>47</v>
      </c>
      <c r="I147" t="s">
        <v>1774</v>
      </c>
      <c r="J147" t="s">
        <v>1594</v>
      </c>
      <c r="K147" t="s">
        <v>1742</v>
      </c>
      <c r="P147">
        <v>1</v>
      </c>
      <c r="U147" t="s">
        <v>1751</v>
      </c>
      <c r="V147"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105627</v>
      </c>
      <c r="D148">
        <v>47</v>
      </c>
      <c r="I148" t="s">
        <v>1775</v>
      </c>
      <c r="J148" t="s">
        <v>1594</v>
      </c>
      <c r="K148" t="s">
        <v>1742</v>
      </c>
      <c r="P148">
        <v>1</v>
      </c>
      <c r="U148" t="s">
        <v>1751</v>
      </c>
      <c r="V148"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6233</v>
      </c>
      <c r="D149">
        <v>47</v>
      </c>
      <c r="I149" t="s">
        <v>1776</v>
      </c>
      <c r="J149" t="s">
        <v>1594</v>
      </c>
      <c r="P149">
        <v>1</v>
      </c>
      <c r="U149" t="s">
        <v>1751</v>
      </c>
      <c r="V149"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49" t="s">
        <v>1777</v>
      </c>
      <c r="X149" t="s">
        <v>1778</v>
      </c>
    </row>
    <row r="150" spans="1:24">
      <c r="C150">
        <v>8956</v>
      </c>
      <c r="D150">
        <v>47</v>
      </c>
      <c r="I150" t="s">
        <v>1779</v>
      </c>
      <c r="J150" t="s">
        <v>1594</v>
      </c>
      <c r="P150">
        <v>1</v>
      </c>
      <c r="U150" t="s">
        <v>1751</v>
      </c>
      <c r="V150"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0" t="s">
        <v>1777</v>
      </c>
      <c r="X150" t="s">
        <v>1778</v>
      </c>
    </row>
    <row r="151" spans="1:24">
      <c r="C151">
        <v>8955</v>
      </c>
      <c r="D151">
        <v>47</v>
      </c>
      <c r="I151" t="s">
        <v>1780</v>
      </c>
      <c r="J151" t="s">
        <v>1594</v>
      </c>
      <c r="P151">
        <v>1</v>
      </c>
      <c r="U151" t="s">
        <v>1751</v>
      </c>
      <c r="V151"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1777</v>
      </c>
      <c r="X151" t="s">
        <v>1778</v>
      </c>
    </row>
    <row r="152" spans="1:24">
      <c r="C152">
        <v>8957</v>
      </c>
      <c r="D152">
        <v>47</v>
      </c>
      <c r="I152" t="s">
        <v>1781</v>
      </c>
      <c r="J152" t="s">
        <v>1594</v>
      </c>
      <c r="P152">
        <v>1</v>
      </c>
      <c r="U152" t="s">
        <v>1751</v>
      </c>
      <c r="V152"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1777</v>
      </c>
      <c r="X152" t="s">
        <v>1778</v>
      </c>
    </row>
    <row r="153" spans="1:24">
      <c r="C153">
        <v>17234</v>
      </c>
      <c r="D153">
        <v>47</v>
      </c>
      <c r="I153" t="s">
        <v>1782</v>
      </c>
      <c r="J153" t="s">
        <v>1594</v>
      </c>
      <c r="P153">
        <v>1</v>
      </c>
      <c r="U153" t="s">
        <v>1751</v>
      </c>
      <c r="V153"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1777</v>
      </c>
      <c r="X153" t="s">
        <v>1778</v>
      </c>
    </row>
    <row r="154" spans="1:24">
      <c r="C154">
        <v>17233</v>
      </c>
      <c r="D154">
        <v>47</v>
      </c>
      <c r="I154" t="s">
        <v>1783</v>
      </c>
      <c r="J154" t="s">
        <v>1594</v>
      </c>
      <c r="P154">
        <v>1</v>
      </c>
      <c r="U154" t="s">
        <v>1751</v>
      </c>
      <c r="V154"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1777</v>
      </c>
      <c r="X154" t="s">
        <v>1778</v>
      </c>
    </row>
    <row r="155" spans="1:24">
      <c r="C155">
        <v>17236</v>
      </c>
      <c r="D155">
        <v>47</v>
      </c>
      <c r="I155" t="s">
        <v>1784</v>
      </c>
      <c r="J155" t="s">
        <v>1594</v>
      </c>
      <c r="P155">
        <v>1</v>
      </c>
      <c r="U155" t="s">
        <v>1751</v>
      </c>
      <c r="V155"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1777</v>
      </c>
      <c r="X155" t="s">
        <v>1778</v>
      </c>
    </row>
    <row r="156" spans="1:24">
      <c r="C156">
        <v>17235</v>
      </c>
      <c r="D156">
        <v>47</v>
      </c>
      <c r="I156" t="s">
        <v>1785</v>
      </c>
      <c r="J156" t="s">
        <v>1594</v>
      </c>
      <c r="P156">
        <v>1</v>
      </c>
      <c r="U156" t="s">
        <v>1751</v>
      </c>
      <c r="V15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1777</v>
      </c>
      <c r="X156" t="s">
        <v>1778</v>
      </c>
    </row>
    <row r="157" spans="1:24">
      <c r="A157" t="s">
        <v>683</v>
      </c>
      <c r="B157">
        <v>22</v>
      </c>
      <c r="V157" t="str">
        <f t="shared" si="2"/>
        <v>},[22]={</v>
      </c>
    </row>
    <row r="158" spans="1:24">
      <c r="C158">
        <v>7605</v>
      </c>
      <c r="D158">
        <v>47</v>
      </c>
      <c r="I158" t="s">
        <v>1794</v>
      </c>
      <c r="J158" s="9" t="s">
        <v>643</v>
      </c>
      <c r="P158">
        <v>1</v>
      </c>
      <c r="U158" t="s">
        <v>1795</v>
      </c>
      <c r="V158" t="str">
        <f t="shared" si="2"/>
        <v>{dwID=7605,nFrame=47,szNote="何非笑·阵营前置",col={255,120,31,},[3]={bScreenHead=true,},[4]={},aFocus={{dwMapID=-1,szDisplay="何非笑·阵营前置",nMaxDistance=0,tRelation={bAll=false,bEnemy=false,bAlly=true,},tLife={bEnable=false,szOperator="&gt;",nValue=0,},},},},</v>
      </c>
    </row>
    <row r="159" spans="1:24">
      <c r="C159">
        <v>7606</v>
      </c>
      <c r="D159">
        <v>47</v>
      </c>
      <c r="I159" t="s">
        <v>1796</v>
      </c>
      <c r="J159" s="10" t="s">
        <v>648</v>
      </c>
      <c r="P159">
        <v>1</v>
      </c>
      <c r="U159" t="s">
        <v>1797</v>
      </c>
      <c r="V159" t="str">
        <f t="shared" si="2"/>
        <v>{dwID=7606,nFrame=47,szNote="王洵·阵营前置",col={31,230,255,},[3]={bScreenHead=true,},[4]={},aFocus={{dwMapID=-1,szDisplay="王洵·阵营前置",nMaxDistance=20,tRelation={bAll=false,bEnemy=false,bAlly=true,},tLife={bEnable=false,szOperator="&gt;",nValue=0,},},},},</v>
      </c>
    </row>
    <row r="160" spans="1:24">
      <c r="C160">
        <v>64733</v>
      </c>
      <c r="D160">
        <v>52</v>
      </c>
      <c r="I160" t="s">
        <v>1798</v>
      </c>
      <c r="P160">
        <v>1</v>
      </c>
      <c r="U160" t="s">
        <v>1799</v>
      </c>
      <c r="V160" t="str">
        <f t="shared" si="2"/>
        <v>{dwID=64733,nFrame=52,szNote="浩气牛车",[3]={bScreenHead=true,},[4]={},aFocus={{dwMapID=-1,szDisplay="浩气牛车·粮草先行",nMaxDistance=0,tRelation={bAll=true,bEnemy=false,bAlly=false,},tLife={bEnable=false,szOperator="&gt;",nValue=0,},},},},</v>
      </c>
    </row>
    <row r="161" spans="1:24">
      <c r="C161">
        <v>64732</v>
      </c>
      <c r="D161">
        <v>52</v>
      </c>
      <c r="I161" t="s">
        <v>1800</v>
      </c>
      <c r="P161">
        <v>1</v>
      </c>
      <c r="U161" t="s">
        <v>1801</v>
      </c>
      <c r="V161" t="str">
        <f t="shared" si="2"/>
        <v>{dwID=64732,nFrame=52,szNote="恶人牛车",[3]={bScreenHead=true,},[4]={},aFocus={{dwMapID=-1,szDisplay="恶人牛车·粮草先行",nMaxDistance=0,tRelation={bAll=true,bEnemy=false,bAlly=false,},tLife={bEnable=false,szOperator="&gt;",nValue=0,},},},},</v>
      </c>
    </row>
    <row r="162" spans="1:24">
      <c r="C162">
        <v>64731</v>
      </c>
      <c r="D162">
        <v>47</v>
      </c>
      <c r="I162" t="s">
        <v>1802</v>
      </c>
      <c r="P162">
        <v>1</v>
      </c>
      <c r="U162" t="s">
        <v>1803</v>
      </c>
      <c r="V162" t="str">
        <f t="shared" si="2"/>
        <v>{dwID=64731,nFrame=47,szNote="管良沧·粮草先行",[3]={bScreenHead=true,},[4]={},aFocus={{dwMapID=-1,szDisplay="管良沧·粮草先行",nMaxDistance=60,tRelation={bAll=false,bEnemy=false,bAlly=true,},tLife={bEnable=false,szOperator="&gt;",nValue=0,},},},},</v>
      </c>
    </row>
    <row r="163" spans="1:24">
      <c r="C163">
        <v>64730</v>
      </c>
      <c r="D163">
        <v>47</v>
      </c>
      <c r="I163" t="s">
        <v>1804</v>
      </c>
      <c r="P163">
        <v>1</v>
      </c>
      <c r="U163" t="s">
        <v>1805</v>
      </c>
      <c r="V163" t="str">
        <f t="shared" si="2"/>
        <v>{dwID=64730,nFrame=47,szNote="苏才寥·粮草先行",[3]={bScreenHead=true,},[4]={},aFocus={{dwMapID=-1,szDisplay="苏才寥·粮草先行",nMaxDistance=60,tRelation={bAll=false,bEnemy=false,bAlly=true,},tLife={bEnable=false,szOperator="&gt;",nValue=0,},},},},</v>
      </c>
    </row>
    <row r="164" spans="1:24">
      <c r="C164">
        <v>1317</v>
      </c>
      <c r="D164">
        <v>47</v>
      </c>
      <c r="I164" t="s">
        <v>1806</v>
      </c>
      <c r="P164">
        <v>1</v>
      </c>
      <c r="U164" t="s">
        <v>1807</v>
      </c>
      <c r="V164" t="str">
        <f t="shared" si="2"/>
        <v>{dwID=1317,nFrame=47,szNote="左破天",[3]={bScreenHead=true,},[4]={},aFocus={{dwMapID=-1,szDisplay="左破天·阵营前置",nMaxDistance=0,tRelation={bAll=true,bEnemy=false,bAlly=false,},tLife={bEnable=false,szOperator="&gt;",nValue=0,},},},tCountdown={{nClass=12,nIcon=13,nFrame=4,szName="左破天·刷新剩余",nTime=10.1,},},},</v>
      </c>
      <c r="W164" t="s">
        <v>1808</v>
      </c>
    </row>
    <row r="165" spans="1:24">
      <c r="C165">
        <v>1308</v>
      </c>
      <c r="D165">
        <v>47</v>
      </c>
      <c r="I165" t="s">
        <v>1809</v>
      </c>
      <c r="P165">
        <v>1</v>
      </c>
      <c r="U165" t="s">
        <v>1810</v>
      </c>
      <c r="V165" t="str">
        <f t="shared" si="2"/>
        <v>{dwID=1308,nFrame=47,szNote="郭海宾",[3]={bScreenHead=true,},[4]={},aFocus={{dwMapID=-1,szDisplay="郭海宾·阵营前置",nMaxDistance=0,tRelation={bAll=true,bEnemy=false,bAlly=false,},tLife={bEnable=false,szOperator="&gt;",nValue=0,},},},tCountdown={{nClass=12,nIcon=13,nFrame=4,szName="郭海宾·刷新剩余",nTime=10.1,},},},</v>
      </c>
      <c r="W165" t="s">
        <v>1811</v>
      </c>
    </row>
    <row r="166" spans="1:24">
      <c r="C166">
        <v>6220</v>
      </c>
      <c r="D166">
        <v>47</v>
      </c>
      <c r="I166" t="s">
        <v>1812</v>
      </c>
      <c r="P166">
        <v>1</v>
      </c>
      <c r="U166" t="s">
        <v>1813</v>
      </c>
      <c r="V166" t="str">
        <f t="shared" si="2"/>
        <v>{dwID=6220,nFrame=47,szNote="赵新宇·阵营前置",[3]={bScreenHead=true,},[4]={},aFocus={{dwMapID=-1,szDisplay="赵新宇·阵营前置",nMaxDistance=0,tRelation={bAll=true,bEnemy=false,bAlly=false,},tLife={bEnable=false,szOperator="&gt;",nValue=0,},},},},</v>
      </c>
    </row>
    <row r="167" spans="1:24">
      <c r="C167">
        <v>6219</v>
      </c>
      <c r="D167">
        <v>47</v>
      </c>
      <c r="I167" t="s">
        <v>1814</v>
      </c>
      <c r="P167">
        <v>1</v>
      </c>
      <c r="U167" t="s">
        <v>1815</v>
      </c>
      <c r="V167" t="str">
        <f t="shared" si="2"/>
        <v>{dwID=6219,nFrame=47,szNote="方超·阵营前置",[3]={bScreenHead=true,},[4]={},aFocus={{dwMapID=-1,szDisplay="方超·阵营前置",nMaxDistance=0,tRelation={bAll=true,bEnemy=false,bAlly=false,},tLife={bEnable=false,szOperator="&gt;",nValue=0,},},},},</v>
      </c>
    </row>
    <row r="168" customFormat="1" spans="1:24">
      <c r="C168">
        <v>59845</v>
      </c>
      <c r="D168">
        <v>47</v>
      </c>
      <c r="I168" s="5" t="s">
        <v>1816</v>
      </c>
      <c r="J168" s="10" t="s">
        <v>648</v>
      </c>
      <c r="P168">
        <v>1</v>
      </c>
      <c r="V168" t="str">
        <f t="shared" si="2"/>
        <v>{dwID=59845,nFrame=47,szNote="浩气盟精锐队长",col={31,230,255,},[3]={bScreenHead=true,},[4]={},},</v>
      </c>
    </row>
    <row r="169" spans="1:24">
      <c r="C169">
        <v>36413</v>
      </c>
      <c r="D169">
        <v>52</v>
      </c>
      <c r="I169" t="s">
        <v>1817</v>
      </c>
      <c r="J169" t="s">
        <v>1475</v>
      </c>
      <c r="U169" t="s">
        <v>1818</v>
      </c>
      <c r="V169"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69" t="s">
        <v>1819</v>
      </c>
      <c r="X169" t="s">
        <v>1820</v>
      </c>
    </row>
    <row r="170" spans="1:24">
      <c r="A170" t="s">
        <v>706</v>
      </c>
      <c r="B170">
        <v>30</v>
      </c>
      <c r="V170" t="str">
        <f t="shared" si="2"/>
        <v>},[30]={</v>
      </c>
    </row>
    <row r="171" spans="1:24">
      <c r="C171">
        <v>7604</v>
      </c>
      <c r="D171">
        <v>47</v>
      </c>
      <c r="I171" t="s">
        <v>1794</v>
      </c>
      <c r="J171" s="9" t="s">
        <v>643</v>
      </c>
      <c r="P171">
        <v>1</v>
      </c>
      <c r="U171" t="s">
        <v>1821</v>
      </c>
      <c r="V171" t="str">
        <f t="shared" si="2"/>
        <v>{dwID=7604,nFrame=47,szNote="何非笑·阵营前置",col={255,120,31,},[3]={bScreenHead=true,},[4]={},aFocus={{dwMapID=-1,szDisplay="何非笑·阵营前置",nMaxDistance=60,tRelation={bAll=false,bEnemy=false,bAlly=true,},tLife={bEnable=false,szOperator="&gt;",nValue=0,},},},},</v>
      </c>
    </row>
    <row r="172" spans="1:24">
      <c r="C172">
        <v>7607</v>
      </c>
      <c r="D172">
        <v>47</v>
      </c>
      <c r="I172" t="s">
        <v>1796</v>
      </c>
      <c r="J172" s="10" t="s">
        <v>648</v>
      </c>
      <c r="P172">
        <v>1</v>
      </c>
      <c r="U172" t="s">
        <v>1822</v>
      </c>
      <c r="V172" t="str">
        <f t="shared" si="2"/>
        <v>{dwID=7607,nFrame=47,szNote="王洵·阵营前置",col={31,230,255,},[3]={bScreenHead=true,},[4]={},aFocus={{dwMapID=-1,szDisplay="王洵·阵营前置",nMaxDistance=60,tRelation={bAll=false,bEnemy=false,bAlly=true,},tLife={bEnable=false,szOperator="&gt;",nValue=0,},},},},</v>
      </c>
    </row>
    <row r="173" spans="1:24">
      <c r="C173">
        <v>64733</v>
      </c>
      <c r="D173">
        <v>52</v>
      </c>
      <c r="I173" t="s">
        <v>1798</v>
      </c>
      <c r="P173">
        <v>1</v>
      </c>
      <c r="U173" t="s">
        <v>1799</v>
      </c>
      <c r="V173" t="str">
        <f t="shared" si="2"/>
        <v>{dwID=64733,nFrame=52,szNote="浩气牛车",[3]={bScreenHead=true,},[4]={},aFocus={{dwMapID=-1,szDisplay="浩气牛车·粮草先行",nMaxDistance=0,tRelation={bAll=true,bEnemy=false,bAlly=false,},tLife={bEnable=false,szOperator="&gt;",nValue=0,},},},},</v>
      </c>
    </row>
    <row r="174" spans="1:24">
      <c r="C174">
        <v>64732</v>
      </c>
      <c r="D174">
        <v>52</v>
      </c>
      <c r="I174" t="s">
        <v>1800</v>
      </c>
      <c r="P174">
        <v>1</v>
      </c>
      <c r="U174" t="s">
        <v>1801</v>
      </c>
      <c r="V174" t="str">
        <f t="shared" si="2"/>
        <v>{dwID=64732,nFrame=52,szNote="恶人牛车",[3]={bScreenHead=true,},[4]={},aFocus={{dwMapID=-1,szDisplay="恶人牛车·粮草先行",nMaxDistance=0,tRelation={bAll=true,bEnemy=false,bAlly=false,},tLife={bEnable=false,szOperator="&gt;",nValue=0,},},},},</v>
      </c>
    </row>
    <row r="175" spans="1:24">
      <c r="C175">
        <v>64731</v>
      </c>
      <c r="D175">
        <v>47</v>
      </c>
      <c r="I175" t="s">
        <v>1802</v>
      </c>
      <c r="P175">
        <v>1</v>
      </c>
      <c r="U175" t="s">
        <v>1803</v>
      </c>
      <c r="V175" t="str">
        <f t="shared" si="2"/>
        <v>{dwID=64731,nFrame=47,szNote="管良沧·粮草先行",[3]={bScreenHead=true,},[4]={},aFocus={{dwMapID=-1,szDisplay="管良沧·粮草先行",nMaxDistance=60,tRelation={bAll=false,bEnemy=false,bAlly=true,},tLife={bEnable=false,szOperator="&gt;",nValue=0,},},},},</v>
      </c>
    </row>
    <row r="176" spans="1:24">
      <c r="C176">
        <v>64730</v>
      </c>
      <c r="D176">
        <v>47</v>
      </c>
      <c r="I176" t="s">
        <v>1804</v>
      </c>
      <c r="P176">
        <v>1</v>
      </c>
      <c r="U176" t="s">
        <v>1805</v>
      </c>
      <c r="V176" t="str">
        <f t="shared" si="2"/>
        <v>{dwID=64730,nFrame=47,szNote="苏才寥·粮草先行",[3]={bScreenHead=true,},[4]={},aFocus={{dwMapID=-1,szDisplay="苏才寥·粮草先行",nMaxDistance=60,tRelation={bAll=false,bEnemy=false,bAlly=true,},tLife={bEnable=false,szOperator="&gt;",nValue=0,},},},},</v>
      </c>
    </row>
    <row r="177" spans="3:24">
      <c r="C177">
        <v>1215</v>
      </c>
      <c r="D177">
        <v>47</v>
      </c>
      <c r="I177" t="s">
        <v>1823</v>
      </c>
      <c r="P177">
        <v>1</v>
      </c>
      <c r="U177" t="s">
        <v>1824</v>
      </c>
      <c r="V177" t="str">
        <f t="shared" si="2"/>
        <v>{dwID=1215,nFrame=47,szNote="于成仇",[3]={bScreenHead=true,},[4]={},aFocus={{dwMapID=-1,nMaxDistance=0,tRelation={bAll=false,bEnemy=true,bAlly=false,},tLife={bEnable=false,szOperator="&gt;",nValue=0,},},},tCountdown={{nClass=12,nIcon=13,nFrame=4,szName="于成仇·刷新剩余",nTime=10.1,},},},</v>
      </c>
      <c r="W177" t="s">
        <v>1825</v>
      </c>
    </row>
    <row r="178" spans="3:24">
      <c r="C178">
        <v>1217</v>
      </c>
      <c r="D178">
        <v>47</v>
      </c>
      <c r="I178" t="s">
        <v>1826</v>
      </c>
      <c r="P178">
        <v>1</v>
      </c>
      <c r="U178" t="s">
        <v>1824</v>
      </c>
      <c r="V178" t="str">
        <f t="shared" si="2"/>
        <v>{dwID=1217,nFrame=47,szNote="阎世通",[3]={bScreenHead=true,},[4]={},aFocus={{dwMapID=-1,nMaxDistance=0,tRelation={bAll=false,bEnemy=true,bAlly=false,},tLife={bEnable=false,szOperator="&gt;",nValue=0,},},},tCountdown={{nClass=12,nIcon=13,nFrame=4,szName="阎世通·刷新剩余",nTime=10.1,},},},</v>
      </c>
      <c r="W178" t="s">
        <v>1827</v>
      </c>
    </row>
    <row r="179" spans="3:24">
      <c r="C179">
        <v>6222</v>
      </c>
      <c r="D179">
        <v>47</v>
      </c>
      <c r="I179" t="s">
        <v>1828</v>
      </c>
      <c r="P179">
        <v>1</v>
      </c>
      <c r="U179" t="s">
        <v>1829</v>
      </c>
      <c r="V179" t="str">
        <f t="shared" si="2"/>
        <v>{dwID=6222,nFrame=47,szNote="霸图·阵营前置",[3]={bScreenHead=true,},[4]={},aFocus={{dwMapID=-1,szDisplay="霸图·阵营前置",nMaxDistance=0,tRelation={bAll=true,bEnemy=false,bAlly=false,},tLife={bEnable=false,szOperator="&gt;",nValue=0,},},},},</v>
      </c>
    </row>
    <row r="180" spans="3:24">
      <c r="C180">
        <v>6221</v>
      </c>
      <c r="D180">
        <v>47</v>
      </c>
      <c r="I180" t="s">
        <v>1830</v>
      </c>
      <c r="P180">
        <v>1</v>
      </c>
      <c r="U180" t="s">
        <v>1831</v>
      </c>
      <c r="V180" t="str">
        <f t="shared" si="2"/>
        <v>{dwID=6221,nFrame=47,szNote="孙永恒·阵营前置",[3]={bScreenHead=true,},[4]={},aFocus={{dwMapID=-1,szDisplay="孙永恒·阵营前置",nMaxDistance=0,tRelation={bAll=true,bEnemy=false,bAlly=false,},tLife={bEnable=false,szOperator="&gt;",nValue=0,},},},},</v>
      </c>
    </row>
    <row r="181" spans="3:24">
      <c r="C181">
        <v>5656</v>
      </c>
      <c r="D181">
        <v>47</v>
      </c>
      <c r="I181" t="s">
        <v>1832</v>
      </c>
      <c r="J181" t="s">
        <v>1475</v>
      </c>
      <c r="P181">
        <v>1</v>
      </c>
      <c r="U181" t="s">
        <v>1833</v>
      </c>
      <c r="V181" t="str">
        <f t="shared" si="2"/>
        <v>{dwID=5656,nFrame=47,szNote="长乐坊村民",col={0,255,0,},[3]={bScreenHead=true,},[4]={},aFocus={{dwMapID=-1,nMaxDistance=35,tRelation={bAll=false,bEnemy=false,bAlly=true,},tLife={bEnable=true,szOperator="==",nValue=100,},},},},</v>
      </c>
    </row>
    <row r="182" spans="3:24">
      <c r="C182">
        <v>1193</v>
      </c>
      <c r="D182">
        <v>47</v>
      </c>
      <c r="I182" t="s">
        <v>1834</v>
      </c>
      <c r="J182" t="s">
        <v>1475</v>
      </c>
      <c r="P182">
        <v>1</v>
      </c>
      <c r="U182" t="s">
        <v>1835</v>
      </c>
      <c r="V182" t="str">
        <f t="shared" si="2"/>
        <v>{dwID=1193,nFrame=47,szNote="被虏的江湖人士",col={0,255,0,},[3]={bScreenHead=true,},[4]={},aFocus={{dwMapID=-1,nMaxDistance=3,tRelation={bAll=false,bEnemy=false,bAlly=true,},tLife={bEnable=false,szOperator="&gt;",nValue=0,},},},},</v>
      </c>
    </row>
    <row r="183" customFormat="1" spans="3:24">
      <c r="C183">
        <v>59858</v>
      </c>
      <c r="D183">
        <v>47</v>
      </c>
      <c r="I183" s="5" t="s">
        <v>1836</v>
      </c>
      <c r="J183" s="9" t="s">
        <v>643</v>
      </c>
      <c r="P183">
        <v>1</v>
      </c>
      <c r="V183" t="str">
        <f t="shared" si="2"/>
        <v>{dwID=59858,nFrame=47,szNote="恶人谷精锐队长",col={255,120,31,},[3]={bScreenHead=true,},[4]={},},</v>
      </c>
    </row>
    <row r="184" spans="3:24">
      <c r="C184">
        <v>36412</v>
      </c>
      <c r="D184">
        <v>52</v>
      </c>
      <c r="I184" t="s">
        <v>1837</v>
      </c>
      <c r="J184" t="s">
        <v>1475</v>
      </c>
      <c r="U184" t="s">
        <v>1838</v>
      </c>
      <c r="V184"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4" t="s">
        <v>1839</v>
      </c>
      <c r="X184" t="s">
        <v>1840</v>
      </c>
    </row>
    <row r="185" customFormat="1" spans="3:24">
      <c r="C185">
        <v>30041</v>
      </c>
      <c r="D185">
        <v>52</v>
      </c>
      <c r="I185" t="s">
        <v>1841</v>
      </c>
      <c r="U185" t="s">
        <v>1687</v>
      </c>
      <c r="V185"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1688</v>
      </c>
    </row>
    <row r="186" customFormat="1" spans="3:24">
      <c r="C186">
        <v>29801</v>
      </c>
      <c r="D186">
        <v>52</v>
      </c>
      <c r="I186" t="s">
        <v>1842</v>
      </c>
      <c r="U186" t="s">
        <v>1685</v>
      </c>
      <c r="V18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7" customFormat="1" spans="3:24">
      <c r="C187">
        <v>29802</v>
      </c>
      <c r="D187">
        <v>52</v>
      </c>
      <c r="I187" t="s">
        <v>1842</v>
      </c>
      <c r="U187" t="s">
        <v>1685</v>
      </c>
      <c r="V187"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4">
      <c r="C188">
        <v>29803</v>
      </c>
      <c r="D188">
        <v>52</v>
      </c>
      <c r="I188" t="s">
        <v>1842</v>
      </c>
      <c r="U188" t="s">
        <v>1685</v>
      </c>
      <c r="V188"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29804</v>
      </c>
      <c r="D189">
        <v>52</v>
      </c>
      <c r="I189" t="s">
        <v>1842</v>
      </c>
      <c r="U189" t="s">
        <v>1685</v>
      </c>
      <c r="V189"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s="3">
        <v>29601</v>
      </c>
      <c r="D190">
        <v>52</v>
      </c>
      <c r="I190" t="s">
        <v>1843</v>
      </c>
      <c r="U190" t="s">
        <v>1685</v>
      </c>
      <c r="V190"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s="3">
        <v>29602</v>
      </c>
      <c r="D191">
        <v>52</v>
      </c>
      <c r="I191" t="s">
        <v>1843</v>
      </c>
      <c r="U191" t="s">
        <v>1685</v>
      </c>
      <c r="V191"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29603</v>
      </c>
      <c r="D192">
        <v>52</v>
      </c>
      <c r="I192" t="s">
        <v>1843</v>
      </c>
      <c r="U192" t="s">
        <v>1685</v>
      </c>
      <c r="V192"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29604</v>
      </c>
      <c r="D193">
        <v>52</v>
      </c>
      <c r="I193" t="s">
        <v>1843</v>
      </c>
      <c r="U193" t="s">
        <v>1685</v>
      </c>
      <c r="V193"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29605</v>
      </c>
      <c r="D194">
        <v>52</v>
      </c>
      <c r="I194" t="s">
        <v>1843</v>
      </c>
      <c r="U194" t="s">
        <v>1685</v>
      </c>
      <c r="V194"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29701</v>
      </c>
      <c r="D195">
        <v>52</v>
      </c>
      <c r="I195" t="s">
        <v>1843</v>
      </c>
      <c r="U195" t="s">
        <v>1685</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c r="A196" t="s">
        <v>680</v>
      </c>
      <c r="B196">
        <v>21</v>
      </c>
      <c r="V196" t="str">
        <f t="shared" si="3"/>
        <v>},[21]={</v>
      </c>
    </row>
    <row r="197" customFormat="1" spans="1:24">
      <c r="C197">
        <v>59845</v>
      </c>
      <c r="D197">
        <v>47</v>
      </c>
      <c r="I197" s="5" t="s">
        <v>1816</v>
      </c>
      <c r="J197" s="10" t="s">
        <v>648</v>
      </c>
      <c r="P197">
        <v>1</v>
      </c>
      <c r="V197" t="str">
        <f t="shared" si="3"/>
        <v>{dwID=59845,nFrame=47,szNote="浩气盟精锐队长",col={31,230,255,},[3]={bScreenHead=true,},[4]={},},</v>
      </c>
    </row>
    <row r="198" spans="1:24">
      <c r="C198">
        <v>36434</v>
      </c>
      <c r="D198">
        <v>52</v>
      </c>
      <c r="I198" t="s">
        <v>1844</v>
      </c>
      <c r="J198" t="s">
        <v>1475</v>
      </c>
      <c r="U198" t="s">
        <v>1845</v>
      </c>
      <c r="V198"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98" t="s">
        <v>1846</v>
      </c>
      <c r="X198" t="s">
        <v>1847</v>
      </c>
    </row>
    <row r="199" spans="1:24">
      <c r="C199">
        <v>36435</v>
      </c>
      <c r="D199">
        <v>52</v>
      </c>
      <c r="I199" t="s">
        <v>1848</v>
      </c>
      <c r="J199" t="s">
        <v>1475</v>
      </c>
      <c r="U199" t="s">
        <v>1849</v>
      </c>
      <c r="V199"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99" t="s">
        <v>1850</v>
      </c>
      <c r="X199" t="s">
        <v>1851</v>
      </c>
    </row>
    <row r="200" spans="1:24">
      <c r="C200">
        <v>1317</v>
      </c>
      <c r="D200">
        <v>47</v>
      </c>
      <c r="I200" t="s">
        <v>1852</v>
      </c>
      <c r="P200">
        <v>1</v>
      </c>
      <c r="U200" t="s">
        <v>1807</v>
      </c>
      <c r="V200"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0" t="s">
        <v>1808</v>
      </c>
    </row>
    <row r="201" spans="1:24">
      <c r="C201">
        <v>1308</v>
      </c>
      <c r="D201">
        <v>47</v>
      </c>
      <c r="I201" t="s">
        <v>1853</v>
      </c>
      <c r="P201">
        <v>1</v>
      </c>
      <c r="U201" t="s">
        <v>1810</v>
      </c>
      <c r="V201"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1" t="s">
        <v>1811</v>
      </c>
    </row>
    <row r="202" spans="1:24">
      <c r="C202">
        <v>6220</v>
      </c>
      <c r="D202">
        <v>47</v>
      </c>
      <c r="I202" t="s">
        <v>1812</v>
      </c>
      <c r="P202">
        <v>1</v>
      </c>
      <c r="U202" t="s">
        <v>1813</v>
      </c>
      <c r="V202" t="str">
        <f t="shared" si="3"/>
        <v>{dwID=6220,nFrame=47,szNote="赵新宇·阵营前置",[3]={bScreenHead=true,},[4]={},aFocus={{dwMapID=-1,szDisplay="赵新宇·阵营前置",nMaxDistance=0,tRelation={bAll=true,bEnemy=false,bAlly=false,},tLife={bEnable=false,szOperator="&gt;",nValue=0,},},},},</v>
      </c>
    </row>
    <row r="203" spans="1:24">
      <c r="C203">
        <v>6219</v>
      </c>
      <c r="D203">
        <v>47</v>
      </c>
      <c r="I203" t="s">
        <v>1814</v>
      </c>
      <c r="P203">
        <v>1</v>
      </c>
      <c r="U203" t="s">
        <v>1854</v>
      </c>
      <c r="V203" t="str">
        <f t="shared" si="3"/>
        <v>{dwID=6219,nFrame=47,szNote="方超·阵营前置",[3]={bScreenHead=true,},[4]={},aFocus={{dwMapID=-1,szDisplay="方超··阵营前置",nMaxDistance=0,tRelation={bAll=true,bEnemy=false,bAlly=false,},tLife={bEnable=false,szOperator="&gt;",nValue=0,},},},},</v>
      </c>
    </row>
    <row r="204" spans="1:24">
      <c r="C204">
        <v>7605</v>
      </c>
      <c r="D204">
        <v>47</v>
      </c>
      <c r="I204" t="s">
        <v>1794</v>
      </c>
      <c r="J204" t="s">
        <v>1660</v>
      </c>
      <c r="P204">
        <v>1</v>
      </c>
      <c r="U204" t="s">
        <v>1795</v>
      </c>
      <c r="V204" t="str">
        <f t="shared" si="3"/>
        <v>{dwID=7605,nFrame=47,szNote="何非笑·阵营前置",col={255,255,100,},[3]={bScreenHead=true,},[4]={},aFocus={{dwMapID=-1,szDisplay="何非笑·阵营前置",nMaxDistance=0,tRelation={bAll=false,bEnemy=false,bAlly=true,},tLife={bEnable=false,szOperator="&gt;",nValue=0,},},},},</v>
      </c>
    </row>
    <row r="205" spans="1:24">
      <c r="C205">
        <v>7606</v>
      </c>
      <c r="D205">
        <v>47</v>
      </c>
      <c r="I205" t="s">
        <v>1796</v>
      </c>
      <c r="J205" t="s">
        <v>1855</v>
      </c>
      <c r="P205">
        <v>1</v>
      </c>
      <c r="U205" t="s">
        <v>1797</v>
      </c>
      <c r="V205" t="str">
        <f t="shared" si="3"/>
        <v>{dwID=7606,nFrame=47,szNote="王洵·阵营前置",col={100,255,255,},[3]={bScreenHead=true,},[4]={},aFocus={{dwMapID=-1,szDisplay="王洵·阵营前置",nMaxDistance=20,tRelation={bAll=false,bEnemy=false,bAlly=true,},tLife={bEnable=false,szOperator="&gt;",nValue=0,},},},},</v>
      </c>
    </row>
    <row r="206" spans="1:24">
      <c r="A206" t="s">
        <v>686</v>
      </c>
      <c r="B206">
        <v>23</v>
      </c>
      <c r="V206" t="str">
        <f t="shared" si="3"/>
        <v>},[23]={</v>
      </c>
    </row>
    <row r="207" customFormat="1" spans="1:24">
      <c r="C207">
        <v>59858</v>
      </c>
      <c r="D207">
        <v>47</v>
      </c>
      <c r="I207" s="5" t="s">
        <v>1836</v>
      </c>
      <c r="J207" s="9" t="s">
        <v>643</v>
      </c>
      <c r="P207">
        <v>1</v>
      </c>
      <c r="V207" t="str">
        <f t="shared" si="3"/>
        <v>{dwID=59858,nFrame=47,szNote="恶人谷精锐队长",col={255,120,31,},[3]={bScreenHead=true,},[4]={},},</v>
      </c>
    </row>
    <row r="208" spans="1:24">
      <c r="C208">
        <v>36414</v>
      </c>
      <c r="D208">
        <v>52</v>
      </c>
      <c r="I208" t="s">
        <v>1856</v>
      </c>
      <c r="J208" t="s">
        <v>1475</v>
      </c>
      <c r="U208" t="s">
        <v>1857</v>
      </c>
      <c r="V208"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08" t="s">
        <v>1858</v>
      </c>
      <c r="X208" t="s">
        <v>1859</v>
      </c>
    </row>
    <row r="209" spans="3:24">
      <c r="C209">
        <v>36415</v>
      </c>
      <c r="D209">
        <v>52</v>
      </c>
      <c r="I209" t="s">
        <v>1860</v>
      </c>
      <c r="J209" t="s">
        <v>1475</v>
      </c>
      <c r="U209" t="s">
        <v>1861</v>
      </c>
      <c r="V209"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09" t="s">
        <v>1862</v>
      </c>
      <c r="X209" t="s">
        <v>1863</v>
      </c>
    </row>
    <row r="210" spans="3:24">
      <c r="C210">
        <v>7604</v>
      </c>
      <c r="D210">
        <v>47</v>
      </c>
      <c r="I210" t="s">
        <v>1794</v>
      </c>
      <c r="J210" t="s">
        <v>1660</v>
      </c>
      <c r="P210">
        <v>1</v>
      </c>
      <c r="U210" t="s">
        <v>1795</v>
      </c>
      <c r="V210" t="str">
        <f t="shared" si="3"/>
        <v>{dwID=7604,nFrame=47,szNote="何非笑·阵营前置",col={255,255,100,},[3]={bScreenHead=true,},[4]={},aFocus={{dwMapID=-1,szDisplay="何非笑·阵营前置",nMaxDistance=0,tRelation={bAll=false,bEnemy=false,bAlly=true,},tLife={bEnable=false,szOperator="&gt;",nValue=0,},},},},</v>
      </c>
    </row>
    <row r="211" spans="3:24">
      <c r="C211">
        <v>7607</v>
      </c>
      <c r="D211">
        <v>47</v>
      </c>
      <c r="I211" t="s">
        <v>1796</v>
      </c>
      <c r="J211" t="s">
        <v>1855</v>
      </c>
      <c r="P211">
        <v>1</v>
      </c>
      <c r="U211" t="s">
        <v>1797</v>
      </c>
      <c r="V211" t="str">
        <f t="shared" si="3"/>
        <v>{dwID=7607,nFrame=47,szNote="王洵·阵营前置",col={100,255,255,},[3]={bScreenHead=true,},[4]={},aFocus={{dwMapID=-1,szDisplay="王洵·阵营前置",nMaxDistance=20,tRelation={bAll=false,bEnemy=false,bAlly=true,},tLife={bEnable=false,szOperator="&gt;",nValue=0,},},},},</v>
      </c>
    </row>
    <row r="212" spans="3:24">
      <c r="C212">
        <v>1215</v>
      </c>
      <c r="D212">
        <v>47</v>
      </c>
      <c r="I212" t="s">
        <v>1864</v>
      </c>
      <c r="P212">
        <v>1</v>
      </c>
      <c r="U212" t="s">
        <v>1824</v>
      </c>
      <c r="V212" t="str">
        <f t="shared" si="3"/>
        <v>{dwID=1215,nFrame=47,szNote="于成仇·阵营前置",[3]={bScreenHead=true,},[4]={},aFocus={{dwMapID=-1,nMaxDistance=0,tRelation={bAll=false,bEnemy=true,bAlly=false,},tLife={bEnable=false,szOperator="&gt;",nValue=0,},},},tCountdown={{nClass=12,nIcon=13,nFrame=4,szName="于成仇·刷新剩余",nTime=10.1,},},},</v>
      </c>
      <c r="W212" t="s">
        <v>1825</v>
      </c>
    </row>
    <row r="213" spans="3:24">
      <c r="C213">
        <v>1217</v>
      </c>
      <c r="D213">
        <v>47</v>
      </c>
      <c r="I213" t="s">
        <v>1865</v>
      </c>
      <c r="P213">
        <v>1</v>
      </c>
      <c r="U213" t="s">
        <v>1824</v>
      </c>
      <c r="V213" t="str">
        <f t="shared" si="3"/>
        <v>{dwID=1217,nFrame=47,szNote="阎世通·阵营前置",[3]={bScreenHead=true,},[4]={},aFocus={{dwMapID=-1,nMaxDistance=0,tRelation={bAll=false,bEnemy=true,bAlly=false,},tLife={bEnable=false,szOperator="&gt;",nValue=0,},},},tCountdown={{nClass=12,nIcon=13,nFrame=4,szName="阎世通·刷新剩余",nTime=10.1,},},},</v>
      </c>
      <c r="W213" t="s">
        <v>1827</v>
      </c>
    </row>
    <row r="214" spans="3:24">
      <c r="C214">
        <v>6222</v>
      </c>
      <c r="D214">
        <v>47</v>
      </c>
      <c r="I214" t="s">
        <v>1828</v>
      </c>
      <c r="P214">
        <v>1</v>
      </c>
      <c r="U214" t="s">
        <v>1829</v>
      </c>
      <c r="V214" t="str">
        <f t="shared" si="3"/>
        <v>{dwID=6222,nFrame=47,szNote="霸图·阵营前置",[3]={bScreenHead=true,},[4]={},aFocus={{dwMapID=-1,szDisplay="霸图·阵营前置",nMaxDistance=0,tRelation={bAll=true,bEnemy=false,bAlly=false,},tLife={bEnable=false,szOperator="&gt;",nValue=0,},},},},</v>
      </c>
    </row>
    <row r="215" spans="3:24">
      <c r="C215">
        <v>6221</v>
      </c>
      <c r="D215">
        <v>47</v>
      </c>
      <c r="I215" t="s">
        <v>1830</v>
      </c>
      <c r="P215">
        <v>1</v>
      </c>
      <c r="U215" t="s">
        <v>1831</v>
      </c>
      <c r="V215" t="str">
        <f t="shared" si="3"/>
        <v>{dwID=6221,nFrame=47,szNote="孙永恒·阵营前置",[3]={bScreenHead=true,},[4]={},aFocus={{dwMapID=-1,szDisplay="孙永恒·阵营前置",nMaxDistance=0,tRelation={bAll=true,bEnemy=false,bAlly=false,},tLife={bEnable=false,szOperator="&gt;",nValue=0,},},},},</v>
      </c>
    </row>
    <row r="216" spans="3:24">
      <c r="C216">
        <v>56418</v>
      </c>
      <c r="D216">
        <v>47</v>
      </c>
      <c r="I216" t="s">
        <v>1866</v>
      </c>
      <c r="J216" t="s">
        <v>1475</v>
      </c>
      <c r="P216">
        <v>1</v>
      </c>
      <c r="U216" t="s">
        <v>1867</v>
      </c>
      <c r="V216" t="str">
        <f t="shared" si="3"/>
        <v>{dwID=56418,nFrame=47,szNote="休憩的商人",col={0,255,0,},[3]={bScreenHead=true,},[4]={},aFocus={{dwMapID=-1,nMaxDistance=10,tRelation={bAll=false,bEnemy=false,bAlly=true,},tLife={bEnable=true,szOperator="==",nValue=100,},},},},</v>
      </c>
    </row>
    <row r="217" spans="3:24">
      <c r="C217">
        <v>1193</v>
      </c>
      <c r="D217">
        <v>47</v>
      </c>
      <c r="I217" t="s">
        <v>1834</v>
      </c>
      <c r="J217" t="s">
        <v>1475</v>
      </c>
      <c r="P217">
        <v>1</v>
      </c>
      <c r="U217" t="s">
        <v>1835</v>
      </c>
      <c r="V217" t="str">
        <f t="shared" si="3"/>
        <v>{dwID=1193,nFrame=47,szNote="被虏的江湖人士",col={0,255,0,},[3]={bScreenHead=true,},[4]={},aFocus={{dwMapID=-1,nMaxDistance=3,tRelation={bAll=false,bEnemy=false,bAlly=true,},tLife={bEnable=false,szOperator="&gt;",nValue=0,},},},},</v>
      </c>
    </row>
    <row r="218" customFormat="1" spans="3:24">
      <c r="C218">
        <v>30021</v>
      </c>
      <c r="D218">
        <v>52</v>
      </c>
      <c r="I218" t="s">
        <v>1868</v>
      </c>
      <c r="U218" t="s">
        <v>1687</v>
      </c>
      <c r="V218"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8" t="s">
        <v>1688</v>
      </c>
    </row>
    <row r="219" customFormat="1" spans="3:24">
      <c r="C219">
        <v>30022</v>
      </c>
      <c r="D219">
        <v>52</v>
      </c>
      <c r="I219" t="s">
        <v>1868</v>
      </c>
      <c r="U219" t="s">
        <v>1687</v>
      </c>
      <c r="V219"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1688</v>
      </c>
    </row>
    <row r="220" customFormat="1" spans="3:24">
      <c r="C220">
        <v>30023</v>
      </c>
      <c r="D220">
        <v>52</v>
      </c>
      <c r="I220" t="s">
        <v>1868</v>
      </c>
      <c r="U220" t="s">
        <v>1687</v>
      </c>
      <c r="V220"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1688</v>
      </c>
    </row>
    <row r="221" customFormat="1" spans="3:24">
      <c r="C221">
        <v>30024</v>
      </c>
      <c r="D221">
        <v>52</v>
      </c>
      <c r="I221" t="s">
        <v>1868</v>
      </c>
      <c r="U221" t="s">
        <v>1687</v>
      </c>
      <c r="V221"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1688</v>
      </c>
    </row>
    <row r="222" customFormat="1" spans="3:24">
      <c r="C222">
        <v>30221</v>
      </c>
      <c r="D222">
        <v>52</v>
      </c>
      <c r="I222" t="s">
        <v>1869</v>
      </c>
      <c r="U222" t="s">
        <v>1682</v>
      </c>
      <c r="V222"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3" customFormat="1" spans="3:24">
      <c r="C223">
        <v>30222</v>
      </c>
      <c r="D223">
        <v>52</v>
      </c>
      <c r="I223" t="s">
        <v>1869</v>
      </c>
      <c r="U223" t="s">
        <v>1682</v>
      </c>
      <c r="V223"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4" customFormat="1" spans="3:24">
      <c r="C224">
        <v>30231</v>
      </c>
      <c r="D224">
        <v>52</v>
      </c>
      <c r="I224" t="s">
        <v>1869</v>
      </c>
      <c r="U224" t="s">
        <v>1682</v>
      </c>
      <c r="V224"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30232</v>
      </c>
      <c r="D225">
        <v>52</v>
      </c>
      <c r="I225" t="s">
        <v>1869</v>
      </c>
      <c r="U225" t="s">
        <v>1682</v>
      </c>
      <c r="V225"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30121</v>
      </c>
      <c r="D226">
        <v>52</v>
      </c>
      <c r="I226" t="s">
        <v>1870</v>
      </c>
      <c r="U226" t="s">
        <v>1682</v>
      </c>
      <c r="V22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30123</v>
      </c>
      <c r="D227">
        <v>52</v>
      </c>
      <c r="I227" t="s">
        <v>1870</v>
      </c>
      <c r="U227" t="s">
        <v>1682</v>
      </c>
      <c r="V227"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30131</v>
      </c>
      <c r="D228">
        <v>52</v>
      </c>
      <c r="I228" t="s">
        <v>1870</v>
      </c>
      <c r="U228" t="s">
        <v>1682</v>
      </c>
      <c r="V228"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29301</v>
      </c>
      <c r="D229">
        <v>52</v>
      </c>
      <c r="I229" t="s">
        <v>1871</v>
      </c>
      <c r="U229" t="s">
        <v>1685</v>
      </c>
      <c r="V229"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0" customFormat="1" spans="3:22">
      <c r="C230">
        <v>29302</v>
      </c>
      <c r="D230">
        <v>52</v>
      </c>
      <c r="I230" t="s">
        <v>1871</v>
      </c>
      <c r="U230" t="s">
        <v>1685</v>
      </c>
      <c r="V230"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1" customFormat="1" spans="3:22">
      <c r="C231">
        <v>29303</v>
      </c>
      <c r="D231">
        <v>52</v>
      </c>
      <c r="I231" t="s">
        <v>1871</v>
      </c>
      <c r="U231" t="s">
        <v>1685</v>
      </c>
      <c r="V231"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29304</v>
      </c>
      <c r="D232">
        <v>52</v>
      </c>
      <c r="I232" t="s">
        <v>1871</v>
      </c>
      <c r="U232" t="s">
        <v>1685</v>
      </c>
      <c r="V232"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29305</v>
      </c>
      <c r="D233">
        <v>52</v>
      </c>
      <c r="I233" t="s">
        <v>1871</v>
      </c>
      <c r="U233" t="s">
        <v>1685</v>
      </c>
      <c r="V233"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29306</v>
      </c>
      <c r="D234">
        <v>52</v>
      </c>
      <c r="I234" t="s">
        <v>1871</v>
      </c>
      <c r="U234" t="s">
        <v>1685</v>
      </c>
      <c r="V234"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29307</v>
      </c>
      <c r="D235">
        <v>52</v>
      </c>
      <c r="I235" t="s">
        <v>1871</v>
      </c>
      <c r="U235" t="s">
        <v>1685</v>
      </c>
      <c r="V235"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29308</v>
      </c>
      <c r="D236">
        <v>52</v>
      </c>
      <c r="I236" t="s">
        <v>1871</v>
      </c>
      <c r="U236" t="s">
        <v>1685</v>
      </c>
      <c r="V2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29309</v>
      </c>
      <c r="D237">
        <v>52</v>
      </c>
      <c r="I237" t="s">
        <v>1871</v>
      </c>
      <c r="U237" t="s">
        <v>1685</v>
      </c>
      <c r="V237"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29401</v>
      </c>
      <c r="D238">
        <v>52</v>
      </c>
      <c r="I238" t="s">
        <v>1871</v>
      </c>
      <c r="U238" t="s">
        <v>1685</v>
      </c>
      <c r="V238"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s="3">
        <v>29501</v>
      </c>
      <c r="D239">
        <v>52</v>
      </c>
      <c r="I239" t="s">
        <v>1872</v>
      </c>
      <c r="U239" t="s">
        <v>1685</v>
      </c>
      <c r="V239"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29502</v>
      </c>
      <c r="D240">
        <v>52</v>
      </c>
      <c r="I240" t="s">
        <v>1871</v>
      </c>
      <c r="U240" t="s">
        <v>1685</v>
      </c>
      <c r="V240"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c r="A241" t="s">
        <v>634</v>
      </c>
      <c r="B241">
        <v>9</v>
      </c>
      <c r="V241" t="str">
        <f t="shared" si="3"/>
        <v>},[9]={</v>
      </c>
    </row>
    <row r="242" customFormat="1" spans="1:24">
      <c r="C242">
        <v>59845</v>
      </c>
      <c r="D242">
        <v>47</v>
      </c>
      <c r="I242" s="5" t="s">
        <v>1816</v>
      </c>
      <c r="J242" s="10" t="s">
        <v>648</v>
      </c>
      <c r="P242">
        <v>1</v>
      </c>
      <c r="V242" t="str">
        <f t="shared" si="3"/>
        <v>{dwID=59845,nFrame=47,szNote="浩气盟精锐队长",col={31,230,255,},[3]={bScreenHead=true,},[4]={},},</v>
      </c>
    </row>
    <row r="243" spans="1:24">
      <c r="C243">
        <v>36433</v>
      </c>
      <c r="D243">
        <v>52</v>
      </c>
      <c r="I243" t="s">
        <v>1873</v>
      </c>
      <c r="J243" t="s">
        <v>1475</v>
      </c>
      <c r="U243" t="s">
        <v>1874</v>
      </c>
      <c r="V243"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3" t="s">
        <v>1875</v>
      </c>
      <c r="X243" t="s">
        <v>1876</v>
      </c>
    </row>
    <row r="244" spans="1:24">
      <c r="C244">
        <v>36432</v>
      </c>
      <c r="D244">
        <v>52</v>
      </c>
      <c r="I244" t="s">
        <v>1877</v>
      </c>
      <c r="J244" t="s">
        <v>1475</v>
      </c>
      <c r="U244" t="s">
        <v>1878</v>
      </c>
      <c r="V244"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4" t="s">
        <v>1879</v>
      </c>
      <c r="X244" t="s">
        <v>1880</v>
      </c>
    </row>
    <row r="245" spans="1:24">
      <c r="A245" t="s">
        <v>652</v>
      </c>
      <c r="B245">
        <v>13</v>
      </c>
      <c r="V245" t="str">
        <f t="shared" si="3"/>
        <v>},[13]={</v>
      </c>
    </row>
    <row r="246" spans="1:24">
      <c r="C246">
        <v>36430</v>
      </c>
      <c r="D246">
        <v>52</v>
      </c>
      <c r="I246" t="s">
        <v>1881</v>
      </c>
      <c r="J246" t="s">
        <v>1475</v>
      </c>
      <c r="U246" t="s">
        <v>1882</v>
      </c>
      <c r="V246"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6" t="s">
        <v>1883</v>
      </c>
      <c r="X246" t="s">
        <v>1884</v>
      </c>
    </row>
    <row r="247" spans="1:24">
      <c r="C247">
        <v>36431</v>
      </c>
      <c r="D247">
        <v>52</v>
      </c>
      <c r="I247" t="s">
        <v>1885</v>
      </c>
      <c r="J247" t="s">
        <v>1475</v>
      </c>
      <c r="U247" t="s">
        <v>1886</v>
      </c>
      <c r="V247"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7" t="s">
        <v>1887</v>
      </c>
      <c r="X247" t="s">
        <v>1888</v>
      </c>
    </row>
    <row r="248" spans="1:24">
      <c r="A248" t="s">
        <v>721</v>
      </c>
      <c r="B248">
        <v>35</v>
      </c>
      <c r="V248" t="str">
        <f t="shared" si="3"/>
        <v>},[35]={</v>
      </c>
    </row>
    <row r="249" spans="1:24">
      <c r="C249">
        <v>36425</v>
      </c>
      <c r="D249">
        <v>52</v>
      </c>
      <c r="I249" t="s">
        <v>1889</v>
      </c>
      <c r="J249" t="s">
        <v>1475</v>
      </c>
      <c r="U249" t="s">
        <v>1890</v>
      </c>
      <c r="V249"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49" t="s">
        <v>1891</v>
      </c>
      <c r="X249" t="s">
        <v>1892</v>
      </c>
    </row>
    <row r="250" spans="1:24">
      <c r="C250">
        <v>36424</v>
      </c>
      <c r="D250">
        <v>52</v>
      </c>
      <c r="I250" t="s">
        <v>1893</v>
      </c>
      <c r="J250" t="s">
        <v>1475</v>
      </c>
      <c r="U250" t="s">
        <v>1894</v>
      </c>
      <c r="V250"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0" t="s">
        <v>1895</v>
      </c>
      <c r="X250" t="s">
        <v>1896</v>
      </c>
    </row>
    <row r="251" customFormat="1" spans="1:24">
      <c r="C251" s="3">
        <v>29202</v>
      </c>
      <c r="D251">
        <v>52</v>
      </c>
      <c r="I251" t="s">
        <v>1897</v>
      </c>
      <c r="U251" t="s">
        <v>1685</v>
      </c>
      <c r="V251"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29203</v>
      </c>
      <c r="D252">
        <v>52</v>
      </c>
      <c r="I252" t="s">
        <v>1898</v>
      </c>
      <c r="U252" t="s">
        <v>1685</v>
      </c>
      <c r="V252"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29204</v>
      </c>
      <c r="D253">
        <v>52</v>
      </c>
      <c r="I253" t="s">
        <v>1898</v>
      </c>
      <c r="U253" t="s">
        <v>1685</v>
      </c>
      <c r="V253"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29205</v>
      </c>
      <c r="D254">
        <v>52</v>
      </c>
      <c r="I254" t="s">
        <v>1898</v>
      </c>
      <c r="U254" t="s">
        <v>1685</v>
      </c>
      <c r="V254"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29206</v>
      </c>
      <c r="D255">
        <v>52</v>
      </c>
      <c r="I255" t="s">
        <v>1898</v>
      </c>
      <c r="U255" t="s">
        <v>1685</v>
      </c>
      <c r="V255"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c r="A256" t="s">
        <v>839</v>
      </c>
      <c r="B256">
        <v>100</v>
      </c>
      <c r="V256" t="str">
        <f t="shared" si="3"/>
        <v>},[100]={</v>
      </c>
    </row>
    <row r="257" spans="1:24">
      <c r="C257">
        <v>36427</v>
      </c>
      <c r="D257">
        <v>52</v>
      </c>
      <c r="I257" t="s">
        <v>1899</v>
      </c>
      <c r="J257" t="s">
        <v>1475</v>
      </c>
      <c r="U257" t="s">
        <v>1900</v>
      </c>
      <c r="V257"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7" t="s">
        <v>1901</v>
      </c>
      <c r="X257" t="s">
        <v>1902</v>
      </c>
    </row>
    <row r="258" spans="1:24">
      <c r="C258">
        <v>36426</v>
      </c>
      <c r="D258">
        <v>52</v>
      </c>
      <c r="I258" t="s">
        <v>1903</v>
      </c>
      <c r="J258" t="s">
        <v>1475</v>
      </c>
      <c r="U258" t="s">
        <v>1904</v>
      </c>
      <c r="V258"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58" t="s">
        <v>1905</v>
      </c>
      <c r="X258" t="s">
        <v>1906</v>
      </c>
    </row>
    <row r="259" spans="1:24">
      <c r="A259" t="s">
        <v>842</v>
      </c>
      <c r="B259">
        <v>101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},[101]={</v>
      </c>
    </row>
    <row r="260" spans="1:24">
      <c r="C260">
        <v>36428</v>
      </c>
      <c r="D260">
        <v>52</v>
      </c>
      <c r="I260" t="s">
        <v>1907</v>
      </c>
      <c r="J260" t="s">
        <v>1475</v>
      </c>
      <c r="U260" t="s">
        <v>1908</v>
      </c>
      <c r="V260"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0" t="s">
        <v>1909</v>
      </c>
      <c r="X260" t="s">
        <v>1910</v>
      </c>
    </row>
    <row r="261" spans="1:24">
      <c r="C261">
        <v>36429</v>
      </c>
      <c r="D261">
        <v>52</v>
      </c>
      <c r="I261" t="s">
        <v>1911</v>
      </c>
      <c r="J261" t="s">
        <v>1475</v>
      </c>
      <c r="U261" t="s">
        <v>1912</v>
      </c>
      <c r="V261"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1" t="s">
        <v>1913</v>
      </c>
      <c r="X261" t="s">
        <v>1914</v>
      </c>
    </row>
    <row r="262" customFormat="1" spans="1:24">
      <c r="C262">
        <v>30006</v>
      </c>
      <c r="D262">
        <v>52</v>
      </c>
      <c r="I262" t="s">
        <v>1915</v>
      </c>
      <c r="U262" t="s">
        <v>1687</v>
      </c>
      <c r="V262"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1688</v>
      </c>
    </row>
    <row r="263" customFormat="1" spans="1:24">
      <c r="C263">
        <v>30007</v>
      </c>
      <c r="D263">
        <v>52</v>
      </c>
      <c r="I263" t="s">
        <v>1915</v>
      </c>
      <c r="U263" t="s">
        <v>1687</v>
      </c>
      <c r="V263"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1688</v>
      </c>
    </row>
    <row r="264" customFormat="1" spans="1:24">
      <c r="C264">
        <v>30008</v>
      </c>
      <c r="D264">
        <v>52</v>
      </c>
      <c r="I264" t="s">
        <v>1915</v>
      </c>
      <c r="U264" t="s">
        <v>1687</v>
      </c>
      <c r="V264"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1688</v>
      </c>
    </row>
    <row r="265" customFormat="1" spans="1:24">
      <c r="C265">
        <v>29014</v>
      </c>
      <c r="D265">
        <v>52</v>
      </c>
      <c r="I265" t="s">
        <v>1916</v>
      </c>
      <c r="U265" t="s">
        <v>1685</v>
      </c>
      <c r="V265"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spans="1:24">
      <c r="A266" t="s">
        <v>847</v>
      </c>
      <c r="B266">
        <v>103</v>
      </c>
      <c r="V266" t="str">
        <f t="shared" si="4"/>
        <v>},[103]={</v>
      </c>
    </row>
    <row r="267" customFormat="1" spans="1:24">
      <c r="C267">
        <v>59858</v>
      </c>
      <c r="D267">
        <v>47</v>
      </c>
      <c r="I267" s="5" t="s">
        <v>1836</v>
      </c>
      <c r="J267" s="9" t="s">
        <v>643</v>
      </c>
      <c r="P267">
        <v>1</v>
      </c>
      <c r="V267" t="str">
        <f t="shared" si="4"/>
        <v>{dwID=59858,nFrame=47,szNote="恶人谷精锐队长",col={255,120,31,},[3]={bScreenHead=true,},[4]={},},</v>
      </c>
    </row>
    <row r="268" spans="1:24">
      <c r="C268">
        <v>36418</v>
      </c>
      <c r="D268">
        <v>52</v>
      </c>
      <c r="I268" t="s">
        <v>1917</v>
      </c>
      <c r="J268" t="s">
        <v>1475</v>
      </c>
      <c r="U268" t="s">
        <v>1918</v>
      </c>
      <c r="V268"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68" t="s">
        <v>1919</v>
      </c>
      <c r="X268" t="s">
        <v>1920</v>
      </c>
    </row>
    <row r="269" spans="1:24">
      <c r="C269">
        <v>36419</v>
      </c>
      <c r="D269">
        <v>52</v>
      </c>
      <c r="I269" t="s">
        <v>1921</v>
      </c>
      <c r="J269" t="s">
        <v>1475</v>
      </c>
      <c r="U269" t="s">
        <v>1922</v>
      </c>
      <c r="V269"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69" t="s">
        <v>1923</v>
      </c>
      <c r="X269" t="s">
        <v>1924</v>
      </c>
    </row>
    <row r="270" spans="1:24">
      <c r="A270" t="s">
        <v>850</v>
      </c>
      <c r="B270">
        <v>104</v>
      </c>
      <c r="V270" t="str">
        <f t="shared" si="4"/>
        <v>},[104]={</v>
      </c>
    </row>
    <row r="271" spans="1:24">
      <c r="C271">
        <v>36421</v>
      </c>
      <c r="D271">
        <v>52</v>
      </c>
      <c r="I271" t="s">
        <v>1925</v>
      </c>
      <c r="J271" t="s">
        <v>1475</v>
      </c>
      <c r="U271" t="s">
        <v>1926</v>
      </c>
      <c r="V271"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1" t="s">
        <v>1927</v>
      </c>
      <c r="X271" t="s">
        <v>1928</v>
      </c>
    </row>
    <row r="272" spans="1:24">
      <c r="C272">
        <v>36420</v>
      </c>
      <c r="D272">
        <v>52</v>
      </c>
      <c r="I272" t="s">
        <v>1929</v>
      </c>
      <c r="J272" t="s">
        <v>1475</v>
      </c>
      <c r="U272" t="s">
        <v>1930</v>
      </c>
      <c r="V272"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2" t="s">
        <v>1931</v>
      </c>
      <c r="X272" t="s">
        <v>1932</v>
      </c>
    </row>
    <row r="273" spans="1:24">
      <c r="A273" t="s">
        <v>853</v>
      </c>
      <c r="B273">
        <v>105</v>
      </c>
      <c r="V273" t="str">
        <f t="shared" si="4"/>
        <v>},[105]={</v>
      </c>
    </row>
    <row r="274" customFormat="1" spans="1:24">
      <c r="C274">
        <v>59845</v>
      </c>
      <c r="D274">
        <v>47</v>
      </c>
      <c r="I274" s="5" t="s">
        <v>1816</v>
      </c>
      <c r="J274" s="10" t="s">
        <v>648</v>
      </c>
      <c r="P274">
        <v>1</v>
      </c>
      <c r="V274" t="str">
        <f t="shared" si="4"/>
        <v>{dwID=59845,nFrame=47,szNote="浩气盟精锐队长",col={31,230,255,},[3]={bScreenHead=true,},[4]={},},</v>
      </c>
    </row>
    <row r="275" spans="1:24">
      <c r="C275">
        <v>36436</v>
      </c>
      <c r="D275">
        <v>52</v>
      </c>
      <c r="I275" t="s">
        <v>1933</v>
      </c>
      <c r="J275" t="s">
        <v>1475</v>
      </c>
      <c r="U275" t="s">
        <v>1934</v>
      </c>
      <c r="V275"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5" t="s">
        <v>1935</v>
      </c>
      <c r="X275" t="s">
        <v>1936</v>
      </c>
    </row>
    <row r="276" spans="1:24">
      <c r="C276">
        <v>36437</v>
      </c>
      <c r="D276">
        <v>52</v>
      </c>
      <c r="I276" t="s">
        <v>1937</v>
      </c>
      <c r="J276" t="s">
        <v>1475</v>
      </c>
      <c r="U276" t="s">
        <v>1938</v>
      </c>
      <c r="V276"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6" t="s">
        <v>1939</v>
      </c>
      <c r="X276" t="s">
        <v>1940</v>
      </c>
    </row>
    <row r="277" customFormat="1" spans="1:24">
      <c r="C277">
        <v>30045</v>
      </c>
      <c r="D277">
        <v>52</v>
      </c>
      <c r="I277" t="s">
        <v>1941</v>
      </c>
      <c r="U277" t="s">
        <v>1687</v>
      </c>
      <c r="V277"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1688</v>
      </c>
    </row>
    <row r="278" customFormat="1" spans="1:24">
      <c r="C278">
        <v>30044</v>
      </c>
      <c r="D278">
        <v>52</v>
      </c>
      <c r="I278" t="s">
        <v>1941</v>
      </c>
      <c r="U278" t="s">
        <v>1687</v>
      </c>
      <c r="V278"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1688</v>
      </c>
    </row>
    <row r="279" customFormat="1" spans="1:24">
      <c r="C279">
        <v>30043</v>
      </c>
      <c r="D279">
        <v>52</v>
      </c>
      <c r="I279" t="s">
        <v>1941</v>
      </c>
      <c r="U279" t="s">
        <v>1687</v>
      </c>
      <c r="V279"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1688</v>
      </c>
    </row>
    <row r="280" customFormat="1" spans="1:24">
      <c r="C280">
        <v>30042</v>
      </c>
      <c r="D280">
        <v>52</v>
      </c>
      <c r="I280" t="s">
        <v>1941</v>
      </c>
      <c r="U280" t="s">
        <v>1687</v>
      </c>
      <c r="V280"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1688</v>
      </c>
    </row>
    <row r="281" customFormat="1" spans="1:24">
      <c r="C281">
        <v>30041</v>
      </c>
      <c r="D281">
        <v>52</v>
      </c>
      <c r="I281" t="s">
        <v>1941</v>
      </c>
      <c r="U281" t="s">
        <v>1687</v>
      </c>
      <c r="V281"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1688</v>
      </c>
    </row>
    <row r="282" customFormat="1" spans="1:24">
      <c r="C282">
        <v>30242</v>
      </c>
      <c r="D282">
        <v>52</v>
      </c>
      <c r="I282" t="s">
        <v>1942</v>
      </c>
      <c r="U282" t="s">
        <v>1682</v>
      </c>
      <c r="V282"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3" customFormat="1" spans="1:24">
      <c r="C283">
        <v>30252</v>
      </c>
      <c r="D283">
        <v>52</v>
      </c>
      <c r="I283" t="s">
        <v>1942</v>
      </c>
      <c r="U283" t="s">
        <v>1682</v>
      </c>
      <c r="V283"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customFormat="1" spans="1:24">
      <c r="C284">
        <v>30142</v>
      </c>
      <c r="D284">
        <v>52</v>
      </c>
      <c r="I284" t="s">
        <v>1943</v>
      </c>
      <c r="U284" t="s">
        <v>1682</v>
      </c>
      <c r="V284"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30152</v>
      </c>
      <c r="D285">
        <v>52</v>
      </c>
      <c r="I285" t="s">
        <v>1943</v>
      </c>
      <c r="U285" t="s">
        <v>1682</v>
      </c>
      <c r="V285"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s="3">
        <v>29601</v>
      </c>
      <c r="D286">
        <v>52</v>
      </c>
      <c r="I286" t="s">
        <v>1843</v>
      </c>
      <c r="U286" t="s">
        <v>1685</v>
      </c>
      <c r="V28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7" customFormat="1" spans="1:24">
      <c r="C287" s="3">
        <v>29602</v>
      </c>
      <c r="D287">
        <v>52</v>
      </c>
      <c r="I287" t="s">
        <v>1843</v>
      </c>
      <c r="U287" t="s">
        <v>1685</v>
      </c>
      <c r="V287"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8" customFormat="1" spans="1:24">
      <c r="C288" s="3">
        <v>29603</v>
      </c>
      <c r="D288">
        <v>52</v>
      </c>
      <c r="I288" t="s">
        <v>1843</v>
      </c>
      <c r="U288" t="s">
        <v>1685</v>
      </c>
      <c r="V288"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29604</v>
      </c>
      <c r="D289">
        <v>52</v>
      </c>
      <c r="I289" t="s">
        <v>1843</v>
      </c>
      <c r="U289" t="s">
        <v>1685</v>
      </c>
      <c r="V289"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29605</v>
      </c>
      <c r="D290">
        <v>52</v>
      </c>
      <c r="I290" t="s">
        <v>1843</v>
      </c>
      <c r="U290" t="s">
        <v>1685</v>
      </c>
      <c r="V290"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29701</v>
      </c>
      <c r="D291">
        <v>52</v>
      </c>
      <c r="I291" t="s">
        <v>1843</v>
      </c>
      <c r="U291" t="s">
        <v>1685</v>
      </c>
      <c r="V291"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v>29606</v>
      </c>
      <c r="D292">
        <v>52</v>
      </c>
      <c r="I292" t="s">
        <v>1944</v>
      </c>
      <c r="U292" t="s">
        <v>1685</v>
      </c>
      <c r="V292"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v>29607</v>
      </c>
      <c r="D293">
        <v>52</v>
      </c>
      <c r="I293" t="s">
        <v>1944</v>
      </c>
      <c r="U293" t="s">
        <v>1685</v>
      </c>
      <c r="V293"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29702</v>
      </c>
      <c r="D294">
        <v>52</v>
      </c>
      <c r="I294" t="s">
        <v>1944</v>
      </c>
      <c r="U294" t="s">
        <v>1685</v>
      </c>
      <c r="V294"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29703</v>
      </c>
      <c r="D295">
        <v>52</v>
      </c>
      <c r="I295" t="s">
        <v>1944</v>
      </c>
      <c r="U295" t="s">
        <v>1685</v>
      </c>
      <c r="V295"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29704</v>
      </c>
      <c r="D296">
        <v>52</v>
      </c>
      <c r="I296" t="s">
        <v>1944</v>
      </c>
      <c r="U296" t="s">
        <v>1685</v>
      </c>
      <c r="V29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29705</v>
      </c>
      <c r="D297">
        <v>52</v>
      </c>
      <c r="I297" t="s">
        <v>1944</v>
      </c>
      <c r="U297" t="s">
        <v>1685</v>
      </c>
      <c r="V297"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29706</v>
      </c>
      <c r="D298">
        <v>52</v>
      </c>
      <c r="I298" t="s">
        <v>1944</v>
      </c>
      <c r="U298" t="s">
        <v>1685</v>
      </c>
      <c r="V298"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29707</v>
      </c>
      <c r="D299">
        <v>52</v>
      </c>
      <c r="I299" t="s">
        <v>1944</v>
      </c>
      <c r="U299" t="s">
        <v>1685</v>
      </c>
      <c r="V299"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A300" t="s">
        <v>948</v>
      </c>
      <c r="B300">
        <v>139</v>
      </c>
      <c r="V300" t="str">
        <f t="shared" si="4"/>
        <v>},[139]={</v>
      </c>
    </row>
    <row r="301" customFormat="1" spans="1:24">
      <c r="C301">
        <v>36423</v>
      </c>
      <c r="D301">
        <v>52</v>
      </c>
      <c r="I301" t="s">
        <v>1945</v>
      </c>
      <c r="J301" t="s">
        <v>1475</v>
      </c>
      <c r="U301" t="s">
        <v>1946</v>
      </c>
      <c r="V301"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1" t="s">
        <v>1947</v>
      </c>
      <c r="X301" t="s">
        <v>1948</v>
      </c>
    </row>
    <row r="302" customFormat="1" spans="1:24">
      <c r="C302">
        <v>36422</v>
      </c>
      <c r="D302">
        <v>52</v>
      </c>
      <c r="I302" t="s">
        <v>1949</v>
      </c>
      <c r="J302" t="s">
        <v>1475</v>
      </c>
      <c r="U302" t="s">
        <v>1950</v>
      </c>
      <c r="V302"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2" t="s">
        <v>1951</v>
      </c>
      <c r="X302" t="s">
        <v>1952</v>
      </c>
    </row>
    <row r="303" customFormat="1" spans="1:24">
      <c r="C303" s="3">
        <v>29202</v>
      </c>
      <c r="D303">
        <v>52</v>
      </c>
      <c r="I303" t="s">
        <v>1897</v>
      </c>
      <c r="U303" t="s">
        <v>1685</v>
      </c>
      <c r="V303"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1:24">
      <c r="A304" t="s">
        <v>984</v>
      </c>
      <c r="B304">
        <v>153</v>
      </c>
      <c r="V304" t="str">
        <f t="shared" si="4"/>
        <v>},[153]={</v>
      </c>
    </row>
    <row r="305" customFormat="1" spans="1:24">
      <c r="C305">
        <v>59858</v>
      </c>
      <c r="D305">
        <v>47</v>
      </c>
      <c r="I305" s="5" t="s">
        <v>1836</v>
      </c>
      <c r="J305" s="9" t="s">
        <v>643</v>
      </c>
      <c r="P305">
        <v>1</v>
      </c>
      <c r="V305" t="str">
        <f t="shared" si="4"/>
        <v>{dwID=59858,nFrame=47,szNote="恶人谷精锐队长",col={255,120,31,},[3]={bScreenHead=true,},[4]={},},</v>
      </c>
    </row>
    <row r="306" spans="1:24">
      <c r="C306">
        <v>36417</v>
      </c>
      <c r="D306">
        <v>52</v>
      </c>
      <c r="I306" t="s">
        <v>1953</v>
      </c>
      <c r="J306" t="s">
        <v>1475</v>
      </c>
      <c r="U306" t="s">
        <v>1954</v>
      </c>
      <c r="V306"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6" t="s">
        <v>1955</v>
      </c>
      <c r="X306" t="s">
        <v>1956</v>
      </c>
    </row>
    <row r="307" spans="1:24">
      <c r="C307">
        <v>36416</v>
      </c>
      <c r="D307">
        <v>52</v>
      </c>
      <c r="I307" t="s">
        <v>1957</v>
      </c>
      <c r="J307" t="s">
        <v>1475</v>
      </c>
      <c r="U307" t="s">
        <v>1958</v>
      </c>
      <c r="V307"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7" t="s">
        <v>1959</v>
      </c>
      <c r="X307" t="s">
        <v>1960</v>
      </c>
    </row>
    <row r="308" customFormat="1" spans="1:24">
      <c r="C308">
        <v>30063</v>
      </c>
      <c r="D308">
        <v>52</v>
      </c>
      <c r="I308" t="s">
        <v>1961</v>
      </c>
      <c r="U308" t="s">
        <v>1687</v>
      </c>
      <c r="V308"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8" t="s">
        <v>1688</v>
      </c>
    </row>
    <row r="309" customFormat="1" spans="1:24">
      <c r="C309">
        <v>30062</v>
      </c>
      <c r="D309">
        <v>52</v>
      </c>
      <c r="I309" t="s">
        <v>1961</v>
      </c>
      <c r="U309" t="s">
        <v>1687</v>
      </c>
      <c r="V309"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9" t="s">
        <v>1688</v>
      </c>
    </row>
    <row r="310" customFormat="1" spans="1:24">
      <c r="C310">
        <v>30061</v>
      </c>
      <c r="D310">
        <v>52</v>
      </c>
      <c r="I310" t="s">
        <v>1961</v>
      </c>
      <c r="U310" t="s">
        <v>1687</v>
      </c>
      <c r="V310"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1688</v>
      </c>
    </row>
    <row r="311" customFormat="1" spans="1:24">
      <c r="C311">
        <v>30103</v>
      </c>
      <c r="D311">
        <v>52</v>
      </c>
      <c r="I311" t="s">
        <v>1962</v>
      </c>
      <c r="U311" t="s">
        <v>1682</v>
      </c>
      <c r="V311"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2" customFormat="1" spans="1:24">
      <c r="C312" s="3">
        <v>29501</v>
      </c>
      <c r="D312">
        <v>52</v>
      </c>
      <c r="I312" t="s">
        <v>1872</v>
      </c>
      <c r="U312" t="s">
        <v>1685</v>
      </c>
      <c r="V312"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customFormat="1" spans="1:24">
      <c r="A313" t="s">
        <v>1060</v>
      </c>
      <c r="B313">
        <v>214</v>
      </c>
      <c r="V313" t="str">
        <f t="shared" si="4"/>
        <v>},[214]={</v>
      </c>
    </row>
    <row r="314" customFormat="1" spans="1:24">
      <c r="C314">
        <v>47749</v>
      </c>
      <c r="D314">
        <v>47</v>
      </c>
      <c r="I314" t="s">
        <v>1963</v>
      </c>
      <c r="J314" t="s">
        <v>1729</v>
      </c>
      <c r="P314">
        <v>1</v>
      </c>
      <c r="U314" t="s">
        <v>1964</v>
      </c>
      <c r="V314" t="str">
        <f t="shared" si="4"/>
        <v>{dwID=47749,nFrame=47,szNote="阴山商路·木博",col={100,255,100,},[3]={bScreenHead=true,},[4]={},aFocus={{dwMapID=-1,szDisplay="夏洛特·阴山商路补货",nMaxDistance=20,tRelation={bAll=true,bEnemy=false,bAlly=false,},tLife={bEnable=false,szOperator="&gt;",nValue=0,},},},},</v>
      </c>
    </row>
    <row r="315" customFormat="1" spans="1:24">
      <c r="C315">
        <v>47408</v>
      </c>
      <c r="D315">
        <v>47</v>
      </c>
      <c r="I315" t="s">
        <v>1965</v>
      </c>
      <c r="J315" t="s">
        <v>1475</v>
      </c>
      <c r="O315">
        <v>1</v>
      </c>
      <c r="P315">
        <v>1</v>
      </c>
      <c r="U315" t="s">
        <v>1966</v>
      </c>
      <c r="V315" t="str">
        <f t="shared" si="4"/>
        <v>{dwID=47408,nFrame=47,szNote="阴山商路·散落的货物",col={0,255,0,},[3]={bCenterAlarm=true,bScreenHead=true,},[4]={},aFocus={{dwMapID=-1,nMaxDistance=0,tRelation={bAll=true,bEnemy=false,bAlly=false,},tLife={bEnable=false,szOperator="&gt;",nValue=0,},},},},</v>
      </c>
    </row>
    <row r="316" customFormat="1" spans="1:24">
      <c r="C316">
        <v>47859</v>
      </c>
      <c r="D316">
        <v>47</v>
      </c>
      <c r="I316" t="s">
        <v>1967</v>
      </c>
      <c r="U316" t="s">
        <v>1968</v>
      </c>
      <c r="V316" t="str">
        <f t="shared" si="4"/>
        <v>{dwID=47859,nFrame=47,szNote="阴山商路·浩气盟镖车",[3]={},[4]={},aFocus={{dwMapID=-1,nMaxDistance=10,tRelation={bAll=false,bEnemy=true,bAlly=false,},tLife={bEnable=false,szOperator="&gt;",nValue=0,},},},},</v>
      </c>
    </row>
    <row r="317" customFormat="1" spans="1:24">
      <c r="C317">
        <v>47032</v>
      </c>
      <c r="D317">
        <v>47</v>
      </c>
      <c r="I317" t="s">
        <v>1969</v>
      </c>
      <c r="U317" t="s">
        <v>1968</v>
      </c>
      <c r="V317" t="str">
        <f t="shared" si="4"/>
        <v>{dwID=47032,nFrame=47,szNote="阴山商路·恶人谷镖车",[3]={},[4]={},aFocus={{dwMapID=-1,nMaxDistance=10,tRelation={bAll=false,bEnemy=true,bAlly=false,},tLife={bEnable=false,szOperator="&gt;",nValue=0,},},},},</v>
      </c>
    </row>
    <row r="318" spans="1:24">
      <c r="A318" t="s">
        <v>1063</v>
      </c>
      <c r="B318">
        <v>217</v>
      </c>
      <c r="V318" t="str">
        <f t="shared" si="4"/>
        <v>},[217]={</v>
      </c>
    </row>
    <row r="319" spans="1:24">
      <c r="C319">
        <v>101012</v>
      </c>
      <c r="D319">
        <v>47</v>
      </c>
      <c r="I319" t="s">
        <v>1970</v>
      </c>
      <c r="J319" s="9" t="s">
        <v>643</v>
      </c>
      <c r="P319">
        <v>1</v>
      </c>
      <c r="U319" t="s">
        <v>1971</v>
      </c>
      <c r="V319" t="str">
        <f t="shared" si="4"/>
        <v>{dwID=101012,nFrame=47,szNote="烽烟再起·郭戈",col={255,120,31,},[3]={bScreenHead=true,},[4]={},aFocus={{dwMapID=-1,szDisplay="郭戈·烽烟再起",nMaxDistance=10,tRelation={bAll=false,bEnemy=false,bAlly=true,},tLife={bEnable=false,szOperator="&gt;",nValue=0,},},},},</v>
      </c>
    </row>
    <row r="320" spans="1:24">
      <c r="C320">
        <v>101011</v>
      </c>
      <c r="D320">
        <v>47</v>
      </c>
      <c r="I320" t="s">
        <v>1972</v>
      </c>
      <c r="J320" s="10" t="s">
        <v>648</v>
      </c>
      <c r="P320">
        <v>1</v>
      </c>
      <c r="U320" t="s">
        <v>1973</v>
      </c>
      <c r="V320" t="str">
        <f t="shared" si="4"/>
        <v>{dwID=101011,nFrame=47,szNote="烽烟再起·蒋征南",col={31,230,255,},[3]={bScreenHead=true,},[4]={},aFocus={{dwMapID=-1,szDisplay="蒋征南·烽烟再起",nMaxDistance=10,tRelation={bAll=false,bEnemy=false,bAlly=true,},tLife={bEnable=false,szOperator="&gt;",nValue=0,},},},},</v>
      </c>
    </row>
    <row r="321" spans="1:24">
      <c r="C321">
        <v>47744</v>
      </c>
      <c r="D321">
        <v>47</v>
      </c>
      <c r="I321" t="s">
        <v>1974</v>
      </c>
      <c r="J321" s="9" t="s">
        <v>643</v>
      </c>
      <c r="P321">
        <v>1</v>
      </c>
      <c r="U321" t="s">
        <v>1975</v>
      </c>
      <c r="V321" t="str">
        <f t="shared" si="4"/>
        <v>{dwID=47744,nFrame=47,szNote="阴山商路·恶人·谷艾",col={255,120,31,},[3]={bScreenHead=true,},[4]={},aFocus={{dwMapID=-1,szDisplay="谷艾·阴山商路·主簿",nMaxDistance=20,tRelation={bAll=false,bEnemy=false,bAlly=true,},tLife={bEnable=false,szOperator="&gt;",nValue=0,},},},},</v>
      </c>
    </row>
    <row r="322" spans="1:24">
      <c r="C322">
        <v>47858</v>
      </c>
      <c r="D322">
        <v>47</v>
      </c>
      <c r="I322" t="s">
        <v>1976</v>
      </c>
      <c r="J322" s="10" t="s">
        <v>648</v>
      </c>
      <c r="P322">
        <v>1</v>
      </c>
      <c r="U322" t="s">
        <v>1977</v>
      </c>
      <c r="V322" t="str">
        <f t="shared" si="4"/>
        <v>{dwID=47858,nFrame=47,szNote="阴山商路·浩气·宋涛",col={31,230,255,},[3]={bScreenHead=true,},[4]={},aFocus={{dwMapID=-1,szDisplay="宋涛·阴山商路·主簿",nMaxDistance=20,tRelation={bAll=false,bEnemy=false,bAlly=true,},tLife={bEnable=false,szOperator="&gt;",nValue=0,},},},},</v>
      </c>
    </row>
    <row r="323" spans="1:24">
      <c r="C323">
        <v>47408</v>
      </c>
      <c r="D323">
        <v>47</v>
      </c>
      <c r="I323" t="s">
        <v>1965</v>
      </c>
      <c r="J323" t="s">
        <v>1475</v>
      </c>
      <c r="O323">
        <v>1</v>
      </c>
      <c r="P323">
        <v>1</v>
      </c>
      <c r="U323" t="s">
        <v>1966</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{dwID=47408,nFrame=47,szNote="阴山商路·散落的货物",col={0,255,0,},[3]={bCenterAlarm=true,bScreenHead=true,},[4]={},aFocus={{dwMapID=-1,nMaxDistance=0,tRelation={bAll=true,bEnemy=false,bAlly=false,},tLife={bEnable=false,szOperator="&gt;",nValue=0,},},},},</v>
      </c>
    </row>
    <row r="324" spans="1:24">
      <c r="A324" t="s">
        <v>1062</v>
      </c>
      <c r="B324">
        <v>216</v>
      </c>
      <c r="V324" t="str">
        <f t="shared" si="5"/>
        <v>},[216]={</v>
      </c>
    </row>
    <row r="325" spans="1:24">
      <c r="C325">
        <v>123840</v>
      </c>
      <c r="D325">
        <v>52</v>
      </c>
      <c r="I325" t="s">
        <v>1978</v>
      </c>
      <c r="J325" t="s">
        <v>1475</v>
      </c>
      <c r="O325">
        <v>1</v>
      </c>
      <c r="P325">
        <v>1</v>
      </c>
      <c r="U325" t="s">
        <v>1979</v>
      </c>
      <c r="V32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5" t="s">
        <v>1980</v>
      </c>
      <c r="X325" t="s">
        <v>1981</v>
      </c>
    </row>
    <row r="326" spans="1:24">
      <c r="C326">
        <v>123841</v>
      </c>
      <c r="D326">
        <v>52</v>
      </c>
      <c r="I326" t="s">
        <v>1982</v>
      </c>
      <c r="J326" t="s">
        <v>1475</v>
      </c>
      <c r="O326">
        <v>1</v>
      </c>
      <c r="P326">
        <v>1</v>
      </c>
      <c r="U326" t="s">
        <v>1983</v>
      </c>
      <c r="V32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6" t="s">
        <v>1984</v>
      </c>
      <c r="X326" t="s">
        <v>1985</v>
      </c>
    </row>
    <row r="327" spans="1:24">
      <c r="C327">
        <v>101012</v>
      </c>
      <c r="D327">
        <v>47</v>
      </c>
      <c r="I327" t="s">
        <v>1970</v>
      </c>
      <c r="J327" s="9" t="s">
        <v>643</v>
      </c>
      <c r="P327">
        <v>1</v>
      </c>
      <c r="U327" t="s">
        <v>1971</v>
      </c>
      <c r="V327" t="str">
        <f t="shared" si="5"/>
        <v>{dwID=101012,nFrame=47,szNote="烽烟再起·郭戈",col={255,120,31,},[3]={bScreenHead=true,},[4]={},aFocus={{dwMapID=-1,szDisplay="郭戈·烽烟再起",nMaxDistance=10,tRelation={bAll=false,bEnemy=false,bAlly=true,},tLife={bEnable=false,szOperator="&gt;",nValue=0,},},},},</v>
      </c>
    </row>
    <row r="328" spans="1:24">
      <c r="C328">
        <v>101011</v>
      </c>
      <c r="D328">
        <v>47</v>
      </c>
      <c r="I328" t="s">
        <v>1972</v>
      </c>
      <c r="J328" s="10" t="s">
        <v>648</v>
      </c>
      <c r="P328">
        <v>1</v>
      </c>
      <c r="U328" t="s">
        <v>1973</v>
      </c>
      <c r="V328" t="str">
        <f t="shared" si="5"/>
        <v>{dwID=101011,nFrame=47,szNote="烽烟再起·蒋征南",col={31,230,255,},[3]={bScreenHead=true,},[4]={},aFocus={{dwMapID=-1,szDisplay="蒋征南·烽烟再起",nMaxDistance=10,tRelation={bAll=false,bEnemy=false,bAlly=true,},tLife={bEnable=false,szOperator="&gt;",nValue=0,},},},},</v>
      </c>
    </row>
    <row r="329" spans="1:24">
      <c r="C329">
        <v>47888</v>
      </c>
      <c r="D329">
        <v>47</v>
      </c>
      <c r="I329" t="s">
        <v>1986</v>
      </c>
      <c r="J329" t="s">
        <v>1729</v>
      </c>
      <c r="P329">
        <v>1</v>
      </c>
      <c r="U329" t="s">
        <v>1964</v>
      </c>
      <c r="V329" t="str">
        <f t="shared" si="5"/>
        <v>{dwID=47888,nFrame=47,szNote="阴山商路·夏洛特",col={100,255,100,},[3]={bScreenHead=true,},[4]={},aFocus={{dwMapID=-1,szDisplay="夏洛特·阴山商路补货",nMaxDistance=20,tRelation={bAll=true,bEnemy=false,bAlly=false,},tLife={bEnable=false,szOperator="&gt;",nValue=0,},},},},</v>
      </c>
    </row>
    <row r="330" spans="1:24">
      <c r="C330">
        <v>47408</v>
      </c>
      <c r="D330">
        <v>47</v>
      </c>
      <c r="I330" t="s">
        <v>1965</v>
      </c>
      <c r="J330" t="s">
        <v>1475</v>
      </c>
      <c r="O330">
        <v>1</v>
      </c>
      <c r="P330">
        <v>1</v>
      </c>
      <c r="U330" t="s">
        <v>1966</v>
      </c>
      <c r="V330" t="str">
        <f t="shared" si="5"/>
        <v>{dwID=47408,nFrame=47,szNote="阴山商路·散落的货物",col={0,255,0,},[3]={bCenterAlarm=true,bScreenHead=true,},[4]={},aFocus={{dwMapID=-1,nMaxDistance=0,tRelation={bAll=true,bEnemy=false,bAlly=false,},tLife={bEnable=false,szOperator="&gt;",nValue=0,},},},},</v>
      </c>
    </row>
    <row r="331" spans="1:24">
      <c r="C331">
        <v>47859</v>
      </c>
      <c r="D331">
        <v>47</v>
      </c>
      <c r="I331" t="s">
        <v>1967</v>
      </c>
      <c r="U331" t="s">
        <v>1968</v>
      </c>
      <c r="V331" t="str">
        <f t="shared" si="5"/>
        <v>{dwID=47859,nFrame=47,szNote="阴山商路·浩气盟镖车",[3]={},[4]={},aFocus={{dwMapID=-1,nMaxDistance=10,tRelation={bAll=false,bEnemy=true,bAlly=false,},tLife={bEnable=false,szOperator="&gt;",nValue=0,},},},},</v>
      </c>
    </row>
    <row r="332" spans="1:24">
      <c r="C332">
        <v>47032</v>
      </c>
      <c r="D332">
        <v>47</v>
      </c>
      <c r="I332" t="s">
        <v>1969</v>
      </c>
      <c r="U332" t="s">
        <v>1968</v>
      </c>
      <c r="V332" t="str">
        <f t="shared" si="5"/>
        <v>{dwID=47032,nFrame=47,szNote="阴山商路·恶人谷镖车",[3]={},[4]={},aFocus={{dwMapID=-1,nMaxDistance=10,tRelation={bAll=false,bEnemy=true,bAlly=false,},tLife={bEnable=false,szOperator="&gt;",nValue=0,},},},},</v>
      </c>
    </row>
    <row r="333" spans="1:24">
      <c r="C333">
        <v>56526</v>
      </c>
      <c r="D333">
        <v>52</v>
      </c>
      <c r="I333" t="s">
        <v>1798</v>
      </c>
      <c r="P333">
        <v>1</v>
      </c>
      <c r="U333" t="s">
        <v>1987</v>
      </c>
      <c r="V333" t="str">
        <f t="shared" si="5"/>
        <v>{dwID=56526,nFrame=52,szNote="浩气牛车",[3]={bScreenHead=true,},[4]={},aFocus={{dwMapID=-1,nMaxDistance=40,tRelation={bAll=true,bEnemy=false,bAlly=false,},tLife={bEnable=false,szOperator="&gt;",nValue=0,},},},},</v>
      </c>
    </row>
    <row r="334" spans="1:24">
      <c r="C334">
        <v>56527</v>
      </c>
      <c r="D334">
        <v>52</v>
      </c>
      <c r="I334" t="s">
        <v>1800</v>
      </c>
      <c r="P334">
        <v>1</v>
      </c>
      <c r="U334" t="s">
        <v>1987</v>
      </c>
      <c r="V334" t="str">
        <f t="shared" si="5"/>
        <v>{dwID=56527,nFrame=52,szNote="恶人牛车",[3]={bScreenHead=true,},[4]={},aFocus={{dwMapID=-1,nMaxDistance=40,tRelation={bAll=true,bEnemy=false,bAlly=false,},tLife={bEnable=false,szOperator="&gt;",nValue=0,},},},},</v>
      </c>
    </row>
    <row r="335" spans="1:24">
      <c r="C335">
        <v>123976</v>
      </c>
      <c r="D335">
        <v>47</v>
      </c>
      <c r="I335" t="s">
        <v>1721</v>
      </c>
      <c r="P335">
        <v>1</v>
      </c>
      <c r="U335" t="s">
        <v>1988</v>
      </c>
      <c r="V33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5" t="s">
        <v>1723</v>
      </c>
    </row>
    <row r="336" spans="1:24">
      <c r="C336">
        <v>123975</v>
      </c>
      <c r="D336">
        <v>47</v>
      </c>
      <c r="I336" t="s">
        <v>1724</v>
      </c>
      <c r="P336">
        <v>1</v>
      </c>
      <c r="U336" t="s">
        <v>1988</v>
      </c>
      <c r="V3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6" t="s">
        <v>1725</v>
      </c>
    </row>
    <row r="337" customFormat="1" spans="3:23">
      <c r="C337">
        <v>124104</v>
      </c>
      <c r="D337">
        <v>52</v>
      </c>
      <c r="I337" t="s">
        <v>1989</v>
      </c>
      <c r="U337" t="s">
        <v>1687</v>
      </c>
      <c r="V337"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1688</v>
      </c>
    </row>
    <row r="338" customFormat="1" spans="3:23">
      <c r="C338">
        <v>124103</v>
      </c>
      <c r="D338">
        <v>52</v>
      </c>
      <c r="I338" t="s">
        <v>1989</v>
      </c>
      <c r="U338" t="s">
        <v>1687</v>
      </c>
      <c r="V338"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1688</v>
      </c>
    </row>
    <row r="339" customFormat="1" spans="3:23">
      <c r="C339">
        <v>124102</v>
      </c>
      <c r="D339">
        <v>52</v>
      </c>
      <c r="I339" t="s">
        <v>1989</v>
      </c>
      <c r="U339" t="s">
        <v>1687</v>
      </c>
      <c r="V339"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1688</v>
      </c>
    </row>
    <row r="340" customFormat="1" spans="3:23">
      <c r="C340">
        <v>124101</v>
      </c>
      <c r="D340">
        <v>52</v>
      </c>
      <c r="I340" t="s">
        <v>1989</v>
      </c>
      <c r="U340" t="s">
        <v>1687</v>
      </c>
      <c r="V340"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1688</v>
      </c>
    </row>
    <row r="341" spans="3:23">
      <c r="C341">
        <v>124280</v>
      </c>
      <c r="D341">
        <v>52</v>
      </c>
      <c r="I341" t="s">
        <v>1990</v>
      </c>
      <c r="U341" t="s">
        <v>1682</v>
      </c>
      <c r="V341"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124281</v>
      </c>
      <c r="D342">
        <v>52</v>
      </c>
      <c r="I342" t="s">
        <v>1990</v>
      </c>
      <c r="U342" t="s">
        <v>1682</v>
      </c>
      <c r="V342"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124290</v>
      </c>
      <c r="D343">
        <v>52</v>
      </c>
      <c r="I343" t="s">
        <v>1990</v>
      </c>
      <c r="U343" t="s">
        <v>1682</v>
      </c>
      <c r="V343"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124291</v>
      </c>
      <c r="D344">
        <v>52</v>
      </c>
      <c r="I344" t="s">
        <v>1990</v>
      </c>
      <c r="U344" t="s">
        <v>1682</v>
      </c>
      <c r="V344"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124260</v>
      </c>
      <c r="D345">
        <v>52</v>
      </c>
      <c r="I345" t="s">
        <v>1991</v>
      </c>
      <c r="U345" t="s">
        <v>1682</v>
      </c>
      <c r="V345"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124261</v>
      </c>
      <c r="D346">
        <v>52</v>
      </c>
      <c r="I346" t="s">
        <v>1991</v>
      </c>
      <c r="U346" t="s">
        <v>1682</v>
      </c>
      <c r="V34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124270</v>
      </c>
      <c r="D347">
        <v>52</v>
      </c>
      <c r="I347" t="s">
        <v>1991</v>
      </c>
      <c r="U347" t="s">
        <v>1682</v>
      </c>
      <c r="V347"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124271</v>
      </c>
      <c r="D348">
        <v>52</v>
      </c>
      <c r="I348" t="s">
        <v>1991</v>
      </c>
      <c r="U348" t="s">
        <v>1682</v>
      </c>
      <c r="V348"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124124</v>
      </c>
      <c r="D349">
        <v>52</v>
      </c>
      <c r="I349" t="s">
        <v>1992</v>
      </c>
      <c r="U349" t="s">
        <v>1685</v>
      </c>
      <c r="V349"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124109</v>
      </c>
      <c r="D350">
        <v>52</v>
      </c>
      <c r="I350" t="s">
        <v>1992</v>
      </c>
      <c r="U350" t="s">
        <v>1685</v>
      </c>
      <c r="V350"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124110</v>
      </c>
      <c r="D351">
        <v>52</v>
      </c>
      <c r="I351" t="s">
        <v>1992</v>
      </c>
      <c r="U351" t="s">
        <v>1685</v>
      </c>
      <c r="V351"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124111</v>
      </c>
      <c r="D352">
        <v>52</v>
      </c>
      <c r="I352" t="s">
        <v>1992</v>
      </c>
      <c r="U352" t="s">
        <v>1685</v>
      </c>
      <c r="V352"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124112</v>
      </c>
      <c r="D353">
        <v>52</v>
      </c>
      <c r="I353" t="s">
        <v>1992</v>
      </c>
      <c r="U353" t="s">
        <v>1685</v>
      </c>
      <c r="V353"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124113</v>
      </c>
      <c r="D354">
        <v>52</v>
      </c>
      <c r="I354" t="s">
        <v>1992</v>
      </c>
      <c r="U354" t="s">
        <v>1685</v>
      </c>
      <c r="V354"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124114</v>
      </c>
      <c r="D355">
        <v>52</v>
      </c>
      <c r="I355" t="s">
        <v>1992</v>
      </c>
      <c r="U355" t="s">
        <v>1685</v>
      </c>
      <c r="V355"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124115</v>
      </c>
      <c r="D356">
        <v>52</v>
      </c>
      <c r="I356" t="s">
        <v>1992</v>
      </c>
      <c r="U356" t="s">
        <v>1685</v>
      </c>
      <c r="V35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124116</v>
      </c>
      <c r="D357">
        <v>52</v>
      </c>
      <c r="I357" t="s">
        <v>1992</v>
      </c>
      <c r="U357" t="s">
        <v>1685</v>
      </c>
      <c r="V357"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124117</v>
      </c>
      <c r="D358">
        <v>52</v>
      </c>
      <c r="I358" t="s">
        <v>1992</v>
      </c>
      <c r="U358" t="s">
        <v>1685</v>
      </c>
      <c r="V358"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124118</v>
      </c>
      <c r="D359">
        <v>52</v>
      </c>
      <c r="I359" t="s">
        <v>1992</v>
      </c>
      <c r="U359" t="s">
        <v>1685</v>
      </c>
      <c r="V359"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124119</v>
      </c>
      <c r="D360">
        <v>52</v>
      </c>
      <c r="I360" t="s">
        <v>1992</v>
      </c>
      <c r="U360" t="s">
        <v>1685</v>
      </c>
      <c r="V360"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124120</v>
      </c>
      <c r="D361">
        <v>52</v>
      </c>
      <c r="I361" t="s">
        <v>1992</v>
      </c>
      <c r="U361" t="s">
        <v>1685</v>
      </c>
      <c r="V361"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124121</v>
      </c>
      <c r="D362">
        <v>52</v>
      </c>
      <c r="I362" t="s">
        <v>1992</v>
      </c>
      <c r="U362" t="s">
        <v>1685</v>
      </c>
      <c r="V362"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124122</v>
      </c>
      <c r="D363">
        <v>52</v>
      </c>
      <c r="I363" t="s">
        <v>1992</v>
      </c>
      <c r="U363" t="s">
        <v>1685</v>
      </c>
      <c r="V363"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3">
      <c r="C364">
        <v>124123</v>
      </c>
      <c r="D364">
        <v>52</v>
      </c>
      <c r="I364" t="s">
        <v>1992</v>
      </c>
      <c r="U364" t="s">
        <v>1685</v>
      </c>
      <c r="V364"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3">
      <c r="C365">
        <v>123871</v>
      </c>
      <c r="D365">
        <v>47</v>
      </c>
      <c r="I365" t="s">
        <v>1678</v>
      </c>
      <c r="U365" t="s">
        <v>1993</v>
      </c>
      <c r="V365" t="str">
        <f t="shared" si="5"/>
        <v>{dwID=123871,nFrame=47,szNote="小珍",[3]={},[4]={},aFocus={{dwMapID=-1,szDisplay="分线·传送",nMaxDistance=12,tRelation={bAll=false,bEnemy=false,bAlly=true,},tLife={bEnable=false,szOperator="&gt;",nValue=0,},},},},</v>
      </c>
    </row>
    <row r="366" spans="3:23">
      <c r="C366">
        <v>123867</v>
      </c>
      <c r="D366">
        <v>47</v>
      </c>
      <c r="I366" t="s">
        <v>1680</v>
      </c>
      <c r="U366" t="s">
        <v>1993</v>
      </c>
      <c r="V366" t="str">
        <f t="shared" si="5"/>
        <v>{dwID=123867,nFrame=47,szNote="小曾",[3]={},[4]={},aFocus={{dwMapID=-1,szDisplay="分线·传送",nMaxDistance=12,tRelation={bAll=false,bEnemy=false,bAlly=true,},tLife={bEnable=false,szOperator="&gt;",nValue=0,},},},},</v>
      </c>
    </row>
    <row r="367" customFormat="1" spans="3:23">
      <c r="C367" s="3">
        <v>66809</v>
      </c>
      <c r="D367">
        <v>57</v>
      </c>
      <c r="G367" t="s">
        <v>1689</v>
      </c>
      <c r="I367" t="s">
        <v>1690</v>
      </c>
      <c r="O367">
        <v>1</v>
      </c>
      <c r="U367" t="s">
        <v>1691</v>
      </c>
      <c r="V367" t="str">
        <f t="shared" si="5"/>
        <v>{dwID=66809,nFrame=57,szName="火圈",szNote="减疗火圈",[3]={bCenterAlarm=true,},[4]={},aFocus={{dwMapID=-1,szDisplay="火圈·减疗",nMaxDistance=8,tRelation={bAll=true,bEnemy=true,bAlly=true,},tLife={bEnable=false,szOperator="&gt;",nValue=0,},},},},</v>
      </c>
    </row>
    <row r="368" customFormat="1" spans="3:23">
      <c r="C368" s="3">
        <v>36396</v>
      </c>
      <c r="D368">
        <v>52</v>
      </c>
      <c r="G368" t="s">
        <v>1713</v>
      </c>
      <c r="I368" t="s">
        <v>1714</v>
      </c>
      <c r="O368">
        <v>1</v>
      </c>
      <c r="P368">
        <v>1</v>
      </c>
      <c r="U368" t="s">
        <v>1715</v>
      </c>
      <c r="V368"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8" t="s">
        <v>1716</v>
      </c>
    </row>
    <row r="369" customFormat="1" spans="1:23">
      <c r="C369" s="3">
        <v>36005</v>
      </c>
      <c r="D369">
        <v>52</v>
      </c>
      <c r="I369" t="s">
        <v>1717</v>
      </c>
      <c r="P369">
        <v>1</v>
      </c>
      <c r="U369" t="s">
        <v>1718</v>
      </c>
      <c r="V369" t="str">
        <f t="shared" si="5"/>
        <v>{dwID=36005,nFrame=52,szNote="神机台·没人状态",[3]={bScreenHead=true,},[4]={},aFocus={{dwMapID=-1,nMaxDistance=-1,tRelation={bAll=true,bEnemy=true,bAlly=true,},tLife={bEnable=true,szOperator="&lt;",nValue=10,},},},},</v>
      </c>
    </row>
    <row r="370" customFormat="1" spans="1:23">
      <c r="C370" s="3">
        <v>100133</v>
      </c>
      <c r="D370">
        <v>57</v>
      </c>
      <c r="I370" t="s">
        <v>1719</v>
      </c>
      <c r="P370">
        <v>1</v>
      </c>
      <c r="U370" t="s">
        <v>1720</v>
      </c>
      <c r="V370" t="str">
        <f t="shared" si="5"/>
        <v>{dwID=100133,nFrame=57,szNote="狼牙先锋首领",[3]={bScreenHead=true,},[4]={},aFocus={{dwMapID=-1,nMaxDistance=90,tRelation={bAll=false,bEnemy=true,bAlly=false,},tLife={bEnable=false,szOperator="&gt;",nValue=0,},},},},</v>
      </c>
    </row>
    <row r="371" customFormat="1" spans="1:23">
      <c r="C371" s="3">
        <v>30537</v>
      </c>
      <c r="D371">
        <v>47</v>
      </c>
      <c r="I371" t="s">
        <v>1728</v>
      </c>
      <c r="J371" t="s">
        <v>1729</v>
      </c>
      <c r="P371">
        <v>1</v>
      </c>
      <c r="U371" t="s">
        <v>1730</v>
      </c>
      <c r="V371" t="str">
        <f t="shared" si="5"/>
        <v>{dwID=30537,nFrame=47,szNote="据点伙计",col={100,255,100,},[3]={bScreenHead=true,},[4]={},aFocus={{dwMapID=-1,nMaxDistance=10,tRelation={bAll=false,bEnemy=false,bAlly=true,},tLife={bEnable=false,szOperator="&gt;",nValue=0,},},},},</v>
      </c>
    </row>
    <row r="372" spans="1:23">
      <c r="A372" t="s">
        <v>1415</v>
      </c>
      <c r="B372">
        <v>656</v>
      </c>
      <c r="V372" t="str">
        <f t="shared" si="5"/>
        <v>},[656]={</v>
      </c>
    </row>
    <row r="373" spans="1:23">
      <c r="C373">
        <v>123840</v>
      </c>
      <c r="D373">
        <v>52</v>
      </c>
      <c r="I373" t="s">
        <v>1978</v>
      </c>
      <c r="J373" t="s">
        <v>1475</v>
      </c>
      <c r="O373">
        <v>1</v>
      </c>
      <c r="P373">
        <v>1</v>
      </c>
      <c r="U373" t="s">
        <v>1979</v>
      </c>
      <c r="V373"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4" spans="1:23">
      <c r="C374">
        <v>123841</v>
      </c>
      <c r="D374">
        <v>52</v>
      </c>
      <c r="I374" t="s">
        <v>1982</v>
      </c>
      <c r="J374" t="s">
        <v>1475</v>
      </c>
      <c r="O374">
        <v>1</v>
      </c>
      <c r="P374">
        <v>1</v>
      </c>
      <c r="U374" t="s">
        <v>1983</v>
      </c>
      <c r="V374"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5" spans="1:23">
      <c r="C375">
        <v>123976</v>
      </c>
      <c r="D375">
        <v>47</v>
      </c>
      <c r="I375" t="s">
        <v>1721</v>
      </c>
      <c r="P375">
        <v>1</v>
      </c>
      <c r="U375" t="s">
        <v>1988</v>
      </c>
      <c r="V37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5" t="s">
        <v>1723</v>
      </c>
    </row>
    <row r="376" spans="1:23">
      <c r="C376">
        <v>123975</v>
      </c>
      <c r="D376">
        <v>47</v>
      </c>
      <c r="I376" t="s">
        <v>1724</v>
      </c>
      <c r="P376">
        <v>1</v>
      </c>
      <c r="U376" t="s">
        <v>1988</v>
      </c>
      <c r="V37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6" t="s">
        <v>1725</v>
      </c>
    </row>
    <row r="377" customFormat="1" spans="1:23">
      <c r="C377">
        <v>124104</v>
      </c>
      <c r="D377">
        <v>52</v>
      </c>
      <c r="I377" t="s">
        <v>1994</v>
      </c>
      <c r="U377" t="s">
        <v>1687</v>
      </c>
      <c r="V377"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t="s">
        <v>1688</v>
      </c>
    </row>
    <row r="378" customFormat="1" spans="1:23">
      <c r="C378">
        <v>124103</v>
      </c>
      <c r="D378">
        <v>52</v>
      </c>
      <c r="I378" t="s">
        <v>1994</v>
      </c>
      <c r="U378" t="s">
        <v>1687</v>
      </c>
      <c r="V378"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8" t="s">
        <v>1688</v>
      </c>
    </row>
    <row r="379" customFormat="1" spans="1:23">
      <c r="C379">
        <v>124102</v>
      </c>
      <c r="D379">
        <v>52</v>
      </c>
      <c r="I379" t="s">
        <v>1994</v>
      </c>
      <c r="U379" t="s">
        <v>1687</v>
      </c>
      <c r="V379"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1688</v>
      </c>
    </row>
    <row r="380" customFormat="1" spans="1:23">
      <c r="C380">
        <v>124101</v>
      </c>
      <c r="D380">
        <v>52</v>
      </c>
      <c r="I380" t="s">
        <v>1994</v>
      </c>
      <c r="U380" t="s">
        <v>1687</v>
      </c>
      <c r="V380"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1688</v>
      </c>
    </row>
    <row r="381" spans="1:23">
      <c r="C381">
        <v>124280</v>
      </c>
      <c r="D381">
        <v>52</v>
      </c>
      <c r="I381" t="s">
        <v>1995</v>
      </c>
      <c r="U381" t="s">
        <v>1682</v>
      </c>
      <c r="V381"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c r="C382">
        <v>124281</v>
      </c>
      <c r="D382">
        <v>52</v>
      </c>
      <c r="I382" t="s">
        <v>1995</v>
      </c>
      <c r="U382" t="s">
        <v>1682</v>
      </c>
      <c r="V382"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c r="C383">
        <v>124290</v>
      </c>
      <c r="D383">
        <v>52</v>
      </c>
      <c r="I383" t="s">
        <v>1995</v>
      </c>
      <c r="U383" t="s">
        <v>1682</v>
      </c>
      <c r="V383"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124291</v>
      </c>
      <c r="D384">
        <v>52</v>
      </c>
      <c r="I384" t="s">
        <v>1995</v>
      </c>
      <c r="U384" t="s">
        <v>1682</v>
      </c>
      <c r="V384"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124260</v>
      </c>
      <c r="D385">
        <v>52</v>
      </c>
      <c r="I385" t="s">
        <v>1996</v>
      </c>
      <c r="U385" t="s">
        <v>1682</v>
      </c>
      <c r="V385"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124261</v>
      </c>
      <c r="D386">
        <v>52</v>
      </c>
      <c r="I386" t="s">
        <v>1996</v>
      </c>
      <c r="U386" t="s">
        <v>1682</v>
      </c>
      <c r="V38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124270</v>
      </c>
      <c r="D387">
        <v>52</v>
      </c>
      <c r="I387" t="s">
        <v>1996</v>
      </c>
      <c r="U387" t="s">
        <v>1682</v>
      </c>
      <c r="V387" t="str">
        <f t="shared" ref="V387:V412"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124271</v>
      </c>
      <c r="D388">
        <v>52</v>
      </c>
      <c r="I388" t="s">
        <v>1996</v>
      </c>
      <c r="U388" t="s">
        <v>1682</v>
      </c>
      <c r="V388"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124109</v>
      </c>
      <c r="D389">
        <v>52</v>
      </c>
      <c r="I389" t="s">
        <v>1997</v>
      </c>
      <c r="U389" t="s">
        <v>1685</v>
      </c>
      <c r="V389"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c r="C390">
        <v>124110</v>
      </c>
      <c r="D390">
        <v>52</v>
      </c>
      <c r="I390" t="s">
        <v>1997</v>
      </c>
      <c r="U390" t="s">
        <v>1685</v>
      </c>
      <c r="V390"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c r="C391">
        <v>124111</v>
      </c>
      <c r="D391">
        <v>52</v>
      </c>
      <c r="I391" t="s">
        <v>1997</v>
      </c>
      <c r="U391" t="s">
        <v>1685</v>
      </c>
      <c r="V391"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124112</v>
      </c>
      <c r="D392">
        <v>52</v>
      </c>
      <c r="I392" t="s">
        <v>1997</v>
      </c>
      <c r="U392" t="s">
        <v>1685</v>
      </c>
      <c r="V392"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124113</v>
      </c>
      <c r="D393">
        <v>52</v>
      </c>
      <c r="I393" t="s">
        <v>1997</v>
      </c>
      <c r="U393" t="s">
        <v>1685</v>
      </c>
      <c r="V393"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124114</v>
      </c>
      <c r="D394">
        <v>52</v>
      </c>
      <c r="I394" t="s">
        <v>1997</v>
      </c>
      <c r="U394" t="s">
        <v>1685</v>
      </c>
      <c r="V394"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124115</v>
      </c>
      <c r="D395">
        <v>52</v>
      </c>
      <c r="I395" t="s">
        <v>1997</v>
      </c>
      <c r="U395" t="s">
        <v>1685</v>
      </c>
      <c r="V395"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124116</v>
      </c>
      <c r="D396">
        <v>52</v>
      </c>
      <c r="I396" t="s">
        <v>1997</v>
      </c>
      <c r="U396" t="s">
        <v>1685</v>
      </c>
      <c r="V39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124117</v>
      </c>
      <c r="D397">
        <v>52</v>
      </c>
      <c r="I397" t="s">
        <v>1997</v>
      </c>
      <c r="U397" t="s">
        <v>1685</v>
      </c>
      <c r="V397"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124118</v>
      </c>
      <c r="D398">
        <v>52</v>
      </c>
      <c r="I398" t="s">
        <v>1997</v>
      </c>
      <c r="U398" t="s">
        <v>1685</v>
      </c>
      <c r="V398"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124119</v>
      </c>
      <c r="D399">
        <v>52</v>
      </c>
      <c r="I399" t="s">
        <v>1997</v>
      </c>
      <c r="U399" t="s">
        <v>1685</v>
      </c>
      <c r="V399"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124120</v>
      </c>
      <c r="D400">
        <v>52</v>
      </c>
      <c r="I400" t="s">
        <v>1997</v>
      </c>
      <c r="U400" t="s">
        <v>1685</v>
      </c>
      <c r="V400"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124121</v>
      </c>
      <c r="D401">
        <v>52</v>
      </c>
      <c r="I401" t="s">
        <v>1997</v>
      </c>
      <c r="U401" t="s">
        <v>1685</v>
      </c>
      <c r="V401"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124122</v>
      </c>
      <c r="D402">
        <v>52</v>
      </c>
      <c r="I402" t="s">
        <v>1997</v>
      </c>
      <c r="U402" t="s">
        <v>1685</v>
      </c>
      <c r="V402"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124123</v>
      </c>
      <c r="D403">
        <v>52</v>
      </c>
      <c r="I403" t="s">
        <v>1997</v>
      </c>
      <c r="U403" t="s">
        <v>1685</v>
      </c>
      <c r="V403"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124124</v>
      </c>
      <c r="D404">
        <v>52</v>
      </c>
      <c r="I404" t="s">
        <v>1997</v>
      </c>
      <c r="U404" t="s">
        <v>1685</v>
      </c>
      <c r="V404"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123871</v>
      </c>
      <c r="D405">
        <v>47</v>
      </c>
      <c r="I405" t="s">
        <v>1678</v>
      </c>
      <c r="U405" t="s">
        <v>1993</v>
      </c>
      <c r="V405" t="str">
        <f t="shared" si="6"/>
        <v>{dwID=123871,nFrame=47,szNote="小珍",[3]={},[4]={},aFocus={{dwMapID=-1,szDisplay="分线·传送",nMaxDistance=12,tRelation={bAll=false,bEnemy=false,bAlly=true,},tLife={bEnable=false,szOperator="&gt;",nValue=0,},},},},</v>
      </c>
    </row>
    <row r="406" spans="3:23">
      <c r="C406">
        <v>123867</v>
      </c>
      <c r="D406">
        <v>47</v>
      </c>
      <c r="I406" t="s">
        <v>1680</v>
      </c>
      <c r="U406" t="s">
        <v>1993</v>
      </c>
      <c r="V406" t="str">
        <f t="shared" si="6"/>
        <v>{dwID=123867,nFrame=47,szNote="小曾",[3]={},[4]={},aFocus={{dwMapID=-1,szDisplay="分线·传送",nMaxDistance=12,tRelation={bAll=false,bEnemy=false,bAlly=true,},tLife={bEnable=false,szOperator="&gt;",nValue=0,},},},},</v>
      </c>
    </row>
    <row r="407" customFormat="1" spans="3:23">
      <c r="C407" s="3">
        <v>66809</v>
      </c>
      <c r="D407">
        <v>57</v>
      </c>
      <c r="G407" t="s">
        <v>1689</v>
      </c>
      <c r="I407" t="s">
        <v>1690</v>
      </c>
      <c r="O407">
        <v>1</v>
      </c>
      <c r="U407" t="s">
        <v>1691</v>
      </c>
      <c r="V407" t="str">
        <f t="shared" si="6"/>
        <v>{dwID=66809,nFrame=57,szName="火圈",szNote="减疗火圈",[3]={bCenterAlarm=true,},[4]={},aFocus={{dwMapID=-1,szDisplay="火圈·减疗",nMaxDistance=8,tRelation={bAll=true,bEnemy=true,bAlly=true,},tLife={bEnable=false,szOperator="&gt;",nValue=0,},},},},</v>
      </c>
    </row>
    <row r="408" customFormat="1" spans="3:23">
      <c r="C408" s="3">
        <v>36396</v>
      </c>
      <c r="D408">
        <v>52</v>
      </c>
      <c r="G408" t="s">
        <v>1713</v>
      </c>
      <c r="I408" t="s">
        <v>1714</v>
      </c>
      <c r="O408">
        <v>1</v>
      </c>
      <c r="P408">
        <v>1</v>
      </c>
      <c r="U408" t="s">
        <v>1715</v>
      </c>
      <c r="V408"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08" t="s">
        <v>1716</v>
      </c>
    </row>
    <row r="409" customFormat="1" spans="3:23">
      <c r="C409" s="3">
        <v>36005</v>
      </c>
      <c r="D409">
        <v>52</v>
      </c>
      <c r="I409" t="s">
        <v>1717</v>
      </c>
      <c r="P409">
        <v>1</v>
      </c>
      <c r="U409" t="s">
        <v>1718</v>
      </c>
      <c r="V409" t="str">
        <f t="shared" si="6"/>
        <v>{dwID=36005,nFrame=52,szNote="神机台·没人状态",[3]={bScreenHead=true,},[4]={},aFocus={{dwMapID=-1,nMaxDistance=-1,tRelation={bAll=true,bEnemy=true,bAlly=true,},tLife={bEnable=true,szOperator="&lt;",nValue=10,},},},},</v>
      </c>
    </row>
    <row r="410" customFormat="1" spans="3:23">
      <c r="C410" s="3">
        <v>100133</v>
      </c>
      <c r="D410">
        <v>57</v>
      </c>
      <c r="I410" t="s">
        <v>1719</v>
      </c>
      <c r="P410">
        <v>1</v>
      </c>
      <c r="U410" t="s">
        <v>1720</v>
      </c>
      <c r="V410" t="str">
        <f t="shared" si="6"/>
        <v>{dwID=100133,nFrame=57,szNote="狼牙先锋首领",[3]={bScreenHead=true,},[4]={},aFocus={{dwMapID=-1,nMaxDistance=90,tRelation={bAll=false,bEnemy=true,bAlly=false,},tLife={bEnable=false,szOperator="&gt;",nValue=0,},},},},</v>
      </c>
    </row>
    <row r="411" customFormat="1" spans="3:23">
      <c r="C411" s="3">
        <v>30537</v>
      </c>
      <c r="D411">
        <v>47</v>
      </c>
      <c r="I411" t="s">
        <v>1728</v>
      </c>
      <c r="J411" t="s">
        <v>1729</v>
      </c>
      <c r="P411">
        <v>1</v>
      </c>
      <c r="U411" t="s">
        <v>1730</v>
      </c>
      <c r="V411" t="str">
        <f t="shared" si="6"/>
        <v>{dwID=30537,nFrame=47,szNote="据点伙计",col={100,255,100,},[3]={bScreenHead=true,},[4]={},aFocus={{dwMapID=-1,nMaxDistance=10,tRelation={bAll=false,bEnemy=false,bAlly=true,},tLife={bEnable=false,szOperator="&gt;",nValue=0,},},},},</v>
      </c>
    </row>
    <row r="412" spans="3:23">
      <c r="V412" t="str">
        <f t="shared" si="6"/>
        <v>},},}</v>
      </c>
    </row>
  </sheetData>
  <autoFilter xmlns:etc="http://www.wps.cn/officeDocument/2017/etCustomData" ref="A1:X412"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1664</v>
      </c>
      <c r="E1" t="s">
        <v>1665</v>
      </c>
      <c r="F1" t="s">
        <v>1427</v>
      </c>
      <c r="G1" t="s">
        <v>1430</v>
      </c>
      <c r="H1" t="s">
        <v>44</v>
      </c>
      <c r="I1" t="s">
        <v>1431</v>
      </c>
      <c r="J1" t="s">
        <v>1998</v>
      </c>
      <c r="K1" t="s">
        <v>1999</v>
      </c>
      <c r="L1" t="s">
        <v>2000</v>
      </c>
      <c r="M1" t="s">
        <v>2001</v>
      </c>
      <c r="N1" t="s">
        <v>2002</v>
      </c>
      <c r="O1" t="s">
        <v>2003</v>
      </c>
      <c r="P1" t="s">
        <v>2004</v>
      </c>
      <c r="Q1" t="s">
        <v>2005</v>
      </c>
      <c r="R1" t="s">
        <v>2006</v>
      </c>
      <c r="S1" t="s">
        <v>2007</v>
      </c>
      <c r="T1" t="s">
        <v>240</v>
      </c>
      <c r="U1" t="s">
        <v>2008</v>
      </c>
      <c r="V1" t="s">
        <v>259</v>
      </c>
    </row>
    <row r="2" spans="1:22">
      <c r="A2" t="s">
        <v>2009</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2010</v>
      </c>
      <c r="I3" t="s">
        <v>1729</v>
      </c>
      <c r="N3">
        <v>1</v>
      </c>
      <c r="T3" t="s">
        <v>2011</v>
      </c>
      <c r="U3" t="str">
        <f t="shared" si="0"/>
        <v>{dwID=5693,szName="物资堆·物资车",col={100,255,100,},[17]={bScreenHead=true,},[18]={},aFocus={{dwMapID=-1,szDisplay="物资堆·物资车",nMaxDistance=60,tRelation={bAll=true,bEnemy=false,bAlly=false,},tLife={bEnable=false,szOperator="&gt;",nValue=0,},},},},</v>
      </c>
    </row>
    <row r="4" spans="1:22">
      <c r="C4">
        <v>5625</v>
      </c>
      <c r="F4" t="s">
        <v>2012</v>
      </c>
      <c r="I4" t="s">
        <v>1729</v>
      </c>
      <c r="N4">
        <v>1</v>
      </c>
      <c r="T4" t="s">
        <v>2013</v>
      </c>
      <c r="U4" t="str">
        <f t="shared" si="0"/>
        <v>{dwID=5625,szName="物资箱·复活点",col={100,255,100,},[17]={bScreenHead=true,},[18]={},aFocus={{dwMapID=-1,szDisplay="物资箱·复活点",nMaxDistance=30,tRelation={bAll=true,bEnemy=false,bAlly=false,},tLife={bEnable=false,szOperator="&gt;",nValue=0,},},},},</v>
      </c>
    </row>
    <row r="5" spans="1:22">
      <c r="C5">
        <v>7518</v>
      </c>
      <c r="F5" t="s">
        <v>2014</v>
      </c>
      <c r="I5" t="s">
        <v>1729</v>
      </c>
      <c r="M5">
        <v>1</v>
      </c>
      <c r="N5">
        <v>1</v>
      </c>
      <c r="T5" t="s">
        <v>2015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2016</v>
      </c>
      <c r="I6" t="s">
        <v>1729</v>
      </c>
      <c r="M6">
        <v>1</v>
      </c>
      <c r="N6">
        <v>1</v>
      </c>
      <c r="T6" t="s">
        <v>2017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2018</v>
      </c>
      <c r="I8" s="9" t="s">
        <v>643</v>
      </c>
      <c r="N8">
        <v>1</v>
      </c>
      <c r="T8" t="s">
        <v>2019</v>
      </c>
      <c r="U8" t="str">
        <f t="shared" si="0"/>
        <v>{dwID=7011,szNote="祭天护送恶人宝箱",col={255,120,31,},[17]={bScreenHead=true,},[18]={},aFocus={{dwMapID=-1,nMaxDistance=60,tRelation={bAll=true,bEnemy=false,bAlly=false,},tLife={bEnable=false,szOperator="&gt;",nValue=0,},},},},</v>
      </c>
    </row>
    <row r="9" spans="1:22">
      <c r="C9">
        <v>7010</v>
      </c>
      <c r="H9" t="s">
        <v>2020</v>
      </c>
      <c r="I9" s="10" t="s">
        <v>648</v>
      </c>
      <c r="N9">
        <v>1</v>
      </c>
      <c r="T9" t="s">
        <v>2019</v>
      </c>
      <c r="U9" t="str">
        <f t="shared" si="0"/>
        <v>{dwID=7010,szNote="祭天护送浩气宝箱",col={31,230,255,},[17]={bScreenHead=true,},[18]={},aFocus={{dwMapID=-1,nMaxDistance=60,tRelation={bAll=true,bEnemy=false,bAlly=false,},tLife={bEnable=false,szOperator="&gt;",nValue=0,},},},},</v>
      </c>
    </row>
    <row r="10" spans="1:22">
      <c r="C10">
        <v>8418</v>
      </c>
      <c r="F10" t="s">
        <v>2021</v>
      </c>
      <c r="I10" t="s">
        <v>1729</v>
      </c>
      <c r="M10">
        <v>1</v>
      </c>
      <c r="N10">
        <v>1</v>
      </c>
      <c r="T10" t="s">
        <v>2022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2023</v>
      </c>
      <c r="I11" t="s">
        <v>1729</v>
      </c>
      <c r="M11">
        <v>1</v>
      </c>
      <c r="N11">
        <v>1</v>
      </c>
      <c r="T11" t="s">
        <v>2024</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2021</v>
      </c>
      <c r="I13" t="s">
        <v>1729</v>
      </c>
      <c r="M13">
        <v>1</v>
      </c>
      <c r="N13">
        <v>1</v>
      </c>
      <c r="T13" t="s">
        <v>2022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2023</v>
      </c>
      <c r="I14" t="s">
        <v>1729</v>
      </c>
      <c r="M14">
        <v>1</v>
      </c>
      <c r="N14">
        <v>1</v>
      </c>
      <c r="T14" t="s">
        <v>2024</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2021</v>
      </c>
      <c r="I16" t="s">
        <v>1729</v>
      </c>
      <c r="M16">
        <v>1</v>
      </c>
      <c r="N16">
        <v>1</v>
      </c>
      <c r="T16" t="s">
        <v>2022</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2023</v>
      </c>
      <c r="I17" t="s">
        <v>1729</v>
      </c>
      <c r="M17">
        <v>1</v>
      </c>
      <c r="N17">
        <v>1</v>
      </c>
      <c r="T17" t="s">
        <v>2024</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2025</v>
      </c>
      <c r="I19" s="9" t="s">
        <v>643</v>
      </c>
      <c r="M19">
        <v>1</v>
      </c>
      <c r="N19">
        <v>1</v>
      </c>
      <c r="T19" t="s">
        <v>2026</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2027</v>
      </c>
      <c r="I20" s="10" t="s">
        <v>648</v>
      </c>
      <c r="M20">
        <v>1</v>
      </c>
      <c r="N20">
        <v>1</v>
      </c>
      <c r="T20" t="s">
        <v>2028</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2029</v>
      </c>
      <c r="I21" t="s">
        <v>1729</v>
      </c>
      <c r="N21">
        <v>1</v>
      </c>
      <c r="T21" t="s">
        <v>2030</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2029</v>
      </c>
      <c r="I23" t="s">
        <v>1729</v>
      </c>
      <c r="N23">
        <v>1</v>
      </c>
      <c r="T23" t="s">
        <v>2030</v>
      </c>
      <c r="U23" t="str">
        <f t="shared" si="0"/>
        <v>{dwID=843,szNote="河底的沙石",col={100,255,100,},[17]={bScreenHead=true,},[18]={},aFocus={{dwMapID=-1,szDisplay="河底的沙石·前置",nMaxDistance=20,tRelation={bAll=false,bEnemy=true,bAlly=false,},tLife={bEnable=false,szOperator="&gt;",nValue=0,},},},},</v>
      </c>
    </row>
    <row r="24" spans="1:21">
      <c r="C24">
        <v>7662</v>
      </c>
      <c r="H24" t="s">
        <v>2031</v>
      </c>
      <c r="I24" t="s">
        <v>1729</v>
      </c>
      <c r="M24">
        <v>1</v>
      </c>
      <c r="N24">
        <v>1</v>
      </c>
      <c r="T24" t="s">
        <v>2032</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2033</v>
      </c>
      <c r="I25" t="s">
        <v>1729</v>
      </c>
      <c r="M25">
        <v>1</v>
      </c>
      <c r="N25">
        <v>1</v>
      </c>
      <c r="T25" t="s">
        <v>2034</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2025</v>
      </c>
      <c r="I26" s="9" t="s">
        <v>643</v>
      </c>
      <c r="M26">
        <v>1</v>
      </c>
      <c r="N26">
        <v>1</v>
      </c>
      <c r="T26" t="s">
        <v>2026</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2027</v>
      </c>
      <c r="I27" s="10" t="s">
        <v>648</v>
      </c>
      <c r="M27">
        <v>1</v>
      </c>
      <c r="N27">
        <v>1</v>
      </c>
      <c r="T27" t="s">
        <v>2028</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2035</v>
      </c>
      <c r="I29" s="9" t="s">
        <v>643</v>
      </c>
      <c r="M29">
        <v>1</v>
      </c>
      <c r="N29">
        <v>1</v>
      </c>
      <c r="T29" t="s">
        <v>2036</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2037</v>
      </c>
      <c r="I30" s="10" t="s">
        <v>648</v>
      </c>
      <c r="M30">
        <v>1</v>
      </c>
      <c r="N30">
        <v>1</v>
      </c>
      <c r="T30" t="s">
        <v>2038</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2039</v>
      </c>
      <c r="I31" t="s">
        <v>1729</v>
      </c>
      <c r="T31" t="s">
        <v>2040</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2041</v>
      </c>
      <c r="I33" t="s">
        <v>1729</v>
      </c>
      <c r="N33">
        <v>1</v>
      </c>
      <c r="T33" t="s">
        <v>2042</v>
      </c>
      <c r="U33" t="str">
        <f t="shared" si="0"/>
        <v>{dwID=1519,szNote="冰魂",col={100,255,100,},[17]={bScreenHead=true,},[18]={},aFocus={{dwMapID=-1,szDisplay="冰魂·阵营前置",nMaxDistance=60,tRelation={bAll=true,bEnemy=false,bAlly=false,},tLife={bEnable=false,szOperator="&gt;",nValue=0,},},},},</v>
      </c>
    </row>
    <row r="34" spans="3:21">
      <c r="C34">
        <v>7662</v>
      </c>
      <c r="H34" t="s">
        <v>2031</v>
      </c>
      <c r="I34" t="s">
        <v>1729</v>
      </c>
      <c r="M34">
        <v>1</v>
      </c>
      <c r="N34">
        <v>1</v>
      </c>
      <c r="T34" t="s">
        <v>2032</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2033</v>
      </c>
      <c r="I35" t="s">
        <v>1729</v>
      </c>
      <c r="M35">
        <v>1</v>
      </c>
      <c r="N35">
        <v>1</v>
      </c>
      <c r="T35" t="s">
        <v>2034</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2035</v>
      </c>
      <c r="I36" s="9" t="s">
        <v>643</v>
      </c>
      <c r="M36">
        <v>1</v>
      </c>
      <c r="N36">
        <v>1</v>
      </c>
      <c r="T36" t="s">
        <v>2036</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2037</v>
      </c>
      <c r="I37" s="10" t="s">
        <v>648</v>
      </c>
      <c r="M37">
        <v>1</v>
      </c>
      <c r="N37">
        <v>1</v>
      </c>
      <c r="T37" t="s">
        <v>2038</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9"/>
  <sheetViews>
    <sheetView zoomScale="80" zoomScaleNormal="80" topLeftCell="W1" workbookViewId="0">
      <pane ySplit="1" topLeftCell="A86" activePane="bottomLeft" state="frozen"/>
      <selection/>
      <selection pane="bottomLeft" activeCell="W111" sqref="W1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2043</v>
      </c>
      <c r="E1" t="s">
        <v>44</v>
      </c>
      <c r="F1" t="s">
        <v>2044</v>
      </c>
      <c r="G1" t="s">
        <v>2045</v>
      </c>
      <c r="H1" t="s">
        <v>2046</v>
      </c>
      <c r="I1" t="s">
        <v>2047</v>
      </c>
      <c r="J1" t="s">
        <v>2048</v>
      </c>
      <c r="K1" t="s">
        <v>2049</v>
      </c>
      <c r="L1" t="s">
        <v>2050</v>
      </c>
      <c r="M1" t="s">
        <v>1431</v>
      </c>
      <c r="N1" t="s">
        <v>2051</v>
      </c>
      <c r="O1" t="s">
        <v>2052</v>
      </c>
      <c r="P1" t="s">
        <v>2053</v>
      </c>
      <c r="Q1" t="s">
        <v>2054</v>
      </c>
      <c r="R1" t="s">
        <v>2055</v>
      </c>
      <c r="S1" t="s">
        <v>2056</v>
      </c>
      <c r="T1" t="s">
        <v>2057</v>
      </c>
      <c r="U1" t="s">
        <v>2058</v>
      </c>
      <c r="V1" t="s">
        <v>2059</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2060</v>
      </c>
      <c r="E3" t="s">
        <v>2061</v>
      </c>
      <c r="M3" t="s">
        <v>1660</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2062</v>
      </c>
      <c r="E4" t="s">
        <v>2063</v>
      </c>
      <c r="M4" t="s">
        <v>1660</v>
      </c>
      <c r="O4">
        <v>1</v>
      </c>
      <c r="V4" t="str">
        <f t="shared" si="0"/>
        <v>{szContent="放置一辆摧城车，本日本阵营还可放置(%d-)辆摧城车。",szNote="放置·摧城车",col={255,255,100,},bReg=true,[14]={},tCountdown={{nClass=14,nIcon=6158,nFrame=1,szName="摧城车·本日剩余·{$1}辆",nTime=10,key="摧城车",},},},</v>
      </c>
      <c r="W4" t="s">
        <v>2064</v>
      </c>
    </row>
    <row r="5" customFormat="1" spans="1:28">
      <c r="D5" t="s">
        <v>2065</v>
      </c>
      <c r="E5" t="s">
        <v>2066</v>
      </c>
      <c r="M5" t="s">
        <v>1660</v>
      </c>
      <c r="V5" t="str">
        <f t="shared" si="0"/>
        <v>{szContent="五分钟内只可拾取一次对立阵营首领仓皇撤退留下的物资。",szNote="主场·助战首领堆·拾取间隔",col={255,255,100,},[14]={},tCountdown={{nClass=14,nIcon=13,szName="首领拾取间隔",nTime=-2,key="首领拾取间隔",},},},</v>
      </c>
      <c r="W5" t="s">
        <v>2067</v>
      </c>
    </row>
    <row r="6" customFormat="1" spans="1:28">
      <c r="C6" t="s">
        <v>2068</v>
      </c>
      <c r="D6" s="8" t="s">
        <v>2069</v>
      </c>
      <c r="E6" t="s">
        <v>2070</v>
      </c>
      <c r="M6" t="s">
        <v>1660</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2071</v>
      </c>
      <c r="X6" t="s">
        <v>2072</v>
      </c>
      <c r="Y6" t="s">
        <v>2073</v>
      </c>
      <c r="Z6" t="s">
        <v>2074</v>
      </c>
      <c r="AA6" t="s">
        <v>2075</v>
      </c>
      <c r="AB6" t="s">
        <v>2076</v>
      </c>
    </row>
    <row r="7" customFormat="1" spans="1:28">
      <c r="C7" t="s">
        <v>2068</v>
      </c>
      <c r="D7" s="8" t="s">
        <v>2077</v>
      </c>
      <c r="E7" t="s">
        <v>2078</v>
      </c>
      <c r="M7" t="s">
        <v>1660</v>
      </c>
      <c r="O7">
        <v>1</v>
      </c>
      <c r="S7">
        <v>1</v>
      </c>
      <c r="V7" t="str">
        <f t="shared" si="0"/>
        <v>{szContent="^本周累计从(.-)奖励堆获得战阶：(%d-)/(%d+)",szTarget="%",szNote="{$1}·累计奖励堆·[{$2}/{$3}]",col={255,255,100,},bReg=true,[14]={bCenterAlarm=true,},},</v>
      </c>
    </row>
    <row r="8" customFormat="1" spans="1:28">
      <c r="C8" t="s">
        <v>2068</v>
      </c>
      <c r="D8" s="8" t="s">
        <v>2079</v>
      </c>
      <c r="E8" t="s">
        <v>2080</v>
      </c>
      <c r="M8" t="s">
        <v>1660</v>
      </c>
      <c r="S8">
        <v>1</v>
      </c>
      <c r="V8" t="str">
        <f t="shared" si="0"/>
        <v>{szContent="本周累计从奇袭场奖励堆获得战阶：20000/20000",szTarget="%",szNote="奇袭场·奖励堆·战阶已上限",col={255,255,100,},[14]={bCenterAlarm=true,},},</v>
      </c>
    </row>
    <row r="9" customFormat="1" spans="1:28">
      <c r="C9" t="s">
        <v>2068</v>
      </c>
      <c r="D9" t="s">
        <v>2081</v>
      </c>
      <c r="E9" t="s">
        <v>2082</v>
      </c>
      <c r="M9" t="s">
        <v>1660</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2083</v>
      </c>
    </row>
    <row r="10" spans="1:28">
      <c r="C10" t="s">
        <v>2068</v>
      </c>
      <c r="D10" t="s">
        <v>2084</v>
      </c>
      <c r="E10" t="s">
        <v>2085</v>
      </c>
      <c r="M10" t="s">
        <v>1660</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2086</v>
      </c>
      <c r="X10" t="s">
        <v>2087</v>
      </c>
      <c r="Y10" t="s">
        <v>2088</v>
      </c>
    </row>
    <row r="11" spans="1:28">
      <c r="C11" t="s">
        <v>2068</v>
      </c>
      <c r="D11" t="s">
        <v>2089</v>
      </c>
      <c r="E11" t="s">
        <v>2090</v>
      </c>
      <c r="M11" t="s">
        <v>1660</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2086</v>
      </c>
      <c r="X11" t="s">
        <v>2087</v>
      </c>
      <c r="Y11" t="s">
        <v>2091</v>
      </c>
    </row>
    <row r="12" spans="1:28">
      <c r="C12" t="s">
        <v>2068</v>
      </c>
      <c r="D12" t="s">
        <v>2092</v>
      </c>
      <c r="E12" t="s">
        <v>2093</v>
      </c>
      <c r="M12" t="s">
        <v>1660</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2094</v>
      </c>
      <c r="X12" t="s">
        <v>2095</v>
      </c>
      <c r="Y12" t="s">
        <v>2096</v>
      </c>
    </row>
    <row r="13" customFormat="1" spans="1:28">
      <c r="C13" t="s">
        <v>2068</v>
      </c>
      <c r="D13" t="s">
        <v>2097</v>
      </c>
      <c r="E13" t="s">
        <v>2098</v>
      </c>
      <c r="M13" t="s">
        <v>1660</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2094</v>
      </c>
      <c r="X13" t="s">
        <v>2095</v>
      </c>
      <c r="Y13" t="s">
        <v>2099</v>
      </c>
    </row>
    <row r="14" spans="1:28">
      <c r="C14" t="s">
        <v>2068</v>
      </c>
      <c r="D14" t="s">
        <v>2100</v>
      </c>
      <c r="E14" t="s">
        <v>2101</v>
      </c>
      <c r="M14" t="s">
        <v>1660</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2102</v>
      </c>
      <c r="X14" t="s">
        <v>2103</v>
      </c>
      <c r="Y14" t="s">
        <v>2104</v>
      </c>
      <c r="Z14" t="s">
        <v>2105</v>
      </c>
      <c r="AA14" t="s">
        <v>2106</v>
      </c>
    </row>
    <row r="15" customFormat="1" spans="1:28">
      <c r="C15" t="s">
        <v>2068</v>
      </c>
      <c r="D15" t="s">
        <v>2107</v>
      </c>
      <c r="E15" t="s">
        <v>2108</v>
      </c>
      <c r="M15" t="s">
        <v>1660</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2109</v>
      </c>
      <c r="X15" t="s">
        <v>2110</v>
      </c>
      <c r="Y15" t="s">
        <v>2111</v>
      </c>
    </row>
    <row r="16" spans="1:28">
      <c r="C16" t="s">
        <v>2068</v>
      </c>
      <c r="D16" t="s">
        <v>2112</v>
      </c>
      <c r="E16" t="s">
        <v>2113</v>
      </c>
      <c r="M16" t="s">
        <v>1660</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2114</v>
      </c>
      <c r="X16" t="s">
        <v>2115</v>
      </c>
    </row>
    <row r="17" s="7" customFormat="1" spans="3:28">
      <c r="C17" s="5" t="str">
        <f>L17</f>
        <v>谢渊</v>
      </c>
      <c r="D17" s="5" t="s">
        <v>2112</v>
      </c>
      <c r="E17" s="7" t="str">
        <f>K17&amp;"·"&amp;L17&amp;"·败退"</f>
        <v>浩气·谢渊·败退</v>
      </c>
      <c r="F17" s="7" t="s">
        <v>2116</v>
      </c>
      <c r="G17" s="7" t="s">
        <v>2117</v>
      </c>
      <c r="I17" s="7" t="s">
        <v>2118</v>
      </c>
      <c r="J17" s="7" t="s">
        <v>2117</v>
      </c>
      <c r="K17" s="7" t="s">
        <v>2119</v>
      </c>
      <c r="L17" s="7" t="s">
        <v>2116</v>
      </c>
      <c r="M17" s="7" t="s">
        <v>2120</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2112</v>
      </c>
      <c r="E18" s="7" t="str">
        <f>K18&amp;"·"&amp;L18&amp;"·败退"</f>
        <v>恶人·王遗风·败退</v>
      </c>
      <c r="F18" s="7" t="s">
        <v>2117</v>
      </c>
      <c r="G18" s="7" t="s">
        <v>2116</v>
      </c>
      <c r="I18" s="7" t="s">
        <v>2119</v>
      </c>
      <c r="J18" s="7" t="s">
        <v>2116</v>
      </c>
      <c r="K18" s="7" t="s">
        <v>2118</v>
      </c>
      <c r="L18" s="7" t="s">
        <v>2117</v>
      </c>
      <c r="M18" s="7" t="s">
        <v>2121</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2112</v>
      </c>
      <c r="E19" s="7" t="str">
        <f t="shared" ref="E19:E29" si="3">K19&amp;"·"&amp;L19&amp;"·败退"</f>
        <v>浩气·小七·败退</v>
      </c>
      <c r="F19" s="7" t="s">
        <v>2116</v>
      </c>
      <c r="G19" s="7" t="s">
        <v>2117</v>
      </c>
      <c r="I19" s="7" t="s">
        <v>2118</v>
      </c>
      <c r="J19" s="7" t="s">
        <v>2122</v>
      </c>
      <c r="K19" s="7" t="s">
        <v>2119</v>
      </c>
      <c r="L19" s="7" t="s">
        <v>2123</v>
      </c>
      <c r="M19" s="7" t="s">
        <v>2120</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2112</v>
      </c>
      <c r="E20" s="7" t="str">
        <f t="shared" si="3"/>
        <v>浩气·赵紫儿·败退</v>
      </c>
      <c r="F20" s="7" t="s">
        <v>2116</v>
      </c>
      <c r="G20" s="7" t="s">
        <v>2117</v>
      </c>
      <c r="I20" s="7" t="s">
        <v>2118</v>
      </c>
      <c r="J20" s="7" t="s">
        <v>2124</v>
      </c>
      <c r="K20" s="7" t="s">
        <v>2119</v>
      </c>
      <c r="L20" s="7" t="s">
        <v>2125</v>
      </c>
      <c r="M20" s="7" t="s">
        <v>2120</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2112</v>
      </c>
      <c r="E21" s="7" t="str">
        <f t="shared" si="3"/>
        <v>浩气·影·败退</v>
      </c>
      <c r="F21" s="7" t="s">
        <v>2116</v>
      </c>
      <c r="G21" s="7" t="s">
        <v>2117</v>
      </c>
      <c r="I21" s="7" t="s">
        <v>2118</v>
      </c>
      <c r="J21" s="7" t="s">
        <v>2126</v>
      </c>
      <c r="K21" s="7" t="s">
        <v>2119</v>
      </c>
      <c r="L21" s="7" t="s">
        <v>2127</v>
      </c>
      <c r="M21" s="7" t="s">
        <v>2120</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2112</v>
      </c>
      <c r="E22" s="7" t="str">
        <f t="shared" si="3"/>
        <v>浩气·叶镜池·败退</v>
      </c>
      <c r="F22" s="7" t="s">
        <v>2116</v>
      </c>
      <c r="G22" s="7" t="s">
        <v>2117</v>
      </c>
      <c r="I22" s="7" t="s">
        <v>2118</v>
      </c>
      <c r="J22" s="7" t="s">
        <v>2128</v>
      </c>
      <c r="K22" s="7" t="s">
        <v>2119</v>
      </c>
      <c r="L22" s="7" t="s">
        <v>2129</v>
      </c>
      <c r="M22" s="7" t="s">
        <v>2120</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2112</v>
      </c>
      <c r="E23" s="7" t="str">
        <f t="shared" si="3"/>
        <v>浩气·谢铃儿·败退</v>
      </c>
      <c r="F23" s="7" t="s">
        <v>2116</v>
      </c>
      <c r="G23" s="7" t="s">
        <v>2117</v>
      </c>
      <c r="I23" s="7" t="s">
        <v>2118</v>
      </c>
      <c r="J23" s="7" t="s">
        <v>2130</v>
      </c>
      <c r="K23" s="7" t="s">
        <v>2119</v>
      </c>
      <c r="L23" s="7" t="s">
        <v>2131</v>
      </c>
      <c r="M23" s="7" t="s">
        <v>2120</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2112</v>
      </c>
      <c r="E24" s="7" t="str">
        <f t="shared" si="3"/>
        <v>浩气·郭珠·败退</v>
      </c>
      <c r="F24" s="7" t="s">
        <v>2116</v>
      </c>
      <c r="G24" s="7" t="s">
        <v>2117</v>
      </c>
      <c r="I24" s="7" t="s">
        <v>2118</v>
      </c>
      <c r="J24" s="7" t="s">
        <v>2132</v>
      </c>
      <c r="K24" s="7" t="s">
        <v>2119</v>
      </c>
      <c r="L24" s="7" t="s">
        <v>2133</v>
      </c>
      <c r="M24" s="7" t="s">
        <v>2120</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2112</v>
      </c>
      <c r="E25" s="7" t="str">
        <f t="shared" si="3"/>
        <v>恶人·伊夜·败退</v>
      </c>
      <c r="F25" s="7" t="s">
        <v>2117</v>
      </c>
      <c r="G25" s="7" t="s">
        <v>2116</v>
      </c>
      <c r="I25" s="7" t="s">
        <v>2119</v>
      </c>
      <c r="J25" s="7" t="s">
        <v>2123</v>
      </c>
      <c r="K25" s="7" t="s">
        <v>2118</v>
      </c>
      <c r="L25" s="7" t="s">
        <v>2122</v>
      </c>
      <c r="M25" s="7" t="s">
        <v>2121</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2112</v>
      </c>
      <c r="E26" s="7" t="str">
        <f t="shared" si="3"/>
        <v>恶人·丁丁·败退</v>
      </c>
      <c r="F26" s="7" t="s">
        <v>2117</v>
      </c>
      <c r="G26" s="7" t="s">
        <v>2116</v>
      </c>
      <c r="I26" s="7" t="s">
        <v>2119</v>
      </c>
      <c r="J26" s="7" t="s">
        <v>2125</v>
      </c>
      <c r="K26" s="7" t="s">
        <v>2118</v>
      </c>
      <c r="L26" s="7" t="s">
        <v>2124</v>
      </c>
      <c r="M26" s="7" t="s">
        <v>2121</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2112</v>
      </c>
      <c r="E27" s="7" t="str">
        <f t="shared" si="3"/>
        <v>恶人·独孤修·败退</v>
      </c>
      <c r="F27" s="7" t="s">
        <v>2117</v>
      </c>
      <c r="G27" s="7" t="s">
        <v>2116</v>
      </c>
      <c r="I27" s="7" t="s">
        <v>2119</v>
      </c>
      <c r="J27" s="7" t="s">
        <v>2127</v>
      </c>
      <c r="K27" s="7" t="s">
        <v>2118</v>
      </c>
      <c r="L27" s="7" t="s">
        <v>2126</v>
      </c>
      <c r="M27" s="7" t="s">
        <v>2121</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2112</v>
      </c>
      <c r="E28" s="7" t="str">
        <f t="shared" si="3"/>
        <v>恶人·岳琅·败退</v>
      </c>
      <c r="F28" s="7" t="s">
        <v>2117</v>
      </c>
      <c r="G28" s="7" t="s">
        <v>2116</v>
      </c>
      <c r="I28" s="7" t="s">
        <v>2119</v>
      </c>
      <c r="J28" s="7" t="s">
        <v>2129</v>
      </c>
      <c r="K28" s="7" t="s">
        <v>2118</v>
      </c>
      <c r="L28" s="7" t="s">
        <v>2128</v>
      </c>
      <c r="M28" s="7" t="s">
        <v>2121</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2112</v>
      </c>
      <c r="E29" s="7" t="str">
        <f t="shared" si="3"/>
        <v>恶人·烟·败退</v>
      </c>
      <c r="F29" s="7" t="s">
        <v>2117</v>
      </c>
      <c r="G29" s="7" t="s">
        <v>2116</v>
      </c>
      <c r="I29" s="7" t="s">
        <v>2119</v>
      </c>
      <c r="J29" s="7" t="s">
        <v>2131</v>
      </c>
      <c r="K29" s="7" t="s">
        <v>2118</v>
      </c>
      <c r="L29" s="7" t="s">
        <v>2130</v>
      </c>
      <c r="M29" s="7" t="s">
        <v>2121</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2112</v>
      </c>
      <c r="E30" s="7" t="str">
        <f t="shared" ref="E30" si="9">K30&amp;"·"&amp;L30&amp;"·败退"</f>
        <v>恶人·白某·败退</v>
      </c>
      <c r="F30" s="7" t="s">
        <v>2117</v>
      </c>
      <c r="G30" s="7" t="s">
        <v>2116</v>
      </c>
      <c r="I30" s="7" t="s">
        <v>2119</v>
      </c>
      <c r="J30" s="7" t="s">
        <v>2133</v>
      </c>
      <c r="K30" s="7" t="s">
        <v>2118</v>
      </c>
      <c r="L30" s="7" t="s">
        <v>2132</v>
      </c>
      <c r="M30" s="7" t="s">
        <v>2121</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2117</v>
      </c>
      <c r="D31" t="s">
        <v>2134</v>
      </c>
      <c r="E31" t="s">
        <v>2135</v>
      </c>
      <c r="F31" t="s">
        <v>2117</v>
      </c>
      <c r="G31" t="s">
        <v>2116</v>
      </c>
      <c r="I31" t="s">
        <v>2119</v>
      </c>
      <c r="J31" t="s">
        <v>2136</v>
      </c>
      <c r="K31" t="s">
        <v>2118</v>
      </c>
      <c r="L31" t="s">
        <v>2137</v>
      </c>
      <c r="M31" t="s">
        <v>2121</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2138</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2117</v>
      </c>
      <c r="D32" s="7" t="s">
        <v>2139</v>
      </c>
      <c r="E32" t="s">
        <v>2140</v>
      </c>
      <c r="F32" t="s">
        <v>2117</v>
      </c>
      <c r="G32" t="s">
        <v>2116</v>
      </c>
      <c r="I32" t="s">
        <v>2119</v>
      </c>
      <c r="J32" t="s">
        <v>2141</v>
      </c>
      <c r="K32" t="s">
        <v>2118</v>
      </c>
      <c r="L32" t="s">
        <v>2142</v>
      </c>
      <c r="M32" t="s">
        <v>2121</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2138</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2117</v>
      </c>
      <c r="D33" t="s">
        <v>2143</v>
      </c>
      <c r="E33" t="s">
        <v>2144</v>
      </c>
      <c r="F33" t="s">
        <v>2117</v>
      </c>
      <c r="G33" t="s">
        <v>2116</v>
      </c>
      <c r="I33" t="s">
        <v>2119</v>
      </c>
      <c r="J33" t="s">
        <v>2145</v>
      </c>
      <c r="K33" t="s">
        <v>2118</v>
      </c>
      <c r="L33" t="s">
        <v>2146</v>
      </c>
      <c r="M33" t="s">
        <v>2121</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2138</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2117</v>
      </c>
      <c r="D34" s="7" t="s">
        <v>2147</v>
      </c>
      <c r="E34" t="s">
        <v>2148</v>
      </c>
      <c r="F34" t="s">
        <v>2117</v>
      </c>
      <c r="G34" t="s">
        <v>2116</v>
      </c>
      <c r="I34" t="s">
        <v>2119</v>
      </c>
      <c r="J34" t="s">
        <v>2149</v>
      </c>
      <c r="K34" t="s">
        <v>2118</v>
      </c>
      <c r="L34" t="s">
        <v>2150</v>
      </c>
      <c r="M34" t="s">
        <v>2121</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2138</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2117</v>
      </c>
      <c r="D35" t="s">
        <v>2151</v>
      </c>
      <c r="E35" t="s">
        <v>2152</v>
      </c>
      <c r="F35" t="s">
        <v>2117</v>
      </c>
      <c r="G35" t="s">
        <v>2116</v>
      </c>
      <c r="I35" t="s">
        <v>2119</v>
      </c>
      <c r="J35" t="s">
        <v>2153</v>
      </c>
      <c r="K35" t="s">
        <v>2118</v>
      </c>
      <c r="L35" t="s">
        <v>2154</v>
      </c>
      <c r="M35" t="s">
        <v>2121</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2138</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2116</v>
      </c>
      <c r="D36" s="7" t="s">
        <v>2155</v>
      </c>
      <c r="E36" t="s">
        <v>2156</v>
      </c>
      <c r="F36" t="s">
        <v>2116</v>
      </c>
      <c r="G36" t="s">
        <v>2117</v>
      </c>
      <c r="I36" t="s">
        <v>2118</v>
      </c>
      <c r="J36" t="s">
        <v>2137</v>
      </c>
      <c r="K36" t="s">
        <v>2119</v>
      </c>
      <c r="L36" t="s">
        <v>2136</v>
      </c>
      <c r="M36" t="s">
        <v>2120</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2157</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2116</v>
      </c>
      <c r="D37" t="s">
        <v>2158</v>
      </c>
      <c r="E37" t="s">
        <v>2159</v>
      </c>
      <c r="F37" t="s">
        <v>2116</v>
      </c>
      <c r="G37" t="s">
        <v>2117</v>
      </c>
      <c r="I37" t="s">
        <v>2118</v>
      </c>
      <c r="J37" t="s">
        <v>2142</v>
      </c>
      <c r="K37" t="s">
        <v>2119</v>
      </c>
      <c r="L37" t="s">
        <v>2141</v>
      </c>
      <c r="M37" t="s">
        <v>2120</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2157</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2116</v>
      </c>
      <c r="D38" t="s">
        <v>2160</v>
      </c>
      <c r="E38" t="s">
        <v>2161</v>
      </c>
      <c r="F38" t="s">
        <v>2116</v>
      </c>
      <c r="G38" t="s">
        <v>2117</v>
      </c>
      <c r="I38" t="s">
        <v>2118</v>
      </c>
      <c r="J38" t="s">
        <v>2146</v>
      </c>
      <c r="K38" t="s">
        <v>2119</v>
      </c>
      <c r="L38" t="s">
        <v>2145</v>
      </c>
      <c r="M38" t="s">
        <v>2120</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2157</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2116</v>
      </c>
      <c r="D39" t="s">
        <v>2162</v>
      </c>
      <c r="E39" t="s">
        <v>2163</v>
      </c>
      <c r="F39" t="s">
        <v>2116</v>
      </c>
      <c r="G39" t="s">
        <v>2117</v>
      </c>
      <c r="I39" t="s">
        <v>2118</v>
      </c>
      <c r="J39" t="s">
        <v>2150</v>
      </c>
      <c r="K39" t="s">
        <v>2119</v>
      </c>
      <c r="L39" t="s">
        <v>2149</v>
      </c>
      <c r="M39" t="s">
        <v>2120</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2157</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2116</v>
      </c>
      <c r="D40" t="s">
        <v>2164</v>
      </c>
      <c r="E40" t="s">
        <v>2165</v>
      </c>
      <c r="F40" t="s">
        <v>2116</v>
      </c>
      <c r="G40" t="s">
        <v>2117</v>
      </c>
      <c r="I40" t="s">
        <v>2118</v>
      </c>
      <c r="J40" t="s">
        <v>2154</v>
      </c>
      <c r="K40" t="s">
        <v>2119</v>
      </c>
      <c r="L40" t="s">
        <v>2153</v>
      </c>
      <c r="M40" t="s">
        <v>2120</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2157</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2068</v>
      </c>
      <c r="D41" s="8" t="s">
        <v>2166</v>
      </c>
      <c r="E41" t="s">
        <v>2167</v>
      </c>
      <c r="M41" t="s">
        <v>2120</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2168</v>
      </c>
    </row>
    <row r="42" customFormat="1" spans="3:28">
      <c r="C42" t="s">
        <v>2068</v>
      </c>
      <c r="D42" s="8" t="s">
        <v>2169</v>
      </c>
      <c r="E42" t="s">
        <v>2170</v>
      </c>
      <c r="M42" t="s">
        <v>2121</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2171</v>
      </c>
    </row>
    <row r="43" customFormat="1" spans="3:28">
      <c r="C43" t="s">
        <v>2068</v>
      </c>
      <c r="D43" s="8" t="s">
        <v>2172</v>
      </c>
      <c r="E43" t="s">
        <v>2173</v>
      </c>
      <c r="M43" t="s">
        <v>1660</v>
      </c>
      <c r="V43" t="str">
        <f t="shared" si="18"/>
        <v>{szContent="奇袭场战阶达到2000后，战阶换算贡献比例降低为2:1",szTarget="%",szNote="奇袭·贡献值·限速50%",col={255,255,100,},[14]={},tCountdown={{nClass=14,nIcon=13,szName="首领拾取间隔",nTime=-1,nRefresh=7200,key="首领拾取间隔",},},},</v>
      </c>
      <c r="W43" t="s">
        <v>2174</v>
      </c>
      <c r="AB43" s="7"/>
    </row>
    <row r="44" customFormat="1" spans="3:28">
      <c r="C44" t="s">
        <v>2068</v>
      </c>
      <c r="D44" s="8" t="s">
        <v>2175</v>
      </c>
      <c r="E44" t="s">
        <v>2176</v>
      </c>
      <c r="M44" t="s">
        <v>1660</v>
      </c>
      <c r="V44" t="str">
        <f t="shared" si="18"/>
        <v>{szContent="奇袭场战阶达到4000后，战阶换算贡献比例降低为10:1",szTarget="%",szNote="奇袭·贡献值·限速90%",col={255,255,100,},[14]={},tCountdown={{nClass=14,nIcon=13,szName="首领拾取间隔",nTime=-1,nRefresh=7200,key="首领拾取间隔",},},},</v>
      </c>
      <c r="W44" t="s">
        <v>2174</v>
      </c>
      <c r="AB44" s="7"/>
    </row>
    <row r="45" customFormat="1" spans="3:28">
      <c r="C45" t="s">
        <v>2068</v>
      </c>
      <c r="D45" s="8" t="s">
        <v>2177</v>
      </c>
      <c r="E45" t="s">
        <v>2178</v>
      </c>
      <c r="M45" t="s">
        <v>2120</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2179</v>
      </c>
      <c r="AB45" s="7"/>
    </row>
    <row r="46" customFormat="1" spans="3:28">
      <c r="C46" t="s">
        <v>2068</v>
      </c>
      <c r="D46" s="8" t="s">
        <v>2180</v>
      </c>
      <c r="E46" t="s">
        <v>2181</v>
      </c>
      <c r="M46" t="s">
        <v>2121</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2182</v>
      </c>
      <c r="AB46" s="7"/>
    </row>
    <row r="47" customFormat="1" spans="3:28">
      <c r="D47" t="s">
        <v>2183</v>
      </c>
      <c r="E47" t="s">
        <v>2184</v>
      </c>
      <c r="V47" t="str">
        <f t="shared" si="18"/>
        <v>{szContent="你获得了200点威名、200点战阶。受到了鼓舞，气力值消耗减少一段时间。",szNote="堆堆·驻场首领",[14]={},},</v>
      </c>
      <c r="AB47" s="7"/>
    </row>
    <row r="48" customFormat="1" spans="3:28">
      <c r="D48" t="s">
        <v>2185</v>
      </c>
      <c r="E48" t="s">
        <v>2186</v>
      </c>
      <c r="V48" t="str">
        <f t="shared" si="18"/>
        <v>{szContent="你获得了100点威名、100点战阶。",szNote="堆堆·助战首领",[14]={},tCountdown={{nClass=14,nIcon=13564,nFrame=1,szName="拾取间隔",nTime="300,助战堆·拾取物资·间隔剩余;310,助战堆·可以拾取物资了",nRefresh=1,key="首领拾取间隔",},},},</v>
      </c>
      <c r="W48" t="s">
        <v>2187</v>
      </c>
    </row>
    <row r="49" spans="1:27">
      <c r="D49" t="s">
        <v>2188</v>
      </c>
      <c r="E49" t="s">
        <v>2189</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2190</v>
      </c>
    </row>
    <row r="50" spans="1:27">
      <c r="D50" t="s">
        <v>2191</v>
      </c>
      <c r="E50" t="s">
        <v>2189</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2190</v>
      </c>
    </row>
    <row r="51" spans="1:27">
      <c r="A51" t="s">
        <v>312</v>
      </c>
      <c r="B51">
        <v>25</v>
      </c>
      <c r="V51" t="str">
        <f t="shared" si="18"/>
        <v>},[25]={</v>
      </c>
    </row>
    <row r="52" customFormat="1" spans="1:27">
      <c r="C52" t="s">
        <v>2192</v>
      </c>
      <c r="D52" t="s">
        <v>2112</v>
      </c>
      <c r="E52" t="str">
        <f>K52&amp;"·"&amp;L52&amp;"·"&amp;H52&amp;"·"&amp;"败退"</f>
        <v>恶人·顾延恶·烟雨居舍·败退</v>
      </c>
      <c r="F52" t="s">
        <v>2117</v>
      </c>
      <c r="G52" t="s">
        <v>2116</v>
      </c>
      <c r="H52" t="s">
        <v>2193</v>
      </c>
      <c r="I52" t="s">
        <v>2119</v>
      </c>
      <c r="J52" t="s">
        <v>2194</v>
      </c>
      <c r="K52" t="s">
        <v>2118</v>
      </c>
      <c r="L52" t="s">
        <v>2192</v>
      </c>
      <c r="M52" t="s">
        <v>2121</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2195</v>
      </c>
      <c r="D53" t="s">
        <v>2112</v>
      </c>
      <c r="E53" t="str">
        <f t="shared" ref="E53:E67" si="23">K53&amp;"·"&amp;L53&amp;"·"&amp;H53&amp;"·"&amp;"败退"</f>
        <v>恶人·吕沛杰·七星岩·败退</v>
      </c>
      <c r="F53" t="s">
        <v>2117</v>
      </c>
      <c r="G53" t="s">
        <v>2116</v>
      </c>
      <c r="H53" t="s">
        <v>2196</v>
      </c>
      <c r="I53" t="s">
        <v>2119</v>
      </c>
      <c r="J53" t="s">
        <v>2197</v>
      </c>
      <c r="K53" t="s">
        <v>2118</v>
      </c>
      <c r="L53" t="s">
        <v>2195</v>
      </c>
      <c r="M53" t="s">
        <v>2121</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2198</v>
      </c>
      <c r="D54" t="s">
        <v>2112</v>
      </c>
      <c r="E54" t="str">
        <f t="shared" si="23"/>
        <v>恶人·陶国栋·栖霞幻境·败退</v>
      </c>
      <c r="F54" t="s">
        <v>2117</v>
      </c>
      <c r="G54" t="s">
        <v>2116</v>
      </c>
      <c r="H54" t="s">
        <v>2199</v>
      </c>
      <c r="I54" t="s">
        <v>2119</v>
      </c>
      <c r="J54" t="s">
        <v>2200</v>
      </c>
      <c r="K54" t="s">
        <v>2118</v>
      </c>
      <c r="L54" t="s">
        <v>2198</v>
      </c>
      <c r="M54" t="s">
        <v>2121</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2201</v>
      </c>
      <c r="D55" t="s">
        <v>2112</v>
      </c>
      <c r="E55" t="str">
        <f t="shared" si="23"/>
        <v>恶人·张一洋·漓水河岸·败退</v>
      </c>
      <c r="F55" t="s">
        <v>2117</v>
      </c>
      <c r="G55" t="s">
        <v>2116</v>
      </c>
      <c r="H55" t="s">
        <v>2202</v>
      </c>
      <c r="I55" t="s">
        <v>2119</v>
      </c>
      <c r="J55" t="s">
        <v>2203</v>
      </c>
      <c r="K55" t="s">
        <v>2118</v>
      </c>
      <c r="L55" t="s">
        <v>2201</v>
      </c>
      <c r="M55" t="s">
        <v>2121</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2194</v>
      </c>
      <c r="D56" t="s">
        <v>2112</v>
      </c>
      <c r="E56" t="str">
        <f t="shared" si="23"/>
        <v>浩气·谢烟客·烟雨居舍·败退</v>
      </c>
      <c r="F56" t="s">
        <v>2116</v>
      </c>
      <c r="G56" t="s">
        <v>2117</v>
      </c>
      <c r="H56" t="s">
        <v>2193</v>
      </c>
      <c r="I56" t="s">
        <v>2119</v>
      </c>
      <c r="J56" t="s">
        <v>2192</v>
      </c>
      <c r="K56" t="s">
        <v>2119</v>
      </c>
      <c r="L56" t="s">
        <v>2194</v>
      </c>
      <c r="M56" t="s">
        <v>2120</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2197</v>
      </c>
      <c r="D57" t="s">
        <v>2112</v>
      </c>
      <c r="E57" t="str">
        <f t="shared" si="23"/>
        <v>浩气·陶杰·七星岩·败退</v>
      </c>
      <c r="F57" t="s">
        <v>2116</v>
      </c>
      <c r="G57" t="s">
        <v>2117</v>
      </c>
      <c r="H57" t="s">
        <v>2196</v>
      </c>
      <c r="I57" t="s">
        <v>2118</v>
      </c>
      <c r="J57" t="s">
        <v>2195</v>
      </c>
      <c r="K57" t="s">
        <v>2119</v>
      </c>
      <c r="L57" t="s">
        <v>2197</v>
      </c>
      <c r="M57" t="s">
        <v>2120</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2200</v>
      </c>
      <c r="D58" t="s">
        <v>2112</v>
      </c>
      <c r="E58" t="str">
        <f t="shared" si="23"/>
        <v>浩气·郑鸥·栖霞幻境·败退</v>
      </c>
      <c r="F58" t="s">
        <v>2116</v>
      </c>
      <c r="G58" t="s">
        <v>2117</v>
      </c>
      <c r="H58" t="s">
        <v>2199</v>
      </c>
      <c r="I58" t="s">
        <v>2118</v>
      </c>
      <c r="J58" t="s">
        <v>2198</v>
      </c>
      <c r="K58" t="s">
        <v>2119</v>
      </c>
      <c r="L58" t="s">
        <v>2200</v>
      </c>
      <c r="M58" t="s">
        <v>2120</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2203</v>
      </c>
      <c r="D59" t="s">
        <v>2112</v>
      </c>
      <c r="E59" t="str">
        <f t="shared" si="23"/>
        <v>浩气·周峰·漓水河岸·败退</v>
      </c>
      <c r="F59" t="s">
        <v>2116</v>
      </c>
      <c r="G59" t="s">
        <v>2117</v>
      </c>
      <c r="H59" t="s">
        <v>2202</v>
      </c>
      <c r="I59" t="s">
        <v>2118</v>
      </c>
      <c r="J59" t="s">
        <v>2201</v>
      </c>
      <c r="K59" t="s">
        <v>2119</v>
      </c>
      <c r="L59" t="s">
        <v>2203</v>
      </c>
      <c r="M59" t="s">
        <v>2120</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2117</v>
      </c>
      <c r="D60" t="s">
        <v>2204</v>
      </c>
      <c r="E60" t="str">
        <f t="shared" si="23"/>
        <v>恶人·顾延恶·烟雨居舍·败退</v>
      </c>
      <c r="F60" t="s">
        <v>2117</v>
      </c>
      <c r="G60" t="s">
        <v>2116</v>
      </c>
      <c r="H60" t="s">
        <v>2193</v>
      </c>
      <c r="I60" t="s">
        <v>2119</v>
      </c>
      <c r="J60" t="s">
        <v>2194</v>
      </c>
      <c r="K60" t="s">
        <v>2118</v>
      </c>
      <c r="L60" t="s">
        <v>2192</v>
      </c>
      <c r="M60" t="s">
        <v>2121</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2117</v>
      </c>
      <c r="D61" t="s">
        <v>2205</v>
      </c>
      <c r="E61" t="str">
        <f t="shared" si="23"/>
        <v>恶人·吕沛杰·七星岩·败退</v>
      </c>
      <c r="F61" t="s">
        <v>2117</v>
      </c>
      <c r="G61" t="s">
        <v>2116</v>
      </c>
      <c r="H61" t="s">
        <v>2196</v>
      </c>
      <c r="I61" t="s">
        <v>2119</v>
      </c>
      <c r="J61" t="s">
        <v>2197</v>
      </c>
      <c r="K61" t="s">
        <v>2118</v>
      </c>
      <c r="L61" t="s">
        <v>2195</v>
      </c>
      <c r="M61" t="s">
        <v>2121</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2117</v>
      </c>
      <c r="D62" t="s">
        <v>2206</v>
      </c>
      <c r="E62" t="str">
        <f t="shared" si="23"/>
        <v>恶人·陶国栋·栖霞幻境·败退</v>
      </c>
      <c r="F62" t="s">
        <v>2117</v>
      </c>
      <c r="G62" t="s">
        <v>2116</v>
      </c>
      <c r="H62" t="s">
        <v>2199</v>
      </c>
      <c r="I62" t="s">
        <v>2119</v>
      </c>
      <c r="J62" t="s">
        <v>2200</v>
      </c>
      <c r="K62" t="s">
        <v>2118</v>
      </c>
      <c r="L62" t="s">
        <v>2198</v>
      </c>
      <c r="M62" t="s">
        <v>2121</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2117</v>
      </c>
      <c r="D63" t="s">
        <v>2207</v>
      </c>
      <c r="E63" t="str">
        <f t="shared" si="23"/>
        <v>恶人·张一洋·漓水河岸·败退</v>
      </c>
      <c r="F63" t="s">
        <v>2117</v>
      </c>
      <c r="G63" t="s">
        <v>2116</v>
      </c>
      <c r="H63" t="s">
        <v>2202</v>
      </c>
      <c r="I63" t="s">
        <v>2119</v>
      </c>
      <c r="J63" t="s">
        <v>2203</v>
      </c>
      <c r="K63" t="s">
        <v>2118</v>
      </c>
      <c r="L63" t="s">
        <v>2201</v>
      </c>
      <c r="M63" t="s">
        <v>2121</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2116</v>
      </c>
      <c r="D64" t="s">
        <v>2208</v>
      </c>
      <c r="E64" t="str">
        <f t="shared" si="23"/>
        <v>浩气·谢烟客·烟雨居舍·败退</v>
      </c>
      <c r="F64" t="s">
        <v>2116</v>
      </c>
      <c r="G64" t="s">
        <v>2117</v>
      </c>
      <c r="H64" t="s">
        <v>2193</v>
      </c>
      <c r="I64" t="s">
        <v>2119</v>
      </c>
      <c r="J64" t="s">
        <v>2192</v>
      </c>
      <c r="K64" t="s">
        <v>2119</v>
      </c>
      <c r="L64" t="s">
        <v>2194</v>
      </c>
      <c r="M64" t="s">
        <v>2120</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2116</v>
      </c>
      <c r="D65" t="s">
        <v>2209</v>
      </c>
      <c r="E65" t="str">
        <f t="shared" si="23"/>
        <v>浩气·陶杰·七星岩·败退</v>
      </c>
      <c r="F65" t="s">
        <v>2116</v>
      </c>
      <c r="G65" t="s">
        <v>2117</v>
      </c>
      <c r="H65" t="s">
        <v>2196</v>
      </c>
      <c r="I65" t="s">
        <v>2118</v>
      </c>
      <c r="J65" t="s">
        <v>2195</v>
      </c>
      <c r="K65" t="s">
        <v>2119</v>
      </c>
      <c r="L65" t="s">
        <v>2197</v>
      </c>
      <c r="M65" t="s">
        <v>2120</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2116</v>
      </c>
      <c r="D66" t="s">
        <v>2210</v>
      </c>
      <c r="E66" t="str">
        <f t="shared" si="23"/>
        <v>浩气·郑鸥·栖霞幻境·败退</v>
      </c>
      <c r="F66" t="s">
        <v>2116</v>
      </c>
      <c r="G66" t="s">
        <v>2117</v>
      </c>
      <c r="H66" t="s">
        <v>2199</v>
      </c>
      <c r="I66" t="s">
        <v>2118</v>
      </c>
      <c r="J66" t="s">
        <v>2198</v>
      </c>
      <c r="K66" t="s">
        <v>2119</v>
      </c>
      <c r="L66" t="s">
        <v>2200</v>
      </c>
      <c r="M66" t="s">
        <v>2120</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2116</v>
      </c>
      <c r="D67" t="s">
        <v>2211</v>
      </c>
      <c r="E67" t="str">
        <f t="shared" si="23"/>
        <v>浩气·周峰·漓水河岸·败退</v>
      </c>
      <c r="F67" t="s">
        <v>2116</v>
      </c>
      <c r="G67" t="s">
        <v>2117</v>
      </c>
      <c r="H67" t="s">
        <v>2202</v>
      </c>
      <c r="I67" t="s">
        <v>2118</v>
      </c>
      <c r="J67" t="s">
        <v>2201</v>
      </c>
      <c r="K67" t="s">
        <v>2119</v>
      </c>
      <c r="L67" t="s">
        <v>2203</v>
      </c>
      <c r="M67" t="s">
        <v>2120</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2068</v>
      </c>
      <c r="D68" s="8" t="s">
        <v>2212</v>
      </c>
      <c r="E68" t="s">
        <v>2213</v>
      </c>
      <c r="M68" t="s">
        <v>2120</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2214</v>
      </c>
      <c r="X68" t="s">
        <v>2215</v>
      </c>
      <c r="AA68" s="7"/>
    </row>
    <row r="69" customFormat="1" spans="1:27">
      <c r="C69" t="s">
        <v>2068</v>
      </c>
      <c r="D69" s="8" t="s">
        <v>2216</v>
      </c>
      <c r="E69" t="s">
        <v>2217</v>
      </c>
      <c r="M69" t="s">
        <v>2121</v>
      </c>
      <c r="V69" t="str">
        <f t="shared" si="24"/>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9" t="s">
        <v>2218</v>
      </c>
      <c r="AA69" s="7"/>
    </row>
    <row r="70" customFormat="1" spans="1:27">
      <c r="C70" t="s">
        <v>2068</v>
      </c>
      <c r="D70" s="8" t="s">
        <v>2219</v>
      </c>
      <c r="E70" t="s">
        <v>2220</v>
      </c>
      <c r="M70" t="s">
        <v>2120</v>
      </c>
      <c r="V70" t="str">
        <f t="shared" si="24"/>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70" t="s">
        <v>2221</v>
      </c>
      <c r="AA70" s="7"/>
    </row>
    <row r="71" spans="1:27">
      <c r="A71" t="s">
        <v>329</v>
      </c>
      <c r="B71">
        <v>27</v>
      </c>
      <c r="V71" t="str">
        <f t="shared" si="24"/>
        <v>},[27]={</v>
      </c>
    </row>
    <row r="72" customFormat="1" spans="1:27">
      <c r="C72" t="s">
        <v>2192</v>
      </c>
      <c r="D72" t="s">
        <v>2112</v>
      </c>
      <c r="E72" t="str">
        <f>K72&amp;"·"&amp;L72&amp;"·"&amp;H72&amp;"·"&amp;"败退"</f>
        <v>恶人·顾延恶·平安客栈·败退</v>
      </c>
      <c r="F72" t="s">
        <v>2117</v>
      </c>
      <c r="G72" t="s">
        <v>2116</v>
      </c>
      <c r="H72" t="s">
        <v>2222</v>
      </c>
      <c r="I72" t="s">
        <v>2119</v>
      </c>
      <c r="J72" t="s">
        <v>2194</v>
      </c>
      <c r="K72" t="s">
        <v>2118</v>
      </c>
      <c r="L72" t="s">
        <v>2192</v>
      </c>
      <c r="M72" t="s">
        <v>2121</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2195</v>
      </c>
      <c r="D73" t="s">
        <v>2112</v>
      </c>
      <c r="E73" t="str">
        <f t="shared" ref="E73:E87" si="27">K73&amp;"·"&amp;L73&amp;"·"&amp;H73&amp;"·"&amp;"败退"</f>
        <v>恶人·吕沛杰·炎狱山·败退</v>
      </c>
      <c r="F73" t="s">
        <v>2117</v>
      </c>
      <c r="G73" t="s">
        <v>2116</v>
      </c>
      <c r="H73" t="s">
        <v>2223</v>
      </c>
      <c r="I73" t="s">
        <v>2119</v>
      </c>
      <c r="J73" t="s">
        <v>2197</v>
      </c>
      <c r="K73" t="s">
        <v>2118</v>
      </c>
      <c r="L73" t="s">
        <v>2195</v>
      </c>
      <c r="M73" t="s">
        <v>2121</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2198</v>
      </c>
      <c r="D74" t="s">
        <v>2112</v>
      </c>
      <c r="E74" t="str">
        <f t="shared" si="27"/>
        <v>恶人·陶国栋·白骨陵园·败退</v>
      </c>
      <c r="F74" t="s">
        <v>2117</v>
      </c>
      <c r="G74" t="s">
        <v>2116</v>
      </c>
      <c r="H74" t="s">
        <v>2224</v>
      </c>
      <c r="I74" t="s">
        <v>2119</v>
      </c>
      <c r="J74" t="s">
        <v>2200</v>
      </c>
      <c r="K74" t="s">
        <v>2118</v>
      </c>
      <c r="L74" t="s">
        <v>2198</v>
      </c>
      <c r="M74" t="s">
        <v>2121</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2201</v>
      </c>
      <c r="D75" t="s">
        <v>2112</v>
      </c>
      <c r="E75" t="str">
        <f t="shared" si="27"/>
        <v>恶人·张一洋·丐王坡·败退</v>
      </c>
      <c r="F75" t="s">
        <v>2117</v>
      </c>
      <c r="G75" t="s">
        <v>2116</v>
      </c>
      <c r="H75" t="s">
        <v>2225</v>
      </c>
      <c r="I75" t="s">
        <v>2119</v>
      </c>
      <c r="J75" t="s">
        <v>2203</v>
      </c>
      <c r="K75" t="s">
        <v>2118</v>
      </c>
      <c r="L75" t="s">
        <v>2201</v>
      </c>
      <c r="M75" t="s">
        <v>2121</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2194</v>
      </c>
      <c r="D76" t="s">
        <v>2112</v>
      </c>
      <c r="E76" t="str">
        <f t="shared" si="27"/>
        <v>浩气·谢烟客·平安客栈·败退</v>
      </c>
      <c r="F76" t="s">
        <v>2116</v>
      </c>
      <c r="G76" t="s">
        <v>2117</v>
      </c>
      <c r="H76" t="s">
        <v>2222</v>
      </c>
      <c r="I76" t="s">
        <v>2118</v>
      </c>
      <c r="J76" t="s">
        <v>2192</v>
      </c>
      <c r="K76" t="s">
        <v>2119</v>
      </c>
      <c r="L76" t="s">
        <v>2194</v>
      </c>
      <c r="M76" t="s">
        <v>2120</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2197</v>
      </c>
      <c r="D77" t="s">
        <v>2112</v>
      </c>
      <c r="E77" t="str">
        <f t="shared" si="27"/>
        <v>浩气·陶杰·炎狱山·败退</v>
      </c>
      <c r="F77" t="s">
        <v>2116</v>
      </c>
      <c r="G77" t="s">
        <v>2117</v>
      </c>
      <c r="H77" t="s">
        <v>2223</v>
      </c>
      <c r="I77" t="s">
        <v>2118</v>
      </c>
      <c r="J77" t="s">
        <v>2195</v>
      </c>
      <c r="K77" t="s">
        <v>2119</v>
      </c>
      <c r="L77" t="s">
        <v>2197</v>
      </c>
      <c r="M77" t="s">
        <v>2120</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2200</v>
      </c>
      <c r="D78" t="s">
        <v>2112</v>
      </c>
      <c r="E78" t="str">
        <f t="shared" si="27"/>
        <v>浩气·郑鸥·白骨陵园·败退</v>
      </c>
      <c r="F78" t="s">
        <v>2116</v>
      </c>
      <c r="G78" t="s">
        <v>2117</v>
      </c>
      <c r="H78" t="s">
        <v>2224</v>
      </c>
      <c r="I78" t="s">
        <v>2118</v>
      </c>
      <c r="J78" t="s">
        <v>2198</v>
      </c>
      <c r="K78" t="s">
        <v>2119</v>
      </c>
      <c r="L78" t="s">
        <v>2200</v>
      </c>
      <c r="M78" t="s">
        <v>2120</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2203</v>
      </c>
      <c r="D79" t="s">
        <v>2112</v>
      </c>
      <c r="E79" t="str">
        <f t="shared" si="27"/>
        <v>浩气·周峰·丐王坡·败退</v>
      </c>
      <c r="F79" t="s">
        <v>2116</v>
      </c>
      <c r="G79" t="s">
        <v>2117</v>
      </c>
      <c r="H79" t="s">
        <v>2225</v>
      </c>
      <c r="I79" t="s">
        <v>2118</v>
      </c>
      <c r="J79" t="s">
        <v>2201</v>
      </c>
      <c r="K79" t="s">
        <v>2119</v>
      </c>
      <c r="L79" t="s">
        <v>2203</v>
      </c>
      <c r="M79" t="s">
        <v>2120</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2117</v>
      </c>
      <c r="D80" t="s">
        <v>2204</v>
      </c>
      <c r="E80" t="str">
        <f t="shared" si="27"/>
        <v>恶人·顾延恶·平安客栈·败退</v>
      </c>
      <c r="F80" t="s">
        <v>2117</v>
      </c>
      <c r="G80" t="s">
        <v>2116</v>
      </c>
      <c r="H80" t="s">
        <v>2222</v>
      </c>
      <c r="I80" t="s">
        <v>2119</v>
      </c>
      <c r="J80" t="s">
        <v>2194</v>
      </c>
      <c r="K80" t="s">
        <v>2118</v>
      </c>
      <c r="L80" t="s">
        <v>2192</v>
      </c>
      <c r="M80" t="s">
        <v>2121</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2117</v>
      </c>
      <c r="D81" t="s">
        <v>2205</v>
      </c>
      <c r="E81" t="str">
        <f t="shared" si="27"/>
        <v>恶人·吕沛杰·炎狱山·败退</v>
      </c>
      <c r="F81" t="s">
        <v>2117</v>
      </c>
      <c r="G81" t="s">
        <v>2116</v>
      </c>
      <c r="H81" t="s">
        <v>2223</v>
      </c>
      <c r="I81" t="s">
        <v>2119</v>
      </c>
      <c r="J81" t="s">
        <v>2197</v>
      </c>
      <c r="K81" t="s">
        <v>2118</v>
      </c>
      <c r="L81" t="s">
        <v>2195</v>
      </c>
      <c r="M81" t="s">
        <v>2121</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2117</v>
      </c>
      <c r="D82" t="s">
        <v>2206</v>
      </c>
      <c r="E82" t="str">
        <f t="shared" si="27"/>
        <v>恶人·陶国栋·白骨陵园·败退</v>
      </c>
      <c r="F82" t="s">
        <v>2117</v>
      </c>
      <c r="G82" t="s">
        <v>2116</v>
      </c>
      <c r="H82" t="s">
        <v>2224</v>
      </c>
      <c r="I82" t="s">
        <v>2119</v>
      </c>
      <c r="J82" t="s">
        <v>2200</v>
      </c>
      <c r="K82" t="s">
        <v>2118</v>
      </c>
      <c r="L82" t="s">
        <v>2198</v>
      </c>
      <c r="M82" t="s">
        <v>2121</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2117</v>
      </c>
      <c r="D83" t="s">
        <v>2207</v>
      </c>
      <c r="E83" t="str">
        <f t="shared" si="27"/>
        <v>恶人·张一洋·丐王坡·败退</v>
      </c>
      <c r="F83" t="s">
        <v>2117</v>
      </c>
      <c r="G83" t="s">
        <v>2116</v>
      </c>
      <c r="H83" t="s">
        <v>2225</v>
      </c>
      <c r="I83" t="s">
        <v>2119</v>
      </c>
      <c r="J83" t="s">
        <v>2203</v>
      </c>
      <c r="K83" t="s">
        <v>2118</v>
      </c>
      <c r="L83" t="s">
        <v>2201</v>
      </c>
      <c r="M83" t="s">
        <v>2121</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2116</v>
      </c>
      <c r="D84" t="s">
        <v>2208</v>
      </c>
      <c r="E84" t="str">
        <f t="shared" si="27"/>
        <v>浩气·谢烟客·平安客栈·败退</v>
      </c>
      <c r="F84" t="s">
        <v>2116</v>
      </c>
      <c r="G84" t="s">
        <v>2117</v>
      </c>
      <c r="H84" t="s">
        <v>2222</v>
      </c>
      <c r="I84" t="s">
        <v>2118</v>
      </c>
      <c r="J84" t="s">
        <v>2192</v>
      </c>
      <c r="K84" t="s">
        <v>2119</v>
      </c>
      <c r="L84" t="s">
        <v>2194</v>
      </c>
      <c r="M84" t="s">
        <v>2120</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2116</v>
      </c>
      <c r="D85" t="s">
        <v>2209</v>
      </c>
      <c r="E85" t="str">
        <f t="shared" si="27"/>
        <v>浩气·陶杰·炎狱山·败退</v>
      </c>
      <c r="F85" t="s">
        <v>2116</v>
      </c>
      <c r="G85" t="s">
        <v>2117</v>
      </c>
      <c r="H85" t="s">
        <v>2223</v>
      </c>
      <c r="I85" t="s">
        <v>2118</v>
      </c>
      <c r="J85" t="s">
        <v>2195</v>
      </c>
      <c r="K85" t="s">
        <v>2119</v>
      </c>
      <c r="L85" t="s">
        <v>2197</v>
      </c>
      <c r="M85" t="s">
        <v>2120</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2116</v>
      </c>
      <c r="D86" t="s">
        <v>2210</v>
      </c>
      <c r="E86" t="str">
        <f t="shared" si="27"/>
        <v>浩气·郑鸥·白骨陵园·败退</v>
      </c>
      <c r="F86" t="s">
        <v>2116</v>
      </c>
      <c r="G86" t="s">
        <v>2117</v>
      </c>
      <c r="H86" t="s">
        <v>2224</v>
      </c>
      <c r="I86" t="s">
        <v>2118</v>
      </c>
      <c r="J86" t="s">
        <v>2198</v>
      </c>
      <c r="K86" t="s">
        <v>2119</v>
      </c>
      <c r="L86" t="s">
        <v>2200</v>
      </c>
      <c r="M86" t="s">
        <v>2120</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2116</v>
      </c>
      <c r="D87" t="s">
        <v>2211</v>
      </c>
      <c r="E87" t="str">
        <f t="shared" si="27"/>
        <v>浩气·周峰·丐王坡·败退</v>
      </c>
      <c r="F87" t="s">
        <v>2116</v>
      </c>
      <c r="G87" t="s">
        <v>2117</v>
      </c>
      <c r="H87" t="s">
        <v>2225</v>
      </c>
      <c r="I87" t="s">
        <v>2118</v>
      </c>
      <c r="J87" t="s">
        <v>2201</v>
      </c>
      <c r="K87" t="s">
        <v>2119</v>
      </c>
      <c r="L87" t="s">
        <v>2203</v>
      </c>
      <c r="M87" t="s">
        <v>2120</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2068</v>
      </c>
      <c r="D88" s="8" t="s">
        <v>2226</v>
      </c>
      <c r="E88" t="s">
        <v>2213</v>
      </c>
      <c r="M88" t="s">
        <v>2120</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2214</v>
      </c>
      <c r="X88" t="s">
        <v>2215</v>
      </c>
      <c r="AA88" s="7"/>
    </row>
    <row r="89" customFormat="1" spans="1:27">
      <c r="C89" t="s">
        <v>2068</v>
      </c>
      <c r="D89" s="8" t="s">
        <v>2216</v>
      </c>
      <c r="E89" t="s">
        <v>2217</v>
      </c>
      <c r="M89" t="s">
        <v>2121</v>
      </c>
      <c r="V89" t="str">
        <f t="shared" si="24"/>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9" t="s">
        <v>2227</v>
      </c>
      <c r="AA89" s="7"/>
    </row>
    <row r="90" customFormat="1" spans="1:27">
      <c r="C90" t="s">
        <v>2068</v>
      </c>
      <c r="D90" s="8" t="s">
        <v>2219</v>
      </c>
      <c r="E90" t="s">
        <v>2220</v>
      </c>
      <c r="M90" t="s">
        <v>2120</v>
      </c>
      <c r="V90" t="str">
        <f t="shared" si="24"/>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0" t="s">
        <v>2228</v>
      </c>
      <c r="AA90" s="7"/>
    </row>
    <row r="91" customFormat="1" spans="1:27">
      <c r="A91" t="s">
        <v>2229</v>
      </c>
      <c r="B91">
        <v>-21</v>
      </c>
      <c r="V91" t="str">
        <f t="shared" si="24"/>
        <v>},[-21]={</v>
      </c>
    </row>
    <row r="92" customFormat="1" spans="1:27">
      <c r="D92" t="s">
        <v>2230</v>
      </c>
      <c r="M92" t="s">
        <v>2121</v>
      </c>
      <c r="V92" t="str">
        <f t="shared" si="24"/>
        <v>{szContent="分流活动已开启，大侠可以前往龙门荒漠接取阵营攻防前置任务",col={255,100,100,},[14]={},tCountdown={{nClass=14,nIcon=3536,nFrame=3,szName="龙门·攻防前置分流",nTime=30,nRefresh=1800,key="分流活动",},},},</v>
      </c>
      <c r="W92" t="s">
        <v>2231</v>
      </c>
    </row>
    <row r="93" customFormat="1" spans="1:27">
      <c r="D93" t="s">
        <v>2232</v>
      </c>
      <c r="M93" t="s">
        <v>2120</v>
      </c>
      <c r="V93" t="str">
        <f t="shared" si="24"/>
        <v>{szContent="分流活动已开启，大侠可以前往巴陵县接取阵营攻防前置任务",col={100,100,255,},[14]={},tCountdown={{nClass=14,nIcon=3536,nFrame=7,szName="巴陵·攻防前置分流",nTime=30,nRefresh=1800,key="分流活动",},},},</v>
      </c>
      <c r="W93" t="s">
        <v>2233</v>
      </c>
    </row>
    <row r="94" customFormat="1" spans="1:27">
      <c r="A94" t="s">
        <v>1677</v>
      </c>
      <c r="B94">
        <v>-2</v>
      </c>
      <c r="V94" t="str">
        <f t="shared" si="24"/>
        <v>},[-2]={</v>
      </c>
    </row>
    <row r="95" customFormat="1" spans="1:27">
      <c r="D95" t="s">
        <v>2230</v>
      </c>
      <c r="M95" t="s">
        <v>2121</v>
      </c>
      <c r="V95" t="str">
        <f t="shared" si="24"/>
        <v>{szContent="分流活动已开启，大侠可以前往龙门荒漠接取阵营攻防前置任务",col={255,100,100,},[14]={},tCountdown={{nClass=14,nIcon=3536,nFrame=3,szName="龙门·攻防前置分流",nTime=30,nRefresh=1800,key="分流活动",},},},</v>
      </c>
      <c r="W95" t="s">
        <v>2231</v>
      </c>
    </row>
    <row r="96" customFormat="1" spans="1:27">
      <c r="D96" t="s">
        <v>2232</v>
      </c>
      <c r="M96" t="s">
        <v>2120</v>
      </c>
      <c r="V96" t="str">
        <f t="shared" si="24"/>
        <v>{szContent="分流活动已开启，大侠可以前往巴陵县接取阵营攻防前置任务",col={100,100,255,},[14]={},tCountdown={{nClass=14,nIcon=3536,nFrame=7,szName="巴陵·攻防前置分流",nTime=30,nRefresh=1800,key="分流活动",},},},</v>
      </c>
      <c r="W96" t="s">
        <v>2233</v>
      </c>
    </row>
    <row r="97" spans="1:27">
      <c r="A97" t="s">
        <v>539</v>
      </c>
      <c r="B97">
        <v>-7</v>
      </c>
      <c r="V97" t="str">
        <f t="shared" si="24"/>
        <v>},[-7]={</v>
      </c>
    </row>
    <row r="98" customFormat="1" spans="1:27">
      <c r="D98" t="s">
        <v>2230</v>
      </c>
      <c r="M98" t="s">
        <v>2121</v>
      </c>
      <c r="V98" t="str">
        <f t="shared" si="24"/>
        <v>{szContent="分流活动已开启，大侠可以前往龙门荒漠接取阵营攻防前置任务",col={255,100,100,},[14]={},tCountdown={{nClass=14,nIcon=3536,nFrame=3,szName="龙门·攻防前置分流",nTime=30,nRefresh=1800,key="分流活动",},},},</v>
      </c>
      <c r="W98" t="s">
        <v>2231</v>
      </c>
    </row>
    <row r="99" customFormat="1" spans="1:27">
      <c r="D99" t="s">
        <v>2232</v>
      </c>
      <c r="M99" t="s">
        <v>2120</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2233</v>
      </c>
    </row>
    <row r="100" customFormat="1" spans="1:27">
      <c r="A100" t="s">
        <v>1488</v>
      </c>
      <c r="B100">
        <v>-20</v>
      </c>
      <c r="V100" t="str">
        <f t="shared" si="28"/>
        <v>},[-20]={</v>
      </c>
    </row>
    <row r="101" customFormat="1" spans="1:27">
      <c r="D101" t="s">
        <v>2234</v>
      </c>
      <c r="E101" t="s">
        <v>2235</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2236</v>
      </c>
      <c r="E102" t="s">
        <v>2237</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2238</v>
      </c>
    </row>
    <row r="103" customFormat="1" spans="1:27">
      <c r="D103" t="s">
        <v>2239</v>
      </c>
      <c r="E103" t="s">
        <v>2240</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2241</v>
      </c>
    </row>
    <row r="104" customFormat="1" spans="1:27">
      <c r="D104" t="s">
        <v>2242</v>
      </c>
      <c r="E104" t="s">
        <v>2243</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2244</v>
      </c>
    </row>
    <row r="105" customFormat="1" spans="1:27">
      <c r="D105" t="s">
        <v>2245</v>
      </c>
      <c r="M105" t="s">
        <v>1660</v>
      </c>
      <c r="V105" t="str">
        <f t="shared" si="28"/>
        <v>{szContent="你已经离开据点，10秒内未进入据点，则据点旗帜重置。",col={255,255,100,},[14]={},tCountdown={{nClass=14,nIcon=592,nFrame=2,szName="据点大旗·重置剩余",nTime=10,key="据点大旗·旗手提示",},},},</v>
      </c>
      <c r="W105" t="s">
        <v>2246</v>
      </c>
    </row>
    <row r="106" customFormat="1" spans="1:27">
      <c r="D106" t="s">
        <v>2247</v>
      </c>
      <c r="E106" t="s">
        <v>2248</v>
      </c>
      <c r="M106" t="s">
        <v>1660</v>
      </c>
      <c r="Q106">
        <v>1</v>
      </c>
      <c r="S106">
        <v>1</v>
      </c>
      <c r="V106" t="str">
        <f t="shared" si="28"/>
        <v>{szContent="身负据点大旗，当心被夺！",szNote="[{$me}]·扛起大旗",col={255,255,100,},[14]={bTeamChannel=true,bCenterAlarm=true,},tCountdown={{nClass=14,nIcon=592,nFrame=8,szName="【{$me}】·拾取大旗",nTime=30,key="拾取大旗·{$me}",},},},</v>
      </c>
      <c r="W106" t="s">
        <v>2249</v>
      </c>
    </row>
    <row r="107" customFormat="1" spans="1:27">
      <c r="C107" t="s">
        <v>2068</v>
      </c>
      <c r="D107" t="s">
        <v>2250</v>
      </c>
      <c r="E107" t="s">
        <v>2251</v>
      </c>
      <c r="M107" t="s">
        <v>1660</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2252</v>
      </c>
      <c r="X107" t="s">
        <v>2253</v>
      </c>
      <c r="Y107" t="s">
        <v>2254</v>
      </c>
      <c r="Z107" t="s">
        <v>2255</v>
      </c>
      <c r="AA107" t="s">
        <v>2256</v>
      </c>
    </row>
    <row r="108" customFormat="1" spans="1:27">
      <c r="C108" t="s">
        <v>2068</v>
      </c>
      <c r="D108" t="s">
        <v>2257</v>
      </c>
      <c r="E108" t="s">
        <v>2258</v>
      </c>
      <c r="M108" t="s">
        <v>1660</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2259</v>
      </c>
    </row>
    <row r="109" customFormat="1" spans="1:27">
      <c r="C109" t="s">
        <v>2260</v>
      </c>
      <c r="D109" t="s">
        <v>2261</v>
      </c>
      <c r="E109" t="s">
        <v>2262</v>
      </c>
      <c r="M109" t="s">
        <v>1729</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2263</v>
      </c>
      <c r="X109" t="s">
        <v>2264</v>
      </c>
    </row>
    <row r="110" customFormat="1" spans="1:27">
      <c r="C110" t="s">
        <v>2260</v>
      </c>
      <c r="D110" t="s">
        <v>2265</v>
      </c>
      <c r="M110" t="s">
        <v>1660</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2263</v>
      </c>
      <c r="X110" t="s">
        <v>2266</v>
      </c>
    </row>
    <row r="111" customFormat="1" spans="1:27">
      <c r="C111" t="s">
        <v>2068</v>
      </c>
      <c r="D111" t="s">
        <v>2267</v>
      </c>
      <c r="E111" t="s">
        <v>2268</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1" t="s">
        <v>2269</v>
      </c>
      <c r="X111" t="s">
        <v>2270</v>
      </c>
    </row>
    <row r="112" customFormat="1" spans="1:27">
      <c r="C112" t="s">
        <v>2068</v>
      </c>
      <c r="D112" t="s">
        <v>2271</v>
      </c>
      <c r="E112" t="s">
        <v>2272</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2273</v>
      </c>
    </row>
    <row r="113" customFormat="1" spans="1:27">
      <c r="C113" t="s">
        <v>2068</v>
      </c>
      <c r="D113" t="s">
        <v>2274</v>
      </c>
      <c r="M113" t="s">
        <v>2120</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2275</v>
      </c>
      <c r="X113" t="s">
        <v>2276</v>
      </c>
    </row>
    <row r="114" customFormat="1" spans="1:27">
      <c r="C114" t="s">
        <v>2068</v>
      </c>
      <c r="D114" t="s">
        <v>2277</v>
      </c>
      <c r="M114" t="s">
        <v>2121</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2275</v>
      </c>
      <c r="X114" t="s">
        <v>2278</v>
      </c>
    </row>
    <row r="115" customFormat="1" spans="1:27">
      <c r="C115" t="s">
        <v>2068</v>
      </c>
      <c r="D115" t="s">
        <v>2279</v>
      </c>
      <c r="E115" t="s">
        <v>2280</v>
      </c>
      <c r="M115" t="s">
        <v>1660</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2281</v>
      </c>
      <c r="X115" t="s">
        <v>2282</v>
      </c>
      <c r="Y115" t="s">
        <v>2283</v>
      </c>
      <c r="Z115" t="s">
        <v>2284</v>
      </c>
      <c r="AA115" t="s">
        <v>2285</v>
      </c>
    </row>
    <row r="116" customFormat="1" spans="1:27">
      <c r="C116" t="s">
        <v>2068</v>
      </c>
      <c r="D116" t="s">
        <v>2286</v>
      </c>
      <c r="E116" t="s">
        <v>2287</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2288</v>
      </c>
      <c r="X116" s="3" t="s">
        <v>2289</v>
      </c>
      <c r="Y116" s="3" t="s">
        <v>2290</v>
      </c>
      <c r="Z116" s="3" t="s">
        <v>2291</v>
      </c>
    </row>
    <row r="117" customFormat="1" spans="1:27">
      <c r="C117" t="s">
        <v>1719</v>
      </c>
      <c r="D117" t="s">
        <v>2292</v>
      </c>
      <c r="E117" t="s">
        <v>2293</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2294</v>
      </c>
      <c r="X117" s="5" t="s">
        <v>2295</v>
      </c>
      <c r="Y117" s="5" t="s">
        <v>2296</v>
      </c>
    </row>
    <row r="118" spans="1:27">
      <c r="C118" t="s">
        <v>1719</v>
      </c>
      <c r="D118" t="s">
        <v>2297</v>
      </c>
      <c r="E118" t="s">
        <v>2298</v>
      </c>
      <c r="V118" t="str">
        <f t="shared" si="28"/>
        <v>{szContent="哼，打扰本大爷休息！",szTarget="狼牙先锋首领",szNote="狼牙先锋首领·刷新喊话1",[14]={},tCountdown={{nClass=14,nIcon=3556,nFrame=1,szName="狼牙先锋首领·已经刷新",nTime=10,nRefresh=120,key="狼牙先锋首领",},},},</v>
      </c>
      <c r="W118" t="s">
        <v>2299</v>
      </c>
    </row>
    <row r="119" spans="1:27">
      <c r="C119" t="s">
        <v>1719</v>
      </c>
      <c r="D119" t="s">
        <v>2300</v>
      </c>
      <c r="E119" t="s">
        <v>2301</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2299</v>
      </c>
      <c r="X119" s="3" t="s">
        <v>2290</v>
      </c>
      <c r="Y119" s="3" t="s">
        <v>2291</v>
      </c>
    </row>
    <row r="120" spans="1:27">
      <c r="C120" t="s">
        <v>1719</v>
      </c>
      <c r="D120" t="s">
        <v>2302</v>
      </c>
      <c r="E120" t="s">
        <v>2303</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2304</v>
      </c>
      <c r="X120" s="3" t="s">
        <v>2290</v>
      </c>
      <c r="Y120" s="3" t="s">
        <v>2291</v>
      </c>
    </row>
    <row r="121" spans="1:27">
      <c r="A121" t="s">
        <v>683</v>
      </c>
      <c r="B121">
        <v>22</v>
      </c>
      <c r="V121" t="str">
        <f t="shared" si="28"/>
        <v>},[22]={</v>
      </c>
    </row>
    <row r="122" customFormat="1" spans="1:27">
      <c r="C122" t="s">
        <v>2305</v>
      </c>
      <c r="D122" t="s">
        <v>2306</v>
      </c>
      <c r="E122" t="s">
        <v>2307</v>
      </c>
      <c r="M122" t="s">
        <v>2120</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2308</v>
      </c>
    </row>
    <row r="123" customFormat="1" spans="1:27">
      <c r="C123" t="s">
        <v>2068</v>
      </c>
      <c r="D123" s="8" t="s">
        <v>2309</v>
      </c>
      <c r="M123" t="s">
        <v>2121</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2310</v>
      </c>
      <c r="X123" t="s">
        <v>2311</v>
      </c>
    </row>
    <row r="124" customFormat="1" spans="1:27">
      <c r="C124" t="s">
        <v>2068</v>
      </c>
      <c r="D124" s="8" t="s">
        <v>2312</v>
      </c>
      <c r="M124" t="s">
        <v>2120</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2313</v>
      </c>
      <c r="X124" t="s">
        <v>2314</v>
      </c>
    </row>
    <row r="125" spans="1:27">
      <c r="C125" t="s">
        <v>2315</v>
      </c>
      <c r="D125" t="s">
        <v>2316</v>
      </c>
      <c r="M125" t="s">
        <v>2121</v>
      </c>
      <c r="V125" t="str">
        <f t="shared" si="28"/>
        <v>{szContent="恶人谷老友们可在我这里传送到恶人谷！",szTarget="赵新宇",col={255,100,100,},[14]={},tCountdown={{nClass=-1,nIcon=589,nFrame=7,szName="赵新宇·已刷新",nTime=2,nRefresh=600,key="赵新宇",},},},</v>
      </c>
      <c r="W125" t="s">
        <v>2317</v>
      </c>
    </row>
    <row r="126" spans="1:27">
      <c r="C126" t="s">
        <v>2318</v>
      </c>
      <c r="D126" t="s">
        <v>2319</v>
      </c>
      <c r="M126" t="s">
        <v>2120</v>
      </c>
      <c r="V126" t="str">
        <f t="shared" si="28"/>
        <v>{szContent="浩气盟侠士们可在我这里传送到浩气盟！",szTarget="方超",col={100,100,255,},[14]={},tCountdown={{nClass=-1,nIcon=308,nFrame=3,szName="方超·已刷新",nTime=2,nRefresh=600,key="方超",},},},</v>
      </c>
      <c r="W126" t="s">
        <v>2320</v>
      </c>
    </row>
    <row r="127" spans="1:27">
      <c r="C127" t="s">
        <v>2321</v>
      </c>
      <c r="D127" t="s">
        <v>2322</v>
      </c>
      <c r="M127" t="s">
        <v>2121</v>
      </c>
      <c r="V127" t="str">
        <f t="shared" si="28"/>
        <v>{szContent="护送不利，恶人谷的运输小队被浩气盟截下了！",szTarget="管良沧",col={255,100,100,},[14]={},tCountdown={{nClass=14,nIcon=13,nFrame=7,szName="浩气·劫车奖励",nTime=60,key="恶人·矿车",},},},</v>
      </c>
      <c r="W127" t="s">
        <v>2323</v>
      </c>
    </row>
    <row r="128" spans="1:27">
      <c r="C128" t="s">
        <v>2321</v>
      </c>
      <c r="D128" t="s">
        <v>2324</v>
      </c>
      <c r="M128" t="s">
        <v>2121</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2325</v>
      </c>
    </row>
    <row r="129" spans="1:24">
      <c r="C129" t="s">
        <v>2321</v>
      </c>
      <c r="D129" t="s">
        <v>2326</v>
      </c>
      <c r="E129" t="s">
        <v>2327</v>
      </c>
      <c r="M129" t="s">
        <v>2121</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2328</v>
      </c>
    </row>
    <row r="130" spans="1:24">
      <c r="C130" t="s">
        <v>2329</v>
      </c>
      <c r="D130" t="s">
        <v>2330</v>
      </c>
      <c r="M130" t="s">
        <v>2120</v>
      </c>
      <c r="V130" t="str">
        <f t="shared" si="28"/>
        <v>{szContent="护送不利，浩气盟的运输小队被恶人谷截下了！",szTarget="苏才寥",col={100,100,255,},[14]={},tCountdown={{nClass=14,nIcon=13,nFrame=3,szName="恶人·劫车奖励",nTime=60,key="浩气·矿车",},},},</v>
      </c>
      <c r="W130" t="s">
        <v>2331</v>
      </c>
    </row>
    <row r="131" spans="1:24">
      <c r="C131" t="s">
        <v>2329</v>
      </c>
      <c r="D131" t="s">
        <v>2332</v>
      </c>
      <c r="M131" t="s">
        <v>2120</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2333</v>
      </c>
    </row>
    <row r="132" spans="1:24">
      <c r="C132" t="s">
        <v>2329</v>
      </c>
      <c r="D132" t="s">
        <v>2334</v>
      </c>
      <c r="E132" t="s">
        <v>2335</v>
      </c>
      <c r="M132" t="s">
        <v>2120</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2336</v>
      </c>
    </row>
    <row r="133" spans="1:24">
      <c r="A133" t="s">
        <v>706</v>
      </c>
      <c r="B133">
        <v>30</v>
      </c>
      <c r="V133" t="str">
        <f t="shared" si="29"/>
        <v>},[30]={</v>
      </c>
    </row>
    <row r="134" customFormat="1" spans="1:24">
      <c r="C134" t="s">
        <v>2337</v>
      </c>
      <c r="D134" t="s">
        <v>2338</v>
      </c>
      <c r="E134" t="s">
        <v>2339</v>
      </c>
      <c r="M134" t="s">
        <v>2121</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2340</v>
      </c>
    </row>
    <row r="135" customFormat="1" spans="1:24">
      <c r="C135" t="s">
        <v>2260</v>
      </c>
      <c r="D135" t="s">
        <v>2261</v>
      </c>
      <c r="E135" t="s">
        <v>2262</v>
      </c>
      <c r="M135" t="s">
        <v>1729</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2263</v>
      </c>
      <c r="X135" t="s">
        <v>2264</v>
      </c>
    </row>
    <row r="136" customFormat="1" spans="1:24">
      <c r="C136" t="s">
        <v>2260</v>
      </c>
      <c r="D136" t="s">
        <v>2265</v>
      </c>
      <c r="M136" t="s">
        <v>1660</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2263</v>
      </c>
      <c r="X136" t="s">
        <v>2266</v>
      </c>
    </row>
    <row r="137" customFormat="1" spans="1:24">
      <c r="C137" t="s">
        <v>2068</v>
      </c>
      <c r="D137" s="8" t="s">
        <v>2341</v>
      </c>
      <c r="M137" t="s">
        <v>2121</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2342</v>
      </c>
      <c r="X137" t="s">
        <v>2343</v>
      </c>
    </row>
    <row r="138" customFormat="1" spans="1:24">
      <c r="C138" t="s">
        <v>2068</v>
      </c>
      <c r="D138" s="8" t="s">
        <v>2344</v>
      </c>
      <c r="M138" t="s">
        <v>2120</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2345</v>
      </c>
      <c r="X138" t="s">
        <v>2346</v>
      </c>
    </row>
    <row r="139" spans="1:24">
      <c r="C139" t="s">
        <v>2347</v>
      </c>
      <c r="D139" t="s">
        <v>2316</v>
      </c>
      <c r="M139" t="s">
        <v>2121</v>
      </c>
      <c r="V139" t="str">
        <f t="shared" si="29"/>
        <v>{szContent="恶人谷老友们可在我这里传送到恶人谷！",szTarget="霸图",col={255,100,100,},[14]={},tCountdown={{nClass=-1,nIcon=2864,nFrame=7,szName="霸图·已刷新",nTime=2,nRefresh=600,key="霸图",},},},</v>
      </c>
      <c r="W139" t="s">
        <v>2348</v>
      </c>
    </row>
    <row r="140" spans="1:24">
      <c r="C140" t="s">
        <v>2349</v>
      </c>
      <c r="D140" t="s">
        <v>2319</v>
      </c>
      <c r="M140" t="s">
        <v>2120</v>
      </c>
      <c r="V140" t="str">
        <f t="shared" si="29"/>
        <v>{szContent="浩气盟侠士们可在我这里传送到浩气盟！",szTarget="孙永恒",col={100,100,255,},[14]={},tCountdown={{nClass=-1,nIcon=845,nFrame=3,szName="孙永恒·已刷新",nTime=2,nRefresh=600,key="孙永恒",},},},</v>
      </c>
      <c r="W140" t="s">
        <v>2350</v>
      </c>
    </row>
    <row r="141" spans="1:24">
      <c r="C141" t="s">
        <v>2321</v>
      </c>
      <c r="D141" t="s">
        <v>2322</v>
      </c>
      <c r="M141" t="s">
        <v>2121</v>
      </c>
      <c r="V141" t="str">
        <f t="shared" si="29"/>
        <v>{szContent="护送不利，恶人谷的运输小队被浩气盟截下了！",szTarget="管良沧",col={255,100,100,},[14]={},tCountdown={{nClass=14,nIcon=13,nFrame=7,szName="浩气·劫车奖励",nTime=60,key="恶人·矿车",},},},</v>
      </c>
      <c r="W141" t="s">
        <v>2323</v>
      </c>
    </row>
    <row r="142" spans="1:24">
      <c r="C142" t="s">
        <v>2321</v>
      </c>
      <c r="D142" t="s">
        <v>2324</v>
      </c>
      <c r="M142" t="s">
        <v>2121</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2325</v>
      </c>
    </row>
    <row r="143" spans="1:24">
      <c r="C143" t="s">
        <v>2321</v>
      </c>
      <c r="D143" t="s">
        <v>2326</v>
      </c>
      <c r="E143" t="s">
        <v>2327</v>
      </c>
      <c r="M143" t="s">
        <v>2121</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2351</v>
      </c>
    </row>
    <row r="144" spans="1:24">
      <c r="C144" t="s">
        <v>2329</v>
      </c>
      <c r="D144" t="s">
        <v>2330</v>
      </c>
      <c r="M144" t="s">
        <v>2120</v>
      </c>
      <c r="V144" t="str">
        <f t="shared" si="29"/>
        <v>{szContent="护送不利，浩气盟的运输小队被恶人谷截下了！",szTarget="苏才寥",col={100,100,255,},[14]={},tCountdown={{nClass=14,nIcon=13,nFrame=3,szName="恶人·劫车奖励",nTime=60,key="浩气·矿车",},},},</v>
      </c>
      <c r="W144" t="s">
        <v>2331</v>
      </c>
    </row>
    <row r="145" spans="1:24">
      <c r="C145" t="s">
        <v>2329</v>
      </c>
      <c r="D145" t="s">
        <v>2332</v>
      </c>
      <c r="M145" t="s">
        <v>2120</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2333</v>
      </c>
    </row>
    <row r="146" spans="1:24">
      <c r="C146" t="s">
        <v>2329</v>
      </c>
      <c r="D146" t="s">
        <v>2334</v>
      </c>
      <c r="E146" t="s">
        <v>2335</v>
      </c>
      <c r="M146" t="s">
        <v>2120</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2352</v>
      </c>
    </row>
    <row r="147" customFormat="1" spans="1:24">
      <c r="A147" t="s">
        <v>680</v>
      </c>
      <c r="B147">
        <v>21</v>
      </c>
      <c r="V147" t="str">
        <f t="shared" si="29"/>
        <v>},[21]={</v>
      </c>
    </row>
    <row r="148" customFormat="1" spans="1:24">
      <c r="C148" t="s">
        <v>2305</v>
      </c>
      <c r="D148" t="s">
        <v>2353</v>
      </c>
      <c r="E148" t="s">
        <v>2354</v>
      </c>
      <c r="M148" t="s">
        <v>2120</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2355</v>
      </c>
    </row>
    <row r="149" customFormat="1" spans="1:24">
      <c r="C149" t="s">
        <v>2305</v>
      </c>
      <c r="D149" t="s">
        <v>2356</v>
      </c>
      <c r="E149" t="s">
        <v>2357</v>
      </c>
      <c r="M149" t="s">
        <v>2120</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2358</v>
      </c>
    </row>
    <row r="150" spans="1:24">
      <c r="C150" t="s">
        <v>2068</v>
      </c>
      <c r="D150" s="8" t="s">
        <v>2309</v>
      </c>
      <c r="M150" t="s">
        <v>2121</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2310</v>
      </c>
      <c r="X150" t="s">
        <v>2359</v>
      </c>
    </row>
    <row r="151" spans="1:24">
      <c r="C151" t="s">
        <v>2068</v>
      </c>
      <c r="D151" s="8" t="s">
        <v>2312</v>
      </c>
      <c r="M151" t="s">
        <v>2120</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2313</v>
      </c>
      <c r="X151" t="s">
        <v>2360</v>
      </c>
    </row>
    <row r="152" customFormat="1" spans="1:24">
      <c r="C152" t="s">
        <v>2315</v>
      </c>
      <c r="D152" t="s">
        <v>2316</v>
      </c>
      <c r="M152" t="s">
        <v>2121</v>
      </c>
      <c r="V152" t="str">
        <f t="shared" si="29"/>
        <v>{szContent="恶人谷老友们可在我这里传送到恶人谷！",szTarget="赵新宇",col={255,100,100,},[14]={},tCountdown={{nClass=-1,nIcon=589,nFrame=7,szName="赵新宇·已刷新",nTime=2,nRefresh=600,key="赵新宇",},},},</v>
      </c>
      <c r="W152" t="s">
        <v>2317</v>
      </c>
    </row>
    <row r="153" customFormat="1" spans="1:24">
      <c r="C153" t="s">
        <v>2318</v>
      </c>
      <c r="D153" t="s">
        <v>2319</v>
      </c>
      <c r="M153" t="s">
        <v>2120</v>
      </c>
      <c r="V153" t="str">
        <f t="shared" si="29"/>
        <v>{szContent="浩气盟侠士们可在我这里传送到浩气盟！",szTarget="方超",col={100,100,255,},[14]={},tCountdown={{nClass=-1,nIcon=308,nFrame=3,szName="方超·已刷新",nTime=2,nRefresh=600,key="方超",},},},</v>
      </c>
      <c r="W153" t="s">
        <v>2320</v>
      </c>
    </row>
    <row r="154" spans="1:24">
      <c r="A154" t="s">
        <v>686</v>
      </c>
      <c r="B154">
        <v>23</v>
      </c>
      <c r="V154" t="str">
        <f t="shared" si="29"/>
        <v>},[23]={</v>
      </c>
    </row>
    <row r="155" customFormat="1" spans="1:24">
      <c r="C155" t="s">
        <v>2337</v>
      </c>
      <c r="D155" t="s">
        <v>2361</v>
      </c>
      <c r="E155" t="s">
        <v>2362</v>
      </c>
      <c r="M155" t="s">
        <v>2121</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2363</v>
      </c>
    </row>
    <row r="156" customFormat="1" spans="1:24">
      <c r="C156" t="s">
        <v>2337</v>
      </c>
      <c r="D156" t="s">
        <v>2364</v>
      </c>
      <c r="E156" t="s">
        <v>2365</v>
      </c>
      <c r="M156" t="s">
        <v>2121</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2366</v>
      </c>
    </row>
    <row r="157" spans="1:24">
      <c r="C157" t="s">
        <v>2068</v>
      </c>
      <c r="D157" s="8" t="s">
        <v>2341</v>
      </c>
      <c r="M157" t="s">
        <v>2121</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2342</v>
      </c>
      <c r="X157" t="s">
        <v>2367</v>
      </c>
    </row>
    <row r="158" spans="1:24">
      <c r="C158" t="s">
        <v>2068</v>
      </c>
      <c r="D158" s="8" t="s">
        <v>2344</v>
      </c>
      <c r="M158" t="s">
        <v>2120</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2345</v>
      </c>
      <c r="X158" t="s">
        <v>2368</v>
      </c>
    </row>
    <row r="159" customFormat="1" spans="1:24">
      <c r="C159" t="s">
        <v>2347</v>
      </c>
      <c r="D159" t="s">
        <v>2316</v>
      </c>
      <c r="M159" t="s">
        <v>2121</v>
      </c>
      <c r="V159" t="str">
        <f t="shared" si="29"/>
        <v>{szContent="恶人谷老友们可在我这里传送到恶人谷！",szTarget="霸图",col={255,100,100,},[14]={},tCountdown={{nClass=-1,nIcon=2864,nFrame=7,szName="霸图·已刷新",nTime=2,nRefresh=600,key="霸图",},},},</v>
      </c>
      <c r="W159" t="s">
        <v>2348</v>
      </c>
    </row>
    <row r="160" customFormat="1" spans="1:24">
      <c r="C160" t="s">
        <v>2349</v>
      </c>
      <c r="D160" t="s">
        <v>2319</v>
      </c>
      <c r="M160" t="s">
        <v>2120</v>
      </c>
      <c r="V160" t="str">
        <f t="shared" si="29"/>
        <v>{szContent="浩气盟侠士们可在我这里传送到浩气盟！",szTarget="孙永恒",col={100,100,255,},[14]={},tCountdown={{nClass=-1,nIcon=845,nFrame=3,szName="孙永恒·已刷新",nTime=2,nRefresh=600,key="孙永恒",},},},</v>
      </c>
      <c r="W160" t="s">
        <v>2350</v>
      </c>
    </row>
    <row r="161" spans="1:25">
      <c r="A161" t="s">
        <v>634</v>
      </c>
      <c r="B161">
        <v>9</v>
      </c>
      <c r="V161" t="str">
        <f t="shared" si="29"/>
        <v>},[9]={</v>
      </c>
    </row>
    <row r="162" customFormat="1" spans="1:25">
      <c r="C162" t="s">
        <v>2305</v>
      </c>
      <c r="D162" t="s">
        <v>2369</v>
      </c>
      <c r="E162" t="s">
        <v>2370</v>
      </c>
      <c r="M162" t="s">
        <v>2120</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2371</v>
      </c>
    </row>
    <row r="163" customFormat="1" spans="1:25">
      <c r="C163" t="s">
        <v>2305</v>
      </c>
      <c r="D163" t="s">
        <v>2372</v>
      </c>
      <c r="E163" t="s">
        <v>2373</v>
      </c>
      <c r="M163" t="s">
        <v>2120</v>
      </c>
      <c r="S163">
        <v>1</v>
      </c>
      <c r="V163" t="str">
        <f t="shared" ref="V163:V199"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2374</v>
      </c>
    </row>
    <row r="164" spans="1:25">
      <c r="A164" t="s">
        <v>847</v>
      </c>
      <c r="B164">
        <v>103</v>
      </c>
      <c r="V164" t="str">
        <f t="shared" si="30"/>
        <v>},[103]={</v>
      </c>
    </row>
    <row r="165" customFormat="1" spans="1:25">
      <c r="C165" t="s">
        <v>2337</v>
      </c>
      <c r="D165" t="s">
        <v>2375</v>
      </c>
      <c r="E165" t="s">
        <v>2376</v>
      </c>
      <c r="M165" t="s">
        <v>2121</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2377</v>
      </c>
    </row>
    <row r="166" customFormat="1" spans="1:25">
      <c r="C166" t="s">
        <v>2337</v>
      </c>
      <c r="D166" t="s">
        <v>2378</v>
      </c>
      <c r="E166" t="s">
        <v>2379</v>
      </c>
      <c r="M166" t="s">
        <v>2121</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2380</v>
      </c>
    </row>
    <row r="167" spans="1:25">
      <c r="A167" t="s">
        <v>853</v>
      </c>
      <c r="B167">
        <v>105</v>
      </c>
      <c r="V167" t="str">
        <f t="shared" si="30"/>
        <v>},[105]={</v>
      </c>
    </row>
    <row r="168" customFormat="1" spans="1:25">
      <c r="C168" t="s">
        <v>2305</v>
      </c>
      <c r="D168" t="s">
        <v>2381</v>
      </c>
      <c r="E168" t="s">
        <v>2382</v>
      </c>
      <c r="M168" t="s">
        <v>2120</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2383</v>
      </c>
    </row>
    <row r="169" customFormat="1" spans="1:25">
      <c r="C169" t="s">
        <v>2305</v>
      </c>
      <c r="D169" t="s">
        <v>2384</v>
      </c>
      <c r="E169" t="s">
        <v>2385</v>
      </c>
      <c r="M169" t="s">
        <v>2120</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2386</v>
      </c>
    </row>
    <row r="170" spans="1:25">
      <c r="A170" t="s">
        <v>984</v>
      </c>
      <c r="B170">
        <v>153</v>
      </c>
      <c r="V170" t="str">
        <f t="shared" si="30"/>
        <v>},[153]={</v>
      </c>
    </row>
    <row r="171" customFormat="1" spans="1:25">
      <c r="C171" t="s">
        <v>2337</v>
      </c>
      <c r="D171" t="s">
        <v>2387</v>
      </c>
      <c r="E171" t="s">
        <v>2388</v>
      </c>
      <c r="M171" t="s">
        <v>2121</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2389</v>
      </c>
    </row>
    <row r="172" customFormat="1" spans="1:25">
      <c r="C172" t="s">
        <v>2337</v>
      </c>
      <c r="D172" t="s">
        <v>2390</v>
      </c>
      <c r="E172" t="s">
        <v>2391</v>
      </c>
      <c r="M172" t="s">
        <v>2121</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2392</v>
      </c>
    </row>
    <row r="173" spans="1:25">
      <c r="A173" t="s">
        <v>1062</v>
      </c>
      <c r="B173">
        <v>216</v>
      </c>
      <c r="V173" t="str">
        <f t="shared" si="30"/>
        <v>},[216]={</v>
      </c>
    </row>
    <row r="174" customFormat="1" spans="1:25">
      <c r="C174" t="s">
        <v>2068</v>
      </c>
      <c r="D174" s="8" t="s">
        <v>2393</v>
      </c>
      <c r="E174" t="s">
        <v>2394</v>
      </c>
      <c r="M174" t="s">
        <v>1660</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2395</v>
      </c>
      <c r="X174" t="s">
        <v>2396</v>
      </c>
      <c r="Y174" t="s">
        <v>2397</v>
      </c>
    </row>
    <row r="175" customFormat="1" spans="1:25">
      <c r="C175" s="3" t="s">
        <v>2068</v>
      </c>
      <c r="D175" t="s">
        <v>2274</v>
      </c>
      <c r="M175" t="s">
        <v>2120</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2275</v>
      </c>
      <c r="X175" t="s">
        <v>2276</v>
      </c>
    </row>
    <row r="176" customFormat="1" spans="1:25">
      <c r="C176" s="3" t="s">
        <v>2068</v>
      </c>
      <c r="D176" t="s">
        <v>2277</v>
      </c>
      <c r="M176" t="s">
        <v>2121</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2275</v>
      </c>
      <c r="X176" t="s">
        <v>2278</v>
      </c>
    </row>
    <row r="177" customFormat="1" spans="1:27">
      <c r="C177" s="3" t="s">
        <v>2068</v>
      </c>
      <c r="D177" t="s">
        <v>2279</v>
      </c>
      <c r="E177" t="s">
        <v>2280</v>
      </c>
      <c r="M177" t="s">
        <v>1660</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2281</v>
      </c>
      <c r="X177" t="s">
        <v>2282</v>
      </c>
      <c r="Y177" t="s">
        <v>2283</v>
      </c>
      <c r="Z177" t="s">
        <v>2284</v>
      </c>
      <c r="AA177" t="s">
        <v>2285</v>
      </c>
    </row>
    <row r="178" customFormat="1" spans="1:27">
      <c r="C178" s="3" t="s">
        <v>2068</v>
      </c>
      <c r="D178" t="s">
        <v>2257</v>
      </c>
      <c r="E178" t="s">
        <v>2258</v>
      </c>
      <c r="M178" t="s">
        <v>1660</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2259</v>
      </c>
    </row>
    <row r="179" customFormat="1" spans="1:27">
      <c r="C179" s="3" t="s">
        <v>2068</v>
      </c>
      <c r="D179" t="s">
        <v>2267</v>
      </c>
      <c r="E179" t="s">
        <v>2268</v>
      </c>
      <c r="M179" t="s">
        <v>1470</v>
      </c>
      <c r="O179">
        <v>1</v>
      </c>
      <c r="S179">
        <v>1</v>
      </c>
      <c r="V17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9" t="s">
        <v>2269</v>
      </c>
      <c r="X179" t="s">
        <v>2398</v>
      </c>
    </row>
    <row r="180" customFormat="1" spans="1:27">
      <c r="C180" s="3"/>
      <c r="D180" t="s">
        <v>2242</v>
      </c>
      <c r="E180" t="s">
        <v>2243</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2244</v>
      </c>
    </row>
    <row r="181" customFormat="1" spans="1:27">
      <c r="C181" s="3"/>
      <c r="D181" t="s">
        <v>2245</v>
      </c>
      <c r="M181" t="s">
        <v>1660</v>
      </c>
      <c r="V181" t="str">
        <f t="shared" si="30"/>
        <v>{szContent="你已经离开据点，10秒内未进入据点，则据点旗帜重置。",col={255,255,100,},[14]={},tCountdown={{nClass=14,nIcon=592,nFrame=2,szName="据点大旗·重置剩余",nTime=10,key="离开据点·大旗重置",},},},</v>
      </c>
      <c r="W181" t="s">
        <v>2399</v>
      </c>
    </row>
    <row r="182" customFormat="1" spans="1:27">
      <c r="C182" s="3" t="s">
        <v>1719</v>
      </c>
      <c r="D182" t="s">
        <v>2292</v>
      </c>
      <c r="E182" t="s">
        <v>2293</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2294</v>
      </c>
      <c r="X182" s="5" t="s">
        <v>2295</v>
      </c>
      <c r="Y182" s="5" t="s">
        <v>2296</v>
      </c>
    </row>
    <row r="183" customFormat="1" spans="1:27">
      <c r="C183" s="3" t="s">
        <v>1719</v>
      </c>
      <c r="D183" t="s">
        <v>2297</v>
      </c>
      <c r="E183" t="s">
        <v>2298</v>
      </c>
      <c r="V183" t="str">
        <f t="shared" si="30"/>
        <v>{szContent="哼，打扰本大爷休息！",szTarget="狼牙先锋首领",szNote="狼牙先锋首领·刷新喊话1",[14]={},tCountdown={{nClass=14,nIcon=3556,nFrame=1,szName="狼牙先锋首领·已经刷新",nTime=10,nRefresh=120,key="狼牙先锋首领",},},},</v>
      </c>
      <c r="W183" t="s">
        <v>2299</v>
      </c>
    </row>
    <row r="184" customFormat="1" spans="1:27">
      <c r="C184" s="3" t="s">
        <v>1719</v>
      </c>
      <c r="D184" t="s">
        <v>2300</v>
      </c>
      <c r="E184" t="s">
        <v>2301</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2299</v>
      </c>
      <c r="X184" s="3" t="s">
        <v>2290</v>
      </c>
      <c r="Y184" s="3" t="s">
        <v>2291</v>
      </c>
    </row>
    <row r="185" customFormat="1" spans="1:27">
      <c r="C185" s="3" t="s">
        <v>1719</v>
      </c>
      <c r="D185" t="s">
        <v>2302</v>
      </c>
      <c r="E185" t="s">
        <v>2303</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2304</v>
      </c>
      <c r="X185" s="3" t="s">
        <v>2290</v>
      </c>
      <c r="Y185" s="3" t="s">
        <v>2291</v>
      </c>
    </row>
    <row r="186" spans="1:27">
      <c r="A186" t="s">
        <v>1415</v>
      </c>
      <c r="B186">
        <v>656</v>
      </c>
      <c r="V186" t="str">
        <f t="shared" si="30"/>
        <v>},[656]={</v>
      </c>
    </row>
    <row r="187" customFormat="1" spans="1:27">
      <c r="C187" t="s">
        <v>2068</v>
      </c>
      <c r="D187" s="8" t="s">
        <v>2393</v>
      </c>
      <c r="E187" t="s">
        <v>2394</v>
      </c>
      <c r="M187" t="s">
        <v>1660</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2395</v>
      </c>
      <c r="X187" t="s">
        <v>2396</v>
      </c>
      <c r="Y187" t="s">
        <v>2397</v>
      </c>
    </row>
    <row r="188" customFormat="1" spans="1:27">
      <c r="C188" s="3" t="s">
        <v>2068</v>
      </c>
      <c r="D188" t="s">
        <v>2274</v>
      </c>
      <c r="M188" t="s">
        <v>2120</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2275</v>
      </c>
      <c r="X188" t="s">
        <v>2276</v>
      </c>
    </row>
    <row r="189" customFormat="1" spans="1:27">
      <c r="C189" s="3" t="s">
        <v>2068</v>
      </c>
      <c r="D189" t="s">
        <v>2277</v>
      </c>
      <c r="M189" t="s">
        <v>2121</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2275</v>
      </c>
      <c r="X189" t="s">
        <v>2278</v>
      </c>
    </row>
    <row r="190" customFormat="1" spans="1:27">
      <c r="C190" s="3" t="s">
        <v>2068</v>
      </c>
      <c r="D190" t="s">
        <v>2279</v>
      </c>
      <c r="E190" t="s">
        <v>2280</v>
      </c>
      <c r="M190" t="s">
        <v>1660</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2281</v>
      </c>
      <c r="X190" t="s">
        <v>2282</v>
      </c>
      <c r="Y190" t="s">
        <v>2283</v>
      </c>
      <c r="Z190" t="s">
        <v>2284</v>
      </c>
      <c r="AA190" t="s">
        <v>2285</v>
      </c>
    </row>
    <row r="191" customFormat="1" spans="1:27">
      <c r="C191" s="3" t="s">
        <v>2068</v>
      </c>
      <c r="D191" t="s">
        <v>2257</v>
      </c>
      <c r="E191" t="s">
        <v>2258</v>
      </c>
      <c r="M191" t="s">
        <v>1660</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2259</v>
      </c>
    </row>
    <row r="192" customFormat="1" spans="1:27">
      <c r="C192" s="3" t="s">
        <v>2068</v>
      </c>
      <c r="D192" t="s">
        <v>2267</v>
      </c>
      <c r="E192" t="s">
        <v>2268</v>
      </c>
      <c r="M192" t="s">
        <v>1470</v>
      </c>
      <c r="O192">
        <v>1</v>
      </c>
      <c r="S192">
        <v>1</v>
      </c>
      <c r="V192"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2" t="s">
        <v>2269</v>
      </c>
      <c r="X192" t="s">
        <v>2398</v>
      </c>
    </row>
    <row r="193" customFormat="1" spans="3:25">
      <c r="C193" s="3"/>
      <c r="D193" t="s">
        <v>2242</v>
      </c>
      <c r="E193" t="s">
        <v>2243</v>
      </c>
      <c r="M193" t="s">
        <v>1470</v>
      </c>
      <c r="P193" t="s">
        <v>538</v>
      </c>
      <c r="Q193">
        <v>1</v>
      </c>
      <c r="R193">
        <v>1</v>
      </c>
      <c r="S193">
        <v>1</v>
      </c>
      <c r="U193">
        <v>1</v>
      </c>
      <c r="V193"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3" t="s">
        <v>2244</v>
      </c>
    </row>
    <row r="194" customFormat="1" spans="3:25">
      <c r="C194" s="3"/>
      <c r="D194" t="s">
        <v>2245</v>
      </c>
      <c r="M194" t="s">
        <v>1660</v>
      </c>
      <c r="V194" t="str">
        <f t="shared" si="30"/>
        <v>{szContent="你已经离开据点，10秒内未进入据点，则据点旗帜重置。",col={255,255,100,},[14]={},tCountdown={{nClass=14,nIcon=592,nFrame=2,szName="据点大旗·重置剩余",nTime=10,key="离开据点·大旗重置",},},},</v>
      </c>
      <c r="W194" t="s">
        <v>2399</v>
      </c>
    </row>
    <row r="195" customFormat="1" spans="3:25">
      <c r="C195" s="3" t="s">
        <v>1719</v>
      </c>
      <c r="D195" t="s">
        <v>2292</v>
      </c>
      <c r="E195" t="s">
        <v>2293</v>
      </c>
      <c r="V195"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5" t="s">
        <v>2294</v>
      </c>
      <c r="X195" s="5" t="s">
        <v>2295</v>
      </c>
      <c r="Y195" s="5" t="s">
        <v>2296</v>
      </c>
    </row>
    <row r="196" customFormat="1" spans="3:25">
      <c r="C196" s="3" t="s">
        <v>1719</v>
      </c>
      <c r="D196" t="s">
        <v>2297</v>
      </c>
      <c r="E196" t="s">
        <v>2298</v>
      </c>
      <c r="V196" t="str">
        <f t="shared" si="30"/>
        <v>{szContent="哼，打扰本大爷休息！",szTarget="狼牙先锋首领",szNote="狼牙先锋首领·刷新喊话1",[14]={},tCountdown={{nClass=14,nIcon=3556,nFrame=1,szName="狼牙先锋首领·已经刷新",nTime=10,nRefresh=120,key="狼牙先锋首领",},},},</v>
      </c>
      <c r="W196" t="s">
        <v>2299</v>
      </c>
    </row>
    <row r="197" customFormat="1" spans="3:25">
      <c r="C197" s="3" t="s">
        <v>1719</v>
      </c>
      <c r="D197" t="s">
        <v>2300</v>
      </c>
      <c r="E197" t="s">
        <v>2301</v>
      </c>
      <c r="V197"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2299</v>
      </c>
      <c r="X197" s="3" t="s">
        <v>2290</v>
      </c>
      <c r="Y197" s="3" t="s">
        <v>2291</v>
      </c>
    </row>
    <row r="198" customFormat="1" spans="3:25">
      <c r="C198" s="3" t="s">
        <v>1719</v>
      </c>
      <c r="D198" t="s">
        <v>2302</v>
      </c>
      <c r="E198" t="s">
        <v>2303</v>
      </c>
      <c r="V198"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8" t="s">
        <v>2304</v>
      </c>
      <c r="X198" s="3" t="s">
        <v>2290</v>
      </c>
      <c r="Y198" s="3" t="s">
        <v>2291</v>
      </c>
    </row>
    <row r="199" spans="3:25">
      <c r="V199" t="str">
        <f t="shared" si="30"/>
        <v>},},}</v>
      </c>
    </row>
  </sheetData>
  <autoFilter xmlns:etc="http://www.wps.cn/officeDocument/2017/etCustomData" ref="A1:AV199"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zoomScale="90" zoomScaleNormal="90" topLeftCell="W1" workbookViewId="0">
      <pane ySplit="1" topLeftCell="A89" activePane="bottomLeft" state="frozen"/>
      <selection/>
      <selection pane="bottomLeft" activeCell="Y112" sqref="Y112"/>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2043</v>
      </c>
      <c r="D1" t="s">
        <v>44</v>
      </c>
      <c r="E1" t="s">
        <v>2400</v>
      </c>
      <c r="F1" t="s">
        <v>2401</v>
      </c>
      <c r="G1" t="s">
        <v>2047</v>
      </c>
      <c r="H1" t="s">
        <v>2048</v>
      </c>
      <c r="I1" t="s">
        <v>2049</v>
      </c>
      <c r="J1" t="s">
        <v>2050</v>
      </c>
      <c r="K1" t="s">
        <v>1431</v>
      </c>
      <c r="L1" t="s">
        <v>2051</v>
      </c>
      <c r="M1" t="s">
        <v>2052</v>
      </c>
      <c r="N1" t="s">
        <v>2053</v>
      </c>
      <c r="O1" t="s">
        <v>2054</v>
      </c>
      <c r="P1" t="s">
        <v>2055</v>
      </c>
      <c r="Q1" t="s">
        <v>2056</v>
      </c>
      <c r="R1" t="s">
        <v>2057</v>
      </c>
      <c r="S1" t="s">
        <v>2058</v>
      </c>
      <c r="T1" t="s">
        <v>2402</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2403</v>
      </c>
      <c r="D3" t="s">
        <v>2404</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2405</v>
      </c>
      <c r="V3" s="3" t="s">
        <v>2406</v>
      </c>
    </row>
    <row r="4" customFormat="1" spans="1:33">
      <c r="C4" t="s">
        <v>2407</v>
      </c>
      <c r="D4" t="s">
        <v>2408</v>
      </c>
      <c r="K4" t="s">
        <v>1660</v>
      </c>
      <c r="T4" t="str">
        <f t="shared" si="0"/>
        <v>{szContent="驿马快报！本周浩气盟和恶人谷最终战为平手，未分胜负！\n",szNote="阵营事件·本周战平",col={255,255,100,},[20]={},tCountdown={{nClass=20,nIcon=13354,nFrame=4,szName="阵营事件·本周战平",nTime=60,key="阵营活动",},},},</v>
      </c>
      <c r="U4" t="s">
        <v>2409</v>
      </c>
    </row>
    <row r="5" customFormat="1" spans="1:33">
      <c r="C5" t="s">
        <v>2410</v>
      </c>
      <c r="D5" t="s">
        <v>2411</v>
      </c>
      <c r="K5" t="s">
        <v>2121</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2412</v>
      </c>
    </row>
    <row r="6" customFormat="1" spans="1:33">
      <c r="C6" t="s">
        <v>2413</v>
      </c>
      <c r="D6" t="s">
        <v>2414</v>
      </c>
      <c r="K6" t="s">
        <v>2120</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2415</v>
      </c>
    </row>
    <row r="7" spans="1:33">
      <c r="C7" t="s">
        <v>2416</v>
      </c>
      <c r="D7" t="s">
        <v>2417</v>
      </c>
      <c r="K7" t="s">
        <v>1660</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2418</v>
      </c>
      <c r="V7" t="s">
        <v>2419</v>
      </c>
      <c r="W7" t="s">
        <v>2420</v>
      </c>
      <c r="X7" t="s">
        <v>2421</v>
      </c>
      <c r="Y7" t="s">
        <v>2422</v>
      </c>
      <c r="Z7" t="s">
        <v>2423</v>
      </c>
      <c r="AA7" t="s">
        <v>2424</v>
      </c>
      <c r="AB7" t="s">
        <v>2425</v>
      </c>
      <c r="AC7" s="4" t="s">
        <v>2426</v>
      </c>
    </row>
    <row r="8" spans="1:33">
      <c r="C8" t="s">
        <v>2427</v>
      </c>
      <c r="D8" t="s">
        <v>2428</v>
      </c>
      <c r="K8" t="s">
        <v>1660</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2429</v>
      </c>
      <c r="V8" t="s">
        <v>2419</v>
      </c>
      <c r="W8" t="s">
        <v>2420</v>
      </c>
      <c r="X8" t="s">
        <v>2421</v>
      </c>
      <c r="Y8" t="s">
        <v>2422</v>
      </c>
      <c r="Z8" t="s">
        <v>2423</v>
      </c>
      <c r="AA8" t="s">
        <v>2424</v>
      </c>
      <c r="AB8" t="s">
        <v>2425</v>
      </c>
      <c r="AC8" s="4" t="s">
        <v>2426</v>
      </c>
    </row>
    <row r="9" spans="1:33">
      <c r="C9" t="s">
        <v>2430</v>
      </c>
      <c r="D9" t="s">
        <v>2431</v>
      </c>
      <c r="K9" t="s">
        <v>1660</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2432</v>
      </c>
      <c r="V9" t="s">
        <v>2433</v>
      </c>
      <c r="W9" t="s">
        <v>2434</v>
      </c>
      <c r="X9" t="s">
        <v>2435</v>
      </c>
      <c r="Y9" t="s">
        <v>2436</v>
      </c>
      <c r="Z9" t="s">
        <v>2419</v>
      </c>
      <c r="AA9" t="s">
        <v>2420</v>
      </c>
      <c r="AB9" t="s">
        <v>2421</v>
      </c>
      <c r="AC9" t="s">
        <v>2422</v>
      </c>
      <c r="AD9" t="s">
        <v>2423</v>
      </c>
      <c r="AE9" t="s">
        <v>2424</v>
      </c>
      <c r="AF9" t="s">
        <v>2425</v>
      </c>
      <c r="AG9" s="3" t="s">
        <v>2426</v>
      </c>
    </row>
    <row r="10" customFormat="1" spans="1:33">
      <c r="C10" t="s">
        <v>2437</v>
      </c>
      <c r="D10" t="s">
        <v>2438</v>
      </c>
      <c r="K10" t="s">
        <v>1660</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2439</v>
      </c>
      <c r="V10" s="5" t="s">
        <v>2440</v>
      </c>
      <c r="W10" s="5" t="s">
        <v>2441</v>
      </c>
    </row>
    <row r="11" spans="1:33">
      <c r="C11" t="s">
        <v>2442</v>
      </c>
      <c r="D11" t="s">
        <v>2443</v>
      </c>
      <c r="K11" t="s">
        <v>1660</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2444</v>
      </c>
      <c r="V11" s="6" t="s">
        <v>2445</v>
      </c>
    </row>
    <row r="12" spans="1:33">
      <c r="C12" t="s">
        <v>2446</v>
      </c>
      <c r="D12" t="s">
        <v>2443</v>
      </c>
      <c r="K12" t="s">
        <v>1660</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2444</v>
      </c>
      <c r="V12" s="6" t="s">
        <v>2445</v>
      </c>
    </row>
    <row r="13" spans="1:33">
      <c r="C13" t="s">
        <v>2447</v>
      </c>
      <c r="D13" t="s">
        <v>2448</v>
      </c>
      <c r="K13" t="s">
        <v>1660</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2449</v>
      </c>
    </row>
    <row r="14" spans="1:33">
      <c r="C14" t="s">
        <v>2450</v>
      </c>
      <c r="D14" t="s">
        <v>2451</v>
      </c>
      <c r="E14" t="s">
        <v>2117</v>
      </c>
      <c r="F14" t="s">
        <v>2452</v>
      </c>
      <c r="G14" t="s">
        <v>2118</v>
      </c>
      <c r="H14" t="s">
        <v>2117</v>
      </c>
      <c r="I14" t="s">
        <v>2119</v>
      </c>
      <c r="J14" t="s">
        <v>2116</v>
      </c>
      <c r="K14" t="s">
        <v>2121</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2453</v>
      </c>
      <c r="D15" t="s">
        <v>2454</v>
      </c>
      <c r="E15" t="s">
        <v>2116</v>
      </c>
      <c r="F15" t="s">
        <v>2452</v>
      </c>
      <c r="G15" t="s">
        <v>2119</v>
      </c>
      <c r="H15" t="s">
        <v>2116</v>
      </c>
      <c r="I15" t="s">
        <v>2118</v>
      </c>
      <c r="J15" t="s">
        <v>2117</v>
      </c>
      <c r="K15" t="s">
        <v>2120</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2455</v>
      </c>
      <c r="D17" t="s">
        <v>2404</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2456</v>
      </c>
      <c r="V17" t="s">
        <v>2457</v>
      </c>
      <c r="W17" t="s">
        <v>2458</v>
      </c>
      <c r="X17" t="s">
        <v>2459</v>
      </c>
      <c r="Y17" t="s">
        <v>2460</v>
      </c>
      <c r="Z17" s="3" t="s">
        <v>2406</v>
      </c>
    </row>
    <row r="18" customFormat="1" spans="1:26">
      <c r="C18" t="s">
        <v>2461</v>
      </c>
      <c r="D18" t="s">
        <v>2462</v>
      </c>
      <c r="K18" t="s">
        <v>1660</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2463</v>
      </c>
      <c r="V18" t="s">
        <v>2464</v>
      </c>
      <c r="W18" s="3" t="s">
        <v>2405</v>
      </c>
      <c r="X18" t="s">
        <v>2465</v>
      </c>
    </row>
    <row r="19" spans="1:26">
      <c r="C19" t="s">
        <v>2466</v>
      </c>
      <c r="D19" t="s">
        <v>2467</v>
      </c>
      <c r="K19" t="s">
        <v>1660</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2468</v>
      </c>
      <c r="V19" t="s">
        <v>2469</v>
      </c>
      <c r="W19" t="s">
        <v>2470</v>
      </c>
      <c r="X19" s="3" t="s">
        <v>2405</v>
      </c>
      <c r="Y19" t="s">
        <v>2465</v>
      </c>
    </row>
    <row r="20" spans="1:26">
      <c r="A20" t="s">
        <v>329</v>
      </c>
      <c r="B20">
        <v>27</v>
      </c>
      <c r="T20" t="str">
        <f t="shared" si="0"/>
        <v>},[27]={</v>
      </c>
    </row>
    <row r="21" spans="1:26">
      <c r="C21" t="s">
        <v>2471</v>
      </c>
      <c r="D21" t="s">
        <v>2404</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2456</v>
      </c>
      <c r="V21" t="s">
        <v>2457</v>
      </c>
      <c r="W21" t="s">
        <v>2458</v>
      </c>
      <c r="X21" t="s">
        <v>2459</v>
      </c>
      <c r="Y21" t="s">
        <v>2460</v>
      </c>
      <c r="Z21" s="3" t="s">
        <v>2406</v>
      </c>
    </row>
    <row r="22" customFormat="1" spans="1:26">
      <c r="C22" t="s">
        <v>2472</v>
      </c>
      <c r="D22" t="s">
        <v>2462</v>
      </c>
      <c r="K22" t="s">
        <v>1660</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2463</v>
      </c>
      <c r="V22" t="s">
        <v>2464</v>
      </c>
      <c r="W22" s="3" t="s">
        <v>2405</v>
      </c>
      <c r="X22" t="s">
        <v>2465</v>
      </c>
    </row>
    <row r="23" spans="1:26">
      <c r="C23" t="s">
        <v>2473</v>
      </c>
      <c r="D23" t="s">
        <v>2467</v>
      </c>
      <c r="K23" t="s">
        <v>1660</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2468</v>
      </c>
      <c r="V23" t="s">
        <v>2469</v>
      </c>
      <c r="W23" t="s">
        <v>2470</v>
      </c>
      <c r="X23" s="3" t="s">
        <v>2405</v>
      </c>
      <c r="Y23" t="s">
        <v>2465</v>
      </c>
    </row>
    <row r="24" customFormat="1" spans="1:26">
      <c r="A24" t="s">
        <v>2474</v>
      </c>
      <c r="B24">
        <v>-1</v>
      </c>
      <c r="T24" t="str">
        <f t="shared" si="0"/>
        <v>},[-1]={</v>
      </c>
    </row>
    <row r="25" customFormat="1" spans="1:26">
      <c r="C25" t="s">
        <v>2475</v>
      </c>
      <c r="D25" t="s">
        <v>2476</v>
      </c>
      <c r="K25" t="s">
        <v>1660</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2477</v>
      </c>
    </row>
    <row r="26" spans="1:26">
      <c r="C26" t="s">
        <v>2478</v>
      </c>
      <c r="K26" t="s">
        <v>1660</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2479</v>
      </c>
    </row>
    <row r="27" spans="1:26">
      <c r="C27" t="s">
        <v>2480</v>
      </c>
      <c r="K27" t="s">
        <v>1660</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2481</v>
      </c>
    </row>
    <row r="28" spans="1:26">
      <c r="C28" t="s">
        <v>2482</v>
      </c>
      <c r="K28" t="s">
        <v>2121</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2483</v>
      </c>
    </row>
    <row r="29" spans="1:26">
      <c r="C29" t="s">
        <v>2484</v>
      </c>
      <c r="K29" t="s">
        <v>2121</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2485</v>
      </c>
    </row>
    <row r="30" spans="1:26">
      <c r="C30" t="s">
        <v>2486</v>
      </c>
      <c r="K30" t="s">
        <v>2120</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2487</v>
      </c>
    </row>
    <row r="31" spans="1:26">
      <c r="C31" t="s">
        <v>2488</v>
      </c>
      <c r="K31" t="s">
        <v>2120</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2489</v>
      </c>
    </row>
    <row r="32" spans="1:26">
      <c r="C32" t="s">
        <v>2490</v>
      </c>
      <c r="K32" t="s">
        <v>2121</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2491</v>
      </c>
      <c r="V32" t="s">
        <v>2492</v>
      </c>
      <c r="W32" t="s">
        <v>2493</v>
      </c>
    </row>
    <row r="33" spans="1:26">
      <c r="C33" t="s">
        <v>2494</v>
      </c>
      <c r="K33" t="s">
        <v>2120</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2491</v>
      </c>
      <c r="V33" t="s">
        <v>2495</v>
      </c>
      <c r="W33" t="s">
        <v>2496</v>
      </c>
    </row>
    <row r="34" spans="1:26">
      <c r="A34" t="s">
        <v>1677</v>
      </c>
      <c r="B34">
        <v>-2</v>
      </c>
      <c r="T34" t="str">
        <f t="shared" si="0"/>
        <v>},[-2]={</v>
      </c>
    </row>
    <row r="35" customFormat="1" spans="1:26">
      <c r="C35" t="s">
        <v>2497</v>
      </c>
      <c r="D35" t="s">
        <v>2498</v>
      </c>
      <c r="K35" t="s">
        <v>1660</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2499</v>
      </c>
    </row>
    <row r="36" customFormat="1" spans="1:26">
      <c r="C36" t="s">
        <v>2500</v>
      </c>
      <c r="D36" t="s">
        <v>2501</v>
      </c>
      <c r="K36" t="s">
        <v>1660</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2502</v>
      </c>
      <c r="V36" t="s">
        <v>2503</v>
      </c>
      <c r="W36" t="s">
        <v>2504</v>
      </c>
      <c r="X36" t="s">
        <v>2505</v>
      </c>
      <c r="Y36" t="s">
        <v>2506</v>
      </c>
    </row>
    <row r="37" customFormat="1" spans="1:26">
      <c r="C37" t="s">
        <v>2507</v>
      </c>
      <c r="D37" t="s">
        <v>2508</v>
      </c>
      <c r="K37" t="s">
        <v>1660</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2509</v>
      </c>
      <c r="V37" t="s">
        <v>2510</v>
      </c>
      <c r="W37" t="s">
        <v>2511</v>
      </c>
      <c r="X37" t="s">
        <v>2512</v>
      </c>
      <c r="Y37" t="s">
        <v>2513</v>
      </c>
      <c r="Z37" t="s">
        <v>2514</v>
      </c>
    </row>
    <row r="38" customFormat="1" spans="1:26">
      <c r="C38" t="s">
        <v>2410</v>
      </c>
      <c r="D38" t="s">
        <v>2411</v>
      </c>
      <c r="K38" t="s">
        <v>2121</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2412</v>
      </c>
    </row>
    <row r="39" customFormat="1" spans="1:26">
      <c r="C39" t="s">
        <v>2413</v>
      </c>
      <c r="D39" t="s">
        <v>2414</v>
      </c>
      <c r="K39" t="s">
        <v>2120</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2415</v>
      </c>
    </row>
    <row r="40" customFormat="1" spans="1:26">
      <c r="C40" t="s">
        <v>2515</v>
      </c>
      <c r="D40" t="s">
        <v>2516</v>
      </c>
      <c r="K40" t="s">
        <v>1660</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2517</v>
      </c>
    </row>
    <row r="41" customFormat="1" spans="1:26">
      <c r="C41" t="s">
        <v>2518</v>
      </c>
      <c r="D41" t="s">
        <v>2519</v>
      </c>
      <c r="K41" t="s">
        <v>1660</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2520</v>
      </c>
      <c r="V41" s="7"/>
    </row>
    <row r="42" customFormat="1" spans="1:26">
      <c r="C42" t="s">
        <v>2437</v>
      </c>
      <c r="D42" t="s">
        <v>2438</v>
      </c>
      <c r="K42" t="s">
        <v>1660</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2439</v>
      </c>
      <c r="V42" s="7"/>
    </row>
    <row r="43" customFormat="1" spans="1:26">
      <c r="C43" t="s">
        <v>2521</v>
      </c>
      <c r="D43" t="s">
        <v>2522</v>
      </c>
      <c r="K43" t="s">
        <v>1660</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2523</v>
      </c>
      <c r="V43" s="6" t="s">
        <v>2524</v>
      </c>
    </row>
    <row r="44" spans="1:26">
      <c r="C44" t="s">
        <v>2525</v>
      </c>
      <c r="D44" t="s">
        <v>2526</v>
      </c>
      <c r="K44" t="s">
        <v>1660</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2527</v>
      </c>
      <c r="V44" t="s">
        <v>2528</v>
      </c>
    </row>
    <row r="45" spans="1:26">
      <c r="C45" t="s">
        <v>2529</v>
      </c>
      <c r="D45" t="s">
        <v>2530</v>
      </c>
      <c r="K45" t="s">
        <v>1660</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2531</v>
      </c>
    </row>
    <row r="46" spans="1:26">
      <c r="C46" t="s">
        <v>2532</v>
      </c>
      <c r="D46" t="s">
        <v>2533</v>
      </c>
      <c r="K46" t="s">
        <v>1660</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2527</v>
      </c>
      <c r="V46" t="s">
        <v>2534</v>
      </c>
    </row>
    <row r="47" spans="1:26">
      <c r="C47" t="s">
        <v>2535</v>
      </c>
      <c r="D47" t="s">
        <v>2536</v>
      </c>
      <c r="K47" t="s">
        <v>1660</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2537</v>
      </c>
    </row>
    <row r="48" spans="1:26">
      <c r="C48" t="s">
        <v>2538</v>
      </c>
      <c r="D48" t="s">
        <v>2539</v>
      </c>
      <c r="K48" t="s">
        <v>1660</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2540</v>
      </c>
    </row>
    <row r="49" s="2" customFormat="1" spans="1:26">
      <c r="A49" s="2" t="s">
        <v>539</v>
      </c>
      <c r="B49" s="2">
        <v>-7</v>
      </c>
      <c r="T49" t="str">
        <f t="shared" si="1"/>
        <v>},[-7]={</v>
      </c>
    </row>
    <row r="50" customFormat="1" spans="1:26">
      <c r="C50" t="s">
        <v>2497</v>
      </c>
      <c r="D50" t="s">
        <v>2498</v>
      </c>
      <c r="K50" t="s">
        <v>1660</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2499</v>
      </c>
    </row>
    <row r="51" spans="1:26">
      <c r="C51" t="s">
        <v>2500</v>
      </c>
      <c r="D51" t="s">
        <v>2501</v>
      </c>
      <c r="K51" t="s">
        <v>1660</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2541</v>
      </c>
      <c r="V51" t="s">
        <v>2542</v>
      </c>
      <c r="W51" t="s">
        <v>2543</v>
      </c>
      <c r="X51" t="s">
        <v>2544</v>
      </c>
      <c r="Y51" t="s">
        <v>2545</v>
      </c>
    </row>
    <row r="52" customFormat="1" spans="1:26">
      <c r="C52" t="s">
        <v>2507</v>
      </c>
      <c r="D52" t="s">
        <v>2508</v>
      </c>
      <c r="K52" t="s">
        <v>1660</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2509</v>
      </c>
      <c r="V52" t="s">
        <v>2510</v>
      </c>
      <c r="W52" t="s">
        <v>2511</v>
      </c>
      <c r="X52" t="s">
        <v>2512</v>
      </c>
      <c r="Y52" t="s">
        <v>2513</v>
      </c>
      <c r="Z52" t="s">
        <v>2514</v>
      </c>
    </row>
    <row r="53" customFormat="1" spans="1:26">
      <c r="C53" t="s">
        <v>2410</v>
      </c>
      <c r="D53" t="s">
        <v>2411</v>
      </c>
      <c r="K53" t="s">
        <v>2121</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2412</v>
      </c>
    </row>
    <row r="54" customFormat="1" spans="1:26">
      <c r="C54" t="s">
        <v>2413</v>
      </c>
      <c r="D54" t="s">
        <v>2414</v>
      </c>
      <c r="K54" t="s">
        <v>2120</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2415</v>
      </c>
    </row>
    <row r="55" spans="1:26">
      <c r="C55" t="s">
        <v>2546</v>
      </c>
      <c r="K55" t="s">
        <v>1660</v>
      </c>
      <c r="T55" t="str">
        <f t="shared" si="1"/>
        <v>{szContent="本场贡献值进入前1200名，额外获得3000威名，可通过邮件领取\n",col={255,255,100,},[20]={},tCountdown={{nClass=20,nIcon=3536,nFrame=6,szName="攻防进入前1200名",nTime=10,key="阵营活动",},},},</v>
      </c>
      <c r="U55" t="s">
        <v>2547</v>
      </c>
    </row>
    <row r="56" customFormat="1" spans="1:26">
      <c r="C56" t="s">
        <v>2518</v>
      </c>
      <c r="D56" t="s">
        <v>2519</v>
      </c>
      <c r="K56" t="s">
        <v>1660</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2520</v>
      </c>
      <c r="V56" s="5" t="s">
        <v>2440</v>
      </c>
      <c r="W56" s="5" t="s">
        <v>2441</v>
      </c>
    </row>
    <row r="57" customFormat="1" spans="1:26">
      <c r="C57" t="s">
        <v>2437</v>
      </c>
      <c r="D57" t="s">
        <v>2438</v>
      </c>
      <c r="K57" t="s">
        <v>1660</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2439</v>
      </c>
      <c r="V57" s="7"/>
    </row>
    <row r="58" customFormat="1" spans="1:26">
      <c r="C58" t="s">
        <v>2515</v>
      </c>
      <c r="D58" t="s">
        <v>2516</v>
      </c>
      <c r="K58" t="s">
        <v>1660</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2517</v>
      </c>
    </row>
    <row r="59" spans="1:26">
      <c r="C59" t="s">
        <v>2521</v>
      </c>
      <c r="D59" t="s">
        <v>2522</v>
      </c>
      <c r="K59" t="s">
        <v>1660</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2548</v>
      </c>
      <c r="V59" t="s">
        <v>2549</v>
      </c>
      <c r="W59" t="s">
        <v>2550</v>
      </c>
      <c r="X59" s="6" t="s">
        <v>2524</v>
      </c>
    </row>
    <row r="60" spans="1:26">
      <c r="C60" t="s">
        <v>2525</v>
      </c>
      <c r="D60" t="s">
        <v>2526</v>
      </c>
      <c r="K60" t="s">
        <v>1660</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2527</v>
      </c>
      <c r="V60" t="s">
        <v>2528</v>
      </c>
    </row>
    <row r="61" spans="1:26">
      <c r="C61" t="s">
        <v>2532</v>
      </c>
      <c r="D61" t="s">
        <v>2533</v>
      </c>
      <c r="K61" t="s">
        <v>1660</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2527</v>
      </c>
      <c r="V61" t="s">
        <v>2534</v>
      </c>
    </row>
    <row r="62" spans="1:26">
      <c r="C62" t="s">
        <v>2551</v>
      </c>
      <c r="D62" t="s">
        <v>2287</v>
      </c>
      <c r="K62" t="s">
        <v>1660</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2552</v>
      </c>
    </row>
    <row r="63" customFormat="1" spans="1:26">
      <c r="C63" t="s">
        <v>2535</v>
      </c>
      <c r="D63" t="s">
        <v>2536</v>
      </c>
      <c r="K63" t="s">
        <v>1660</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2537</v>
      </c>
    </row>
    <row r="64" customFormat="1" spans="1:26">
      <c r="C64" t="s">
        <v>2538</v>
      </c>
      <c r="D64" t="s">
        <v>2539</v>
      </c>
      <c r="K64" t="s">
        <v>1660</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2540</v>
      </c>
    </row>
    <row r="65" customFormat="1" spans="1:26">
      <c r="A65" t="s">
        <v>1488</v>
      </c>
      <c r="B65">
        <v>-20</v>
      </c>
      <c r="T65" t="str">
        <f t="shared" si="1"/>
        <v>},[-20]={</v>
      </c>
    </row>
    <row r="66" customFormat="1" spans="1:26">
      <c r="C66" t="s">
        <v>2553</v>
      </c>
      <c r="D66" t="s">
        <v>2554</v>
      </c>
      <c r="K66" t="s">
        <v>1660</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2555</v>
      </c>
      <c r="V66" t="s">
        <v>2556</v>
      </c>
      <c r="W66" t="s">
        <v>2557</v>
      </c>
      <c r="X66" t="s">
        <v>2558</v>
      </c>
      <c r="Y66" t="s">
        <v>2559</v>
      </c>
    </row>
    <row r="67" customFormat="1" spans="1:26">
      <c r="A67" t="s">
        <v>2229</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2497</v>
      </c>
      <c r="D68" t="s">
        <v>2498</v>
      </c>
      <c r="K68" t="s">
        <v>1660</v>
      </c>
      <c r="M68">
        <v>1</v>
      </c>
      <c r="T68" t="str">
        <f t="shared" si="2"/>
        <v>{szContent="^本场战役已结束，双方战事惨烈，但终是(.-)略胜一筹，(.-)！(.-)士气大涨(%d-)分！",szNote="据点攻防·{$1}·{$2}",col={255,255,100,},bReg=true,[20]={},tCountdown={{nClass=20,nIcon=2400,nFrame=0,szName="{$1}·{$2}",nTime=30,nRefresh=2,key="阵营活动",},},},</v>
      </c>
      <c r="U68" t="s">
        <v>2499</v>
      </c>
    </row>
    <row r="69" customFormat="1" spans="1:26">
      <c r="C69" t="s">
        <v>2500</v>
      </c>
      <c r="D69" t="s">
        <v>2501</v>
      </c>
      <c r="K69" t="s">
        <v>1660</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2502</v>
      </c>
      <c r="V69" t="s">
        <v>2503</v>
      </c>
      <c r="W69" t="s">
        <v>2504</v>
      </c>
      <c r="X69" t="s">
        <v>2505</v>
      </c>
      <c r="Y69" t="s">
        <v>2506</v>
      </c>
    </row>
    <row r="70" customFormat="1" spans="1:26">
      <c r="C70" t="s">
        <v>2507</v>
      </c>
      <c r="D70" t="s">
        <v>2508</v>
      </c>
      <c r="K70" t="s">
        <v>1660</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2509</v>
      </c>
      <c r="V70" t="s">
        <v>2510</v>
      </c>
      <c r="W70" t="s">
        <v>2511</v>
      </c>
      <c r="X70" t="s">
        <v>2512</v>
      </c>
      <c r="Y70" t="s">
        <v>2513</v>
      </c>
      <c r="Z70" t="s">
        <v>2514</v>
      </c>
    </row>
    <row r="71" customFormat="1" spans="1:26">
      <c r="C71" t="s">
        <v>2410</v>
      </c>
      <c r="D71" t="s">
        <v>2411</v>
      </c>
      <c r="K71" t="s">
        <v>2121</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2412</v>
      </c>
    </row>
    <row r="72" customFormat="1" spans="1:26">
      <c r="C72" t="s">
        <v>2413</v>
      </c>
      <c r="D72" t="s">
        <v>2414</v>
      </c>
      <c r="K72" t="s">
        <v>2120</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2415</v>
      </c>
    </row>
    <row r="73" customFormat="1" spans="1:26">
      <c r="C73" t="s">
        <v>2518</v>
      </c>
      <c r="D73" t="s">
        <v>2519</v>
      </c>
      <c r="K73" t="s">
        <v>1660</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2520</v>
      </c>
      <c r="V73" s="7"/>
    </row>
    <row r="74" customFormat="1" spans="1:26">
      <c r="C74" t="s">
        <v>2437</v>
      </c>
      <c r="D74" t="s">
        <v>2438</v>
      </c>
      <c r="K74" t="s">
        <v>1660</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2439</v>
      </c>
      <c r="V74" s="7"/>
    </row>
    <row r="75" customFormat="1" spans="1:26">
      <c r="C75" t="s">
        <v>2515</v>
      </c>
      <c r="D75" t="s">
        <v>2516</v>
      </c>
      <c r="K75" t="s">
        <v>1660</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2517</v>
      </c>
    </row>
    <row r="76" customFormat="1" spans="1:26">
      <c r="C76" t="s">
        <v>2521</v>
      </c>
      <c r="D76" t="s">
        <v>2522</v>
      </c>
      <c r="K76" t="s">
        <v>1660</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2523</v>
      </c>
      <c r="V76" s="6" t="s">
        <v>2524</v>
      </c>
    </row>
    <row r="77" customFormat="1" spans="1:26">
      <c r="C77" t="s">
        <v>2525</v>
      </c>
      <c r="D77" t="s">
        <v>2526</v>
      </c>
      <c r="K77" t="s">
        <v>1660</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2527</v>
      </c>
      <c r="V77" t="s">
        <v>2528</v>
      </c>
    </row>
    <row r="78" customFormat="1" spans="1:26">
      <c r="C78" t="s">
        <v>2529</v>
      </c>
      <c r="D78" t="s">
        <v>2530</v>
      </c>
      <c r="K78" t="s">
        <v>1660</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2531</v>
      </c>
    </row>
    <row r="79" customFormat="1" spans="1:26">
      <c r="C79" t="s">
        <v>2532</v>
      </c>
      <c r="D79" t="s">
        <v>2533</v>
      </c>
      <c r="K79" t="s">
        <v>1660</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2527</v>
      </c>
      <c r="V79" t="s">
        <v>2534</v>
      </c>
    </row>
    <row r="80" customFormat="1" spans="1:26">
      <c r="C80" t="s">
        <v>2535</v>
      </c>
      <c r="D80" t="s">
        <v>2536</v>
      </c>
      <c r="K80" t="s">
        <v>1660</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2537</v>
      </c>
    </row>
    <row r="81" customFormat="1" spans="1:26">
      <c r="C81" t="s">
        <v>2538</v>
      </c>
      <c r="D81" t="s">
        <v>2539</v>
      </c>
      <c r="K81" t="s">
        <v>1660</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2540</v>
      </c>
    </row>
    <row r="82" customFormat="1" spans="1:26">
      <c r="A82" t="s">
        <v>2560</v>
      </c>
      <c r="B82">
        <v>-3</v>
      </c>
      <c r="T82" t="str">
        <f t="shared" si="2"/>
        <v>},[-3]={</v>
      </c>
    </row>
    <row r="83" customFormat="1" spans="1:26">
      <c r="C83" t="s">
        <v>2490</v>
      </c>
      <c r="K83" t="s">
        <v>2121</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83" t="s">
        <v>2561</v>
      </c>
    </row>
    <row r="84" customFormat="1" spans="1:26">
      <c r="C84" t="s">
        <v>2494</v>
      </c>
      <c r="K84" t="s">
        <v>2120</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84" t="s">
        <v>2562</v>
      </c>
    </row>
    <row r="85" customFormat="1" spans="1:26">
      <c r="A85" t="s">
        <v>833</v>
      </c>
      <c r="B85">
        <v>74</v>
      </c>
      <c r="T85" t="str">
        <f t="shared" si="2"/>
        <v>},[74]={</v>
      </c>
    </row>
    <row r="86" customFormat="1" spans="1:26">
      <c r="C86" t="s">
        <v>2563</v>
      </c>
      <c r="D86" t="s">
        <v>2564</v>
      </c>
      <c r="K86" t="s">
        <v>1660</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2565</v>
      </c>
    </row>
    <row r="87" customFormat="1" spans="1:26">
      <c r="C87" t="s">
        <v>2566</v>
      </c>
      <c r="D87" t="s">
        <v>2567</v>
      </c>
      <c r="K87" t="s">
        <v>1660</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2568</v>
      </c>
    </row>
    <row r="88" customFormat="1" spans="1:26">
      <c r="C88" t="s">
        <v>2430</v>
      </c>
      <c r="D88" t="s">
        <v>2431</v>
      </c>
      <c r="K88" t="s">
        <v>1660</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2432</v>
      </c>
      <c r="V88" t="s">
        <v>2433</v>
      </c>
      <c r="W88" t="s">
        <v>2434</v>
      </c>
      <c r="X88" t="s">
        <v>2569</v>
      </c>
      <c r="Y88" t="s">
        <v>2570</v>
      </c>
    </row>
    <row r="89" customFormat="1" spans="1:26">
      <c r="C89" t="s">
        <v>2497</v>
      </c>
      <c r="D89" t="s">
        <v>2498</v>
      </c>
      <c r="K89" t="s">
        <v>1660</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2499</v>
      </c>
    </row>
    <row r="90" customFormat="1" spans="1:26">
      <c r="C90" t="s">
        <v>2500</v>
      </c>
      <c r="D90" t="s">
        <v>2501</v>
      </c>
      <c r="K90" t="s">
        <v>1660</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2502</v>
      </c>
      <c r="V90" t="s">
        <v>2503</v>
      </c>
      <c r="W90" t="s">
        <v>2504</v>
      </c>
      <c r="X90" t="s">
        <v>2505</v>
      </c>
      <c r="Y90" t="s">
        <v>2506</v>
      </c>
    </row>
    <row r="91" customFormat="1" spans="1:26">
      <c r="C91" t="s">
        <v>2507</v>
      </c>
      <c r="D91" t="s">
        <v>2508</v>
      </c>
      <c r="K91" t="s">
        <v>1660</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2509</v>
      </c>
      <c r="V91" t="s">
        <v>2510</v>
      </c>
      <c r="W91" t="s">
        <v>2511</v>
      </c>
      <c r="X91" t="s">
        <v>2512</v>
      </c>
      <c r="Y91" t="s">
        <v>2513</v>
      </c>
      <c r="Z91" t="s">
        <v>2514</v>
      </c>
    </row>
    <row r="92" customFormat="1" spans="1:26">
      <c r="C92" t="s">
        <v>2410</v>
      </c>
      <c r="D92" t="s">
        <v>2411</v>
      </c>
      <c r="K92" t="s">
        <v>2121</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2412</v>
      </c>
    </row>
    <row r="93" customFormat="1" spans="1:26">
      <c r="C93" t="s">
        <v>2413</v>
      </c>
      <c r="D93" t="s">
        <v>2414</v>
      </c>
      <c r="K93" t="s">
        <v>2120</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2415</v>
      </c>
    </row>
    <row r="94" customFormat="1" spans="1:26">
      <c r="C94" t="s">
        <v>2515</v>
      </c>
      <c r="D94" t="s">
        <v>2516</v>
      </c>
      <c r="K94" t="s">
        <v>1660</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2517</v>
      </c>
    </row>
    <row r="95" customFormat="1" spans="1:26">
      <c r="C95" t="s">
        <v>2521</v>
      </c>
      <c r="D95" t="s">
        <v>2522</v>
      </c>
      <c r="K95" t="s">
        <v>1660</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2523</v>
      </c>
      <c r="V95" s="6" t="s">
        <v>2524</v>
      </c>
    </row>
    <row r="96" customFormat="1" spans="1:26">
      <c r="C96" t="s">
        <v>2518</v>
      </c>
      <c r="D96" t="s">
        <v>2519</v>
      </c>
      <c r="K96" t="s">
        <v>1660</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2520</v>
      </c>
      <c r="V96" s="7"/>
    </row>
    <row r="97" customFormat="1" spans="1:34">
      <c r="C97" t="s">
        <v>2437</v>
      </c>
      <c r="D97" t="s">
        <v>2438</v>
      </c>
      <c r="K97" t="s">
        <v>1660</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2439</v>
      </c>
      <c r="V97" s="7"/>
    </row>
    <row r="98" customFormat="1" spans="1:34">
      <c r="A98" t="s">
        <v>683</v>
      </c>
      <c r="B98">
        <v>22</v>
      </c>
      <c r="T98" t="str">
        <f t="shared" si="2"/>
        <v>},[22]={</v>
      </c>
    </row>
    <row r="99" customFormat="1" spans="1:34">
      <c r="C99" t="s">
        <v>2507</v>
      </c>
      <c r="D99" t="s">
        <v>2508</v>
      </c>
      <c r="G99" t="s">
        <v>2571</v>
      </c>
      <c r="K99" t="s">
        <v>1660</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2509</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2510</v>
      </c>
      <c r="Y99" t="s">
        <v>2511</v>
      </c>
      <c r="Z99" t="s">
        <v>2572</v>
      </c>
      <c r="AA99" t="s">
        <v>2573</v>
      </c>
      <c r="AB99" t="s">
        <v>2574</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2575</v>
      </c>
      <c r="D100" t="s">
        <v>2576</v>
      </c>
      <c r="K100" t="s">
        <v>1660</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2577</v>
      </c>
      <c r="V100" t="s">
        <v>2578</v>
      </c>
      <c r="W100" t="s">
        <v>2579</v>
      </c>
      <c r="X100" t="s">
        <v>2580</v>
      </c>
    </row>
    <row r="101" customFormat="1" spans="1:34">
      <c r="C101" t="s">
        <v>2446</v>
      </c>
      <c r="K101" t="s">
        <v>1660</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2581</v>
      </c>
      <c r="V101" t="s">
        <v>2582</v>
      </c>
      <c r="W101" t="s">
        <v>2583</v>
      </c>
    </row>
    <row r="102" customFormat="1" spans="1:34">
      <c r="C102" t="s">
        <v>2584</v>
      </c>
      <c r="K102" t="s">
        <v>2121</v>
      </c>
      <c r="T102" t="str">
        <f t="shared" si="3"/>
        <v>{szContent="南屏山恶人谷伴江村援军已到，营地夺回，交通恢复！\n",col={255,100,100,},[20]={},tCountdown={{nClass=20,nIcon=589,nFrame=7,szName="赵新宇·已刷新",nTime=10,nRefresh=600,key="赵新宇",},},},</v>
      </c>
      <c r="U102" t="s">
        <v>2585</v>
      </c>
    </row>
    <row r="103" customFormat="1" spans="1:34">
      <c r="C103" t="s">
        <v>2586</v>
      </c>
      <c r="K103" t="s">
        <v>2120</v>
      </c>
      <c r="T103" t="str">
        <f t="shared" si="3"/>
        <v>{szContent="南屏山浩气盟望北村援军已到，营地夺回，交通恢复！\n",col={100,100,255,},[20]={},tCountdown={{nClass=20,nIcon=308,nFrame=3,szName="方超·已刷新",nTime=10,nRefresh=600,key="方超",},},},</v>
      </c>
      <c r="U103" t="s">
        <v>2587</v>
      </c>
    </row>
    <row r="104" spans="1:34">
      <c r="A104" t="s">
        <v>706</v>
      </c>
      <c r="B104">
        <v>30</v>
      </c>
      <c r="T104" t="str">
        <f t="shared" si="3"/>
        <v>},[30]={</v>
      </c>
    </row>
    <row r="105" customFormat="1" spans="1:34">
      <c r="C105" t="s">
        <v>2507</v>
      </c>
      <c r="D105" t="s">
        <v>2508</v>
      </c>
      <c r="G105" t="s">
        <v>2588</v>
      </c>
      <c r="K105" t="s">
        <v>1660</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2509</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2510</v>
      </c>
      <c r="Y105" t="s">
        <v>2511</v>
      </c>
      <c r="Z105" t="s">
        <v>2572</v>
      </c>
      <c r="AA105" t="s">
        <v>2573</v>
      </c>
      <c r="AB105" t="s">
        <v>2574</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2575</v>
      </c>
      <c r="D106" t="s">
        <v>2576</v>
      </c>
      <c r="K106" t="s">
        <v>1660</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2589</v>
      </c>
      <c r="V106" t="s">
        <v>2578</v>
      </c>
      <c r="W106" t="s">
        <v>2579</v>
      </c>
      <c r="X106" t="s">
        <v>2590</v>
      </c>
    </row>
    <row r="107" spans="1:34">
      <c r="C107" t="s">
        <v>2442</v>
      </c>
      <c r="K107" t="s">
        <v>1660</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2591</v>
      </c>
      <c r="V107" t="s">
        <v>2592</v>
      </c>
      <c r="W107" t="s">
        <v>2593</v>
      </c>
      <c r="X107" t="s">
        <v>2594</v>
      </c>
    </row>
    <row r="108" spans="1:34">
      <c r="C108" t="s">
        <v>2595</v>
      </c>
      <c r="K108" t="s">
        <v>2121</v>
      </c>
      <c r="T108" t="str">
        <f t="shared" si="3"/>
        <v>{szContent="昆仑山恶人谷西昆仑高地援军已到，营地夺回，交通恢复！\n",col={255,100,100,},[20]={},tCountdown={{nClass=20,nIcon=2864,nFrame=7,szName="霸图·已刷新",nTime=10,nRefresh=600,key="霸图",},},},</v>
      </c>
      <c r="U108" t="s">
        <v>2596</v>
      </c>
    </row>
    <row r="109" spans="1:34">
      <c r="C109" t="s">
        <v>2597</v>
      </c>
      <c r="K109" t="s">
        <v>2120</v>
      </c>
      <c r="T109" t="str">
        <f t="shared" si="3"/>
        <v>{szContent="昆仑山浩气盟东昆仑高地援军已到，营地夺回，交通恢复！\n",col={100,100,255,},[20]={},tCountdown={{nClass=20,nIcon=845,nFrame=3,szName="孙永恒·已刷新",nTime=10,nRefresh=600,key="孙永恒",},},},</v>
      </c>
      <c r="U109" t="s">
        <v>2598</v>
      </c>
    </row>
    <row r="110" spans="1:34">
      <c r="A110" t="s">
        <v>680</v>
      </c>
      <c r="B110">
        <v>21</v>
      </c>
      <c r="T110" t="str">
        <f t="shared" si="3"/>
        <v>},[21]={</v>
      </c>
    </row>
    <row r="111" customFormat="1" spans="1:34">
      <c r="C111" t="s">
        <v>2507</v>
      </c>
      <c r="D111" t="s">
        <v>2508</v>
      </c>
      <c r="G111" t="s">
        <v>2599</v>
      </c>
      <c r="H111" t="s">
        <v>2600</v>
      </c>
      <c r="K111" t="s">
        <v>1660</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2509</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2510</v>
      </c>
      <c r="AA111" t="s">
        <v>2511</v>
      </c>
      <c r="AB111" t="s">
        <v>2572</v>
      </c>
      <c r="AC111" t="s">
        <v>2573</v>
      </c>
      <c r="AD111" t="s">
        <v>2574</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2575</v>
      </c>
      <c r="D112" t="s">
        <v>2576</v>
      </c>
      <c r="K112" t="s">
        <v>1660</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2601</v>
      </c>
      <c r="V112" t="s">
        <v>2602</v>
      </c>
      <c r="W112" t="s">
        <v>2578</v>
      </c>
      <c r="X112" t="s">
        <v>2579</v>
      </c>
      <c r="Y112" t="s">
        <v>2603</v>
      </c>
      <c r="Z112" t="s">
        <v>2604</v>
      </c>
    </row>
    <row r="113" spans="1:34">
      <c r="A113" t="s">
        <v>686</v>
      </c>
      <c r="B113">
        <v>23</v>
      </c>
      <c r="T113" t="str">
        <f t="shared" si="3"/>
        <v>},[23]={</v>
      </c>
    </row>
    <row r="114" customFormat="1" spans="1:34">
      <c r="C114" t="s">
        <v>2507</v>
      </c>
      <c r="D114" t="s">
        <v>2508</v>
      </c>
      <c r="G114" t="s">
        <v>2605</v>
      </c>
      <c r="H114" t="s">
        <v>2606</v>
      </c>
      <c r="K114" t="s">
        <v>1660</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2509</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2510</v>
      </c>
      <c r="AA114" t="s">
        <v>2511</v>
      </c>
      <c r="AB114" t="s">
        <v>2572</v>
      </c>
      <c r="AC114" t="s">
        <v>2573</v>
      </c>
      <c r="AD114" t="s">
        <v>2574</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2575</v>
      </c>
      <c r="D115" t="s">
        <v>2576</v>
      </c>
      <c r="K115" t="s">
        <v>1660</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2607</v>
      </c>
      <c r="V115" t="s">
        <v>2608</v>
      </c>
      <c r="W115" t="s">
        <v>2578</v>
      </c>
      <c r="X115" t="s">
        <v>2579</v>
      </c>
      <c r="Y115" t="s">
        <v>2609</v>
      </c>
      <c r="Z115" t="s">
        <v>2610</v>
      </c>
    </row>
    <row r="116" spans="1:34">
      <c r="A116" t="s">
        <v>634</v>
      </c>
      <c r="B116">
        <v>9</v>
      </c>
      <c r="T116" t="str">
        <f t="shared" si="3"/>
        <v>},[9]={</v>
      </c>
    </row>
    <row r="117" customFormat="1" spans="1:34">
      <c r="C117" t="s">
        <v>2507</v>
      </c>
      <c r="D117" t="s">
        <v>2508</v>
      </c>
      <c r="G117" t="s">
        <v>2611</v>
      </c>
      <c r="H117" t="s">
        <v>2612</v>
      </c>
      <c r="K117" t="s">
        <v>1660</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2509</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2510</v>
      </c>
      <c r="AA117" t="s">
        <v>2511</v>
      </c>
      <c r="AB117" t="s">
        <v>2572</v>
      </c>
      <c r="AC117" t="s">
        <v>2573</v>
      </c>
      <c r="AD117" t="s">
        <v>2574</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2575</v>
      </c>
      <c r="D118" t="s">
        <v>2576</v>
      </c>
      <c r="K118" t="s">
        <v>1660</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2613</v>
      </c>
      <c r="V118" t="s">
        <v>2614</v>
      </c>
      <c r="W118" t="s">
        <v>2578</v>
      </c>
      <c r="X118" t="s">
        <v>2579</v>
      </c>
      <c r="Y118" t="s">
        <v>2615</v>
      </c>
      <c r="Z118" t="s">
        <v>2616</v>
      </c>
    </row>
    <row r="119" spans="1:34">
      <c r="A119" t="s">
        <v>652</v>
      </c>
      <c r="B119">
        <v>13</v>
      </c>
      <c r="T119" t="str">
        <f t="shared" si="3"/>
        <v>},[13]={</v>
      </c>
    </row>
    <row r="120" customFormat="1" spans="1:34">
      <c r="C120" t="s">
        <v>2507</v>
      </c>
      <c r="D120" t="s">
        <v>2508</v>
      </c>
      <c r="G120" t="s">
        <v>2617</v>
      </c>
      <c r="H120" t="s">
        <v>2618</v>
      </c>
      <c r="K120" t="s">
        <v>1660</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2509</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2510</v>
      </c>
      <c r="AA120" t="s">
        <v>2511</v>
      </c>
      <c r="AB120" t="s">
        <v>2572</v>
      </c>
      <c r="AC120" t="s">
        <v>2573</v>
      </c>
      <c r="AD120" t="s">
        <v>2574</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2575</v>
      </c>
      <c r="D121" t="s">
        <v>2576</v>
      </c>
      <c r="K121" t="s">
        <v>1660</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2619</v>
      </c>
      <c r="V121" t="s">
        <v>2620</v>
      </c>
      <c r="W121" t="s">
        <v>2578</v>
      </c>
      <c r="X121" t="s">
        <v>2579</v>
      </c>
      <c r="Y121" t="s">
        <v>2621</v>
      </c>
      <c r="Z121" t="s">
        <v>2622</v>
      </c>
    </row>
    <row r="122" spans="1:34">
      <c r="A122" t="s">
        <v>721</v>
      </c>
      <c r="B122">
        <v>35</v>
      </c>
      <c r="T122" t="str">
        <f t="shared" si="3"/>
        <v>},[35]={</v>
      </c>
    </row>
    <row r="123" customFormat="1" spans="1:34">
      <c r="C123" t="s">
        <v>2507</v>
      </c>
      <c r="D123" t="s">
        <v>2508</v>
      </c>
      <c r="G123" t="s">
        <v>2623</v>
      </c>
      <c r="H123" t="s">
        <v>2624</v>
      </c>
      <c r="K123" t="s">
        <v>1660</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2509</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2510</v>
      </c>
      <c r="AA123" t="s">
        <v>2511</v>
      </c>
      <c r="AB123" t="s">
        <v>2572</v>
      </c>
      <c r="AC123" t="s">
        <v>2573</v>
      </c>
      <c r="AD123" t="s">
        <v>2574</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2575</v>
      </c>
      <c r="D124" t="s">
        <v>2576</v>
      </c>
      <c r="K124" t="s">
        <v>1660</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2625</v>
      </c>
      <c r="V124" t="s">
        <v>2626</v>
      </c>
      <c r="W124" t="s">
        <v>2578</v>
      </c>
      <c r="X124" t="s">
        <v>2579</v>
      </c>
      <c r="Y124" t="s">
        <v>2627</v>
      </c>
      <c r="Z124" t="s">
        <v>2628</v>
      </c>
    </row>
    <row r="125" spans="1:34">
      <c r="A125" t="s">
        <v>839</v>
      </c>
      <c r="B125">
        <v>100</v>
      </c>
      <c r="T125" t="str">
        <f t="shared" si="3"/>
        <v>},[100]={</v>
      </c>
    </row>
    <row r="126" customFormat="1" spans="1:34">
      <c r="C126" t="s">
        <v>2507</v>
      </c>
      <c r="D126" t="s">
        <v>2508</v>
      </c>
      <c r="G126" t="s">
        <v>2629</v>
      </c>
      <c r="H126" t="s">
        <v>2630</v>
      </c>
      <c r="K126" t="s">
        <v>1660</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2509</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2510</v>
      </c>
      <c r="AA126" t="s">
        <v>2511</v>
      </c>
      <c r="AB126" t="s">
        <v>2572</v>
      </c>
      <c r="AC126" t="s">
        <v>2573</v>
      </c>
      <c r="AD126" t="s">
        <v>2574</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2575</v>
      </c>
      <c r="D127" t="s">
        <v>2576</v>
      </c>
      <c r="K127" t="s">
        <v>1660</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2631</v>
      </c>
      <c r="V127" t="s">
        <v>2632</v>
      </c>
      <c r="W127" t="s">
        <v>2578</v>
      </c>
      <c r="X127" t="s">
        <v>2579</v>
      </c>
      <c r="Y127" t="s">
        <v>2633</v>
      </c>
      <c r="Z127" t="s">
        <v>2634</v>
      </c>
    </row>
    <row r="128" spans="1:34">
      <c r="A128" t="s">
        <v>842</v>
      </c>
      <c r="B128">
        <v>101</v>
      </c>
      <c r="T128" t="str">
        <f t="shared" si="3"/>
        <v>},[101]={</v>
      </c>
    </row>
    <row r="129" customFormat="1" spans="1:34">
      <c r="C129" t="s">
        <v>2507</v>
      </c>
      <c r="D129" t="s">
        <v>2508</v>
      </c>
      <c r="G129" t="s">
        <v>2635</v>
      </c>
      <c r="H129" t="s">
        <v>2636</v>
      </c>
      <c r="K129" t="s">
        <v>1660</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2509</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2510</v>
      </c>
      <c r="AA129" t="s">
        <v>2511</v>
      </c>
      <c r="AB129" t="s">
        <v>2572</v>
      </c>
      <c r="AC129" t="s">
        <v>2573</v>
      </c>
      <c r="AD129" t="s">
        <v>2574</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2575</v>
      </c>
      <c r="D130" t="s">
        <v>2576</v>
      </c>
      <c r="K130" t="s">
        <v>1660</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2637</v>
      </c>
      <c r="V130" t="s">
        <v>2638</v>
      </c>
      <c r="W130" t="s">
        <v>2578</v>
      </c>
      <c r="X130" t="s">
        <v>2579</v>
      </c>
      <c r="Y130" t="s">
        <v>2639</v>
      </c>
      <c r="Z130" t="s">
        <v>2640</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2507</v>
      </c>
      <c r="D132" t="s">
        <v>2508</v>
      </c>
      <c r="G132" t="s">
        <v>2641</v>
      </c>
      <c r="H132" t="s">
        <v>2642</v>
      </c>
      <c r="K132" t="s">
        <v>1660</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2509</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2510</v>
      </c>
      <c r="AA132" t="s">
        <v>2511</v>
      </c>
      <c r="AB132" t="s">
        <v>2572</v>
      </c>
      <c r="AC132" t="s">
        <v>2573</v>
      </c>
      <c r="AD132" t="s">
        <v>2574</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2575</v>
      </c>
      <c r="D133" t="s">
        <v>2576</v>
      </c>
      <c r="K133" t="s">
        <v>1660</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2643</v>
      </c>
      <c r="V133" t="s">
        <v>2644</v>
      </c>
      <c r="W133" t="s">
        <v>2578</v>
      </c>
      <c r="X133" t="s">
        <v>2579</v>
      </c>
      <c r="Y133" t="s">
        <v>2645</v>
      </c>
      <c r="Z133" t="s">
        <v>2646</v>
      </c>
    </row>
    <row r="134" spans="1:34">
      <c r="A134" t="s">
        <v>850</v>
      </c>
      <c r="B134">
        <v>104</v>
      </c>
      <c r="T134" t="str">
        <f t="shared" si="4"/>
        <v>},[104]={</v>
      </c>
    </row>
    <row r="135" customFormat="1" spans="1:34">
      <c r="C135" t="s">
        <v>2507</v>
      </c>
      <c r="D135" t="s">
        <v>2508</v>
      </c>
      <c r="G135" t="s">
        <v>2647</v>
      </c>
      <c r="H135" t="s">
        <v>2648</v>
      </c>
      <c r="K135" t="s">
        <v>1660</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2509</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2510</v>
      </c>
      <c r="AA135" t="s">
        <v>2511</v>
      </c>
      <c r="AB135" t="s">
        <v>2572</v>
      </c>
      <c r="AC135" t="s">
        <v>2573</v>
      </c>
      <c r="AD135" t="s">
        <v>2574</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2575</v>
      </c>
      <c r="D136" t="s">
        <v>2576</v>
      </c>
      <c r="K136" t="s">
        <v>1660</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2649</v>
      </c>
      <c r="V136" t="s">
        <v>2650</v>
      </c>
      <c r="W136" t="s">
        <v>2578</v>
      </c>
      <c r="X136" t="s">
        <v>2579</v>
      </c>
      <c r="Y136" t="s">
        <v>2651</v>
      </c>
      <c r="Z136" t="s">
        <v>2652</v>
      </c>
    </row>
    <row r="137" spans="1:34">
      <c r="A137" t="s">
        <v>853</v>
      </c>
      <c r="B137">
        <v>105</v>
      </c>
      <c r="T137" t="str">
        <f t="shared" si="4"/>
        <v>},[105]={</v>
      </c>
    </row>
    <row r="138" customFormat="1" spans="1:34">
      <c r="C138" t="s">
        <v>2507</v>
      </c>
      <c r="D138" t="s">
        <v>2508</v>
      </c>
      <c r="G138" t="s">
        <v>2653</v>
      </c>
      <c r="H138" t="s">
        <v>2654</v>
      </c>
      <c r="K138" t="s">
        <v>1660</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2509</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2510</v>
      </c>
      <c r="AA138" t="s">
        <v>2511</v>
      </c>
      <c r="AB138" t="s">
        <v>2572</v>
      </c>
      <c r="AC138" t="s">
        <v>2573</v>
      </c>
      <c r="AD138" t="s">
        <v>2574</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2575</v>
      </c>
      <c r="D139" t="s">
        <v>2576</v>
      </c>
      <c r="K139" t="s">
        <v>1660</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2655</v>
      </c>
      <c r="V139" t="s">
        <v>2656</v>
      </c>
      <c r="W139" t="s">
        <v>2578</v>
      </c>
      <c r="X139" t="s">
        <v>2579</v>
      </c>
      <c r="Y139" t="s">
        <v>2657</v>
      </c>
      <c r="Z139" t="s">
        <v>2658</v>
      </c>
    </row>
    <row r="140" spans="1:34">
      <c r="A140" t="s">
        <v>948</v>
      </c>
      <c r="B140">
        <v>139</v>
      </c>
      <c r="T140" t="str">
        <f t="shared" si="4"/>
        <v>},[139]={</v>
      </c>
    </row>
    <row r="141" customFormat="1" spans="1:34">
      <c r="C141" t="s">
        <v>2507</v>
      </c>
      <c r="D141" t="s">
        <v>2508</v>
      </c>
      <c r="G141" t="s">
        <v>2659</v>
      </c>
      <c r="H141" t="s">
        <v>2660</v>
      </c>
      <c r="K141" t="s">
        <v>1660</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2509</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2510</v>
      </c>
      <c r="AA141" t="s">
        <v>2511</v>
      </c>
      <c r="AB141" t="s">
        <v>2572</v>
      </c>
      <c r="AC141" t="s">
        <v>2573</v>
      </c>
      <c r="AD141" t="s">
        <v>2574</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2575</v>
      </c>
      <c r="D142" t="s">
        <v>2576</v>
      </c>
      <c r="K142" t="s">
        <v>1660</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2661</v>
      </c>
      <c r="V142" t="s">
        <v>2662</v>
      </c>
      <c r="W142" t="s">
        <v>2578</v>
      </c>
      <c r="X142" t="s">
        <v>2579</v>
      </c>
      <c r="Y142" t="s">
        <v>2663</v>
      </c>
      <c r="Z142" t="s">
        <v>2664</v>
      </c>
    </row>
    <row r="143" spans="1:34">
      <c r="A143" t="s">
        <v>984</v>
      </c>
      <c r="B143">
        <v>153</v>
      </c>
      <c r="T143" t="str">
        <f t="shared" si="4"/>
        <v>},[153]={</v>
      </c>
    </row>
    <row r="144" customFormat="1" spans="1:34">
      <c r="C144" t="s">
        <v>2507</v>
      </c>
      <c r="D144" t="s">
        <v>2508</v>
      </c>
      <c r="G144" t="s">
        <v>2665</v>
      </c>
      <c r="H144" t="s">
        <v>2666</v>
      </c>
      <c r="K144" t="s">
        <v>1660</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2509</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2510</v>
      </c>
      <c r="AA144" t="s">
        <v>2511</v>
      </c>
      <c r="AB144" t="s">
        <v>2572</v>
      </c>
      <c r="AC144" t="s">
        <v>2573</v>
      </c>
      <c r="AD144" t="s">
        <v>2574</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2575</v>
      </c>
      <c r="D145" t="s">
        <v>2576</v>
      </c>
      <c r="K145" t="s">
        <v>1660</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2667</v>
      </c>
      <c r="V145" t="s">
        <v>2668</v>
      </c>
      <c r="W145" t="s">
        <v>2578</v>
      </c>
      <c r="X145" t="s">
        <v>2579</v>
      </c>
      <c r="Y145" t="s">
        <v>2669</v>
      </c>
      <c r="Z145" t="s">
        <v>2670</v>
      </c>
    </row>
    <row r="146" spans="1:26">
      <c r="A146" t="s">
        <v>1062</v>
      </c>
      <c r="B146">
        <v>216</v>
      </c>
      <c r="T146" t="str">
        <f t="shared" si="4"/>
        <v>},[216]={</v>
      </c>
    </row>
    <row r="147" spans="1:26">
      <c r="C147" t="s">
        <v>2671</v>
      </c>
      <c r="D147" t="s">
        <v>2508</v>
      </c>
      <c r="G147" t="s">
        <v>2672</v>
      </c>
      <c r="H147" t="s">
        <v>2673</v>
      </c>
      <c r="K147" t="s">
        <v>1660</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2509</v>
      </c>
      <c r="V147" t="s">
        <v>2510</v>
      </c>
      <c r="W147" t="s">
        <v>2511</v>
      </c>
      <c r="X147" t="s">
        <v>2674</v>
      </c>
      <c r="Y147" t="s">
        <v>2513</v>
      </c>
      <c r="Z147" t="s">
        <v>2514</v>
      </c>
    </row>
    <row r="148" spans="1:26">
      <c r="C148" t="s">
        <v>2575</v>
      </c>
      <c r="D148" t="s">
        <v>2576</v>
      </c>
      <c r="K148" t="s">
        <v>1660</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2675</v>
      </c>
      <c r="V148" t="s">
        <v>2676</v>
      </c>
      <c r="W148" t="s">
        <v>2578</v>
      </c>
      <c r="X148" t="s">
        <v>2579</v>
      </c>
      <c r="Y148" t="s">
        <v>2677</v>
      </c>
      <c r="Z148" t="s">
        <v>2678</v>
      </c>
    </row>
    <row r="149" customFormat="1" spans="1:26">
      <c r="C149" s="3" t="s">
        <v>2553</v>
      </c>
      <c r="D149" t="s">
        <v>2554</v>
      </c>
      <c r="K149" t="s">
        <v>1660</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2555</v>
      </c>
      <c r="V149" t="s">
        <v>2556</v>
      </c>
      <c r="W149" t="s">
        <v>2557</v>
      </c>
      <c r="X149" t="s">
        <v>2558</v>
      </c>
      <c r="Y149" t="s">
        <v>2559</v>
      </c>
    </row>
    <row r="150" spans="1:26">
      <c r="A150" t="s">
        <v>1415</v>
      </c>
      <c r="B150">
        <v>656</v>
      </c>
      <c r="T150" t="str">
        <f t="shared" si="4"/>
        <v>},[656]={</v>
      </c>
    </row>
    <row r="151" spans="1:26">
      <c r="C151" t="s">
        <v>2671</v>
      </c>
      <c r="D151" t="s">
        <v>2508</v>
      </c>
      <c r="G151" t="s">
        <v>2672</v>
      </c>
      <c r="H151" t="s">
        <v>2673</v>
      </c>
      <c r="K151" t="s">
        <v>1660</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2509</v>
      </c>
      <c r="V151" t="s">
        <v>2510</v>
      </c>
      <c r="W151" t="s">
        <v>2511</v>
      </c>
      <c r="X151" t="s">
        <v>2674</v>
      </c>
      <c r="Y151" t="s">
        <v>2513</v>
      </c>
      <c r="Z151" t="s">
        <v>2514</v>
      </c>
    </row>
    <row r="152" spans="1:26">
      <c r="C152" t="s">
        <v>2575</v>
      </c>
      <c r="D152" t="s">
        <v>2576</v>
      </c>
      <c r="K152" t="s">
        <v>1660</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2675</v>
      </c>
      <c r="V152" t="s">
        <v>2676</v>
      </c>
      <c r="W152" t="s">
        <v>2578</v>
      </c>
      <c r="X152" t="s">
        <v>2579</v>
      </c>
      <c r="Y152" t="s">
        <v>2677</v>
      </c>
      <c r="Z152" t="s">
        <v>2678</v>
      </c>
    </row>
    <row r="153" customFormat="1" spans="1:26">
      <c r="C153" s="3" t="s">
        <v>2553</v>
      </c>
      <c r="D153" t="s">
        <v>2554</v>
      </c>
      <c r="K153" t="s">
        <v>1660</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2555</v>
      </c>
      <c r="V153" t="s">
        <v>2556</v>
      </c>
      <c r="W153" t="s">
        <v>2557</v>
      </c>
      <c r="X153" t="s">
        <v>2558</v>
      </c>
      <c r="Y153" t="s">
        <v>2559</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1817</v>
      </c>
      <c r="B3" t="s">
        <v>2571</v>
      </c>
      <c r="C3" t="s">
        <v>2679</v>
      </c>
    </row>
    <row r="4" spans="1:3">
      <c r="A4" t="s">
        <v>1837</v>
      </c>
      <c r="B4" s="1" t="s">
        <v>2588</v>
      </c>
      <c r="C4" t="s">
        <v>2680</v>
      </c>
    </row>
    <row r="5" spans="1:3">
      <c r="A5" t="s">
        <v>1844</v>
      </c>
      <c r="B5" s="1" t="s">
        <v>2599</v>
      </c>
      <c r="C5" s="1" t="s">
        <v>2681</v>
      </c>
    </row>
    <row r="6" spans="1:3">
      <c r="A6" t="s">
        <v>1848</v>
      </c>
      <c r="B6" s="1" t="s">
        <v>2600</v>
      </c>
      <c r="C6" s="1" t="s">
        <v>2682</v>
      </c>
    </row>
    <row r="7" spans="1:3">
      <c r="A7" t="s">
        <v>1856</v>
      </c>
      <c r="B7" s="1" t="s">
        <v>2605</v>
      </c>
      <c r="C7" s="1" t="s">
        <v>2683</v>
      </c>
    </row>
    <row r="8" spans="1:3">
      <c r="A8" t="s">
        <v>1860</v>
      </c>
      <c r="B8" s="1" t="s">
        <v>2606</v>
      </c>
      <c r="C8" s="1" t="s">
        <v>2684</v>
      </c>
    </row>
    <row r="9" spans="1:3">
      <c r="A9" t="s">
        <v>1873</v>
      </c>
      <c r="B9" s="1" t="s">
        <v>2611</v>
      </c>
      <c r="C9" s="1" t="s">
        <v>2685</v>
      </c>
    </row>
    <row r="10" spans="1:3">
      <c r="A10" t="s">
        <v>1877</v>
      </c>
      <c r="B10" s="1" t="s">
        <v>2612</v>
      </c>
      <c r="C10" s="1" t="s">
        <v>2686</v>
      </c>
    </row>
    <row r="11" spans="1:3">
      <c r="A11" t="s">
        <v>1881</v>
      </c>
      <c r="B11" s="1" t="s">
        <v>2617</v>
      </c>
      <c r="C11" s="1" t="s">
        <v>2687</v>
      </c>
    </row>
    <row r="12" spans="1:3">
      <c r="A12" t="s">
        <v>1885</v>
      </c>
      <c r="B12" s="1" t="s">
        <v>2618</v>
      </c>
      <c r="C12" s="1" t="s">
        <v>2688</v>
      </c>
    </row>
    <row r="13" spans="1:3">
      <c r="A13" t="s">
        <v>1889</v>
      </c>
      <c r="B13" s="1" t="s">
        <v>2623</v>
      </c>
      <c r="C13" s="1" t="s">
        <v>2689</v>
      </c>
    </row>
    <row r="14" spans="1:3">
      <c r="A14" t="s">
        <v>1893</v>
      </c>
      <c r="B14" s="1" t="s">
        <v>2624</v>
      </c>
      <c r="C14" s="1" t="s">
        <v>2690</v>
      </c>
    </row>
    <row r="15" spans="1:3">
      <c r="A15" t="s">
        <v>1899</v>
      </c>
      <c r="B15" s="1" t="s">
        <v>2629</v>
      </c>
      <c r="C15" s="1" t="s">
        <v>2691</v>
      </c>
    </row>
    <row r="16" spans="1:3">
      <c r="A16" t="s">
        <v>1903</v>
      </c>
      <c r="B16" s="1" t="s">
        <v>2630</v>
      </c>
      <c r="C16" s="1" t="s">
        <v>2692</v>
      </c>
    </row>
    <row r="17" spans="1:3">
      <c r="A17" t="s">
        <v>1907</v>
      </c>
      <c r="B17" s="1" t="s">
        <v>2635</v>
      </c>
      <c r="C17" s="1" t="s">
        <v>2693</v>
      </c>
    </row>
    <row r="18" spans="1:3">
      <c r="A18" t="s">
        <v>1911</v>
      </c>
      <c r="B18" s="1" t="s">
        <v>2636</v>
      </c>
      <c r="C18" s="1" t="s">
        <v>2694</v>
      </c>
    </row>
    <row r="19" spans="1:3">
      <c r="A19" t="s">
        <v>1917</v>
      </c>
      <c r="B19" s="1" t="s">
        <v>2641</v>
      </c>
      <c r="C19" s="1" t="s">
        <v>2695</v>
      </c>
    </row>
    <row r="20" spans="1:3">
      <c r="A20" t="s">
        <v>1921</v>
      </c>
      <c r="B20" s="1" t="s">
        <v>2642</v>
      </c>
      <c r="C20" s="1" t="s">
        <v>2696</v>
      </c>
    </row>
    <row r="21" spans="1:3">
      <c r="A21" t="s">
        <v>1925</v>
      </c>
      <c r="B21" s="1" t="s">
        <v>2647</v>
      </c>
      <c r="C21" s="1" t="s">
        <v>2697</v>
      </c>
    </row>
    <row r="22" spans="1:3">
      <c r="A22" t="s">
        <v>1929</v>
      </c>
      <c r="B22" s="1" t="s">
        <v>2648</v>
      </c>
      <c r="C22" s="1" t="s">
        <v>2698</v>
      </c>
    </row>
    <row r="23" spans="1:3">
      <c r="A23" t="s">
        <v>1933</v>
      </c>
      <c r="B23" s="1" t="s">
        <v>2653</v>
      </c>
      <c r="C23" s="1" t="s">
        <v>2699</v>
      </c>
    </row>
    <row r="24" spans="1:3">
      <c r="A24" t="s">
        <v>1937</v>
      </c>
      <c r="B24" s="1" t="s">
        <v>2654</v>
      </c>
      <c r="C24" s="1" t="s">
        <v>2700</v>
      </c>
    </row>
    <row r="25" spans="1:3">
      <c r="A25" t="s">
        <v>1945</v>
      </c>
      <c r="B25" s="1" t="s">
        <v>2659</v>
      </c>
      <c r="C25" s="1" t="s">
        <v>2701</v>
      </c>
    </row>
    <row r="26" spans="1:3">
      <c r="A26" t="s">
        <v>1949</v>
      </c>
      <c r="B26" s="1" t="s">
        <v>2660</v>
      </c>
      <c r="C26" s="1" t="s">
        <v>2702</v>
      </c>
    </row>
    <row r="27" spans="1:3">
      <c r="A27" t="s">
        <v>1953</v>
      </c>
      <c r="B27" s="1" t="s">
        <v>2665</v>
      </c>
      <c r="C27" s="1" t="s">
        <v>2703</v>
      </c>
    </row>
    <row r="28" spans="1:3">
      <c r="A28" t="s">
        <v>1957</v>
      </c>
      <c r="B28" s="1" t="s">
        <v>2666</v>
      </c>
      <c r="C28" s="1" t="s">
        <v>2704</v>
      </c>
    </row>
    <row r="29" spans="1:3">
      <c r="A29" t="s">
        <v>1978</v>
      </c>
      <c r="B29" s="1" t="s">
        <v>2672</v>
      </c>
      <c r="C29" s="1" t="s">
        <v>2705</v>
      </c>
    </row>
    <row r="30" spans="1:3">
      <c r="A30" t="s">
        <v>1982</v>
      </c>
      <c r="B30" s="1" t="s">
        <v>2673</v>
      </c>
      <c r="C30" s="1" t="s">
        <v>2706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2026-07-13T14:11:11Z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