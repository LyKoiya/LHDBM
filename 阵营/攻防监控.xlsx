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activeTab="4"/>
  </bookViews>
  <sheets>
    <sheet name="茗伊团队监控数据总控" sheetId="2" r:id="rId1"/>
    <sheet name="字典" sheetId="4" r:id="rId2"/>
    <sheet name="有利气劲" sheetId="14" r:id="rId3"/>
    <sheet name="不利气劲" sheetId="15" r:id="rId4"/>
    <sheet name="武学招式" sheetId="16" r:id="rId5"/>
    <sheet name="系统角色" sheetId="12" r:id="rId6"/>
    <sheet name="交互物件" sheetId="17" r:id="rId7"/>
    <sheet name="角色喊话" sheetId="10" r:id="rId8"/>
    <sheet name="系统频道" sheetId="11" r:id="rId9"/>
    <sheet name="公式" sheetId="18" r:id="rId10"/>
  </sheets>
  <definedNames>
    <definedName name="_xlnm._FilterDatabase" localSheetId="2" hidden="1">有利气劲!$A$1:$AS$28</definedName>
    <definedName name="_xlnm._FilterDatabase" localSheetId="3" hidden="1">不利气劲!$A$1:$BY$94</definedName>
    <definedName name="_xlnm._FilterDatabase" localSheetId="5" hidden="1">系统角色!$A$1:$X$370</definedName>
    <definedName name="_xlnm._FilterDatabase" localSheetId="7" hidden="1">角色喊话!$A$1:$AV$197</definedName>
    <definedName name="_xlnm._FilterDatabase" localSheetId="8" hidden="1">系统频道!$A$1:$BG$168</definedName>
    <definedName name="JunSun1" localSheetId="6">DATE(交互物件!日历年份,6,1)-WEEKDAY(DATE(交互物件!日历年份,6,1))</definedName>
    <definedName name="JunSun1" localSheetId="4">DATE(武学招式!日历年份,6,1)-WEEKDAY(DATE(武学招式!日历年份,6,1))</definedName>
    <definedName name="JunSun1" localSheetId="5">DATE(系统角色!日历年份,6,1)-WEEKDAY(DATE(系统角色!日历年份,6,1))</definedName>
    <definedName name="JunSun1">DATE(日历年份,6,1)-WEEKDAY(DATE(日历年份,6,1))</definedName>
    <definedName name="日历年份" localSheetId="6">#REF!</definedName>
    <definedName name="日历年份" localSheetId="4">#REF!</definedName>
    <definedName name="日历年份" localSheetId="5">#REF!</definedName>
    <definedName name="日历年份">#REF!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<sst xmlns="http://schemas.openxmlformats.org/spreadsheetml/2006/main" count="5982" uniqueCount="2657">
  <si>
    <t>__meta = {</t>
  </si>
  <si>
    <t>绿块自行修改，不改亦可</t>
  </si>
  <si>
    <t>使用前请详细看本页黄字</t>
  </si>
  <si>
    <t>工具下载地址</t>
  </si>
  <si>
    <t>https://www.jx3box.com/tool/60356</t>
  </si>
  <si>
    <t>szLang = "zhcn",</t>
  </si>
  <si>
    <t>语言，默认可不修改</t>
  </si>
  <si>
    <t>教程地址</t>
  </si>
  <si>
    <t>https://www.jx3box.com/tool/74098</t>
  </si>
  <si>
    <t>szAuthor = "荷花鲤",</t>
  </si>
  <si>
    <t>导出时的玩家名称</t>
  </si>
  <si>
    <t>时间戳</t>
  </si>
  <si>
    <t>szServer = "唯我独尊",</t>
  </si>
  <si>
    <t>导出时的服务器名称</t>
  </si>
  <si>
    <t>szOfficialVoicePacketUUID="",</t>
  </si>
  <si>
    <t>数据推荐官方语音包uuid</t>
  </si>
  <si>
    <t>szCustomVoicePacketUUID="",</t>
  </si>
  <si>
    <t>数据推荐插件语音包uuid</t>
  </si>
  <si>
    <t>},</t>
  </si>
  <si>
    <t>团队监控手册</t>
  </si>
  <si>
    <t>BUFF</t>
  </si>
  <si>
    <t>有利气劲</t>
  </si>
  <si>
    <t>DEBUFF</t>
  </si>
  <si>
    <t>不利气劲</t>
  </si>
  <si>
    <t>CASTING</t>
  </si>
  <si>
    <t>武学招式</t>
  </si>
  <si>
    <t>NPC</t>
  </si>
  <si>
    <t>系统角色</t>
  </si>
  <si>
    <t>DOODAD</t>
  </si>
  <si>
    <t>交互物件</t>
  </si>
  <si>
    <t>TALK</t>
  </si>
  <si>
    <t>角色喊话</t>
  </si>
  <si>
    <t>CHAT</t>
  </si>
  <si>
    <t>系统频道</t>
  </si>
  <si>
    <t>静态属性</t>
  </si>
  <si>
    <t>键名</t>
  </si>
  <si>
    <t>值类型</t>
  </si>
  <si>
    <t>描述</t>
  </si>
  <si>
    <t>示例</t>
  </si>
  <si>
    <t>应用范围</t>
  </si>
  <si>
    <t>是否必须</t>
  </si>
  <si>
    <t>插件面板可修改</t>
  </si>
  <si>
    <t>szNote</t>
  </si>
  <si>
    <t>字符串</t>
  </si>
  <si>
    <t>备注信息</t>
  </si>
  <si>
    <t>szNote = "备注说明"</t>
  </si>
  <si>
    <t>BUFF、DEBUFF、CASTING、NPC、DOODAD、TALK、CHAT</t>
  </si>
  <si>
    <t>否</t>
  </si>
  <si>
    <t>是</t>
  </si>
  <si>
    <t>tCountdown</t>
  </si>
  <si>
    <t>数组</t>
  </si>
  <si>
    <t>计时条</t>
  </si>
  <si>
    <t>见《计时条属性》</t>
  </si>
  <si>
    <t>col</t>
  </si>
  <si>
    <t>通用报警颜色</t>
  </si>
  <si>
    <t>col = {255,0,0}</t>
  </si>
  <si>
    <t>非完全通用部分包含：</t>
  </si>
  <si>
    <t>dwID</t>
  </si>
  <si>
    <t>整数</t>
  </si>
  <si>
    <t>ID（编号）</t>
  </si>
  <si>
    <t>dwID = 684</t>
  </si>
  <si>
    <t>BUFF、DEBUFF、CASTING、NPC、DOODAD</t>
  </si>
  <si>
    <t>nLevel</t>
  </si>
  <si>
    <t>等级</t>
  </si>
  <si>
    <t>nLevel = 1</t>
  </si>
  <si>
    <t>BUFF、DEBUFF、CASTING</t>
  </si>
  <si>
    <t>bCheckLevel</t>
  </si>
  <si>
    <t>布尔</t>
  </si>
  <si>
    <t>是否区分等级</t>
  </si>
  <si>
    <t>bCheckLevel = true</t>
  </si>
  <si>
    <t>nCount</t>
  </si>
  <si>
    <t>层数必须达到n/数量必须达到n</t>
  </si>
  <si>
    <t>nCount = 2</t>
  </si>
  <si>
    <t>BUFF、DEBUFF、NPC、DOODAD</t>
  </si>
  <si>
    <t>szName</t>
  </si>
  <si>
    <t>自定义名称</t>
  </si>
  <si>
    <t>szName = "天地低昂"</t>
  </si>
  <si>
    <t>nIcon</t>
  </si>
  <si>
    <t>自定义图标</t>
  </si>
  <si>
    <t>nIcon = 1498</t>
  </si>
  <si>
    <t>nScrutinyType</t>
  </si>
  <si>
    <t>监控对象类型（缺省-全部，1自身，2团队，3敌对，4当前目标）</t>
  </si>
  <si>
    <t>nScrutinyType = 2</t>
  </si>
  <si>
    <t>tKungFu</t>
  </si>
  <si>
    <t>表</t>
  </si>
  <si>
    <t>自身心法要求（心法ID请参阅《心法ID表》）</t>
  </si>
  <si>
    <t>tKungFu={["SKILL#10081"] = true,["SKILL#10080"] = true,},</t>
  </si>
  <si>
    <t>aCataclysmBuff</t>
  </si>
  <si>
    <t>茗伊团队框架buff设置</t>
  </si>
  <si>
    <t>见《团队面板属性》</t>
  </si>
  <si>
    <t>BUFF、DEBUFF</t>
  </si>
  <si>
    <t>bMonTarget</t>
  </si>
  <si>
    <t>显示目标名称</t>
  </si>
  <si>
    <t>bMonTarget = true</t>
  </si>
  <si>
    <t>nFrame</t>
  </si>
  <si>
    <t>npc头像图标ID</t>
  </si>
  <si>
    <t>nFrame = 50</t>
  </si>
  <si>
    <t>bAllLeave</t>
  </si>
  <si>
    <t>必须全部消失</t>
  </si>
  <si>
    <t>bAllLeave = true</t>
  </si>
  <si>
    <t>NPC、DOODAD</t>
  </si>
  <si>
    <t>aFocus</t>
  </si>
  <si>
    <t>焦点</t>
  </si>
  <si>
    <t>-</t>
  </si>
  <si>
    <t>szTarget</t>
  </si>
  <si>
    <t>喊话对象</t>
  </si>
  <si>
    <t>szTarget = "xxx"</t>
  </si>
  <si>
    <t>szContent</t>
  </si>
  <si>
    <t>喊话内容(注意excel换行表示为\n)</t>
  </si>
  <si>
    <t>szContent = "xxx"</t>
  </si>
  <si>
    <t>TALK、CHAT。请注意字符串换行请写\n，若含有英文引号请用\转义，例："侠士"上线了。请写\"侠士\"上线了。</t>
  </si>
  <si>
    <t>bSearch</t>
  </si>
  <si>
    <t>模糊匹配</t>
  </si>
  <si>
    <t>bSearch = true</t>
  </si>
  <si>
    <t>TALK，CHAT</t>
  </si>
  <si>
    <t>bReg</t>
  </si>
  <si>
    <t>开启正则</t>
  </si>
  <si>
    <t>bReg = true</t>
  </si>
  <si>
    <t>动态属性</t>
  </si>
  <si>
    <t>键</t>
  </si>
  <si>
    <t>tMark</t>
  </si>
  <si>
    <t>标记</t>
  </si>
  <si>
    <t>见下文</t>
  </si>
  <si>
    <t>bTeamChannel</t>
  </si>
  <si>
    <t>团队频道报警开关</t>
  </si>
  <si>
    <t>bTeamChannel = true</t>
  </si>
  <si>
    <t>bWhisperChannel</t>
  </si>
  <si>
    <t>密聊频道报警开关</t>
  </si>
  <si>
    <t>bWhisperChannel = true</t>
  </si>
  <si>
    <t>bCenterAlarm</t>
  </si>
  <si>
    <t>中央报警开关</t>
  </si>
  <si>
    <t>bCenterAlarm = true</t>
  </si>
  <si>
    <t>bScreenHead</t>
  </si>
  <si>
    <t>头顶报警开关</t>
  </si>
  <si>
    <t>bScreenHead = true</t>
  </si>
  <si>
    <t>BUFF、DEBUFF、NPC</t>
  </si>
  <si>
    <t>bPartyBuffList</t>
  </si>
  <si>
    <t>团队气劲列表开关</t>
  </si>
  <si>
    <t>bPartyBuffList = true</t>
  </si>
  <si>
    <t>bBuffList</t>
  </si>
  <si>
    <t>自身气劲列表开关</t>
  </si>
  <si>
    <t>bBuffList = true</t>
  </si>
  <si>
    <t>bTeamPanel</t>
  </si>
  <si>
    <t>（显示于）团队面板开关</t>
  </si>
  <si>
    <t>bTeamPanel = true</t>
  </si>
  <si>
    <t>bOnlySelfSrc</t>
  </si>
  <si>
    <t>仅显示来源自己的气劲开关</t>
  </si>
  <si>
    <t>bOnlySelfSrc = true</t>
  </si>
  <si>
    <t>szVoice</t>
  </si>
  <si>
    <t>语音slug标识</t>
  </si>
  <si>
    <t>szVoice = "ChengShang_P"</t>
  </si>
  <si>
    <t>bVoiceSelfOnly</t>
  </si>
  <si>
    <t>是否仅在自身气劲下播放语音（仅用于气劲相关）</t>
  </si>
  <si>
    <t>bVoiceSelfOnly = true</t>
  </si>
  <si>
    <t>bVoiceOfficial</t>
  </si>
  <si>
    <t>是否优先使用官方语音条目</t>
  </si>
  <si>
    <t>bVoiceOfficial = true</t>
  </si>
  <si>
    <t>动态属性编号映射</t>
  </si>
  <si>
    <t>OTHER</t>
  </si>
  <si>
    <t>不生效，该事件屏蔽</t>
  </si>
  <si>
    <t>BUFF_GET</t>
  </si>
  <si>
    <t>获得BUFF</t>
  </si>
  <si>
    <t>BUFF_LOSE</t>
  </si>
  <si>
    <t>失去BUFF</t>
  </si>
  <si>
    <t>NPC_ENTER</t>
  </si>
  <si>
    <t>NPC进入场景</t>
  </si>
  <si>
    <t>NPC_LEAVE</t>
  </si>
  <si>
    <t>NPC离开场景</t>
  </si>
  <si>
    <t>NPC_TALK</t>
  </si>
  <si>
    <t>NPC说话信息(未使用)</t>
  </si>
  <si>
    <t>NPC_LIFE</t>
  </si>
  <si>
    <t>NPC气血值监控</t>
  </si>
  <si>
    <t>NPC_FIGHT</t>
  </si>
  <si>
    <t>NPC进入战斗</t>
  </si>
  <si>
    <t>SKILL_BEGIN</t>
  </si>
  <si>
    <t>技能开始释放</t>
  </si>
  <si>
    <t>SKILL_END</t>
  </si>
  <si>
    <t>技能成功(结束)释放</t>
  </si>
  <si>
    <t>SYS_TALK</t>
  </si>
  <si>
    <t>系统聊天信息(未使用)</t>
  </si>
  <si>
    <t>NPC_ALLLEAVE</t>
  </si>
  <si>
    <t>所有同一个NPC离开场景</t>
  </si>
  <si>
    <t>NPC_DEATH</t>
  </si>
  <si>
    <t>NPC死亡</t>
  </si>
  <si>
    <t>NPC_ALLDEATH</t>
  </si>
  <si>
    <t>所有同一个NPC死亡</t>
  </si>
  <si>
    <t>TALK_MONITOR</t>
  </si>
  <si>
    <t>聊天监控(喊话监控使用)</t>
  </si>
  <si>
    <t>COMMON</t>
  </si>
  <si>
    <t>NPC_MANA</t>
  </si>
  <si>
    <t>NPC内力值监控</t>
  </si>
  <si>
    <t>DOODAD_ENTER</t>
  </si>
  <si>
    <t>互动物品进入场景</t>
  </si>
  <si>
    <t>DOODAD_LEAVE</t>
  </si>
  <si>
    <t>互动物品离开场景</t>
  </si>
  <si>
    <t>DOODAD_ALLLEAVE</t>
  </si>
  <si>
    <t>所有同一个互动物品离开场景</t>
  </si>
  <si>
    <t>CHAT_MONITOR</t>
  </si>
  <si>
    <t>触发监听系统信息(系统聊天监控使用)</t>
  </si>
  <si>
    <t>团队面板</t>
  </si>
  <si>
    <t>多个条件面板，必须最高条件放前，低条件放后，且每个条件面板的优先级需依次+1</t>
  </si>
  <si>
    <t>nStackNum</t>
  </si>
  <si>
    <t>触发层数</t>
  </si>
  <si>
    <t>nStackNum = 3</t>
  </si>
  <si>
    <t>例：春泥护花，第一个条件&gt;=8层、优先级5，第二条件&gt;=4、优先级6，第三条件&gt;=1、优先级7</t>
  </si>
  <si>
    <t>szStackOp</t>
  </si>
  <si>
    <t>触发逻辑（数学比较运算符）</t>
  </si>
  <si>
    <t>szStackOp = "="</t>
  </si>
  <si>
    <t>bOnlyMine</t>
  </si>
  <si>
    <t>仅来源自己</t>
  </si>
  <si>
    <t>bOnlyMine = true</t>
  </si>
  <si>
    <t>此气劲来源自己的监控，常用于治疗心法的hot</t>
  </si>
  <si>
    <t>bOnlyMe</t>
  </si>
  <si>
    <t>仅监控自己</t>
  </si>
  <si>
    <t>bOnlyMe = true</t>
  </si>
  <si>
    <t>szReminder</t>
  </si>
  <si>
    <t>备注</t>
  </si>
  <si>
    <t>szReminder = "xxx"</t>
  </si>
  <si>
    <t>仅生效第一个字符，例：这是一个备注，显示时只显示“这”</t>
  </si>
  <si>
    <t>nPriority</t>
  </si>
  <si>
    <t>优先级（越小越高，0为最高）</t>
  </si>
  <si>
    <t>nPriority = 2</t>
  </si>
  <si>
    <t>不建议使用0、1，因为在excel表格中0，1可能代表布尔值，干扰公式结果，建议从5开始，留下2，3，4给PVE中BOSS秒杀等重要气劲使用</t>
  </si>
  <si>
    <t>蒙版颜色 + 描边颜色</t>
  </si>
  <si>
    <t>col = "#3FDFBFA9"</t>
  </si>
  <si>
    <t>nColAlpha</t>
  </si>
  <si>
    <t>整数（0-255）</t>
  </si>
  <si>
    <t>描边透明度</t>
  </si>
  <si>
    <t>nColAlpha = 169</t>
  </si>
  <si>
    <t>bAttention</t>
  </si>
  <si>
    <t>蒙版警告</t>
  </si>
  <si>
    <t>bAttention = true</t>
  </si>
  <si>
    <t>开启头顶提示</t>
  </si>
  <si>
    <t>colScreenHead</t>
  </si>
  <si>
    <t>头顶提示颜色</t>
  </si>
  <si>
    <t>colScreenHead = "#DFBF3F"</t>
  </si>
  <si>
    <t>bCaution</t>
  </si>
  <si>
    <t>开启特效警告</t>
  </si>
  <si>
    <t>bCaution = true</t>
  </si>
  <si>
    <t>焦点列表</t>
  </si>
  <si>
    <t>多个焦点数组，关系建议先写敌对，后友方，最后全部</t>
  </si>
  <si>
    <t>tRelation</t>
  </si>
  <si>
    <t>目标关系</t>
  </si>
  <si>
    <t>tRelation = {			--目标关系
    bAll = false,			--全部
    bEnemy = false,			--敌对目标
    bAlly = true,			--非敌对目标
},</t>
  </si>
  <si>
    <t>例：第一条件，敌方血量&lt;100，第二条件非敌方血量&lt;100，第三条件全部</t>
  </si>
  <si>
    <t>tLife</t>
  </si>
  <si>
    <t>目标血量百分比</t>
  </si>
  <si>
    <t>tLife = {				--目标气血限制
    bEnable = true,			--是否启用
    szOperator = "&gt;=",		--触发逻辑（对应气血百分比，=、!=、&lt;、&gt;=、&gt;、&lt;=）
    nValue = 60,			--气血百分比
},</t>
  </si>
  <si>
    <t>nMaxDistance</t>
  </si>
  <si>
    <t>数字</t>
  </si>
  <si>
    <t>最大距离</t>
  </si>
  <si>
    <t>nMaxDistance = 10</t>
  </si>
  <si>
    <t>szDisplay</t>
  </si>
  <si>
    <t>名称显示</t>
  </si>
  <si>
    <t>szDisplay = "xxxx"</t>
  </si>
  <si>
    <t>dwMapID</t>
  </si>
  <si>
    <t>生效地图ID</t>
  </si>
  <si>
    <t>dwMapID = -1</t>
  </si>
  <si>
    <t>倒计时条</t>
  </si>
  <si>
    <t>nClass</t>
  </si>
  <si>
    <t>动态属性编号</t>
  </si>
  <si>
    <t>nClass = 9</t>
  </si>
  <si>
    <t>计时条图标</t>
  </si>
  <si>
    <t>nIcon = 894</t>
  </si>
  <si>
    <t>倒计时条背景色（0橙,1粉,2红,3黄,4灰,5深蓝,6绿,7浅蓝,8紫,其他为透明）</t>
  </si>
  <si>
    <t>nFrame = 1</t>
  </si>
  <si>
    <t>透明建议使用-1</t>
  </si>
  <si>
    <t>bHold</t>
  </si>
  <si>
    <t>倒计时过图不消失</t>
  </si>
  <si>
    <t>bHold = true</t>
  </si>
  <si>
    <t>倒计时条显示文字</t>
  </si>
  <si>
    <t>szName = "倒计时 {$S565}"</t>
  </si>
  <si>
    <t>是否开启团队喊话报警</t>
  </si>
  <si>
    <t>nTime</t>
  </si>
  <si>
    <t>数字/字符串</t>
  </si>
  <si>
    <t>倒计时条显示时长</t>
  </si>
  <si>
    <t>nTime = 10</t>
  </si>
  <si>
    <t>nRefresh</t>
  </si>
  <si>
    <t>重复调用时间限制</t>
  </si>
  <si>
    <t>nRefresh = 5</t>
  </si>
  <si>
    <t>key</t>
  </si>
  <si>
    <t>倒计时唯一标识</t>
  </si>
  <si>
    <t>key = "demo"</t>
  </si>
  <si>
    <t>倒计时条调用标识，标识符由自己规定，但注意关键字请最最最最好用全名。因为标识符可以设置模板字符，你可以跨区域用模板字符调用终止，用了缩写则很难在别处用模板调用</t>
  </si>
  <si>
    <t>例：春泥护花，你可以自由添加各种符号写“气劲·减伤·【春泥护花】”，但请不要写“气劲·减伤·【春泥】”</t>
  </si>
  <si>
    <t>例：阴山大草原，可以设置标识符为地图·[阴山大草原]，但不要设置为地图·[阴山]或地图·[大草原]</t>
  </si>
  <si>
    <t>例：王遗风，可以设置为NPC·王遗风，但不要设置为NPC·老王</t>
  </si>
  <si>
    <t>地图ID</t>
  </si>
  <si>
    <t>地图名称</t>
  </si>
  <si>
    <t>门派</t>
  </si>
  <si>
    <t>School ID</t>
  </si>
  <si>
    <t>Force ID</t>
  </si>
  <si>
    <t>心法</t>
  </si>
  <si>
    <t>Mount ID</t>
  </si>
  <si>
    <t>Kungfu ID</t>
  </si>
  <si>
    <t>武学套路说明</t>
  </si>
  <si>
    <t>颜色表</t>
  </si>
  <si>
    <t>RGB</t>
  </si>
  <si>
    <t>H</t>
  </si>
  <si>
    <t>站位走位</t>
  </si>
  <si>
    <t>语音唯一标识符</t>
  </si>
  <si>
    <t>内容示例</t>
  </si>
  <si>
    <t>服务器</t>
  </si>
  <si>
    <t>pet_Type</t>
  </si>
  <si>
    <t>Source</t>
  </si>
  <si>
    <t>出行饲料</t>
  </si>
  <si>
    <t>宠物对应饲料</t>
  </si>
  <si>
    <t>宠物类型</t>
  </si>
  <si>
    <t>江湖</t>
  </si>
  <si>
    <t>10005;10010;10095;10082</t>
  </si>
  <si>
    <t>防身武艺;基础招式;混元气功;江湖轻功</t>
  </si>
  <si>
    <t>浩气盟</t>
  </si>
  <si>
    <t>60,128,220</t>
  </si>
  <si>
    <t>准备承伤</t>
  </si>
  <si>
    <t>ChengShang_P</t>
  </si>
  <si>
    <t>都来准备承伤</t>
  </si>
  <si>
    <t>绝代天骄</t>
  </si>
  <si>
    <t>电信八区</t>
  </si>
  <si>
    <t>鱼虾类</t>
  </si>
  <si>
    <t>小鱼虾</t>
  </si>
  <si>
    <t>禽鸟</t>
  </si>
  <si>
    <t>杂粮谷物</t>
  </si>
  <si>
    <t>猪</t>
  </si>
  <si>
    <t>家畜</t>
  </si>
  <si>
    <t>天策</t>
  </si>
  <si>
    <t>易筋经</t>
  </si>
  <si>
    <t>10031;10032;10033;10034</t>
  </si>
  <si>
    <t>罗汉棍法;龙爪功;袈裟伏魔功;达摩武诀</t>
  </si>
  <si>
    <t>恶人谷</t>
  </si>
  <si>
    <t>160,30,30</t>
  </si>
  <si>
    <t>准备抱团</t>
  </si>
  <si>
    <t>BaoTuan_P</t>
  </si>
  <si>
    <t>准备抱团啦</t>
  </si>
  <si>
    <t>斗转星移</t>
  </si>
  <si>
    <t>电信五区</t>
  </si>
  <si>
    <t>水族</t>
  </si>
  <si>
    <t>锦绣霓裳活动</t>
  </si>
  <si>
    <t>谷物类</t>
  </si>
  <si>
    <t>羊</t>
  </si>
  <si>
    <t>万花</t>
  </si>
  <si>
    <t>洗髓经</t>
  </si>
  <si>
    <t>少林</t>
  </si>
  <si>
    <t>255,178,95</t>
  </si>
  <si>
    <t>准备分散</t>
  </si>
  <si>
    <t>FenSan_P</t>
  </si>
  <si>
    <t>准备分散呀</t>
  </si>
  <si>
    <t>唯我独尊</t>
  </si>
  <si>
    <t>大师赛竞猜</t>
  </si>
  <si>
    <t>肉类</t>
  </si>
  <si>
    <t>封家小块肉排</t>
  </si>
  <si>
    <t>皇竹草</t>
  </si>
  <si>
    <t>马</t>
  </si>
  <si>
    <t>纯阳</t>
  </si>
  <si>
    <t>太虚剑意</t>
  </si>
  <si>
    <t>10000;10009;10011;10012</t>
  </si>
  <si>
    <t>纯阳诀;北冥剑气;天道剑势;坐忘经</t>
  </si>
  <si>
    <t>196,152,255</t>
  </si>
  <si>
    <t>准备移动</t>
  </si>
  <si>
    <t>YiDong_P</t>
  </si>
  <si>
    <t>乾坤一掷</t>
  </si>
  <si>
    <t>走兽</t>
  </si>
  <si>
    <t>积分福袋</t>
  </si>
  <si>
    <t>机关组装零件</t>
  </si>
  <si>
    <t>猫科</t>
  </si>
  <si>
    <t>七秀</t>
  </si>
  <si>
    <t>紫霞功</t>
  </si>
  <si>
    <t>255,111,83</t>
  </si>
  <si>
    <t>准备原地不动</t>
  </si>
  <si>
    <t>YuanDiBuDong_P</t>
  </si>
  <si>
    <t>准备原地停留</t>
  </si>
  <si>
    <t>横刀断浪</t>
  </si>
  <si>
    <t>机关</t>
  </si>
  <si>
    <t>未知</t>
  </si>
  <si>
    <t>啮齿类</t>
  </si>
  <si>
    <t>磨牙棒</t>
  </si>
  <si>
    <t>犬科</t>
  </si>
  <si>
    <t>花间游</t>
  </si>
  <si>
    <t>10018;10019;10088;10089</t>
  </si>
  <si>
    <t>养心诀;太素九针;点穴截脉;百花拂穴手</t>
  </si>
  <si>
    <t>22,216,216</t>
  </si>
  <si>
    <t>准备背对</t>
  </si>
  <si>
    <t>BeiDui_P</t>
  </si>
  <si>
    <t>剑胆琴心</t>
  </si>
  <si>
    <t>世界奇遇</t>
  </si>
  <si>
    <t>异宠类</t>
  </si>
  <si>
    <t>草饼</t>
  </si>
  <si>
    <t>啮齿</t>
  </si>
  <si>
    <t>藏剑</t>
  </si>
  <si>
    <t>离经易道</t>
  </si>
  <si>
    <t>255,129,176</t>
  </si>
  <si>
    <t>准备引导</t>
  </si>
  <si>
    <t>YinDao_P</t>
  </si>
  <si>
    <t>幽月轮</t>
  </si>
  <si>
    <t>积分回馈</t>
  </si>
  <si>
    <t>草料类</t>
  </si>
  <si>
    <t>丐帮</t>
  </si>
  <si>
    <t>傲血战意</t>
  </si>
  <si>
    <t>10017;10023;10024;10061</t>
  </si>
  <si>
    <t>羽林枪法;虎牙令;奔雷枪术;游龙骑法</t>
  </si>
  <si>
    <t>五毒</t>
  </si>
  <si>
    <t>55,147,255</t>
  </si>
  <si>
    <t>远离boss</t>
  </si>
  <si>
    <t>YuanLiBoss</t>
  </si>
  <si>
    <t>快远离boss</t>
  </si>
  <si>
    <t>梦江南</t>
  </si>
  <si>
    <t>秘境奇遇</t>
  </si>
  <si>
    <t>异宠</t>
  </si>
  <si>
    <t>明教</t>
  </si>
  <si>
    <t>铁牢律</t>
  </si>
  <si>
    <t>唐门</t>
  </si>
  <si>
    <t>121,183,54</t>
  </si>
  <si>
    <t>Boss拉走</t>
  </si>
  <si>
    <t>BossLaZou</t>
  </si>
  <si>
    <t>把boss拉走</t>
  </si>
  <si>
    <t>执子之手</t>
  </si>
  <si>
    <t>门派特有</t>
  </si>
  <si>
    <t>任何</t>
  </si>
  <si>
    <t>蜀黍</t>
  </si>
  <si>
    <t>冰心诀</t>
  </si>
  <si>
    <t>10068;10069;10070;10072</t>
  </si>
  <si>
    <t>猿公剑法;霓裳羽衣;西河剑器;剑器浑脱</t>
  </si>
  <si>
    <t>214,249,93</t>
  </si>
  <si>
    <t>小怪拉走</t>
  </si>
  <si>
    <t>XiaoGuaiLaZou</t>
  </si>
  <si>
    <t>把小怪拉走</t>
  </si>
  <si>
    <t>飞龙在天</t>
  </si>
  <si>
    <t>双线二区</t>
  </si>
  <si>
    <t>游戏活动</t>
  </si>
  <si>
    <t>云裳心经</t>
  </si>
  <si>
    <t>205,133,63</t>
  </si>
  <si>
    <t>承伤抱团</t>
  </si>
  <si>
    <t>ChengShang_T</t>
  </si>
  <si>
    <t>一起抱团承伤</t>
  </si>
  <si>
    <t>破阵子</t>
  </si>
  <si>
    <t>双线一区</t>
  </si>
  <si>
    <t>限时宠物</t>
  </si>
  <si>
    <t>苍云</t>
  </si>
  <si>
    <t>毒经</t>
  </si>
  <si>
    <t>10171;10172;10173;10174</t>
  </si>
  <si>
    <t>千劫万毒手;引魂蛊术;驭虫奇术;补天心经</t>
  </si>
  <si>
    <t>240,70,96</t>
  </si>
  <si>
    <t>找T抱团</t>
  </si>
  <si>
    <t>BaoTuan_T_sp</t>
  </si>
  <si>
    <t>天鹅坪</t>
  </si>
  <si>
    <t>运营活动</t>
  </si>
  <si>
    <t>长歌</t>
  </si>
  <si>
    <t>补天诀</t>
  </si>
  <si>
    <t>180,60,0</t>
  </si>
  <si>
    <t>人群抱团</t>
  </si>
  <si>
    <t>BaoTuan_T_sp2</t>
  </si>
  <si>
    <t>长安城</t>
  </si>
  <si>
    <t>电信一区</t>
  </si>
  <si>
    <t>霸刀</t>
  </si>
  <si>
    <t>惊羽诀</t>
  </si>
  <si>
    <t>10216;10218;10219;10220</t>
  </si>
  <si>
    <t>乾坤一掷;百步穿杨;九宫飞星;天魔无相</t>
  </si>
  <si>
    <t>100,250,180</t>
  </si>
  <si>
    <t>点名抱团</t>
  </si>
  <si>
    <t>BaoTuan_T_s</t>
  </si>
  <si>
    <t>点名玩家抱团</t>
  </si>
  <si>
    <t>蝶恋花</t>
  </si>
  <si>
    <t>蓬莱</t>
  </si>
  <si>
    <t>天罗诡道</t>
  </si>
  <si>
    <t>106,108,189</t>
  </si>
  <si>
    <t>boss脚下抱团</t>
  </si>
  <si>
    <t>BaoTuan_T_sp3</t>
  </si>
  <si>
    <t>龙争虎斗</t>
  </si>
  <si>
    <t>八荒横鉴</t>
  </si>
  <si>
    <t>凌雪</t>
  </si>
  <si>
    <t>问水诀</t>
  </si>
  <si>
    <t>10146;10148;10149;10150</t>
  </si>
  <si>
    <t>秀水剑法;灵峰剑式;君子风;西子情</t>
  </si>
  <si>
    <t>171,227,250</t>
  </si>
  <si>
    <t>npc脚下抱团</t>
  </si>
  <si>
    <t>BaoTuan_T_sp4</t>
  </si>
  <si>
    <t>青梅煮酒</t>
  </si>
  <si>
    <t>双线四区</t>
  </si>
  <si>
    <t>家园</t>
  </si>
  <si>
    <t>衍天</t>
  </si>
  <si>
    <t>山居剑意</t>
  </si>
  <si>
    <t>161,9,34</t>
  </si>
  <si>
    <t>保持分散</t>
  </si>
  <si>
    <t>FenSan_T</t>
  </si>
  <si>
    <t>保持分散 散开</t>
  </si>
  <si>
    <t>奉天证道</t>
  </si>
  <si>
    <t>列镜虚境</t>
  </si>
  <si>
    <t>药宗</t>
  </si>
  <si>
    <t>笑尘诀</t>
  </si>
  <si>
    <t>10263;10264;10296;10265</t>
  </si>
  <si>
    <t>打狗棒法;降龙掌·上;降龙掌·下;逍遥行</t>
  </si>
  <si>
    <t>166,83,251</t>
  </si>
  <si>
    <t>保持移动</t>
  </si>
  <si>
    <t>YiDong_T</t>
  </si>
  <si>
    <t>保持移动 别停</t>
  </si>
  <si>
    <t>百战通用</t>
  </si>
  <si>
    <t>刀宗</t>
  </si>
  <si>
    <t>焚影圣诀</t>
  </si>
  <si>
    <t>10235;10236;10237;10238</t>
  </si>
  <si>
    <t>日月净世;幻魔妙相;御暗烬灭令;大圣明尊法</t>
  </si>
  <si>
    <t>0,172,153</t>
  </si>
  <si>
    <t>别动</t>
  </si>
  <si>
    <t>YuanDiBuDong_T</t>
  </si>
  <si>
    <t>站原地别动</t>
  </si>
  <si>
    <t>李渡鬼域</t>
  </si>
  <si>
    <t>明尊琉璃体</t>
  </si>
  <si>
    <t>107,183,242</t>
  </si>
  <si>
    <t>背对boss</t>
  </si>
  <si>
    <t>BeiDui_T</t>
  </si>
  <si>
    <t>面向背对boss</t>
  </si>
  <si>
    <t>绝境战场</t>
  </si>
  <si>
    <t>铁骨衣</t>
  </si>
  <si>
    <t>10385;10386;10384;10383</t>
  </si>
  <si>
    <t>云城盾;苍雪刀;破阵令;寒铁诀</t>
  </si>
  <si>
    <t>万灵</t>
  </si>
  <si>
    <t>235,215,115</t>
  </si>
  <si>
    <t>注意引导</t>
  </si>
  <si>
    <t>YinDao_T</t>
  </si>
  <si>
    <t>注意准备引导</t>
  </si>
  <si>
    <t>战场</t>
  </si>
  <si>
    <t>分山劲</t>
  </si>
  <si>
    <t>白色</t>
  </si>
  <si>
    <t>255,255,255</t>
  </si>
  <si>
    <t>点名引导</t>
  </si>
  <si>
    <t>YinDao_T_s</t>
  </si>
  <si>
    <t>点名玩家引导</t>
  </si>
  <si>
    <t>回收站</t>
  </si>
  <si>
    <t>莫问</t>
  </si>
  <si>
    <t>10440;10441;10442;10443</t>
  </si>
  <si>
    <t>音;曲;气;影</t>
  </si>
  <si>
    <t>红色</t>
  </si>
  <si>
    <t>255,50,50</t>
  </si>
  <si>
    <t>点名</t>
  </si>
  <si>
    <t>名剑大会</t>
  </si>
  <si>
    <t>相知</t>
  </si>
  <si>
    <t>橙色</t>
  </si>
  <si>
    <t>255,150,0</t>
  </si>
  <si>
    <t>准备点名</t>
  </si>
  <si>
    <t>DianMing_P</t>
  </si>
  <si>
    <t>野外地图</t>
  </si>
  <si>
    <t>北傲诀</t>
  </si>
  <si>
    <t>10465;10466;10467;10468</t>
  </si>
  <si>
    <t>殷雷腿;秀明尘身;松烟竹雾;雪絮金屏</t>
  </si>
  <si>
    <t>黄色</t>
  </si>
  <si>
    <t>255,255,0</t>
  </si>
  <si>
    <t>远离点名</t>
  </si>
  <si>
    <t>DianMing_T_sp</t>
  </si>
  <si>
    <t>远离点名玩家</t>
  </si>
  <si>
    <t>浪客行</t>
  </si>
  <si>
    <t>凌海诀</t>
  </si>
  <si>
    <t>10535;10539;10540;10541</t>
  </si>
  <si>
    <t>风起云扬诀;长空破云式;九霄踏云步;碧海缥缈掌</t>
  </si>
  <si>
    <t>绿色</t>
  </si>
  <si>
    <t>0,255,0</t>
  </si>
  <si>
    <t>点名出人群</t>
  </si>
  <si>
    <t>DianMing_T_sp2</t>
  </si>
  <si>
    <t>点名玩家出人群</t>
  </si>
  <si>
    <t>团队秘境</t>
  </si>
  <si>
    <t>隐龙诀</t>
  </si>
  <si>
    <t>10586;10588;10589;10590</t>
  </si>
  <si>
    <t>断水刃;隐雷鞭;冲云链;山河令</t>
  </si>
  <si>
    <t>青色</t>
  </si>
  <si>
    <t>0,255,255</t>
  </si>
  <si>
    <t>点名躲技能</t>
  </si>
  <si>
    <t>DianMing_T_sp3</t>
  </si>
  <si>
    <t>点名玩家多好技能</t>
  </si>
  <si>
    <t>小队秘境</t>
  </si>
  <si>
    <t>太玄经</t>
  </si>
  <si>
    <t>10614;10617;10618;10619</t>
  </si>
  <si>
    <t>九字诀;占术;奇门;天机</t>
  </si>
  <si>
    <t>蓝色</t>
  </si>
  <si>
    <t>0,50,255</t>
  </si>
  <si>
    <t>点名上点</t>
  </si>
  <si>
    <t>DianMing_T_sp4</t>
  </si>
  <si>
    <t>点名玩家前往指定点</t>
  </si>
  <si>
    <t>秘境</t>
  </si>
  <si>
    <t>灵素</t>
  </si>
  <si>
    <t>10622;10623;10624;10625</t>
  </si>
  <si>
    <t>行忌制方;行宜列药;凌波飞叶令;神农百草诀</t>
  </si>
  <si>
    <t>紫色</t>
  </si>
  <si>
    <t>255,50,255</t>
  </si>
  <si>
    <t>点名不动</t>
  </si>
  <si>
    <t>DianMing_T_sp5</t>
  </si>
  <si>
    <t>点名玩家原地别动</t>
  </si>
  <si>
    <t>主城</t>
  </si>
  <si>
    <t>无方</t>
  </si>
  <si>
    <t>淡黄</t>
  </si>
  <si>
    <t>223,191,31</t>
  </si>
  <si>
    <t>点名遛怪</t>
  </si>
  <si>
    <t>DianMing_T_sp6</t>
  </si>
  <si>
    <t>点名玩家遛怪</t>
  </si>
  <si>
    <t>通用</t>
  </si>
  <si>
    <t>10697;10706;10707;10708</t>
  </si>
  <si>
    <t>流云势法;游风步;破浪三式;骤雨劲</t>
  </si>
  <si>
    <t>嫩绿</t>
  </si>
  <si>
    <t>179,238,74</t>
  </si>
  <si>
    <t>技能释放</t>
  </si>
  <si>
    <t>粉色</t>
  </si>
  <si>
    <t>255,153,204</t>
  </si>
  <si>
    <t>准备驱散</t>
  </si>
  <si>
    <t>QuSan_P</t>
  </si>
  <si>
    <t>稻香村</t>
  </si>
  <si>
    <t>灰色</t>
  </si>
  <si>
    <t>170,170,170</t>
  </si>
  <si>
    <t>准备减伤</t>
  </si>
  <si>
    <t>JianShang_P</t>
  </si>
  <si>
    <t>准备开减伤</t>
  </si>
  <si>
    <t>金色</t>
  </si>
  <si>
    <t>255,204,0</t>
  </si>
  <si>
    <t>准备控怪</t>
  </si>
  <si>
    <t>KongGuai_P</t>
  </si>
  <si>
    <t>1024_蓝天白云</t>
  </si>
  <si>
    <t>淡紫</t>
  </si>
  <si>
    <t>165,96,232</t>
  </si>
  <si>
    <t>准备打断</t>
  </si>
  <si>
    <t>DaDuan_P</t>
  </si>
  <si>
    <t>淡绿</t>
  </si>
  <si>
    <t>0,238,0</t>
  </si>
  <si>
    <t>准备连续打断</t>
  </si>
  <si>
    <t>LianXuDaDuan_P</t>
  </si>
  <si>
    <t>扬州</t>
  </si>
  <si>
    <t>敌人</t>
  </si>
  <si>
    <t>243,53,8,</t>
  </si>
  <si>
    <t>准备抬血</t>
  </si>
  <si>
    <t>TaiXie_P</t>
  </si>
  <si>
    <t>治疗准备抬血</t>
  </si>
  <si>
    <t>255,100,31,</t>
  </si>
  <si>
    <t>准备断读条</t>
  </si>
  <si>
    <t>DuanDuTiao_P</t>
  </si>
  <si>
    <t>洛阳</t>
  </si>
  <si>
    <t>200,60,40,</t>
  </si>
  <si>
    <t>驱散T</t>
  </si>
  <si>
    <t>QuSan_T_sp</t>
  </si>
  <si>
    <t>快驱散T</t>
  </si>
  <si>
    <t>洛道</t>
  </si>
  <si>
    <t>180,60,40,</t>
  </si>
  <si>
    <t>驱散点名</t>
  </si>
  <si>
    <t>QuSan_T_sp2</t>
  </si>
  <si>
    <t>驱散点名玩家</t>
  </si>
  <si>
    <t>寇岛</t>
  </si>
  <si>
    <t>235,80,50,</t>
  </si>
  <si>
    <t>驱散boss</t>
  </si>
  <si>
    <t>QuSan_T_sp3</t>
  </si>
  <si>
    <t>255,120,31,</t>
  </si>
  <si>
    <t>驱散npc</t>
  </si>
  <si>
    <t>QuSan_T_sp4</t>
  </si>
  <si>
    <t>驱散Npc</t>
  </si>
  <si>
    <t>枫华谷</t>
  </si>
  <si>
    <t>31,230,255,</t>
  </si>
  <si>
    <t>快开减伤</t>
  </si>
  <si>
    <t>JianShang_T</t>
  </si>
  <si>
    <t>快开减伤！</t>
  </si>
  <si>
    <t>金水镇</t>
  </si>
  <si>
    <t>给点名减伤</t>
  </si>
  <si>
    <t>JianShang_T_s</t>
  </si>
  <si>
    <t>给被点玩家减伤！</t>
  </si>
  <si>
    <t>灵霄峡</t>
  </si>
  <si>
    <t>注意控怪</t>
  </si>
  <si>
    <t>KongGuai_T</t>
  </si>
  <si>
    <t>注意控制目标</t>
  </si>
  <si>
    <t>长安</t>
  </si>
  <si>
    <t>打断！</t>
  </si>
  <si>
    <t>DaDuan_T</t>
  </si>
  <si>
    <t>快打断！</t>
  </si>
  <si>
    <t>打断注意接断</t>
  </si>
  <si>
    <t>LianXuDaDuan_T</t>
  </si>
  <si>
    <t>准备继续打断</t>
  </si>
  <si>
    <t>天工坊</t>
  </si>
  <si>
    <t>注意团血</t>
  </si>
  <si>
    <t>TaiXie_T</t>
  </si>
  <si>
    <t>无盐岛</t>
  </si>
  <si>
    <t>点名给大加</t>
  </si>
  <si>
    <t>TaiXie_T_s</t>
  </si>
  <si>
    <t>给点名玩家大加！</t>
  </si>
  <si>
    <t>空雾峰</t>
  </si>
  <si>
    <t>别用读条技能</t>
  </si>
  <si>
    <t>DuanDuTiao_T</t>
  </si>
  <si>
    <t>断读条，别用读条技能</t>
  </si>
  <si>
    <t>天地三才阵</t>
  </si>
  <si>
    <t>目标</t>
  </si>
  <si>
    <t>巴陵县</t>
  </si>
  <si>
    <t>准备转火</t>
  </si>
  <si>
    <t>ZhuanHuo_P</t>
  </si>
  <si>
    <t>南屏山</t>
  </si>
  <si>
    <t>准备停手</t>
  </si>
  <si>
    <t>TingShou_P</t>
  </si>
  <si>
    <t>龙门荒漠</t>
  </si>
  <si>
    <t>准备停奶</t>
  </si>
  <si>
    <t>TingNai_P</t>
  </si>
  <si>
    <t>治疗准备停奶</t>
  </si>
  <si>
    <t>准备换仇</t>
  </si>
  <si>
    <t>HuanChou_P</t>
  </si>
  <si>
    <t>T准备换仇</t>
  </si>
  <si>
    <t>荻花宫前山</t>
  </si>
  <si>
    <t>停手别打了</t>
  </si>
  <si>
    <t>TingShou_T</t>
  </si>
  <si>
    <t>DPS停手!</t>
  </si>
  <si>
    <t>治疗停手</t>
  </si>
  <si>
    <t>TingNai_T</t>
  </si>
  <si>
    <t>治疗停手!</t>
  </si>
  <si>
    <t>日轮山城</t>
  </si>
  <si>
    <t>注意换仇</t>
  </si>
  <si>
    <t>HuanChou_T</t>
  </si>
  <si>
    <t>T注意换仇</t>
  </si>
  <si>
    <t>五十级云湖天池</t>
  </si>
  <si>
    <t>其它</t>
  </si>
  <si>
    <t>昆仑</t>
  </si>
  <si>
    <t>准备转阶段</t>
  </si>
  <si>
    <t>ZhuanJieDuan</t>
  </si>
  <si>
    <t>特殊光照地图2</t>
  </si>
  <si>
    <t>准备QTE</t>
  </si>
  <si>
    <t>QTE</t>
  </si>
  <si>
    <t>战宝迦兰</t>
  </si>
  <si>
    <t>使用道具</t>
  </si>
  <si>
    <t>ShiYongDaoJu</t>
  </si>
  <si>
    <t>使用特殊道具</t>
  </si>
  <si>
    <t>天子峰</t>
  </si>
  <si>
    <t>使用特殊技能</t>
  </si>
  <si>
    <t>ShiYongTeShuJiNeng</t>
  </si>
  <si>
    <t>风雨稻香村</t>
  </si>
  <si>
    <t>转火</t>
  </si>
  <si>
    <t>瞿塘峡</t>
  </si>
  <si>
    <t>转火白云</t>
  </si>
  <si>
    <t>ZhuanHuo_T_BY</t>
  </si>
  <si>
    <t>英雄天地三才阵</t>
  </si>
  <si>
    <t>转火小剑</t>
  </si>
  <si>
    <t>ZhuanHuo_T_XJ</t>
  </si>
  <si>
    <t>英雄天工坊</t>
  </si>
  <si>
    <t>转火斧头</t>
  </si>
  <si>
    <t>ZhuanHuo_T_FT</t>
  </si>
  <si>
    <t>神农洇</t>
  </si>
  <si>
    <t>转火钩子</t>
  </si>
  <si>
    <t>ZhuanHuo_T_GZ</t>
  </si>
  <si>
    <t>四十级云湖天池</t>
  </si>
  <si>
    <t>转火红鼓</t>
  </si>
  <si>
    <t>ZhuanHuo_T_HG</t>
  </si>
  <si>
    <t>英雄荻花宫前山</t>
  </si>
  <si>
    <t>转火剪刀</t>
  </si>
  <si>
    <t>ZhuanHuo_T_JD</t>
  </si>
  <si>
    <t>英雄无盐岛</t>
  </si>
  <si>
    <t>转火棒槌</t>
  </si>
  <si>
    <t>ZhuanHuo_T_BCh</t>
  </si>
  <si>
    <t>英雄天子峰</t>
  </si>
  <si>
    <t>转火如意</t>
  </si>
  <si>
    <t>ZhuanHuo_T_RY</t>
  </si>
  <si>
    <t>英雄空雾峰</t>
  </si>
  <si>
    <t>转火飞镖</t>
  </si>
  <si>
    <t>ZhuanHuo_T_FB</t>
  </si>
  <si>
    <t>英雄日轮山城</t>
  </si>
  <si>
    <t>转火扇子</t>
  </si>
  <si>
    <t>ZhuanHuo_T_ShZ</t>
  </si>
  <si>
    <t>转火扇子 </t>
  </si>
  <si>
    <t>英雄灵霄峡</t>
  </si>
  <si>
    <t>近战转火白云</t>
  </si>
  <si>
    <t>ZhuanHuo_T_BY_sp</t>
  </si>
  <si>
    <t>英雄战宝迦兰</t>
  </si>
  <si>
    <t>近战转火小剑</t>
  </si>
  <si>
    <t>ZhuanHuo_T_XJ_sp</t>
  </si>
  <si>
    <t>英雄风雨稻香村</t>
  </si>
  <si>
    <t>近战转火斧头</t>
  </si>
  <si>
    <t>ZhuanHuo_T_FT_sp</t>
  </si>
  <si>
    <t>珍珑棋谷</t>
  </si>
  <si>
    <t>近战转火钩子</t>
  </si>
  <si>
    <t>ZhuanHuo_T_GZ_sp</t>
  </si>
  <si>
    <t>藏剑山庄</t>
  </si>
  <si>
    <t>近战转火红鼓</t>
  </si>
  <si>
    <t>ZhuanHuo_T_HG_sp</t>
  </si>
  <si>
    <t>丝绸之路</t>
  </si>
  <si>
    <t>近战转火剪刀</t>
  </si>
  <si>
    <t>ZhuanHuo_T_JD_sp</t>
  </si>
  <si>
    <t>剑冢</t>
  </si>
  <si>
    <t>近战转火棒槌</t>
  </si>
  <si>
    <t>ZhuanHuo_T_BCh_sp</t>
  </si>
  <si>
    <t>七十级云湖天池</t>
  </si>
  <si>
    <t>近战转火如意</t>
  </si>
  <si>
    <t>ZhuanHuo_T_RY_sp</t>
  </si>
  <si>
    <t>邀星坪_夜射天狼</t>
  </si>
  <si>
    <t>近战转火飞镖</t>
  </si>
  <si>
    <t>ZhuanHuo_T_FB_sp</t>
  </si>
  <si>
    <t>守株围场_打猎</t>
  </si>
  <si>
    <t>近战转火扇子</t>
  </si>
  <si>
    <t>ZhuanHuo_T_ShZ_sp</t>
  </si>
  <si>
    <t>困龙岭_梅花桩</t>
  </si>
  <si>
    <t>远程转火白云</t>
  </si>
  <si>
    <t>ZhuanHuo_T_BY_sp2</t>
  </si>
  <si>
    <t>陷空坳_宇文宝藏</t>
  </si>
  <si>
    <t>远程转火小剑</t>
  </si>
  <si>
    <t>ZhuanHuo_T_XJ_sp2</t>
  </si>
  <si>
    <t>百草园</t>
  </si>
  <si>
    <t>远程转火斧头</t>
  </si>
  <si>
    <t>ZhuanHuo_T_FT_sp2</t>
  </si>
  <si>
    <t>持国天王殿</t>
  </si>
  <si>
    <t>远程转火钩子</t>
  </si>
  <si>
    <t>ZhuanHuo_T_GZ_sp2</t>
  </si>
  <si>
    <t>宫中神武遗迹</t>
  </si>
  <si>
    <t>远程转火红鼓</t>
  </si>
  <si>
    <t>ZhuanHuo_T_HG_sp2</t>
  </si>
  <si>
    <t>英雄剑冢</t>
  </si>
  <si>
    <t>远程转火剪刀</t>
  </si>
  <si>
    <t>ZhuanHuo_T_JD_sp2</t>
  </si>
  <si>
    <t>英雄宫中神武遗迹</t>
  </si>
  <si>
    <t>远程转火棒槌</t>
  </si>
  <si>
    <t>ZhuanHuo_T_BCh_sp2</t>
  </si>
  <si>
    <t>25人普通宫中神武遗迹</t>
  </si>
  <si>
    <t>远程转火如意</t>
  </si>
  <si>
    <t>ZhuanHuo_T_RY_sp2</t>
  </si>
  <si>
    <t>25人普通持国天王殿</t>
  </si>
  <si>
    <t>远程转火飞镖</t>
  </si>
  <si>
    <t>ZhuanHuo_T_FB_sp2</t>
  </si>
  <si>
    <t>英雄持国天王殿</t>
  </si>
  <si>
    <t>远程转火扇子</t>
  </si>
  <si>
    <t>ZhuanHuo_T_ShZ_sp2</t>
  </si>
  <si>
    <t>荻花宫后山</t>
  </si>
  <si>
    <t>内功转火白云</t>
  </si>
  <si>
    <t>ZhuanHuo_T_BY_sp3</t>
  </si>
  <si>
    <t>荻花圣殿</t>
  </si>
  <si>
    <t>内功转火小剑</t>
  </si>
  <si>
    <t>ZhuanHuo_T_XJ_sp3</t>
  </si>
  <si>
    <t>10人英雄荻花圣殿</t>
  </si>
  <si>
    <t>内功转火斧头</t>
  </si>
  <si>
    <t>ZhuanHuo_T_FT_sp3</t>
  </si>
  <si>
    <t>25人普通荻花圣殿</t>
  </si>
  <si>
    <t>内功转火钩子</t>
  </si>
  <si>
    <t>ZhuanHuo_T_GZ_sp3</t>
  </si>
  <si>
    <t>仙踪林</t>
  </si>
  <si>
    <t>内功转火红鼓</t>
  </si>
  <si>
    <t>ZhuanHuo_T_HG_sp3</t>
  </si>
  <si>
    <t>25人英雄荻花圣殿</t>
  </si>
  <si>
    <t>内功转火剪刀</t>
  </si>
  <si>
    <t>ZhuanHuo_T_JD_sp3</t>
  </si>
  <si>
    <t>英雄荻花宫后山</t>
  </si>
  <si>
    <t>内功转火棒槌</t>
  </si>
  <si>
    <t>ZhuanHuo_T_BCh_sp3</t>
  </si>
  <si>
    <t>帮会领地</t>
  </si>
  <si>
    <t>内功转火如意</t>
  </si>
  <si>
    <t>ZhuanHuo_T_RY_sp3</t>
  </si>
  <si>
    <t>毒神殿</t>
  </si>
  <si>
    <t>内功转火飞镖</t>
  </si>
  <si>
    <t>ZhuanHuo_T_FB_sp3</t>
  </si>
  <si>
    <t>白龙口</t>
  </si>
  <si>
    <t>内功转火扇子</t>
  </si>
  <si>
    <t>ZhuanHuo_T_ShZ_sp3</t>
  </si>
  <si>
    <t>无量山</t>
  </si>
  <si>
    <t>外功转火白云</t>
  </si>
  <si>
    <t>ZhuanHuo_T_BY_sp4</t>
  </si>
  <si>
    <t>外功转火小剑</t>
  </si>
  <si>
    <t>ZhuanHuo_T_XJ_sp4</t>
  </si>
  <si>
    <t>融天岭</t>
  </si>
  <si>
    <t>外功转火斧头</t>
  </si>
  <si>
    <t>ZhuanHuo_T_FT_sp4</t>
  </si>
  <si>
    <t>黑龙沼</t>
  </si>
  <si>
    <t>外功转火钩子</t>
  </si>
  <si>
    <t>ZhuanHuo_T_GZ_sp4</t>
  </si>
  <si>
    <t>苍山洱海</t>
  </si>
  <si>
    <t>外功转火红鼓</t>
  </si>
  <si>
    <t>ZhuanHuo_T_HG_sp4</t>
  </si>
  <si>
    <t>法王窟</t>
  </si>
  <si>
    <t>外功转火剪刀</t>
  </si>
  <si>
    <t>ZhuanHuo_T_JD_sp4</t>
  </si>
  <si>
    <t>无量宫</t>
  </si>
  <si>
    <t>外功转火棒槌</t>
  </si>
  <si>
    <t>ZhuanHuo_T_BCh_sp4</t>
  </si>
  <si>
    <t>成都</t>
  </si>
  <si>
    <t>外功转火如意</t>
  </si>
  <si>
    <t>ZhuanHuo_T_RY_sp4</t>
  </si>
  <si>
    <t>龙渊泽</t>
  </si>
  <si>
    <t>外功转火飞镖</t>
  </si>
  <si>
    <t>ZhuanHuo_T_FB_sp4</t>
  </si>
  <si>
    <t>寂灭厅</t>
  </si>
  <si>
    <t>外功转火扇子</t>
  </si>
  <si>
    <t>ZhuanHuo_T_ShZ_sp4</t>
  </si>
  <si>
    <t>英雄仙踪林</t>
  </si>
  <si>
    <t>治疗奶白云</t>
  </si>
  <si>
    <t>ZhiLiao_BY</t>
  </si>
  <si>
    <t>英雄毒神殿</t>
  </si>
  <si>
    <t>治疗奶小剑</t>
  </si>
  <si>
    <t>ZhiLiao_XJ</t>
  </si>
  <si>
    <t>英雄寂灭厅</t>
  </si>
  <si>
    <t>治疗奶斧头</t>
  </si>
  <si>
    <t>ZhiLiao_FT</t>
  </si>
  <si>
    <t>英雄无量宫</t>
  </si>
  <si>
    <t>治疗奶钩子</t>
  </si>
  <si>
    <t>ZhiLiao_GZ</t>
  </si>
  <si>
    <t>英雄法王窟</t>
  </si>
  <si>
    <t>治疗奶红鼓</t>
  </si>
  <si>
    <t>ZhiLiao_HG</t>
  </si>
  <si>
    <t>低级仙踪林</t>
  </si>
  <si>
    <t>治疗奶剪刀</t>
  </si>
  <si>
    <t>ZhiLiao_JD</t>
  </si>
  <si>
    <t>25人英雄龙渊泽</t>
  </si>
  <si>
    <t>治疗奶棒槌</t>
  </si>
  <si>
    <t>ZhiLiao_BCh</t>
  </si>
  <si>
    <t>25人普通龙渊泽</t>
  </si>
  <si>
    <t>治疗奶如意</t>
  </si>
  <si>
    <t>ZhiLiao_RY</t>
  </si>
  <si>
    <t>10人英雄龙渊泽</t>
  </si>
  <si>
    <t>治疗奶飞镖</t>
  </si>
  <si>
    <t>ZhiLiao_FB</t>
  </si>
  <si>
    <t>荻花洞窟</t>
  </si>
  <si>
    <t>治疗奶扇子</t>
  </si>
  <si>
    <t>ZhiLiao_ShZ</t>
  </si>
  <si>
    <t>英雄神农洇</t>
  </si>
  <si>
    <t>范围技能处理</t>
  </si>
  <si>
    <t> 语音唯一标识符</t>
  </si>
  <si>
    <t>准备躲面向</t>
  </si>
  <si>
    <t>DuoMianXiang_P</t>
  </si>
  <si>
    <t>低级唐门密室</t>
  </si>
  <si>
    <t>准备连续面向</t>
  </si>
  <si>
    <t>LianXuMianXiang_P</t>
  </si>
  <si>
    <t>唐门密室</t>
  </si>
  <si>
    <t>准备进面向</t>
  </si>
  <si>
    <t>JinMianXiang_P</t>
  </si>
  <si>
    <t>神剑冢</t>
  </si>
  <si>
    <t>准备躲矩形</t>
  </si>
  <si>
    <t>DuoJuXing_P</t>
  </si>
  <si>
    <t>天山碎冰谷</t>
  </si>
  <si>
    <t>准备躲圈</t>
  </si>
  <si>
    <t>DuoQuan_P</t>
  </si>
  <si>
    <t>乐山大佛窟</t>
  </si>
  <si>
    <t>准备连续躲圈</t>
  </si>
  <si>
    <t>LianXuDuoQuan_P</t>
  </si>
  <si>
    <t>华山之巅</t>
  </si>
  <si>
    <t>准备进圈</t>
  </si>
  <si>
    <t>JinQuan_P</t>
  </si>
  <si>
    <t>英雄荻花洞窟</t>
  </si>
  <si>
    <t>准备躲线</t>
  </si>
  <si>
    <t>DuoXian_P</t>
  </si>
  <si>
    <t>持国天王回忆录</t>
  </si>
  <si>
    <t>准备挡线</t>
  </si>
  <si>
    <t>DangXian_P</t>
  </si>
  <si>
    <t>25人英雄烛龙殿</t>
  </si>
  <si>
    <t>准备跳环</t>
  </si>
  <si>
    <t>TiaoHuan_P</t>
  </si>
  <si>
    <t>烛龙殿</t>
  </si>
  <si>
    <t>准备跳绳</t>
  </si>
  <si>
    <t>TiaoSheng_P</t>
  </si>
  <si>
    <t>三国古战场</t>
  </si>
  <si>
    <t>面向快躲</t>
  </si>
  <si>
    <t>DuoMianXiang_T</t>
  </si>
  <si>
    <t>会战唐门</t>
  </si>
  <si>
    <t>躲面向不要停</t>
  </si>
  <si>
    <t>LianXuMianXiang_T</t>
  </si>
  <si>
    <t>大漠楼兰</t>
  </si>
  <si>
    <t>快进面向</t>
  </si>
  <si>
    <t>JinMianXiang_T</t>
  </si>
  <si>
    <t>25人英雄会战唐门</t>
  </si>
  <si>
    <t>矩形快躲</t>
  </si>
  <si>
    <t>DuoJuXing_T</t>
  </si>
  <si>
    <t>枫华谷·战乱</t>
  </si>
  <si>
    <t>快躲圈</t>
  </si>
  <si>
    <t>DuoQuan_T</t>
  </si>
  <si>
    <t>南诏皇宫</t>
  </si>
  <si>
    <t>躲圈躲圈躲圈</t>
  </si>
  <si>
    <t>LianXuDuoQuan_T</t>
  </si>
  <si>
    <t>光明顶秘道</t>
  </si>
  <si>
    <t>快进圈</t>
  </si>
  <si>
    <t>JinQuan_T</t>
  </si>
  <si>
    <t>低级光明顶秘道</t>
  </si>
  <si>
    <t>连线快躲</t>
  </si>
  <si>
    <t>DuoXian_T</t>
  </si>
  <si>
    <t>试炼之地</t>
  </si>
  <si>
    <t>快挡线</t>
  </si>
  <si>
    <t>DangXian_T</t>
  </si>
  <si>
    <t>开始跳环</t>
  </si>
  <si>
    <t>TiaoHuan_T</t>
  </si>
  <si>
    <t>开始跳绳</t>
  </si>
  <si>
    <t>TiaoSheng_T</t>
  </si>
  <si>
    <t>小轻功</t>
  </si>
  <si>
    <t>准备扶摇</t>
  </si>
  <si>
    <t>FuYao_P</t>
  </si>
  <si>
    <t>英雄持国回忆录</t>
  </si>
  <si>
    <t>准备二段跳</t>
  </si>
  <si>
    <t>ErDuanTiao_P</t>
  </si>
  <si>
    <t>雪原争锋</t>
  </si>
  <si>
    <t>准备后跳</t>
  </si>
  <si>
    <t>HouTiao_P</t>
  </si>
  <si>
    <t>准备蹑云</t>
  </si>
  <si>
    <t>NieYun_P</t>
  </si>
  <si>
    <t>洛阳·战乱</t>
  </si>
  <si>
    <t>扶摇起跳</t>
  </si>
  <si>
    <t>FuYao_T</t>
  </si>
  <si>
    <t>大唐监狱</t>
  </si>
  <si>
    <t>扶摇起跳并滞空</t>
  </si>
  <si>
    <t>FuYao_T_sp</t>
  </si>
  <si>
    <t>马嵬驿</t>
  </si>
  <si>
    <t>点名扶摇跳</t>
  </si>
  <si>
    <t>FuYao_T_s</t>
  </si>
  <si>
    <t>英雄南诏皇宫</t>
  </si>
  <si>
    <t>开始二段跳</t>
  </si>
  <si>
    <t>ErDuanTiao_T</t>
  </si>
  <si>
    <t>长安·战乱</t>
  </si>
  <si>
    <t>点名二段跳</t>
  </si>
  <si>
    <t>ErDuanTiao_T_s</t>
  </si>
  <si>
    <t>英雄一线天</t>
  </si>
  <si>
    <t>开始后跳</t>
  </si>
  <si>
    <t>HouTiao_T</t>
  </si>
  <si>
    <t>天策·战乱</t>
  </si>
  <si>
    <t>点名快后跳</t>
  </si>
  <si>
    <t>HouTiao_T_s</t>
  </si>
  <si>
    <t>蹑云快跑</t>
  </si>
  <si>
    <t>NieYun_T</t>
  </si>
  <si>
    <t>战宝军械库</t>
  </si>
  <si>
    <t>魔盒</t>
  </si>
  <si>
    <t>华清宫</t>
  </si>
  <si>
    <t>剑三欢迎你</t>
  </si>
  <si>
    <t>jx3box_1</t>
  </si>
  <si>
    <t>英雄华清宫</t>
  </si>
  <si>
    <t>魔盒真好用</t>
  </si>
  <si>
    <t>jx3box_2</t>
  </si>
  <si>
    <t>华清宫回忆录</t>
  </si>
  <si>
    <t>倒数：5、4、3、2、1！</t>
  </si>
  <si>
    <t>jx3box_3</t>
  </si>
  <si>
    <t>大明宫</t>
  </si>
  <si>
    <t>脱战</t>
  </si>
  <si>
    <t>jx3box_4</t>
  </si>
  <si>
    <t>快脱战！快跑！</t>
  </si>
  <si>
    <t>英雄大明宫</t>
  </si>
  <si>
    <t>自绝经脉</t>
  </si>
  <si>
    <t>jx3box_5</t>
  </si>
  <si>
    <t>快自绝经脉</t>
  </si>
  <si>
    <t>一线天</t>
  </si>
  <si>
    <t>jx3box_6</t>
  </si>
  <si>
    <t>流离岛</t>
  </si>
  <si>
    <t>宝贝快开门！我知道你在家！</t>
  </si>
  <si>
    <t>jx3box_7</t>
  </si>
  <si>
    <t>英雄流离岛</t>
  </si>
  <si>
    <t>下把一定</t>
  </si>
  <si>
    <t>jx3box_8</t>
  </si>
  <si>
    <t>英雄战宝军械库</t>
  </si>
  <si>
    <t>齐物阁</t>
  </si>
  <si>
    <t>迷仙引</t>
  </si>
  <si>
    <t>血战天策</t>
  </si>
  <si>
    <t>英雄血战天策</t>
  </si>
  <si>
    <t>风雪稻香村</t>
  </si>
  <si>
    <t>英雄风雪稻香村</t>
  </si>
  <si>
    <t>直城门</t>
  </si>
  <si>
    <t>狼影殿</t>
  </si>
  <si>
    <t>秦皇陵</t>
  </si>
  <si>
    <t>英雄秦皇陵</t>
  </si>
  <si>
    <t>墨家秘殿</t>
  </si>
  <si>
    <t>浮香丘</t>
  </si>
  <si>
    <t>春明门</t>
  </si>
  <si>
    <t>藏宝洞·野人谷</t>
  </si>
  <si>
    <t>藏宝洞·夜狼山</t>
  </si>
  <si>
    <t>太原之战·夜守孤城</t>
  </si>
  <si>
    <t>太原之战·逐虎驱狼</t>
  </si>
  <si>
    <t>太原</t>
  </si>
  <si>
    <t>雁门关之役</t>
  </si>
  <si>
    <t>普通雁门关之役</t>
  </si>
  <si>
    <t>英雄太原之战·夜守孤城</t>
  </si>
  <si>
    <t>英雄太原之战·逐虎驱狼</t>
  </si>
  <si>
    <t>璨翠海厅</t>
  </si>
  <si>
    <t>天泣林</t>
  </si>
  <si>
    <t>阴山圣泉</t>
  </si>
  <si>
    <t>挑战太原之战·夜守孤城</t>
  </si>
  <si>
    <t>挑战太原之战·逐虎驱狼</t>
  </si>
  <si>
    <t>梵空禅院</t>
  </si>
  <si>
    <t>10人挑战太原之战·夜守孤城</t>
  </si>
  <si>
    <t>10人挑战太原之战·逐虎驱狼</t>
  </si>
  <si>
    <t>长歌门</t>
  </si>
  <si>
    <t>五台山</t>
  </si>
  <si>
    <t>千岛湖</t>
  </si>
  <si>
    <t>阴山大草原</t>
  </si>
  <si>
    <t>黑戈壁</t>
  </si>
  <si>
    <t>引仙水榭</t>
  </si>
  <si>
    <t>微山书院</t>
  </si>
  <si>
    <t>永王行宫_仙侣庭园</t>
  </si>
  <si>
    <t>永王行宫_花月别院</t>
  </si>
  <si>
    <t>挑战璨翠海厅</t>
  </si>
  <si>
    <t>英雄天泣林</t>
  </si>
  <si>
    <t>英雄微山书院</t>
  </si>
  <si>
    <t>英雄阴山圣泉</t>
  </si>
  <si>
    <t>英雄梵空禅院</t>
  </si>
  <si>
    <t>英雄引仙水榭</t>
  </si>
  <si>
    <t>英雄永王行宫_花月别院</t>
  </si>
  <si>
    <t>英雄永王行宫_仙侣庭园</t>
  </si>
  <si>
    <t>试炼永王行宫_仙侣庭园</t>
  </si>
  <si>
    <t>试炼永王行宫_花月别院</t>
  </si>
  <si>
    <t>10人挑战永王行宫_仙侣庭园</t>
  </si>
  <si>
    <t>10人挑战永王行宫_花月别院</t>
  </si>
  <si>
    <t>25人挑战永王行宫_仙侣庭园</t>
  </si>
  <si>
    <t>25人挑战永王行宫_花月别院</t>
  </si>
  <si>
    <t>青竹书院</t>
  </si>
  <si>
    <t>洛阳城</t>
  </si>
  <si>
    <t>上阳宫_观风殿</t>
  </si>
  <si>
    <t>上阳宫_双曜亭</t>
  </si>
  <si>
    <t>白帝水宫</t>
  </si>
  <si>
    <t>霸刀山庄</t>
  </si>
  <si>
    <t>挑战白帝水宫</t>
  </si>
  <si>
    <t>大梦迷境</t>
  </si>
  <si>
    <t>星海幻景</t>
  </si>
  <si>
    <t>梦回稻香</t>
  </si>
  <si>
    <t>英雄上阳宫_观风殿</t>
  </si>
  <si>
    <t>英雄上阳宫_双曜亭</t>
  </si>
  <si>
    <t>试炼上阳宫_观风殿</t>
  </si>
  <si>
    <t>试炼上阳宫_双曜亭</t>
  </si>
  <si>
    <t>夕颜阁</t>
  </si>
  <si>
    <t>英雄夕颜阁</t>
  </si>
  <si>
    <t>素月清秋</t>
  </si>
  <si>
    <t>竞技大师_华山之巅</t>
  </si>
  <si>
    <t>挑战夕颜阁</t>
  </si>
  <si>
    <t>天街灯市</t>
  </si>
  <si>
    <t>刀轮海厅</t>
  </si>
  <si>
    <t>风雷刀谷_锻刀厅</t>
  </si>
  <si>
    <t>风雷刀谷_千雷殿</t>
  </si>
  <si>
    <t>天街灯市·春节·福</t>
  </si>
  <si>
    <t>天街灯市·春节·禄</t>
  </si>
  <si>
    <t>天街灯市·春节·寿</t>
  </si>
  <si>
    <t>天街灯市·春节·祥</t>
  </si>
  <si>
    <t>天街灯市·春节·禧</t>
  </si>
  <si>
    <t>英雄风雷刀谷_千雷殿</t>
  </si>
  <si>
    <t>英雄风雷刀谷_锻刀厅</t>
  </si>
  <si>
    <t>帮会风雷刀谷_千雷殿</t>
  </si>
  <si>
    <t>帮会风雷刀谷_锻刀厅</t>
  </si>
  <si>
    <t>挑战刀轮海厅</t>
  </si>
  <si>
    <t>拭剑园</t>
  </si>
  <si>
    <t>拭剑台</t>
  </si>
  <si>
    <t>狼牙堡_战兽山</t>
  </si>
  <si>
    <t>狼牙堡_燕然峰</t>
  </si>
  <si>
    <t>银雾湖</t>
  </si>
  <si>
    <t>英雄狼牙堡_战兽山</t>
  </si>
  <si>
    <t>英雄狼牙堡_燕然峰</t>
  </si>
  <si>
    <t>帮会狼牙堡_战兽山</t>
  </si>
  <si>
    <t>帮会狼牙堡_燕然峰</t>
  </si>
  <si>
    <t>挑战银雾湖</t>
  </si>
  <si>
    <t>稻香秘事</t>
  </si>
  <si>
    <t>英雄稻香秘事</t>
  </si>
  <si>
    <t>拭剑园战场</t>
  </si>
  <si>
    <t>1024_商城默认</t>
  </si>
  <si>
    <t>挑战稻香秘事</t>
  </si>
  <si>
    <t>龙门绝境</t>
  </si>
  <si>
    <t>龙门绝境·夜</t>
  </si>
  <si>
    <t>狼牙堡·辉天堑</t>
  </si>
  <si>
    <t>狼牙堡_狼神殿</t>
  </si>
  <si>
    <t>英雄狼牙堡·辉天堑</t>
  </si>
  <si>
    <t>英雄狼牙堡·狼神殿</t>
  </si>
  <si>
    <t>云梦幽泽</t>
  </si>
  <si>
    <t>历战_空雾峰</t>
  </si>
  <si>
    <t>历战_天子峰</t>
  </si>
  <si>
    <t>历战_寂灭厅</t>
  </si>
  <si>
    <t>历战_毒神殿</t>
  </si>
  <si>
    <t>历战_荻花圣殿</t>
  </si>
  <si>
    <t>历战_风雷刀谷</t>
  </si>
  <si>
    <t>历战_风雨稻香村</t>
  </si>
  <si>
    <t>历战_灵霄峡</t>
  </si>
  <si>
    <t>历战_南诏皇宫</t>
  </si>
  <si>
    <t>历战_日轮山城</t>
  </si>
  <si>
    <t>历战_天地三才阵</t>
  </si>
  <si>
    <t>历战_无盐岛</t>
  </si>
  <si>
    <t>历战_英雄风雨稻香村</t>
  </si>
  <si>
    <t>历战_荻花洞窟</t>
  </si>
  <si>
    <t>历战_烛龙殿</t>
  </si>
  <si>
    <t>历战_持国天王殿</t>
  </si>
  <si>
    <t>思过园</t>
  </si>
  <si>
    <t>帮会狼牙堡_辉天堑</t>
  </si>
  <si>
    <t>帮会狼牙堡_狼神殿</t>
  </si>
  <si>
    <t>洞天福地岛</t>
  </si>
  <si>
    <t>龙泉府</t>
  </si>
  <si>
    <t>九寨沟</t>
  </si>
  <si>
    <t>侠客岛</t>
  </si>
  <si>
    <t>经首道源岛</t>
  </si>
  <si>
    <t>泥兰洞天</t>
  </si>
  <si>
    <t>1024_昼夜循环</t>
  </si>
  <si>
    <t>大衍盘丝洞</t>
  </si>
  <si>
    <t>镜泊湖</t>
  </si>
  <si>
    <t>冰火岛·荒血路</t>
  </si>
  <si>
    <t>九辩馆</t>
  </si>
  <si>
    <t>英雄迷渊岛</t>
  </si>
  <si>
    <t>浮丘岛</t>
  </si>
  <si>
    <t>冰火岛·青莲狱</t>
  </si>
  <si>
    <t>英雄冰火岛·青莲狱</t>
  </si>
  <si>
    <t>挑战冰火岛·青莲狱</t>
  </si>
  <si>
    <t>试炼冰火岛·青莲狱</t>
  </si>
  <si>
    <t>英雄冰火岛·荒血路</t>
  </si>
  <si>
    <t>英雄大衍盘丝洞</t>
  </si>
  <si>
    <t>英雄泥兰洞天</t>
  </si>
  <si>
    <t>英雄镜泊湖</t>
  </si>
  <si>
    <t>迷渊岛</t>
  </si>
  <si>
    <t>英雄九辩馆</t>
  </si>
  <si>
    <t>挑战冰火岛·荒血路</t>
  </si>
  <si>
    <t>试炼冰火岛·荒血路</t>
  </si>
  <si>
    <t>墟海之眼</t>
  </si>
  <si>
    <t>尘归海·巨冥湾</t>
  </si>
  <si>
    <t>英雄尘归海·巨冥湾</t>
  </si>
  <si>
    <t>挑战尘归海·巨冥湾</t>
  </si>
  <si>
    <t>尘归海·饕餮洞</t>
  </si>
  <si>
    <t>英雄尘归海·饕餮洞</t>
  </si>
  <si>
    <t>挑战尘归海·饕餮洞</t>
  </si>
  <si>
    <t>英雄周天屿</t>
  </si>
  <si>
    <t>挑战周天屿</t>
  </si>
  <si>
    <t>沧溟绝境</t>
  </si>
  <si>
    <t>鲲鹏岛</t>
  </si>
  <si>
    <t>列星岛</t>
  </si>
  <si>
    <t>望扬镇_压力测试</t>
  </si>
  <si>
    <t>扬州_望扬镇_家园_004</t>
  </si>
  <si>
    <t>野狸岛</t>
  </si>
  <si>
    <t>HD登陆界面_蓬莱001</t>
  </si>
  <si>
    <t>HD商城_001_1024</t>
  </si>
  <si>
    <t>凌雪阁</t>
  </si>
  <si>
    <t>HD登陆界面002_空</t>
  </si>
  <si>
    <t>浪客行·悬棺裂谷</t>
  </si>
  <si>
    <t>浪客行·桑珠草原</t>
  </si>
  <si>
    <t>浪客行·东水寨</t>
  </si>
  <si>
    <t>浪客行·湘竹溪</t>
  </si>
  <si>
    <t>浪客行·荒魂镇</t>
  </si>
  <si>
    <t>敖龙岛</t>
  </si>
  <si>
    <t>25人普通敖龙岛</t>
  </si>
  <si>
    <t>25人英雄敖龙岛</t>
  </si>
  <si>
    <t>玄鹤别院</t>
  </si>
  <si>
    <t>英雄玄鹤别院</t>
  </si>
  <si>
    <t>浪客行·有间客栈</t>
  </si>
  <si>
    <t>浪客行·绥梦山</t>
  </si>
  <si>
    <t>浪客行·华清宫</t>
  </si>
  <si>
    <t>浪客行·枫阳村</t>
  </si>
  <si>
    <t>浪客行·荒雪路</t>
  </si>
  <si>
    <t>浪客行·古祭坛</t>
  </si>
  <si>
    <t>浪客行·雾荧洞</t>
  </si>
  <si>
    <t>浪客行·阴风峡</t>
  </si>
  <si>
    <t>浪客行·翡翠瑶池</t>
  </si>
  <si>
    <t>浪客行·胡杨林道</t>
  </si>
  <si>
    <t>浪客行·浮景峰</t>
  </si>
  <si>
    <t>蔷薇列岛</t>
  </si>
  <si>
    <t>江南府邸</t>
  </si>
  <si>
    <t>HD商城_001</t>
  </si>
  <si>
    <t>HD登陆界面_凌雪阁003</t>
  </si>
  <si>
    <t>miniscene角色光照无地形</t>
  </si>
  <si>
    <t>雪山温泉</t>
  </si>
  <si>
    <t>范阳夜变</t>
  </si>
  <si>
    <t>25人普通范阳夜变</t>
  </si>
  <si>
    <t>25人英雄范阳夜变</t>
  </si>
  <si>
    <t>广陵邑</t>
  </si>
  <si>
    <t>望扬镇_单房屋测试</t>
  </si>
  <si>
    <t>1024_昼夜循环_家园</t>
  </si>
  <si>
    <t>范阳</t>
  </si>
  <si>
    <t>1024_格子图</t>
  </si>
  <si>
    <t>浪客行·落樱林</t>
  </si>
  <si>
    <t>九寨沟·镜海</t>
  </si>
  <si>
    <t>七秀_家园</t>
  </si>
  <si>
    <t>衍天宗</t>
  </si>
  <si>
    <t>望扬镇_单房屋</t>
  </si>
  <si>
    <t>HD家园商城001</t>
  </si>
  <si>
    <t>幻灵境</t>
  </si>
  <si>
    <t>剑冢惊变</t>
  </si>
  <si>
    <t>英雄剑冢惊变</t>
  </si>
  <si>
    <t>星海蜃影·零</t>
  </si>
  <si>
    <t>枫叶泊·乐苑</t>
  </si>
  <si>
    <t>万花·乱世</t>
  </si>
  <si>
    <t>七秀·乱世</t>
  </si>
  <si>
    <t>少林·乱世</t>
  </si>
  <si>
    <t>梦入集真岛</t>
  </si>
  <si>
    <t>梧桐山庄</t>
  </si>
  <si>
    <t>英雄梧桐山庄</t>
  </si>
  <si>
    <t>罗汉门</t>
  </si>
  <si>
    <t>英雄罗汉门</t>
  </si>
  <si>
    <t>英雄梦入集真岛</t>
  </si>
  <si>
    <t>达摩洞</t>
  </si>
  <si>
    <t>25人普通达摩洞</t>
  </si>
  <si>
    <t>25人英雄达摩洞</t>
  </si>
  <si>
    <t>枫叶泊·天苑</t>
  </si>
  <si>
    <t>镜花别院</t>
  </si>
  <si>
    <t>藏剑山庄·乱世</t>
  </si>
  <si>
    <t>月落三星</t>
  </si>
  <si>
    <t>英雄月落三星</t>
  </si>
  <si>
    <t>星海蜃影·一</t>
  </si>
  <si>
    <t>星海蜃影·二</t>
  </si>
  <si>
    <t>星海蜃影·三</t>
  </si>
  <si>
    <t>星海蜃影·四</t>
  </si>
  <si>
    <t>星海蜃影·五</t>
  </si>
  <si>
    <t>星海蜃影·六</t>
  </si>
  <si>
    <t>星海蜃影·七</t>
  </si>
  <si>
    <t>星海蜃影·八</t>
  </si>
  <si>
    <t>星海蜃影·九</t>
  </si>
  <si>
    <t>星海蜃影·十</t>
  </si>
  <si>
    <t>星海蜃影·十一</t>
  </si>
  <si>
    <t>星海蜃影·十二</t>
  </si>
  <si>
    <t>星海蜃影·十三</t>
  </si>
  <si>
    <t>星海蜃影·十四</t>
  </si>
  <si>
    <t>星海蜃影·十五</t>
  </si>
  <si>
    <t>星海蜃影·十六</t>
  </si>
  <si>
    <t>星海蜃影·十七</t>
  </si>
  <si>
    <t>星海蜃影·十八</t>
  </si>
  <si>
    <t>星海蜃影·十九</t>
  </si>
  <si>
    <t>星海蜃影·二十</t>
  </si>
  <si>
    <t>龙泉府_风雪镜泊湖</t>
  </si>
  <si>
    <t>白龙绝境</t>
  </si>
  <si>
    <t>HD登陆界面_衍天宗001</t>
  </si>
  <si>
    <t>雪龙风原</t>
  </si>
  <si>
    <t>1024_昼夜循环_标准2020</t>
  </si>
  <si>
    <t>少林_乱世_修罗挑战</t>
  </si>
  <si>
    <t>白帝江关</t>
  </si>
  <si>
    <t>25人普通白帝江关</t>
  </si>
  <si>
    <t>25人英雄白帝江关</t>
  </si>
  <si>
    <t>英雄漳水南路</t>
  </si>
  <si>
    <t>挑战漳水南路</t>
  </si>
  <si>
    <t>北墟河堤</t>
  </si>
  <si>
    <t>赤岬山城</t>
  </si>
  <si>
    <t>黑山林海</t>
  </si>
  <si>
    <t>北天药宗</t>
  </si>
  <si>
    <t>浪客行·浮丘岛</t>
  </si>
  <si>
    <t>浪客行·桂林</t>
  </si>
  <si>
    <t>藏剑武库</t>
  </si>
  <si>
    <t>墟海之眼·演武场</t>
  </si>
  <si>
    <t>东水寨</t>
  </si>
  <si>
    <t>天原绝境</t>
  </si>
  <si>
    <t>大唐幻夜·一</t>
  </si>
  <si>
    <t>大唐幻夜·二</t>
  </si>
  <si>
    <t>大唐幻夜·三</t>
  </si>
  <si>
    <t>大唐幻夜·四</t>
  </si>
  <si>
    <t>大唐幻夜·五</t>
  </si>
  <si>
    <t>大唐幻夜·六</t>
  </si>
  <si>
    <t>大唐幻夜·七</t>
  </si>
  <si>
    <t>大唐幻夜·八</t>
  </si>
  <si>
    <t>大唐幻夜·九</t>
  </si>
  <si>
    <t>大唐幻夜·十</t>
  </si>
  <si>
    <t>大唐幻夜·十一</t>
  </si>
  <si>
    <t>大唐幻夜·十二</t>
  </si>
  <si>
    <t>大唐幻夜·十三</t>
  </si>
  <si>
    <t>大唐幻夜·十四</t>
  </si>
  <si>
    <t>大唐幻夜·十五</t>
  </si>
  <si>
    <t>大唐幻夜·十六</t>
  </si>
  <si>
    <t>大唐幻夜·十七</t>
  </si>
  <si>
    <t>大唐幻夜·十八</t>
  </si>
  <si>
    <t>大唐幻夜·十九</t>
  </si>
  <si>
    <t>大唐幻夜·二十</t>
  </si>
  <si>
    <t>雷域大泽</t>
  </si>
  <si>
    <t>25人普通雷域大泽</t>
  </si>
  <si>
    <t>25人英雄雷域大泽</t>
  </si>
  <si>
    <t>百战异闻录</t>
  </si>
  <si>
    <t>北天药宗_武氏别院</t>
  </si>
  <si>
    <t>英雄北天药宗_武氏别院</t>
  </si>
  <si>
    <t>私邸宅园</t>
  </si>
  <si>
    <t>盘扎寨</t>
  </si>
  <si>
    <t>原野奇踪</t>
  </si>
  <si>
    <t>HD登陆界面_北天药宗003</t>
  </si>
  <si>
    <t>个人家园_天池</t>
  </si>
  <si>
    <t>个人家园_海底</t>
  </si>
  <si>
    <t>HD商城_外装展示测试</t>
  </si>
  <si>
    <t>个人家园_广陵邑_野外</t>
  </si>
  <si>
    <t>河阳之战</t>
  </si>
  <si>
    <t>25人普通河阳之战</t>
  </si>
  <si>
    <t>25人英雄河阳之战</t>
  </si>
  <si>
    <t>河阳</t>
  </si>
  <si>
    <t>个人家园_薰风渡</t>
  </si>
  <si>
    <t>百溪</t>
  </si>
  <si>
    <t>烂柯山</t>
  </si>
  <si>
    <t>楚州</t>
  </si>
  <si>
    <t>晟江</t>
  </si>
  <si>
    <t>尘世曼舞·冰雪盛会</t>
  </si>
  <si>
    <t>JX3_StandardEnv_002</t>
  </si>
  <si>
    <t>个人家园_云海</t>
  </si>
  <si>
    <t>西津渡</t>
  </si>
  <si>
    <t>25人普通西津渡</t>
  </si>
  <si>
    <t>25人英雄西津渡</t>
  </si>
  <si>
    <t>羊村大作战</t>
  </si>
  <si>
    <t>羊村</t>
  </si>
  <si>
    <t>霸刀山庄·大婚</t>
  </si>
  <si>
    <t>1024_积雪交互测试</t>
  </si>
  <si>
    <t>剧本杀测试场景02</t>
  </si>
  <si>
    <t>沃石院</t>
  </si>
  <si>
    <t>英雄沃石院</t>
  </si>
  <si>
    <t>镇海阁地井</t>
  </si>
  <si>
    <t>英雄镇海阁地井</t>
  </si>
  <si>
    <t>个人家园_大唐盛世</t>
  </si>
  <si>
    <t>万象游园会</t>
  </si>
  <si>
    <t>时光长廊</t>
  </si>
  <si>
    <t>天苏奇谭</t>
  </si>
  <si>
    <t>且绘青山</t>
  </si>
  <si>
    <t>银浦流光</t>
  </si>
  <si>
    <t>幽藤馆</t>
  </si>
  <si>
    <t>英雄幽藤馆</t>
  </si>
  <si>
    <t>个人家园_社区</t>
  </si>
  <si>
    <t>琼宫银阙</t>
  </si>
  <si>
    <t>千灯天衢</t>
  </si>
  <si>
    <t>烟岫迷踪</t>
  </si>
  <si>
    <t>渊穆灵宫</t>
  </si>
  <si>
    <t>观园幻景</t>
  </si>
  <si>
    <t>落帆归潮</t>
  </si>
  <si>
    <t>江山入画</t>
  </si>
  <si>
    <t>晨间喵苑</t>
  </si>
  <si>
    <t>泊云海墅</t>
  </si>
  <si>
    <t>闲野归园</t>
  </si>
  <si>
    <t>首领扮演范阳夜变</t>
  </si>
  <si>
    <t>磐渊</t>
  </si>
  <si>
    <t>江天夜宴</t>
  </si>
  <si>
    <t>英雄江天夜宴</t>
  </si>
  <si>
    <t>沃石火狱</t>
  </si>
  <si>
    <t>浮生剧坊</t>
  </si>
  <si>
    <t>HD登陆界面_刀宗001</t>
  </si>
  <si>
    <t>跨服·烂柯山</t>
  </si>
  <si>
    <t>个人家园_红叶</t>
  </si>
  <si>
    <t>古剑台</t>
  </si>
  <si>
    <t>天街灯市·明宵灯暖</t>
  </si>
  <si>
    <t>浪客行·沙海迷踪</t>
  </si>
  <si>
    <t>尘世曼舞·万象长安</t>
  </si>
  <si>
    <t>个人家园_明宵灯暖</t>
  </si>
  <si>
    <t>天街灯市·蜃墟</t>
  </si>
  <si>
    <t>武狱黑牢</t>
  </si>
  <si>
    <t>25人普通武狱黑牢</t>
  </si>
  <si>
    <t>25人英雄武狱黑牢</t>
  </si>
  <si>
    <t>英雄鹿桥驿</t>
  </si>
  <si>
    <t>挑战鹿桥驿</t>
  </si>
  <si>
    <t>万灵山庄</t>
  </si>
  <si>
    <t>张家界·相遇</t>
  </si>
  <si>
    <t>黄龙洞</t>
  </si>
  <si>
    <t>洱海绝境</t>
  </si>
  <si>
    <t>个人家园_沙漠</t>
  </si>
  <si>
    <t>银霜口</t>
  </si>
  <si>
    <t>九老洞</t>
  </si>
  <si>
    <t>25人普通九老洞</t>
  </si>
  <si>
    <t>25人英雄九老洞</t>
  </si>
  <si>
    <t>武陵源</t>
  </si>
  <si>
    <t>落日丘</t>
  </si>
  <si>
    <t>稻香村_桃园非梦</t>
  </si>
  <si>
    <t>神霄天境</t>
  </si>
  <si>
    <t>重霄阆苑</t>
  </si>
  <si>
    <t>阴山大草原·分线</t>
  </si>
  <si>
    <t>栖灵洞天</t>
  </si>
  <si>
    <t>英雄栖灵洞天</t>
  </si>
  <si>
    <t>新旧贴花测试_新</t>
  </si>
  <si>
    <t>新旧贴画测试_旧</t>
  </si>
  <si>
    <t>罗小黑建木海</t>
  </si>
  <si>
    <t>登陆界面_2023_001</t>
  </si>
  <si>
    <t>八荒衡鉴·仙踪林</t>
  </si>
  <si>
    <t>标识</t>
  </si>
  <si>
    <t>地图id</t>
  </si>
  <si>
    <t>层数</t>
  </si>
  <si>
    <t>图标</t>
  </si>
  <si>
    <t>名称</t>
  </si>
  <si>
    <t>区分等级</t>
  </si>
  <si>
    <t>监控对象</t>
  </si>
  <si>
    <t>心法要求</t>
  </si>
  <si>
    <t>通用颜色</t>
  </si>
  <si>
    <t>获得气劲.标记</t>
  </si>
  <si>
    <t>获得气劲.语音报警</t>
  </si>
  <si>
    <t>获得气劲.团队报警</t>
  </si>
  <si>
    <t>获得气劲.密聊报警</t>
  </si>
  <si>
    <t>获得气劲.中央报警</t>
  </si>
  <si>
    <t>获得气劲.头顶警报</t>
  </si>
  <si>
    <t>获得气劲.团队气劲列表</t>
  </si>
  <si>
    <t>获得气劲.自身气劲列表</t>
  </si>
  <si>
    <t>全屏泛光.获得气劲</t>
  </si>
  <si>
    <t>获得气劲.团队面板</t>
  </si>
  <si>
    <t>获得气劲.仅来源自己</t>
  </si>
  <si>
    <t>失去气劲.团队警报</t>
  </si>
  <si>
    <t>失去气劲.密聊警报</t>
  </si>
  <si>
    <t>失去气劲.中央警报</t>
  </si>
  <si>
    <t>面板.触发层数</t>
  </si>
  <si>
    <t>面板.触发逻辑</t>
  </si>
  <si>
    <t>面板.仅来源自己</t>
  </si>
  <si>
    <t>面板.仅监控自己</t>
  </si>
  <si>
    <t>面板.备注</t>
  </si>
  <si>
    <t>面板.优先级</t>
  </si>
  <si>
    <t>面板.蒙版颜色</t>
  </si>
  <si>
    <t>面板.头顶颜色</t>
  </si>
  <si>
    <t>面板.描边透明度</t>
  </si>
  <si>
    <t>面板.蒙版警告</t>
  </si>
  <si>
    <t>面板.特效警告</t>
  </si>
  <si>
    <t>面板.头顶提示</t>
  </si>
  <si>
    <t>面板.保留数组</t>
  </si>
  <si>
    <t>return {BUFF={</t>
  </si>
  <si>
    <t>免疫跑商重伤隐身</t>
  </si>
  <si>
    <t>250,150,50,</t>
  </si>
  <si>
    <t>隐</t>
  </si>
  <si>
    <t>#FF9600FF</t>
  </si>
  <si>
    <t>#FF9600</t>
  </si>
  <si>
    <t>阵营地图</t>
  </si>
  <si>
    <t>弩CD</t>
  </si>
  <si>
    <t>伟龙debuff</t>
  </si>
  <si>
    <t>箭弩车</t>
  </si>
  <si>
    <t>操作箭弩车</t>
  </si>
  <si>
    <t>255,204,0,</t>
  </si>
  <si>
    <t>弩</t>
  </si>
  <si>
    <t>#FFCC00FF</t>
  </si>
  <si>
    <t>#FFCC00</t>
  </si>
  <si>
    <t>箭弩车记录ID</t>
  </si>
  <si>
    <t>255,50,255,</t>
  </si>
  <si>
    <t>指挥车</t>
  </si>
  <si>
    <t>热血沸腾</t>
  </si>
  <si>
    <t>庇佑</t>
  </si>
  <si>
    <t>战车庇佑</t>
  </si>
  <si>
    <t>0,255,0,</t>
  </si>
  <si>
    <t>据点地图</t>
  </si>
  <si>
    <t>找镖师</t>
  </si>
  <si>
    <t>寻找镖师</t>
  </si>
  <si>
    <t>守据点</t>
  </si>
  <si>
    <t>守卫据点</t>
  </si>
  <si>
    <t>0,255,255,</t>
  </si>
  <si>
    <t>旗</t>
  </si>
  <si>
    <t>#00FFFFFF</t>
  </si>
  <si>
    <t>#00FFFF</t>
  </si>
  <si>
    <t>{colScreenHead="#00FFFF",bScreenHead=true,nStackNum=1,bOnlyMe=false,col="#00FFFFFF",nColAlpha=255,szStackOp="&gt;=",szReminder="旗",nPriority=3,},</t>
  </si>
  <si>
    <t>{nClass=1,nTime=30,szName="【{$receiver}】·拾取大旗",nFrame=8,nIcon=592,key="拾取大旗·{$receiver}",},</t>
  </si>
  <si>
    <t>{nClass=2,nTime=-1,szName="拾取大旗",nIcon=592,key="拾取大旗·{$receiver}",},</t>
  </si>
  <si>
    <t>占据点</t>
  </si>
  <si>
    <t>据点大旗</t>
  </si>
  <si>
    <t>御城矛</t>
  </si>
  <si>
    <t>御城·矛</t>
  </si>
  <si>
    <t>据点内</t>
  </si>
  <si>
    <t>请战·少林寺</t>
  </si>
  <si>
    <t>80,231,236,</t>
  </si>
  <si>
    <t>{nClass=1,nIcon=27699,szName="据点大旗·旗手提示",nTime=-1,key="据点大旗·旗手提示",},</t>
  </si>
  <si>
    <t>return {DEBUFF={</t>
  </si>
  <si>
    <t>答对</t>
  </si>
  <si>
    <t>回答奖励</t>
  </si>
  <si>
    <t>255,255,0,</t>
  </si>
  <si>
    <t>{nClass=1,nIcon=13,nFrame=1,szName="答题验证·回答正确",nTime=5,key="挂机检测",},</t>
  </si>
  <si>
    <t>答题</t>
  </si>
  <si>
    <t>验证码答案</t>
  </si>
  <si>
    <t>题</t>
  </si>
  <si>
    <t>#FF32FFFF</t>
  </si>
  <si>
    <t>#FF32FF</t>
  </si>
  <si>
    <t>{nClass=1,nIcon=13,nFrame=1,szName="答题验证·剩余时间",nTime=30,key="挂机检测",},</t>
  </si>
  <si>
    <t>夜晚</t>
  </si>
  <si>
    <t>攻防·夜晚</t>
  </si>
  <si>
    <t>{nClass=1,nIcon=23896,nFrame=5,szName="夜晚·场景火堆·地形障碍",nTime=30,nRefresh=9000,key="天气事件1",},</t>
  </si>
  <si>
    <t>{nClass=1,nIcon=23897,nFrame=4,szName="下周·雨天·减伤加速调息",nTime=30,nRefresh=9000,key="天气事件2",},</t>
  </si>
  <si>
    <t>大雪</t>
  </si>
  <si>
    <t>攻防·大雪</t>
  </si>
  <si>
    <t>{nClass=1,nIcon=23895,nFrame=5,szName="大雪·场景雪堆·地形障碍",nTime=30,nRefresh=9000,key="天气事件1",},</t>
  </si>
  <si>
    <t>{nClass=1,nIcon=23892,nFrame=4,szName="下周·沙暴·减疗加快复活",nTime=30,nRefresh=9000,key="天气事件2",},</t>
  </si>
  <si>
    <t>15尺</t>
  </si>
  <si>
    <t>攻防·雾天</t>
  </si>
  <si>
    <t>{nClass=1,nIcon=23893,nFrame=5,szName="雾天·伤害15尺内·气血增加20%",nTime=30,nRefresh=9000,key="天气事件1",},</t>
  </si>
  <si>
    <t>{nClass=1,nIcon=23895,nFrame=4,szName="下周·大雪·场景雪堆·地形障碍",nTime=30,nRefresh=9000,key="天气事件2",},</t>
  </si>
  <si>
    <t>沙暴</t>
  </si>
  <si>
    <t>攻防·沙尘暴</t>
  </si>
  <si>
    <t>{nClass=1,nIcon=23892,nFrame=5,szName="沙暴·减疗10%·复活加快50%",nTime=30,nRefresh=9000,key="天气事件1",},</t>
  </si>
  <si>
    <t>{nClass=1,nIcon=23896,nFrame=4,szName="下周·夜晚·场景火堆地形障碍",nTime=30,nRefresh=9000,key="天气事件2",},</t>
  </si>
  <si>
    <t>下雨</t>
  </si>
  <si>
    <t>攻防·下雨</t>
  </si>
  <si>
    <t>{nClass=1,nIcon=23897,nFrame=5,szName="雨天·减伤5%·加速调息20%",nTime=30,nRefresh=9000,key="天气事件1",},</t>
  </si>
  <si>
    <t>{nClass=1,nIcon=23890,nFrame=4,szName="下周·大风·战斗上马机甲",nTime=30,nRefresh=9000,key="天气事件2",},</t>
  </si>
  <si>
    <t>大风</t>
  </si>
  <si>
    <t>攻防·大风</t>
  </si>
  <si>
    <t>{nClass=1,nIcon=23890,nFrame=5,szName="大风·气力减慢·战斗上马机甲",nTime=30,nRefresh=9000,key="天气事件1",},</t>
  </si>
  <si>
    <t>{nClass=1,nIcon=23893,nFrame=4,szName="下周·雾天·伤害15尺气血增加",nTime=30,nRefresh=9000,key="天气事件2",},</t>
  </si>
  <si>
    <t>验战阶</t>
  </si>
  <si>
    <t>前阶段战阶·占坑检测</t>
  </si>
  <si>
    <t>{nClass=-1,nIcon=1465,nTime=0.001,szName=" ",nRefresh=99999,key="破阵点将·一·常驻",},{nClass=-1,nIcon=1465,nTime=0.001,szName=" ",nRefresh=99999,key="破阵点将·二·常驻",},{nClass=-1,nIcon=7674,nTime=-1,szName="破阵点将·一·常驻",key="破阵点将·一·常驻",},{nClass=-1,nIcon=7676,nTime=-1,szName="破阵点将·二·常驻",key="破阵点将·二·常驻",},</t>
  </si>
  <si>
    <t>注视</t>
  </si>
  <si>
    <t>攻防挂机</t>
  </si>
  <si>
    <t>视</t>
  </si>
  <si>
    <t>{nClass=1,nIcon=13,nFrame=2,szName="挂机检测·首领注视",nTime=30,key="挂机检测",},</t>
  </si>
  <si>
    <t>燃火20s</t>
  </si>
  <si>
    <t>火</t>
  </si>
  <si>
    <t>#00FFFF00</t>
  </si>
  <si>
    <t>{nClass=1,nIcon=5399,nFrame=0,szName="增益·燃火·持续剩余",nTime=20,key="燃火",},</t>
  </si>
  <si>
    <t>{nClass=2,nIcon=13,szName="燃火",nTime=-1,key="燃火",},</t>
  </si>
  <si>
    <t>业务繁忙·中立侠士</t>
  </si>
  <si>
    <t>{nClass=1,nIcon=13,szName="通用事件",nTime=-1,nRefresh=99999,key="通用事件",},</t>
  </si>
  <si>
    <t>{nClass=2,nIcon=13,szName="通用事件",nTime=-2,key="通用事件",},</t>
  </si>
  <si>
    <t>{nClass=1,nIcon=2402,szName="大攻防·奇袭场",nTime=-1,nRefresh=999999,key="大攻防·奇袭场",},</t>
  </si>
  <si>
    <t>{nClass=1,nIcon=7674,szName="破阵点将·一·常驻",nTime=-1,nRefresh=5,key="破阵点将·一·常驻",},{nClass=1,nIcon=7676,szName="破阵点将·二·常驻",nTime=-1,nRefresh=5,key="破阵点将·二·常驻",},</t>
  </si>
  <si>
    <t>攻防场景特殊规则</t>
  </si>
  <si>
    <t>{nClass=1,nIcon=13,szName="诛恶事件",nTime=-1,nRefresh=99999,key="诛恶事件",},</t>
  </si>
  <si>
    <t>{nClass=1,nIcon=13,szName="绣球花",nTime=-1,key="绣球花",},{nClass=1,nIcon=13,szName="郁金香",nTime=-1,key="郁金香",},{nClass=1,nIcon=13,szName="牵牛花",nTime=-1,key="牵牛花",},</t>
  </si>
  <si>
    <t>九素化生·伤害距离</t>
  </si>
  <si>
    <t>128,238,255,</t>
  </si>
  <si>
    <t>一触即发·休息阶段</t>
  </si>
  <si>
    <t>{nClass=1,nIcon=13,szName="牛车拾取间隔",nTime=0,key="牛车拾取间隔",},</t>
  </si>
  <si>
    <t>{nClass=1,nIcon=13,szName="首领拾取间隔",nTime=-1,key="首领拾取间隔",},</t>
  </si>
  <si>
    <t>{nClass=1,nIcon=13,nFrame=4,szName="浩气·物资车·运达",nTime=-1,key="浩气·物资车·运达",},</t>
  </si>
  <si>
    <t>{nClass=1,nIcon=13,nFrame=4,szName="恶人·物资车·运达",nTime=-1,key="恶人·物资车·运达",},</t>
  </si>
  <si>
    <t>{nClass=1,nIcon=13,nTime=-1,szName="屹立不倒",nRefresh=14400,key="屹立不倒",},</t>
  </si>
  <si>
    <t>{nClass=1,nIcon=13,nFrame=-1,szName="谢渊·月弄痕·减伤",nTime=-1,key="谢渊·月弄痕·减伤",},{nClass=1,nIcon=13,nFrame=-1,szName="谢渊·游驹·减伤",nTime=-1,key="谢渊·游驹·减伤",},{nClass=1,nIcon=13,nFrame=-1,szName="谢渊·小七·减伤",nTime=-1,key="谢渊·小七·减伤",},{nClass=1,nIcon=13,nFrame=-1,szName="谢渊·张桎辕·减伤",nTime=-1,key="谢渊·张桎辕·减伤",},{nClass=1,nIcon=13,nFrame=-1,szName="谢渊·司空仲平·减伤",nTime=-1,key="谢渊·司空仲平·减伤",},{nClass=1,nIcon=13,nFrame=-1,szName="谢渊·韩非池·减伤",nTime=-1,key="谢渊·韩非池·减伤",},{nClass=1,nIcon=13,nFrame=-1,szName="谢渊·赵紫儿·减伤",nTime=-1,key="谢渊·赵紫儿·减伤",},{nClass=1,nIcon=13,nFrame=-1,szName="谢渊·叶镜池·减伤",nTime=-1,key="谢渊·叶镜池·减伤",},{nClass=1,nIcon=13,nFrame=-1,szName="谢渊·郭珠·减伤",nTime=-1,key="谢渊·郭珠·减伤",},{nClass=1,nIcon=13,nFrame=-1,szName="谢渊·穆玄英·减伤",nTime=-1,key="谢渊·穆玄英·减伤",},{nClass=1,nIcon=13,nFrame=-1,szName="谢渊·影·减伤",nTime=-1,key="谢渊·影·减伤",},{nClass=1,nIcon=13,nFrame=-1,szName="王遗风·司徒一一·减伤",nTime=-1,key="王遗风·司徒一一·减伤",},{nClass=1,nIcon=13,nFrame=-1,szName="王遗风·白某·减伤",nTime=-1,key="王遗风·白某·减伤",},{nClass=1,nIcon=13,nFrame=-1,szName="王遗风·米丽古丽·减伤",nTime=-1,key="王遗风·米丽古丽·减伤",},{nClass=1,nIcon=13,nFrame=-1,szName="王遗风·陶寒亭·减伤",nTime=-1,key="王遗风·陶寒亭·减伤",},{nClass=1,nIcon=13,nFrame=-1,szName="王遗风·肖药儿·减伤",nTime=-1,key="王遗风·肖药儿·减伤",},{nClass=1,nIcon=13,nFrame=-1,szName="王遗风·伊夜·减伤",nTime=-1,key="王遗风·伊夜·减伤",},{nClass=1,nIcon=13,nFrame=-1,szName="王遗风·丁丁·减伤",nTime=-1,key="王遗风·丁丁·减伤",},{nClass=1,nIcon=13,nFrame=-1,szName="王遗风·岳琅·减伤",nTime=-1,key="王遗风·岳琅·减伤",},{nClass=1,nIcon=13,nFrame=-1,szName="王遗风·毕罗巴·减伤",nTime=-1,key="王遗风·毕罗巴·减伤",},{nClass=1,nIcon=13,nFrame=-1,szName="王遗风·烟·减伤",nTime=-1,key="王遗风·烟·减伤",},{nClass=1,nIcon=13,nFrame=-1,szName="王遗风·独孤修·减伤",nTime=-1,key="王遗风·独孤修·减伤",},{nClass=1,nIcon=13,nFrame=-1,szName="谢渊·周峰·减伤",nTime=-1,key="谢渊·周峰·减伤",},{nClass=1,nIcon=13,nFrame=-1,szName="谢渊·郑鸥·减伤",nTime=-1,key="谢渊·郑鸥·减伤",},{nClass=1,nIcon=13,nFrame=-1,szName="谢渊·陶杰·减伤",nTime=-1,key="谢渊·陶杰·减伤",},{nClass=1,nIcon=13,nFrame=-1,szName="谢渊·谢烟客·减伤",nTime=-1,key="谢渊·谢烟客·减伤",},{nClass=1,nIcon=13,nFrame=-1,szName="王遗风·张一洋·减伤",nTime=-1,key="王遗风·张一洋·减伤",},{nClass=1,nIcon=13,nFrame=-1,szName="王遗风·陶国栋·减伤",nTime=-1,key="王遗风·陶国栋·减伤",},{nClass=1,nIcon=13,nFrame=-1,szName="王遗风·吕沛杰·减伤",nTime=-1,key="王遗风·吕沛杰·减伤",},{nClass=1,nIcon=13,nFrame=-1,szName="王遗风·顾延恶·减伤",nTime=-1,key="王遗风·顾延恶·减伤",},{nClass=1,nIcon=13,nFrame=-1,szName="王遗风·莫雨·减伤",nTime=-1,key="王遗风·莫雨·减伤",},{nClass=1,nIcon=13,nFrame=-1,szName="王遗风·万兽王·减伤",nTime=-1,key="王遗风·万兽王·减伤",},{nClass=1,nIcon=13,nFrame=-1,szName="谢渊·谢铃儿·减伤",nTime=-1,key="谢渊·谢铃儿·减伤",},</t>
  </si>
  <si>
    <t>偃旗息鼓·攻防阶段</t>
  </si>
  <si>
    <t>{nClass=1,nIcon=13,szName="诛恶事件",nTime=-1,nRefresh=7200,key="诛恶事件",},{nClass=1,nIcon=13,szName="通用事件",nTime=-1,nRefresh=7200,key="通用事件",},</t>
  </si>
  <si>
    <t>{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t>
  </si>
  <si>
    <t>{nClass=1,nIcon=13,nTime=-2,szName="屹立不倒",key="屹立不倒",},</t>
  </si>
  <si>
    <t>{nClass=-1,nIcon=7674,nTime=-2,szName="破阵点将·一·常驻",key="破阵点将·一·常驻",},{nClass=-1,nIcon=7676,nTime=-2,szName="破阵点将·二·常驻",key="破阵点将·二·常驻",},</t>
  </si>
  <si>
    <t>重伤</t>
  </si>
  <si>
    <t>死亡挂机</t>
  </si>
  <si>
    <t>意涌系统通用抗百分比回血</t>
  </si>
  <si>
    <t>涌</t>
  </si>
  <si>
    <t>繁忙</t>
  </si>
  <si>
    <t>忙</t>
  </si>
  <si>
    <t>锁足·首领的怒火</t>
  </si>
  <si>
    <t>31,63,255,</t>
  </si>
  <si>
    <t>锁</t>
  </si>
  <si>
    <t>#1F3FFFFF</t>
  </si>
  <si>
    <t>#1F3FFF</t>
  </si>
  <si>
    <t>眩晕·斩魂</t>
  </si>
  <si>
    <t>晕</t>
  </si>
  <si>
    <t>#FFFF00FF</t>
  </si>
  <si>
    <t>#FFFF00</t>
  </si>
  <si>
    <t>锁足·呔</t>
  </si>
  <si>
    <t>锁足·首领·呔</t>
  </si>
  <si>
    <t>定身·红尘曲·心魔</t>
  </si>
  <si>
    <t>定</t>
  </si>
  <si>
    <t>爆炸·烈日剑·升凤</t>
  </si>
  <si>
    <t>爆</t>
  </si>
  <si>
    <t>DOT·毒王杖·爆</t>
  </si>
  <si>
    <t>206,85,223,</t>
  </si>
  <si>
    <t>毒</t>
  </si>
  <si>
    <t>#CE55FDFF</t>
  </si>
  <si>
    <t>易伤·流血·天魔裂空</t>
  </si>
  <si>
    <t>减速40%·四象轮回</t>
  </si>
  <si>
    <t>慢</t>
  </si>
  <si>
    <t>沉默·八卦洞玄</t>
  </si>
  <si>
    <t>165,96,232,</t>
  </si>
  <si>
    <t>默</t>
  </si>
  <si>
    <t>#A560E8FF</t>
  </si>
  <si>
    <t>#A560E8</t>
  </si>
  <si>
    <t>易伤·霸王卸甲·每层10%</t>
  </si>
  <si>
    <t>255,153,204,</t>
  </si>
  <si>
    <t>沉默·封血针</t>
  </si>
  <si>
    <t>轰炸</t>
  </si>
  <si>
    <t>翅膀</t>
  </si>
  <si>
    <t>飞行机甲·黑翼</t>
  </si>
  <si>
    <t>255,255,255,</t>
  </si>
  <si>
    <t>#FFFFFFFF</t>
  </si>
  <si>
    <t>#FFFFFF</t>
  </si>
  <si>
    <t>神机雷</t>
  </si>
  <si>
    <t>#FFFFFF00</t>
  </si>
  <si>
    <t>锁足·首领</t>
  </si>
  <si>
    <t>阵营惩罚</t>
  </si>
  <si>
    <t>大旗手</t>
  </si>
  <si>
    <t>大旗手检测</t>
  </si>
  <si>
    <t>旗易伤</t>
  </si>
  <si>
    <t>旗帜受损</t>
  </si>
  <si>
    <t>损</t>
  </si>
  <si>
    <t>#FF99CCFF</t>
  </si>
  <si>
    <t>#FF99CC</t>
  </si>
  <si>
    <t>{nClass=-1,nIcon=16834,nFrame=1,szName="大旗易伤",nTime="60,大旗赛点·触发冷却;62,大旗赛点·解除冷却",nRefresh=0,key="大旗易伤",},</t>
  </si>
  <si>
    <t>损CD</t>
  </si>
  <si>
    <t>据点大旗赛点CD</t>
  </si>
  <si>
    <t>255,50,50,</t>
  </si>
  <si>
    <t>{nClass=-1,nIcon=16834,nFrame=1,szName="大旗易伤",nTime="60,大旗赛点·触发冷却;62,大旗赛点·解除冷却",nRefresh=1,key="大旗易伤",},</t>
  </si>
  <si>
    <t>禁捡旗</t>
  </si>
  <si>
    <t>无法拾取大旗</t>
  </si>
  <si>
    <t>捡</t>
  </si>
  <si>
    <t>{nClass=1,nIcon=22928,nFrame=2,szName="【{$receiver}】·禁止捡旗",nTime="30,【{$receiver}】·禁止捡旗;32,【{$receiver}】·可以捡旗",nRefresh=1,key="经脉逆行·{$receiver}",},</t>
  </si>
  <si>
    <t>{nClass=2,nIcon=22928,nFrame=2,szName="【{$receiver}】·可以捡旗",nTime=5,key="经脉逆行·{$receiver}",},</t>
  </si>
  <si>
    <t>减疗</t>
  </si>
  <si>
    <t>火圈每层减疗10%</t>
  </si>
  <si>
    <t>170,170,170,</t>
  </si>
  <si>
    <t>疗</t>
  </si>
  <si>
    <t>#AAAAAAFF</t>
  </si>
  <si>
    <t>#AAAAAA</t>
  </si>
  <si>
    <t>据点挂机</t>
  </si>
  <si>
    <t>{colScreenHead="#FFCC00",bAttention=true,bScreenHead=true,nStackNum=1,bOnlyMe=false,col="#FFCC00FF",nPriority=4,szStackOp="&gt;=",nColAlpha=255,szReminder="涌",},</t>
  </si>
  <si>
    <t>眩晕·抛掷</t>
  </si>
  <si>
    <t>御城·抛掷</t>
  </si>
  <si>
    <t>眩晕·御城</t>
  </si>
  <si>
    <t>御城·精准</t>
  </si>
  <si>
    <t>减速·御城</t>
  </si>
  <si>
    <t>御城·断股</t>
  </si>
  <si>
    <t>#1F3FFFAA</t>
  </si>
  <si>
    <t>{nClass=2,nIcon=13,szName="诛恶事件",nTime=-2,key="诛恶事件",},{nClass=2,nIcon=13,szName="通用事件",nTime=-2,key="通用事件",},</t>
  </si>
  <si>
    <t>{nClass=2,nIcon=13,nTime=-2,szName="金水镇",key="金水镇",},{nClass=2,nIcon=13,nTime=-2,szName="巴陵县",key="巴陵县",},{nClass=2,nIcon=13,nTime=-2,szName="龙门荒漠",key="龙门荒漠",},{nClass=2,nIcon=13,nTime=-2,szName="南屏山",key="南屏山",},{nClass=2,nIcon=13,nTime=-2,szName="昆仑",key="昆仑",},{nClass=2,nIcon=13,nTime=-2,szName="白龙口",key="白龙口",},{nClass=2,nIcon=13,nTime=-2,szName="无量山",key="无量山",},{nClass=2,nIcon=13,nTime=-2,szName="黑龙沼",key="黑龙沼",},{nClass=2,nIcon=13,nTime=-2,szName="阴山大草原",key="阴山大草原",},{nClass=2,nIcon=13,nTime=-2,szName="黑戈壁",key="黑戈壁",},{nClass=2,nIcon=13,nTime=-2,szName="鲲鹏岛",key="鲲鹏岛",},</t>
  </si>
  <si>
    <t>判断是否在大旗附近</t>
  </si>
  <si>
    <t>{nClass=1,nIcon=1272,szName="据点大旗·旗手提示",nTime=-1,key="据点大旗·旗手提示",},</t>
  </si>
  <si>
    <t>标记.招式释放</t>
  </si>
  <si>
    <t>语音报警.招式释放</t>
  </si>
  <si>
    <t>团队报警.招式释放</t>
  </si>
  <si>
    <t>密聊报警.招式释放</t>
  </si>
  <si>
    <t>中央报警.招式释放</t>
  </si>
  <si>
    <t>标记.招式运功</t>
  </si>
  <si>
    <t>语音报警.招式运功</t>
  </si>
  <si>
    <t>团队报警.招式运功</t>
  </si>
  <si>
    <t>密聊报警.招式运功</t>
  </si>
  <si>
    <t>中央报警.招式运功</t>
  </si>
  <si>
    <t>头顶警报.招式运功</t>
  </si>
  <si>
    <t>全屏泛光.招式运功</t>
  </si>
  <si>
    <t>return {CASTING={</t>
  </si>
  <si>
    <t>屹立不倒</t>
  </si>
  <si>
    <t>{nClass=8,nIcon=1537,nFrame=0,nTime="1,屹立不倒·{$sender}·正在释放;9.5,屹立不倒·{$sender}·50减伤;32.5,屹立不倒·{$sender}·释放剩余;40.5,屹立不倒·{$sender}·延迟释放;50,屹立不倒·{$sender}·随时释放",szName="屹立不倒",nRefresh=0,key="屹立不倒",},</t>
  </si>
  <si>
    <t>{nClass=9,nIcon=1537,nFrame=0,nTime="9,屹立不倒·{$sender}·50减伤;31.5,屹立不倒·{$sender}·释放剩余;40,屹立不倒·{$sender}·延迟释放;50,屹立不倒·{$sender}·随时释放",szName="屹立不倒",nRefresh=5,key="屹立不倒",},</t>
  </si>
  <si>
    <t>月弄痕·霸气</t>
  </si>
  <si>
    <t>{nClass=9,nIcon=2037,nFrame=5,nTime="10,月弄痕·霸气·正在反弹;68,月弄痕·霸气·释放剩余",szName="反弹提示",nRefresh=2,key="反弹提示",},</t>
  </si>
  <si>
    <t>小七·珠袖落日</t>
  </si>
  <si>
    <t>{nClass=8,nIcon=21,nFrame=5,nTime="6,小七·珠袖落日·正在反弹;44,小七·珠袖落日·释放剩余",szName="反弹提示",nRefresh=2,key="反弹提示",},</t>
  </si>
  <si>
    <t>伊夜·斩无常</t>
  </si>
  <si>
    <t>{nClass=8,nIcon=12101,nFrame=5,nTime="2.5,伊夜·斩无常·正在反弹;27,伊夜·斩无常·释放剩余",szName="反弹提示",nRefresh=2,key="反弹提示",},</t>
  </si>
  <si>
    <t>王遗风·红尘曲·倾城</t>
  </si>
  <si>
    <t>{nClass=8,nIcon=2033,nFrame=5,nTime="1,红尘曲倾城·抬血",szName="招式提示1",nRefresh=1,key="招式提示1",},</t>
  </si>
  <si>
    <t>王遗风·红尘曲·御伤</t>
  </si>
  <si>
    <t>{nClass=9,nIcon=2024,nFrame=5,nTime="10,红尘曲御伤·80减伤",szName="王遗风",nRefresh=2,key="王遗风",},</t>
  </si>
  <si>
    <t>{nClass=9,nFrame=5,nIcon=13,key="招式提示1",nTime="2,御城·抛掷;4.5,抛掷·眩晕;15,御城·抛掷·下一个",szName="御城·抛掷·下一个",nRefresh=2,},</t>
  </si>
  <si>
    <t>数量</t>
  </si>
  <si>
    <t>全部消失</t>
  </si>
  <si>
    <t>NPC进入.标记</t>
  </si>
  <si>
    <t>NPC进入.语音报警</t>
  </si>
  <si>
    <t>NPC进入.团队报警</t>
  </si>
  <si>
    <t>NPC进入.密聊报警</t>
  </si>
  <si>
    <t>NPC进入.中央报警</t>
  </si>
  <si>
    <t>NPC进入.头顶报警</t>
  </si>
  <si>
    <t>NPC离开.语音报警</t>
  </si>
  <si>
    <t>NPC离开.团队报警</t>
  </si>
  <si>
    <t>NPC离开.密聊报警</t>
  </si>
  <si>
    <t>NPC离开.中央报警</t>
  </si>
  <si>
    <t>return {NPC={</t>
  </si>
  <si>
    <t>主城地图</t>
  </si>
  <si>
    <t>小珍</t>
  </si>
  <si>
    <t>{dwMapID=-1,szDisplay="分线·传送",nMaxDistance=6,tRelation={bAll=false,bEnemy=false,bAlly=true,},tLife={bEnable=false,szOperator="&gt;",nValue=0,},},</t>
  </si>
  <si>
    <t>小曾</t>
  </si>
  <si>
    <t>恶人谷精锐队长</t>
  </si>
  <si>
    <t>浩气盟精锐队长</t>
  </si>
  <si>
    <t>通用工房</t>
  </si>
  <si>
    <t>{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t>
  </si>
  <si>
    <t>通用粮仓</t>
  </si>
  <si>
    <t>通用箭塔</t>
  </si>
  <si>
    <t>{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t>
  </si>
  <si>
    <t>通用城门</t>
  </si>
  <si>
    <t>{dwMapID=-1,szDisplay="城门·关闭",nMaxDistance=60,tRelation={bAll=true,bEnemy=true,bAlly=true,},tLife={bEnable=true,szOperator="&gt;=",nValue=50,},},{dwMapID=-1,szDisplay="城门·破损",nMaxDistance=60,tRelation={bAll=true,bEnemy=true,bAlly=true,},tLife={bEnable=true,szOperator="&gt;=",nValue=30,},},</t>
  </si>
  <si>
    <t>{nClass=12,nFrame=1,nIcon=1904,nTime=30,szName="城门·已摧毁",},</t>
  </si>
  <si>
    <t>火圈</t>
  </si>
  <si>
    <t>减疗火圈</t>
  </si>
  <si>
    <t>{dwMapID=-1,szDisplay="火圈·减疗",nMaxDistance=8,tRelation={bAll=true,bEnemy=true,bAlly=true,},tLife={bEnable=false,szOperator="&gt;",nValue=0,},},</t>
  </si>
  <si>
    <t>恶人·摧城车</t>
  </si>
  <si>
    <t>恶人·摧城车·底座</t>
  </si>
  <si>
    <t>{dwMapID=-1,szDisplay="摧城车·恶人",nMaxDistance=60,tRelation={bAll=true,bEnemy=true,bAlly=true,},tLife={bEnable=false,szOperator="&gt;",nValue=0,},},</t>
  </si>
  <si>
    <t>{nClass=12,nFrame=1,nIcon=15838,nTime=10,szName="恶人·摧城车·已摧毁",},</t>
  </si>
  <si>
    <t>浩气·摧城车</t>
  </si>
  <si>
    <t>浩气·摧城车·底座</t>
  </si>
  <si>
    <t>{dwMapID=-1,szDisplay="摧城车·浩气",nMaxDistance=60,tRelation={bAll=true,bEnemy=true,bAlly=true,},tLife={bEnable=false,szOperator="&gt;",nValue=0,},},</t>
  </si>
  <si>
    <t>{nClass=12,nFrame=1,nIcon=15839,nTime=10,szName="浩气·摧城车·已摧毁",},</t>
  </si>
  <si>
    <t>摧城车·组装中</t>
  </si>
  <si>
    <t>{dwMapID=-1,szDisplay="摧城车·敌方·组装中",nMaxDistance=60,tRelation={bAll=false,bEnemy=true,bAlly=false,},tLife={bEnable=false,szOperator="&gt;",nValue=0,},},{dwMapID=-1,szDisplay="摧城车·组装中",nMaxDistance=60,tRelation={bAll=false,bEnemy=false,bAlly=true,},tLife={bEnable=false,szOperator="&gt;",nValue=0,},},</t>
  </si>
  <si>
    <t>摧城车</t>
  </si>
  <si>
    <t>{dwMapID=-1,szDisplay="摧城车·敌方",nMaxDistance=15,tRelation={bAll=false,bEnemy=true,bAlly=false,},tLife={bEnable=false,szOperator="&gt;",nValue=0,},},{dwMapID=-1,szDisplay="摧城车·友方",nMaxDistance=6,tRelation={bAll=false,bEnemy=false,bAlly=true,},tLife={bEnable=false,szOperator="&gt;",nValue=0,},},</t>
  </si>
  <si>
    <t>{nClass=12,nFrame=1,nIcon=134,nTime=10,szName="模型·摧城车·已摧毁",},</t>
  </si>
  <si>
    <t>恶人·神机车</t>
  </si>
  <si>
    <t>恶人·神机车·底座</t>
  </si>
  <si>
    <t>浩气·神机车</t>
  </si>
  <si>
    <t>浩气·神机车·底座</t>
  </si>
  <si>
    <t>恶人·组装神机车</t>
  </si>
  <si>
    <t>恶人·神机车·组装中</t>
  </si>
  <si>
    <t>浩气·组装神机车</t>
  </si>
  <si>
    <t>浩气·神机车·组装中</t>
  </si>
  <si>
    <t>神机台·有人</t>
  </si>
  <si>
    <t>神机台·有人状态</t>
  </si>
  <si>
    <t>{dwMapID=-1,szDisplay="神机台·敌方",nMaxDistance=60,tRelation={bAll=false,bEnemy=true,bAlly=false,},tLife={bEnable=false,szOperator="&gt;",nValue=0,},},{dwMapID=-1,szDisplay="神机台·有人",nMaxDistance=60,tRelation={bAll=false,bEnemy=false,bAlly=true,},tLife={bEnable=false,szOperator="&gt;",nValue=0,},},</t>
  </si>
  <si>
    <t>{nClass=12,nFrame=1,nIcon=361,nTime=10,szName="神机台·已摧毁",},</t>
  </si>
  <si>
    <t>神机台·没人状态</t>
  </si>
  <si>
    <t>{dwMapID=-1,nMaxDistance=-1,tRelation={bAll=true,bEnemy=true,bAlly=true,},tLife={bEnable=true,szOperator="&lt;",nValue=10,},},</t>
  </si>
  <si>
    <t>狼牙先锋首领</t>
  </si>
  <si>
    <t>{dwMapID=-1,nMaxDistance=90,tRelation={bAll=false,bEnemy=true,bAlly=false,},tLife={bEnable=false,szOperator="&gt;",nValue=0,},},</t>
  </si>
  <si>
    <t>恶人谷大将</t>
  </si>
  <si>
    <t>{dwMapID=-1,nMaxDistance=90,tRelation={bAll=false,bEnemy=true,bAlly=false,},tLife={bEnable=false,szOperator="&gt;",nValue=0,},},{dwMapID=-1,nMaxDistance=60,tRelation={bAll=false,bEnemy=fals,bAlly=true,},tLife={bEnable=true,szOperator="&lt;",nValue=100,},},</t>
  </si>
  <si>
    <t>{nClass=12,nFrame=3,nIcon=18830,nTime=10,szName="恶人谷大将·退场",nRefresh=2,key="恶人谷大将",},</t>
  </si>
  <si>
    <t>浩气盟大将</t>
  </si>
  <si>
    <t>{nClass=12,nFrame=7,nIcon=18829,nTime=10,szName="浩气盟大将·退场",nRefresh=2,key="浩气盟大将",},</t>
  </si>
  <si>
    <t>恶人谷货郎</t>
  </si>
  <si>
    <t>浩气盟货郎</t>
  </si>
  <si>
    <t>据点伙计</t>
  </si>
  <si>
    <t>100,255,100,</t>
  </si>
  <si>
    <t>{dwMapID=-1,nMaxDistance=10,tRelation={bAll=false,bEnemy=false,bAlly=true,},tLife={bEnable=false,szOperator="&gt;",nValue=0,},},</t>
  </si>
  <si>
    <t>浩气·据点总管</t>
  </si>
  <si>
    <t>{dwMapID=-1,nMaxDistance=6,tRelation={bAll=false,bEnemy=false,bAlly=true,},tLife={bEnable=false,szOperator="&gt;",nValue=0,},},</t>
  </si>
  <si>
    <t>恶人·据点总管</t>
  </si>
  <si>
    <t>摧城车底座-恶人</t>
  </si>
  <si>
    <t>摧城车底座-浩气</t>
  </si>
  <si>
    <t>{dwMapID=-1,szDisplay="摧城车·敌方",nMaxDistance=30,tRelation={bAll=false,bEnemy=true,bAlly=false,},tLife={bEnable=false,szOperator="&gt;",nValue=0,},},{dwMapID=-1,szDisplay="摧城车·友方",nMaxDistance=15,tRelation={bAll=false,bEnemy=false,bAlly=true,},tLife={bEnable=false,szOperator="&gt;",nValue=0,},},</t>
  </si>
  <si>
    <t>神机台·启动状态</t>
  </si>
  <si>
    <t>神机台·无人状态</t>
  </si>
  <si>
    <t>恶人谷伍长</t>
  </si>
  <si>
    <t>浩气盟伍长</t>
  </si>
  <si>
    <t>物资车</t>
  </si>
  <si>
    <t>true,false,false,false,false,false,false,false,false,false,</t>
  </si>
  <si>
    <t>{dwMapID=-1,szDisplay="物资车·敌方",nMaxDistance=120,tRelation={bAll=false,bEnemy=true,bAlly=false,},tLife={bEnable=false,szOperator="&gt;",nValue=0,},},{dwMapID=-1,szDisplay="物资车·友方",nMaxDistance=60,tRelation={bAll=false,bEnemy=false,bAlly=true,},tLife={bEnable=true,szOperator="&lt;",nValue=100,},},{dwMapID=-1,nMaxDistance=30,tRelation={bAll=true,bEnemy=true,bAlly=true,},tLife={bEnable=false,szOperator="&gt;",nValue=0,},},</t>
  </si>
  <si>
    <t>铁铸刚</t>
  </si>
  <si>
    <t>31,255,255,</t>
  </si>
  <si>
    <t>{dwMapID=-1,nMaxDistance=60,tRelation={bAll=false,bEnemy=true,bAlly=false,},tLife={bEnable=true,szOperator="&gt;",nValue=98,},}</t>
  </si>
  <si>
    <t>{nClass=12,nFrame=4,nIcon=13,nTime="180,铁铸刚·刷新剩余;182,铁铸刚·正在刷新",szName="铁铸刚·刷新剩余",nRefresh=0,key="铁铸刚",},</t>
  </si>
  <si>
    <t>主场·恶人·白某（莫雨）小少林</t>
  </si>
  <si>
    <t>{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
  </si>
  <si>
    <t>主场·恶人·米丽古丽</t>
  </si>
  <si>
    <t>主场·恶人·灭世机甲</t>
  </si>
  <si>
    <t>主场·恶人·司徒一一（万兽王）烬烟堂</t>
  </si>
  <si>
    <t>主场·恶人·陶寒亭</t>
  </si>
  <si>
    <t>主场·恶人·王遗风</t>
  </si>
  <si>
    <t>主场·恶人·肖药儿</t>
  </si>
  <si>
    <t>主场·浩气·司空仲平</t>
  </si>
  <si>
    <t>主场·浩气·小七（穆玄英）·兰亭书院</t>
  </si>
  <si>
    <t>主场·浩气·谢渊</t>
  </si>
  <si>
    <t>主场·浩气·游驹</t>
  </si>
  <si>
    <t>主场·浩气·月弄痕</t>
  </si>
  <si>
    <t>{nClass=4,nIcon=13,nTime=-1,szName="反弹提示",nRefresh=2,key="反弹提示",},</t>
  </si>
  <si>
    <t>主场·浩气·张桎辕</t>
  </si>
  <si>
    <t>奇袭·恶人·毕罗巴（白某）·断肠居</t>
  </si>
  <si>
    <t>奇袭·恶人·丁丁</t>
  </si>
  <si>
    <t>奇袭·恶人·独孤修</t>
  </si>
  <si>
    <t>奇袭·恶人·烟</t>
  </si>
  <si>
    <t>奇袭·恶人·伊夜</t>
  </si>
  <si>
    <t>奇袭·恶人·岳琅</t>
  </si>
  <si>
    <t>奇袭·浩气·郭珠</t>
  </si>
  <si>
    <t>奇袭·浩气·韩非池（小七）落雁城</t>
  </si>
  <si>
    <t>奇袭·浩气·穆玄英（谢铃儿）望影台</t>
  </si>
  <si>
    <t>奇袭·浩气·叶镜池</t>
  </si>
  <si>
    <t>奇袭·浩气·影</t>
  </si>
  <si>
    <t>奇袭·浩气·赵紫儿</t>
  </si>
  <si>
    <t>复活·恶人·顾延恶</t>
  </si>
  <si>
    <t>{nClass=7,nIcon=1537,nFrame=0,bFightHold=true,nTime=32.5,szName="屹立不倒·{$receiver}·释放剩余",key="屹立不倒",},</t>
  </si>
  <si>
    <t>{nClass=4,nIcon=13,nTime=-1,szName="屹立不倒",key="屹立不倒",},</t>
  </si>
  <si>
    <t>复活·恶人·吕沛杰</t>
  </si>
  <si>
    <t>复活·恶人·陶国栋</t>
  </si>
  <si>
    <t>复活·恶人·张一洋</t>
  </si>
  <si>
    <t>复活·浩气·陶杰</t>
  </si>
  <si>
    <t>复活·浩气·谢烟客</t>
  </si>
  <si>
    <t>复活·浩气·郑鸥</t>
  </si>
  <si>
    <t>复活·浩气·周峰</t>
  </si>
  <si>
    <t>主场·恶人·米丽古丽（周日恶人谷）</t>
  </si>
  <si>
    <t>主场·浩气·王遗风</t>
  </si>
  <si>
    <t>主场·浩气·小七（穆玄英）酒池峡</t>
  </si>
  <si>
    <t>奇袭·浩气·韩非池</t>
  </si>
  <si>
    <t>奇袭·浩气·穆玄英</t>
  </si>
  <si>
    <t>大旗·武王城</t>
  </si>
  <si>
    <t>{dwMapID=-1,szDisplay="大旗·武王城·交互",nMaxDistance=1,tRelation={bAll=true,bEnemy=false,bAlly=false,},tLife={bEnable=false,szOperator="&gt;",nValue=0,},},</t>
  </si>
  <si>
    <t>{nClass=3,nIcon=3445,nFrame=3,szName="武王城·浩气大旗被夺",nTime=-1,key="武王城·浩气大旗",},</t>
  </si>
  <si>
    <t>{nClass=3,nIcon=3444,nFrame=7,szName="武王城·恶人大旗被夺",nTime=-1,key="武王城·恶人大旗",},</t>
  </si>
  <si>
    <t>据点争夺·据点守将·穆玄英</t>
  </si>
  <si>
    <t>据点争夺·增援首领·谢渊</t>
  </si>
  <si>
    <t>大旗·凛风堡</t>
  </si>
  <si>
    <t>{dwMapID=-1,szDisplay="大旗·凛风堡·交互",nMaxDistance=1,tRelation={bAll=true,bEnemy=false,bAlly=false,},tLife={bEnable=false,szOperator="&gt;",nValue=0,},},</t>
  </si>
  <si>
    <t>{nClass=3,nIcon=3445,nFrame=3,szName="凛风堡·浩气大旗被夺",nTime=-1,key="凛风堡·浩气大旗",},</t>
  </si>
  <si>
    <t>{nClass=3,nIcon=3444,nFrame=7,szName="凛风堡·恶人大旗被夺",nTime=-1,key="凛风堡·恶人大旗",},</t>
  </si>
  <si>
    <t>城门·昆仑</t>
  </si>
  <si>
    <t>箭塔·昆仑</t>
  </si>
  <si>
    <t>通用箭塔·昆仑·苍山洱海</t>
  </si>
  <si>
    <t>据点争夺·据点守将·莫雨</t>
  </si>
  <si>
    <t>据点争夺·增援首领·王遗风</t>
  </si>
  <si>
    <t>大旗·盘龙坞</t>
  </si>
  <si>
    <t>{dwMapID=-1,szDisplay="大旗·盘龙坞·交互",nMaxDistance=1,tRelation={bAll=true,bEnemy=false,bAlly=false,},tLife={bEnable=false,szOperator="&gt;",nValue=0,},},</t>
  </si>
  <si>
    <t>{nClass=3,nIcon=3445,nFrame=3,szName="盘龙坞·浩气大旗被夺",nTime=-1,key="盘龙坞·浩气大旗",},</t>
  </si>
  <si>
    <t>{nClass=3,nIcon=3444,nFrame=7,szName="盘龙坞·恶人大旗被夺",nTime=-1,key="盘龙坞·恶人大旗",},</t>
  </si>
  <si>
    <t>大旗·逐鹿坪</t>
  </si>
  <si>
    <t>{dwMapID=-1,szDisplay="大旗·逐鹿坪·交互",nMaxDistance=1,tRelation={bAll=true,bEnemy=false,bAlly=false,},tLife={bEnable=false,szOperator="&gt;",nValue=0,},},</t>
  </si>
  <si>
    <t>{nClass=3,nIcon=3445,nFrame=3,szName="逐鹿坪·浩气大旗被夺",nTime=-1,key="逐鹿坪·浩气大旗",},</t>
  </si>
  <si>
    <t>{nClass=3,nIcon=3444,nFrame=7,szName="逐鹿坪·恶人大旗被夺",nTime=-1,key="逐鹿坪·恶人大旗",},</t>
  </si>
  <si>
    <t>据点争夺·增援首领·张桎辕</t>
  </si>
  <si>
    <t>据点争夺·增援首领·可人</t>
  </si>
  <si>
    <t>大旗·龙门镇</t>
  </si>
  <si>
    <t>{dwMapID=-1,szDisplay="大旗·龙门镇·交互",nMaxDistance=1,tRelation={bAll=true,bEnemy=false,bAlly=false,},tLife={bEnable=false,szOperator="&gt;",nValue=0,},},</t>
  </si>
  <si>
    <t>{nClass=3,nIcon=3445,nFrame=3,szName="龙门镇·浩气大旗被夺",nTime=-1,key="龙门镇·浩气大旗",},</t>
  </si>
  <si>
    <t>{nClass=3,nIcon=3444,nFrame=7,szName="龙门镇·恶人大旗被夺",nTime=-1,key="龙门镇·恶人大旗",},</t>
  </si>
  <si>
    <t>大旗·飞沙关</t>
  </si>
  <si>
    <t>{dwMapID=-1,szDisplay="大旗·飞沙关·交互",nMaxDistance=1,tRelation={bAll=true,bEnemy=false,bAlly=false,},tLife={bEnable=false,szOperator="&gt;",nValue=0,},},</t>
  </si>
  <si>
    <t>{nClass=3,nIcon=3445,nFrame=3,szName="飞沙关·浩气大旗被夺",nTime=-1,key="飞沙关·浩气大旗",},</t>
  </si>
  <si>
    <t>{nClass=3,nIcon=3444,nFrame=7,szName="飞沙关·恶人大旗被夺",nTime=-1,key="飞沙关·恶人大旗",},</t>
  </si>
  <si>
    <t>城门·龙门荒漠</t>
  </si>
  <si>
    <t>工房·龙门荒漠</t>
  </si>
  <si>
    <t>粮仓·龙门荒漠</t>
  </si>
  <si>
    <t>箭塔·龙门荒漠</t>
  </si>
  <si>
    <t>箭塔·马嵬驿·龙门荒漠</t>
  </si>
  <si>
    <t>据点争夺·增援首领·米丽古丽</t>
  </si>
  <si>
    <t>据点争夺·增援首领·莫雨</t>
  </si>
  <si>
    <t>大旗·红莲岗</t>
  </si>
  <si>
    <t>{dwMapID=-1,szDisplay="大旗·红莲岗·交互",nMaxDistance=1,tRelation={bAll=true,bEnemy=false,bAlly=false,},tLife={bEnable=false,szOperator="&gt;",nValue=0,},},</t>
  </si>
  <si>
    <t>{nClass=3,nIcon=3445,nFrame=3,szName="红莲岗·浩气大旗被夺",nTime=-1,key="红莲岗·浩气大旗",},</t>
  </si>
  <si>
    <t>{nClass=3,nIcon=3444,nFrame=7,szName="红莲岗·恶人大旗被夺",nTime=-1,key="红莲岗·恶人大旗",},</t>
  </si>
  <si>
    <t>大旗·秋雨堡</t>
  </si>
  <si>
    <t>{dwMapID=-1,szDisplay="大旗·秋雨堡·交互",nMaxDistance=1,tRelation={bAll=true,bEnemy=false,bAlly=false,},tLife={bEnable=false,szOperator="&gt;",nValue=0,},},</t>
  </si>
  <si>
    <t>{nClass=3,nIcon=3445,nFrame=3,szName="秋雨堡·浩气大旗被夺",nTime=-1,key="秋雨堡·浩气大旗",},</t>
  </si>
  <si>
    <t>{nClass=3,nIcon=3444,nFrame=7,szName="秋雨堡·恶人大旗被夺",nTime=-1,key="秋雨堡·恶人大旗",},</t>
  </si>
  <si>
    <t>据点争夺·增援首领·月弄痕</t>
  </si>
  <si>
    <t>据点争夺·增援首领·影</t>
  </si>
  <si>
    <t>大旗·金门关</t>
  </si>
  <si>
    <t>{dwMapID=-1,szDisplay="大旗·金门关·交互",nMaxDistance=1,tRelation={bAll=true,bEnemy=false,bAlly=false,},tLife={bEnable=false,szOperator="&gt;",nValue=0,},},</t>
  </si>
  <si>
    <t>{nClass=3,nIcon=3445,nFrame=3,szName="金门关·浩气大旗被夺",nTime=-1,key="金门关·浩气大旗",},</t>
  </si>
  <si>
    <t>{nClass=3,nIcon=3444,nFrame=7,szName="金门关·恶人大旗被夺",nTime=-1,key="金门关·恶人大旗",},</t>
  </si>
  <si>
    <t>大旗·青云坞</t>
  </si>
  <si>
    <t>{dwMapID=-1,szDisplay="大旗·青云坞·交互",nMaxDistance=1,tRelation={bAll=true,bEnemy=false,bAlly=false,},tLife={bEnable=false,szOperator="&gt;",nValue=0,},},</t>
  </si>
  <si>
    <t>{nClass=3,nIcon=3445,nFrame=3,szName="青云坞·浩气大旗被夺",nTime=-1,key="青云坞·浩气大旗",},</t>
  </si>
  <si>
    <t>{nClass=3,nIcon=3444,nFrame=7,szName="青云坞·恶人大旗被夺",nTime=-1,key="青云坞·恶人大旗",},</t>
  </si>
  <si>
    <t>大旗·激流坞</t>
  </si>
  <si>
    <t>{dwMapID=-1,szDisplay="大旗·激流坞·交互",nMaxDistance=1,tRelation={bAll=true,bEnemy=false,bAlly=false,},tLife={bEnable=false,szOperator="&gt;",nValue=0,},},</t>
  </si>
  <si>
    <t>{nClass=3,nIcon=3445,nFrame=3,szName="激流坞·浩气大旗被夺",nTime=-1,key="激流坞·浩气大旗",},</t>
  </si>
  <si>
    <t>{nClass=3,nIcon=3444,nFrame=7,szName="激流坞·恶人大旗被夺",nTime=-1,key="激流坞·恶人大旗",},</t>
  </si>
  <si>
    <t>大旗·不空关</t>
  </si>
  <si>
    <t>{dwMapID=-1,szDisplay="大旗·不空关·交互",nMaxDistance=1,tRelation={bAll=true,bEnemy=false,bAlly=false,},tLife={bEnable=false,szOperator="&gt;",nValue=0,},},</t>
  </si>
  <si>
    <t>{nClass=3,nIcon=3445,nFrame=3,szName="不空关·浩气大旗被夺",nTime=-1,key="不空关·浩气大旗",},</t>
  </si>
  <si>
    <t>{nClass=3,nIcon=3444,nFrame=7,szName="不空关·恶人大旗被夺",nTime=-1,key="不空关·恶人大旗",},</t>
  </si>
  <si>
    <t>通用箭塔·瞿塘峡·枫华谷</t>
  </si>
  <si>
    <t>箭塔·瞿塘峡</t>
  </si>
  <si>
    <t>大旗·日月崖</t>
  </si>
  <si>
    <t>{dwMapID=-1,szDisplay="大旗·日月崖·交互",nMaxDistance=1,tRelation={bAll=true,bEnemy=false,bAlly=false,},tLife={bEnable=false,szOperator="&gt;",nValue=0,},},</t>
  </si>
  <si>
    <t>{nClass=3,nIcon=3445,nFrame=3,szName="日月崖·浩气大旗被夺",nTime=-1,key="日月崖·浩气大旗",},</t>
  </si>
  <si>
    <t>{nClass=3,nIcon=3444,nFrame=7,szName="日月崖·恶人大旗被夺",nTime=-1,key="日月崖·恶人大旗",},</t>
  </si>
  <si>
    <t>大旗·卧龙坡</t>
  </si>
  <si>
    <t>{dwMapID=-1,szDisplay="大旗·卧龙坡·交互",nMaxDistance=1,tRelation={bAll=true,bEnemy=false,bAlly=false,},tLife={bEnable=false,szOperator="&gt;",nValue=0,},},</t>
  </si>
  <si>
    <t>{nClass=3,nIcon=3445,nFrame=3,szName="卧龙坡·浩气大旗被夺",nTime=-1,key="卧龙坡·浩气大旗",},</t>
  </si>
  <si>
    <t>{nClass=3,nIcon=3444,nFrame=7,szName="卧龙坡·恶人大旗被夺",nTime=-1,key="卧龙坡·恶人大旗",},</t>
  </si>
  <si>
    <t>大旗·霜戈堡</t>
  </si>
  <si>
    <t>{dwMapID=-1,szDisplay="大旗·霜戈堡·交互",nMaxDistance=1,tRelation={bAll=true,bEnemy=false,bAlly=false,},tLife={bEnable=false,szOperator="&gt;",nValue=0,},},</t>
  </si>
  <si>
    <t>{nClass=3,nIcon=3445,nFrame=3,szName="霜戈堡·浩气大旗被夺",nTime=-1,key="霜戈堡·浩气大旗",},</t>
  </si>
  <si>
    <t>{nClass=3,nIcon=3444,nFrame=7,szName="霜戈堡·恶人大旗被夺",nTime=-1,key="霜戈堡·恶人大旗",},</t>
  </si>
  <si>
    <t>大旗·澜沧城</t>
  </si>
  <si>
    <t>{dwMapID=-1,szDisplay="大旗·澜沧城·交互",nMaxDistance=1,tRelation={bAll=true,bEnemy=false,bAlly=false,},tLife={bEnable=false,szOperator="&gt;",nValue=0,},},</t>
  </si>
  <si>
    <t>{nClass=3,nIcon=3445,nFrame=3,szName="澜沧城·浩气大旗被夺",nTime=-1,key="澜沧城·浩气大旗",},</t>
  </si>
  <si>
    <t>{nClass=3,nIcon=3444,nFrame=7,szName="澜沧城·恶人大旗被夺",nTime=-1,key="澜沧城·恶人大旗",},</t>
  </si>
  <si>
    <t>城门·无量山</t>
  </si>
  <si>
    <t>箭塔·无量山</t>
  </si>
  <si>
    <t>大旗·神池岭</t>
  </si>
  <si>
    <t>{dwMapID=-1,szDisplay="大旗·神池岭·交互",nMaxDistance=1,tRelation={bAll=true,bEnemy=false,bAlly=false,},tLife={bEnable=false,szOperator="&gt;",nValue=0,},},</t>
  </si>
  <si>
    <t>{nClass=3,nIcon=3445,nFrame=3,szName="神池岭·浩气大旗被夺",nTime=-1,key="神池岭·浩气大旗",},</t>
  </si>
  <si>
    <t>{nClass=3,nIcon=3444,nFrame=7,szName="神池岭·恶人大旗被夺",nTime=-1,key="神池岭·恶人大旗",},</t>
  </si>
  <si>
    <t>大旗·烈日岗</t>
  </si>
  <si>
    <t>{dwMapID=-1,szDisplay="大旗·烈日岗·交互",nMaxDistance=1,tRelation={bAll=true,bEnemy=false,bAlly=false,},tLife={bEnable=false,szOperator="&gt;",nValue=0,},},</t>
  </si>
  <si>
    <t>{nClass=3,nIcon=3445,nFrame=3,szName="烈日岗·浩气大旗被夺",nTime=-1,key="烈日岗·浩气大旗",},</t>
  </si>
  <si>
    <t>{nClass=3,nIcon=3444,nFrame=7,szName="烈日岗·恶人大旗被夺",nTime=-1,key="烈日岗·恶人大旗",},</t>
  </si>
  <si>
    <t>据点争夺·增援首领·烟</t>
  </si>
  <si>
    <t>据点争夺·增援首领·顾延恶</t>
  </si>
  <si>
    <t>大旗·凤鸣堡</t>
  </si>
  <si>
    <t>{dwMapID=-1,szDisplay="大旗·凤鸣堡·交互",nMaxDistance=1,tRelation={bAll=true,bEnemy=false,bAlly=false,},tLife={bEnable=false,szOperator="&gt;",nValue=0,},},</t>
  </si>
  <si>
    <t>{nClass=3,nIcon=3445,nFrame=3,szName="凤鸣堡·浩气大旗被夺",nTime=-1,key="凤鸣堡·浩气大旗",},</t>
  </si>
  <si>
    <t>{nClass=3,nIcon=3444,nFrame=7,szName="凤鸣堡·恶人大旗被夺",nTime=-1,key="凤鸣堡·恶人大旗",},</t>
  </si>
  <si>
    <t>大旗·惊虬谷</t>
  </si>
  <si>
    <t>{dwMapID=-1,szDisplay="大旗·惊虬谷·交互",nMaxDistance=1,tRelation={bAll=true,bEnemy=false,bAlly=false,},tLife={bEnable=false,szOperator="&gt;",nValue=0,},},</t>
  </si>
  <si>
    <t>{nClass=3,nIcon=3445,nFrame=3,szName="惊虬谷·浩气大旗被夺",nTime=-1,key="惊虬谷·浩气大旗",},</t>
  </si>
  <si>
    <t>{nClass=3,nIcon=3444,nFrame=7,szName="惊虬谷·恶人大旗被夺",nTime=-1,key="惊虬谷·恶人大旗",},</t>
  </si>
  <si>
    <t>大旗·大理山城</t>
  </si>
  <si>
    <t>{dwMapID=-1,szDisplay="大旗·大理山城·交互",nMaxDistance=1,tRelation={bAll=true,bEnemy=false,bAlly=false,},tLife={bEnable=false,szOperator="&gt;",nValue=0,},},</t>
  </si>
  <si>
    <t>{nClass=3,nIcon=3445,nFrame=3,szName="大理山城·浩气大旗被夺",nTime=-1,key="大理山城·浩气大旗",},</t>
  </si>
  <si>
    <t>{nClass=3,nIcon=3444,nFrame=7,szName="大理山城·恶人大旗被夺",nTime=-1,key="大理山城·恶人大旗",},</t>
  </si>
  <si>
    <t>大旗·千岩关</t>
  </si>
  <si>
    <t>{dwMapID=-1,szDisplay="大旗·千岩关·交互",nMaxDistance=1,tRelation={bAll=true,bEnemy=false,bAlly=false,},tLife={bEnable=false,szOperator="&gt;",nValue=0,},},</t>
  </si>
  <si>
    <t>{nClass=3,nIcon=3445,nFrame=3,szName="千岩关·浩气大旗被夺",nTime=-1,key="千岩关·浩气大旗",},</t>
  </si>
  <si>
    <t>{nClass=3,nIcon=3444,nFrame=7,szName="千岩关·恶人大旗被夺",nTime=-1,key="千岩关·恶人大旗",},</t>
  </si>
  <si>
    <t>城门·苍山洱海</t>
  </si>
  <si>
    <t>工房·苍山洱海</t>
  </si>
  <si>
    <t>粮仓·苍山洱海</t>
  </si>
  <si>
    <t>箭塔·苍山洱海</t>
  </si>
  <si>
    <t>据点争夺·增援首领·司空仲平</t>
  </si>
  <si>
    <t>据点争夺·增援首领·谢烟客</t>
  </si>
  <si>
    <t>大旗·枫湖寨</t>
  </si>
  <si>
    <t>{dwMapID=-1,szDisplay="大旗·枫湖寨·交互",nMaxDistance=1,tRelation={bAll=true,bEnemy=false,bAlly=false,},tLife={bEnable=false,szOperator="&gt;",nValue=0,},},</t>
  </si>
  <si>
    <t>{nClass=3,nIcon=3445,nFrame=3,szName="枫湖寨·浩气大旗被夺",nTime=-1,key="枫湖寨·浩气大旗",},</t>
  </si>
  <si>
    <t>{nClass=3,nIcon=3444,nFrame=7,szName="枫湖寨·恶人大旗被夺",nTime=-1,key="枫湖寨·恶人大旗",},</t>
  </si>
  <si>
    <t>大旗·啖杏林</t>
  </si>
  <si>
    <t>{dwMapID=-1,szDisplay="大旗·啖杏林·交互",nMaxDistance=1,tRelation={bAll=true,bEnemy=false,bAlly=false,},tLife={bEnable=false,szOperator="&gt;",nValue=0,},},</t>
  </si>
  <si>
    <t>{nClass=3,nIcon=3445,nFrame=3,szName="啖杏林·浩气大旗被夺",nTime=-1,key="啖杏林·浩气大旗",},</t>
  </si>
  <si>
    <t>{nClass=3,nIcon=3444,nFrame=7,szName="啖杏林·恶人大旗被夺",nTime=-1,key="啖杏林·恶人大旗",},</t>
  </si>
  <si>
    <t>大旗·扶风郡</t>
  </si>
  <si>
    <t>{dwMapID=-1,szDisplay="大旗·扶风郡·交互",nMaxDistance=1,tRelation={bAll=true,bEnemy=false,bAlly=false,},tLife={bEnable=false,szOperator="&gt;",nValue=0,},},</t>
  </si>
  <si>
    <t>{nClass=3,nIcon=3445,nFrame=3,szName="扶风郡·浩气大旗被夺",nTime=-1,key="扶风郡·浩气大旗",},</t>
  </si>
  <si>
    <t>{nClass=3,nIcon=3444,nFrame=7,szName="扶风郡·恶人大旗被夺",nTime=-1,key="扶风郡·恶人大旗",},</t>
  </si>
  <si>
    <t>大旗·世外坡</t>
  </si>
  <si>
    <t>{dwMapID=-1,szDisplay="大旗·世外坡·交互",nMaxDistance=1,tRelation={bAll=true,bEnemy=false,bAlly=false,},tLife={bEnable=false,szOperator="&gt;",nValue=0,},},</t>
  </si>
  <si>
    <t>{nClass=3,nIcon=3445,nFrame=3,szName="世外坡·浩气大旗被夺",nTime=-1,key="世外坡·浩气大旗",},</t>
  </si>
  <si>
    <t>{nClass=3,nIcon=3444,nFrame=7,szName="世外坡·恶人大旗被夺",nTime=-1,key="世外坡·恶人大旗",},</t>
  </si>
  <si>
    <t>城门·马嵬驿</t>
  </si>
  <si>
    <t>粮仓·马嵬驿</t>
  </si>
  <si>
    <t>据点争夺·增援首领·陶寒亭</t>
  </si>
  <si>
    <t>据点争夺·增援首领·肖药儿</t>
  </si>
  <si>
    <t>烽烟再起·郭戈</t>
  </si>
  <si>
    <t>{dwMapID=-1,szDisplay="郭戈·烽烟再起",nMaxDistance=10,tRelation={bAll=false,bEnemy=false,bAlly=true,},tLife={bEnable=false,szOperator="&gt;",nValue=0,},},</t>
  </si>
  <si>
    <t>烽烟再起·蒋征南</t>
  </si>
  <si>
    <t>{dwMapID=-1,szDisplay="蒋征南·烽烟再起",nMaxDistance=10,tRelation={bAll=false,bEnemy=false,bAlly=true,},tLife={bEnable=false,szOperator="&gt;",nValue=0,},},</t>
  </si>
  <si>
    <t>大旗·云台营</t>
  </si>
  <si>
    <t>{dwMapID=-1,szDisplay="大旗·云台营·交互",nMaxDistance=1,tRelation={bAll=true,bEnemy=false,bAlly=false,},tLife={bEnable=false,szOperator="&gt;",nValue=0,},},{dwMapID=-1,szDisplay="大旗·云台营",nMaxDistance=30,tRelation={bAll=true,bEnemy=false,bAlly=false,},tLife={bEnable=false,szOperator="&gt;",nValue=0,},},</t>
  </si>
  <si>
    <t>{nClass=3,nIcon=3445,nFrame=3,szName="云台营·浩气大旗被夺",nTime=-1,key="云台营·浩气大旗",},</t>
  </si>
  <si>
    <t>{nClass=3,nIcon=3444,nFrame=7,szName="云台营·恶人大旗被夺",nTime=-1,key="云台营·恶人大旗",},</t>
  </si>
  <si>
    <t>大旗·高阳营</t>
  </si>
  <si>
    <t>{dwMapID=-1,szDisplay="大旗·高阳营·交互",nMaxDistance=1,tRelation={bAll=true,bEnemy=false,bAlly=false,},tLife={bEnable=false,szOperator="&gt;",nValue=0,},},{dwMapID=-1,szDisplay="大旗·高阳营",nMaxDistance=30,tRelation={bAll=true,bEnemy=false,bAlly=false,},tLife={bEnable=false,szOperator="&gt;",nValue=0,},},</t>
  </si>
  <si>
    <t>{nClass=3,nIcon=3445,nFrame=3,szName="高阳营·浩气大旗被夺",nTime=-1,key="高阳营·浩气大旗",},</t>
  </si>
  <si>
    <t>{nClass=3,nIcon=3444,nFrame=7,szName="高阳营·恶人大旗被夺",nTime=-1,key="高阳营·恶人大旗",},</t>
  </si>
  <si>
    <t>浩气牛车</t>
  </si>
  <si>
    <t>{dwMapID=-1,nMaxDistance=40,tRelation={bAll=true,bEnemy=false,bAlly=false,},tLife={bEnable=false,szOperator="&gt;",nValue=0,},},</t>
  </si>
  <si>
    <t>恶人牛车</t>
  </si>
  <si>
    <t>{dwMapID=-1,nMaxDistance=90,tRelation={bAll=false,bEnemy=true,bAlly=false,},tLife={bEnable=false,szOperator="&gt;",nValue=0,},},{dwMapID=-1,nMaxDistance=60,tRelation={bAll=false,bEnemy=false,bAlly=true,},tLife={bEnable=true,szOperator="&lt;",nValue=100,},},</t>
  </si>
  <si>
    <t>城门·阴山大草原</t>
  </si>
  <si>
    <t>工坊·阴山大草原</t>
  </si>
  <si>
    <t>粮仓·阴山大草原</t>
  </si>
  <si>
    <t>箭塔·阴山大草原</t>
  </si>
  <si>
    <t>{dwMapID=-1,szDisplay="分线·传送",nMaxDistance=12,tRelation={bAll=false,bEnemy=false,bAlly=true,},tLife={bEnable=false,szOperator="&gt;",nValue=0,},},</t>
  </si>
  <si>
    <t>城门·阴山大草原·分线</t>
  </si>
  <si>
    <t>工坊·阴山大草原·分线</t>
  </si>
  <si>
    <t>粮仓·阴山大草原·分线</t>
  </si>
  <si>
    <t>箭塔·阴山大草原·分线</t>
  </si>
  <si>
    <t>语音报警.物件进入</t>
  </si>
  <si>
    <t>团队报警.物件进入</t>
  </si>
  <si>
    <t>密聊报警.物件进入</t>
  </si>
  <si>
    <t>中央报警.物件进入</t>
  </si>
  <si>
    <t>头顶警报.物件进入</t>
  </si>
  <si>
    <t>全屏泛光.物件进入</t>
  </si>
  <si>
    <t>语音报警.物件离开</t>
  </si>
  <si>
    <t>团队报警.物件离开</t>
  </si>
  <si>
    <t>密聊报警.物件离开</t>
  </si>
  <si>
    <t>中央报警.物件离开</t>
  </si>
  <si>
    <t>return {DOODAD={</t>
  </si>
  <si>
    <t>阵营地图的数据</t>
  </si>
  <si>
    <t>物资堆·物资车</t>
  </si>
  <si>
    <t>{dwMapID=-1,szDisplay="物资堆·物资车",nMaxDistance=60,tRelation={bAll=true,bEnemy=false,bAlly=false,},tLife={bEnable=false,szOperator="&gt;",nValue=0,},},</t>
  </si>
  <si>
    <t>物资箱·复活点</t>
  </si>
  <si>
    <t>{dwMapID=-1,szDisplay="物资箱·复活点",nMaxDistance=30,tRelation={bAll=true,bEnemy=false,bAlly=false,},tLife={bEnable=false,szOperator="&gt;",nValue=0,},},</t>
  </si>
  <si>
    <t>物资堆·助战掉落</t>
  </si>
  <si>
    <t>{dwMapID=-1,szDisplay="物资堆·助战掉落",nMaxDistance=0,tRelation={bAll=true,bEnemy=false,bAlly=false,},tLife={bEnable=false,szOperator="&gt;",nValue=0,},},</t>
  </si>
  <si>
    <t>物资堆·首领掉落</t>
  </si>
  <si>
    <t>{dwMapID=-1,szDisplay="物资堆·首领掉落",nMaxDistance=0,tRelation={bAll=true,bEnemy=false,bAlly=false,},tLife={bEnable=false,szOperator="&gt;",nValue=0,},},</t>
  </si>
  <si>
    <t>祭天护送恶人宝箱</t>
  </si>
  <si>
    <t>{dwMapID=-1,nMaxDistance=60,tRelation={bAll=true,bEnemy=false,bAlly=false,},tLife={bEnable=false,szOperator="&gt;",nValue=0,},},</t>
  </si>
  <si>
    <t>祭天护送浩气宝箱</t>
  </si>
  <si>
    <t>狼牙先锋首领掉落</t>
  </si>
  <si>
    <t>{dwMapID=-1,szDisplay="狼牙先锋首领·掉落",nMaxDistance=0,tRelation={bAll=true,bEnemy=false,bAlly=false,},tLife={bEnable=false,szOperator="&gt;",nValue=0,},},</t>
  </si>
  <si>
    <t>粮仓宝堆</t>
  </si>
  <si>
    <t>{dwMapID=-1,szDisplay="粮仓宝堆",nMaxDistance=0,tRelation={bAll=true,bEnemy=false,bAlly=false,},tLife={bEnable=false,szOperator="&gt;",nValue=0,},},</t>
  </si>
  <si>
    <t>喊话内容</t>
  </si>
  <si>
    <t>指挥退场</t>
  </si>
  <si>
    <t>指挥驻场</t>
  </si>
  <si>
    <t>复活点</t>
  </si>
  <si>
    <t>驻场阵营</t>
  </si>
  <si>
    <t>驻场首领</t>
  </si>
  <si>
    <t>退场阵营</t>
  </si>
  <si>
    <t>退场首领</t>
  </si>
  <si>
    <t>子串搜索</t>
  </si>
  <si>
    <t>正则匹配</t>
  </si>
  <si>
    <t>喊话.语音报警</t>
  </si>
  <si>
    <t>喊话.团队报警</t>
  </si>
  <si>
    <t>喊话.密聊警报</t>
  </si>
  <si>
    <t>喊话.中央报警</t>
  </si>
  <si>
    <t>喊话.头顶报警</t>
  </si>
  <si>
    <t>全屏泛光.喊话</t>
  </si>
  <si>
    <t>return {TALK={</t>
  </si>
  <si>
    <t>你获得了100点威名、100点战阶。受到了鼓舞，气力值消耗减少一段时间。</t>
  </si>
  <si>
    <t>堆堆·牛车奖励</t>
  </si>
  <si>
    <t>{nClass=14,nIcon=3556,nFrame=1,szName="拾取间隔",nTime="300,物资车·拾取物资·间隔剩余;310,物资车·可以拾取物资了",nRefresh=1,key="牛车拾取间隔",},</t>
  </si>
  <si>
    <t>你获得了100点威名、100点战阶。受到了鼓舞，气力值增加500点。</t>
  </si>
  <si>
    <t>你获得了100点威名、100点战阶。</t>
  </si>
  <si>
    <t>堆堆·助战首领</t>
  </si>
  <si>
    <t>{nClass=14,nIcon=13564,nFrame=1,szName="拾取间隔",nTime="300,助战堆·拾取物资·间隔剩余;310,助战堆·可以拾取物资了",nRefresh=1,key="首领拾取间隔",},</t>
  </si>
  <si>
    <t>你获得了200点威名、200点战阶。受到了鼓舞，气力值消耗减少一段时间。</t>
  </si>
  <si>
    <t>堆堆·驻场首领</t>
  </si>
  <si>
    <t>%</t>
  </si>
  <si>
    <t>军情速递！恶人谷物资车已从复活点出发，物资车内装有大量物资，望恶人侠士们前来护送，以防不法之徒前来抢夺。</t>
  </si>
  <si>
    <t>恶人·物资车·出发</t>
  </si>
  <si>
    <t>255,100,100,</t>
  </si>
  <si>
    <t>{nClass=14,nIcon=3103,nFrame=3,szName="恶人谷·物资车·正在出发",nTime=10,nRefresh=1,key="恶人·物资车·护送",},</t>
  </si>
  <si>
    <t>军情速递！浩气盟物资车已从复活点出发，物资车内装有大量物资，望浩气侠士们前来护送，以防不法之徒前来抢夺。</t>
  </si>
  <si>
    <t>浩气·物资车·出发</t>
  </si>
  <si>
    <t>100,100,255,</t>
  </si>
  <si>
    <t>{nClass=14,nIcon=3101,nFrame=7,szName="浩气盟·物资车·正在出发",nTime=10,nRefresh=1,key="浩气·物资车·护送",},</t>
  </si>
  <si>
    <t>奇袭场战阶达到4000后，战阶换算贡献比例降低为10:1</t>
  </si>
  <si>
    <t>奇袭·贡献值·限速90%</t>
  </si>
  <si>
    <t>255,255,100,</t>
  </si>
  <si>
    <t>{nClass=14,nIcon=13,szName="首领拾取间隔",nTime=-1,nRefresh=7200,key="首领拾取间隔",},</t>
  </si>
  <si>
    <t>奇袭场战阶达到2000后，战阶换算贡献比例降低为2:1</t>
  </si>
  <si>
    <t>奇袭·贡献值·限速50%</t>
  </si>
  <si>
    <t>恶人谷物资车已被拦截，车内装大量物资，望侠士们前来拾取，切莫错过。</t>
  </si>
  <si>
    <t>恶人·物资车·被截</t>
  </si>
  <si>
    <t>{nClass=14,nIcon=4561,nFrame=7,szName="浩气·截车奖励",nTime=10,nRefresh=1,key="恶人·物资车·护送",},</t>
  </si>
  <si>
    <t>浩气盟物资车已被拦截，车内装大量物资，望侠士们前来拾取，切莫错过。</t>
  </si>
  <si>
    <t>浩气·物资车·被截</t>
  </si>
  <si>
    <t>{nClass=14,nIcon=4562,nFrame=3,szName="恶人·截车奖励",nTime=10,nRefresh=1,key="浩气·物资车·护送",},</t>
  </si>
  <si>
    <t>谢渊</t>
  </si>
  <si>
    <t>司空仲平已经尽力，请暂且退回疗伤。</t>
  </si>
  <si>
    <t>浩气·司空仲平·败退</t>
  </si>
  <si>
    <t>王遗风</t>
  </si>
  <si>
    <t>恶人</t>
  </si>
  <si>
    <t>肖药儿</t>
  </si>
  <si>
    <t>浩气</t>
  </si>
  <si>
    <t>司空仲平</t>
  </si>
  <si>
    <t>{nClass=14,nIcon=13,nFrame=0,szName="恶人·速战速决·达成",nTime=10,nRefresh=99999,key="速战速决",},</t>
  </si>
  <si>
    <t>月弄痕已经尽力，请暂且退回疗伤。</t>
  </si>
  <si>
    <t>浩气·月弄痕·败退</t>
  </si>
  <si>
    <t>万兽王</t>
  </si>
  <si>
    <t>月弄痕</t>
  </si>
  <si>
    <t>张桎辕已经尽力，请暂且退回疗伤。</t>
  </si>
  <si>
    <t>浩气·张桎辕·败退</t>
  </si>
  <si>
    <t>陶寒亭</t>
  </si>
  <si>
    <t>张桎辕</t>
  </si>
  <si>
    <t>游驹已经尽力，请暂且退回疗伤。</t>
  </si>
  <si>
    <t>浩气·游驹·败退</t>
  </si>
  <si>
    <t>莫雨</t>
  </si>
  <si>
    <t>游驹</t>
  </si>
  <si>
    <t>穆玄英已经尽力，请暂且退回疗伤。</t>
  </si>
  <si>
    <t>浩气·穆玄英·败退</t>
  </si>
  <si>
    <t>米丽古丽</t>
  </si>
  <si>
    <t>穆玄英</t>
  </si>
  <si>
    <t>肖药儿已经尽力，请暂且退回疗伤。</t>
  </si>
  <si>
    <t>恶人·肖药儿·败退</t>
  </si>
  <si>
    <t>{nClass=14,nIcon=13,nFrame=0,szName="浩气·速战速决·达成",nTime=10,nRefresh=99999,key="速战速决",},</t>
  </si>
  <si>
    <t>万兽王已经尽力，请暂且退回疗伤。</t>
  </si>
  <si>
    <t>恶人·万兽王·败退</t>
  </si>
  <si>
    <t>陶寒亭已经尽力，请暂且退回疗伤。</t>
  </si>
  <si>
    <t>恶人·陶寒亭·败退</t>
  </si>
  <si>
    <t>莫雨已经尽力，请暂且退回疗伤。</t>
  </si>
  <si>
    <t>恶人·莫雨·败退</t>
  </si>
  <si>
    <t>米丽古丽已经尽力，请暂且退回疗伤。</t>
  </si>
  <si>
    <t>恶人·米丽古丽·败退</t>
  </si>
  <si>
    <t>罢了，青山不改，绿水长流，后会有期！</t>
  </si>
  <si>
    <t>郭珠</t>
  </si>
  <si>
    <t>白某</t>
  </si>
  <si>
    <t>谢铃儿</t>
  </si>
  <si>
    <t>烟</t>
  </si>
  <si>
    <t>叶镜池</t>
  </si>
  <si>
    <t>岳琅</t>
  </si>
  <si>
    <t>影</t>
  </si>
  <si>
    <t>独孤修</t>
  </si>
  <si>
    <t>赵紫儿</t>
  </si>
  <si>
    <t>丁丁</t>
  </si>
  <si>
    <t>小七</t>
  </si>
  <si>
    <t>伊夜</t>
  </si>
  <si>
    <t>{$sender}·败退</t>
  </si>
  <si>
    <t>{nClass=14,nIcon=13,szName="谢渊·{$sender}·减伤",nTime=-2,key="谢渊·{$sender}·减伤",},</t>
  </si>
  <si>
    <t>{nClass=14,nIcon=13,szName="王遗风·{$sender}·减伤",nTime=-2,key="王遗风·{$sender}·减伤",},</t>
  </si>
  <si>
    <t>兄弟们，辛苦了，在此谢过。</t>
  </si>
  <si>
    <t>{$sender}·撤退</t>
  </si>
  <si>
    <t>{nClass=14,nIcon=13,szName="谢渊·{$sender}·减伤",nTime=-1,key="谢渊·{$sender}·减伤",},</t>
  </si>
  <si>
    <t>{nClass=14,nIcon=13,szName="王遗风·{$sender}·减伤",nTime=-1,key="王遗风·{$sender}·减伤",},</t>
  </si>
  <si>
    <t>{nClass=14,nIcon=13,nTime=-1,szName="屹立不倒",nRefresh=14400,key="屹立不倒",},</t>
  </si>
  <si>
    <t>(.-)已经尽力，请暂且退回疗伤。</t>
  </si>
  <si>
    <t>{$1}·败退</t>
  </si>
  <si>
    <t>{nClass=14,nIcon=13,nFrame=7,szName="谢渊·{$1}·减伤",nTime=-1,nRefresh=2,key="谢渊·{$1}·减伤",},</t>
  </si>
  <si>
    <t>{nClass=14,nIcon=13,nFrame=3,szName="王遗风·{$1}·减伤",nTime=-1,nRefresh=2,key="王遗风·{$1}·减伤",},</t>
  </si>
  <si>
    <t>{nClass=14,nIcon=13,nFrame=-1,szName="{$sender}·{$1}·减伤",nTime=-2,key="{$sender}·{$1}·减伤",},</t>
  </si>
  <si>
    <t>{nClass=14,nIcon=18829,nFrame=7,szName="浩气·{$1}·败退·易伤30%",nTime=10,nRefresh=5,key="谢渊·{$1}·减伤",},</t>
  </si>
  <si>
    <t>{nClass=14,nIcon=18830,nFrame=3,szName="恶人·{$1}·败退·易伤30%",nTime=10,nRefresh=5,key="王遗风·{$1}·减伤",},</t>
  </si>
  <si>
    <t>(.-)出手协助众人酣战一场，回到驻守之地。</t>
  </si>
  <si>
    <t>{$1}·助战结束·回营</t>
  </si>
  <si>
    <t>{nClass=14,nIcon=13,nFrame=7,szName="浩气·{$1}·助战",nTime=0,key="浩气·{$1}·助战",},</t>
  </si>
  <si>
    <t>{nClass=14,nIcon=13,nFrame=3,szName="恶人·{$1}·助战",nTime=0,key="恶人·{$1}·助战",},</t>
  </si>
  <si>
    <t>{nClass=14,nIcon=16834,nFrame=8,szName="{$1}·助战结束·易伤30%",nTime=10,key="{$1}·助战",},</t>
  </si>
  <si>
    <t>(.-)出手协助众人酣战一场，其力有所不支，暂且从前线撤回。</t>
  </si>
  <si>
    <t>{$1}·助战失利·回营</t>
  </si>
  <si>
    <t>{nClass=14,nIcon=16834,nFrame=8,szName="{$1}·助战失利·易伤30%",nTime=10,key="{$1}·助战",},</t>
  </si>
  <si>
    <t>(.-)误入埋伏，防守不利，暂时败退。请(.-)暂且撤回驻守之地，务必小心防守。</t>
  </si>
  <si>
    <t>{$1}·败退|{$2}·回防</t>
  </si>
  <si>
    <t>{nClass=14,nIcon=13,nFrame=7,szName="浩气·{$2}·助战",nTime=0,key="浩气·{$2}·助战",},</t>
  </si>
  <si>
    <t>{nClass=14,nIcon=13,nFrame=3,szName="恶人·{$2}·助战",nTime=0,key="恶人·{$2}·助战",},</t>
  </si>
  <si>
    <t>{nClass=14,nIcon=16834,nFrame=8,szName="{$2}·助战退场·易伤30%",nTime=10,key="{$2}·助战",},</t>
  </si>
  <si>
    <t>(.-)力不能敌，暂时败退。(.-)进攻顺利，此战有功，请即刻回营，准备下一步战略。</t>
  </si>
  <si>
    <t>{$1}·败退|{$2}·回营</t>
  </si>
  <si>
    <t>{nClass=14,nIcon=16834,nFrame=8,szName="{$2}·助战胜利·已回营",nTime=10,key="{$2}·助战",},</t>
  </si>
  <si>
    <t>([浩气恶人]-)前线战况焦灼，(.-)，有劳你速速前往支援！</t>
  </si>
  <si>
    <t>{$1}·{$2}·即将到达</t>
  </si>
  <si>
    <t>{nClass=14,nIcon=13,szName="谢渊·月弄痕·减伤",nTime=-2,key="谢渊·月弄痕·减伤",},{nClass=14,nIcon=13,szName="谢渊·游驹·减伤",nTime=-2,key="谢渊·游驹·减伤",},{nClass=14,nIcon=13,szName="谢渊·穆玄英·减伤",nTime=-2,key="谢渊·穆玄英·减伤",},{nClass=14,nIcon=13,szName="谢渊·张桎辕·减伤",nTime=-2,key="谢渊·张桎辕·减伤",},{nClass=14,nIcon=13,szName="谢渊·司空仲平·减伤",nTime=-2,key="谢渊·司空仲平·减伤",},{nClass=14,nIcon=13,szName="王遗风·万兽王·减伤",nTime=-2,key="王遗风·万兽王·减伤",},{nClass=14,nIcon=13,szName="王遗风·莫雨·减伤",nTime=-2,key="王遗风·莫雨·减伤",},{nClass=14,nIcon=13,szName="王遗风·米丽古丽·减伤",nTime=-2,key="王遗风·米丽古丽·减伤",},{nClass=14,nIcon=13,szName="王遗风·陶寒亭·减伤",nTime=-2,key="王遗风·陶寒亭·减伤",},{nClass=14,nIcon=13,szName="王遗风·肖药儿·减伤",nTime=-2,key="王遗风·肖药儿·减伤",},</t>
  </si>
  <si>
    <t>本周累计从奇袭场奖励堆获得战阶：20000/20000</t>
  </si>
  <si>
    <t>奇袭场·奖励堆·战阶已上限</t>
  </si>
  <si>
    <t>^本周累计从(.-)奖励堆获得战阶：(%d-)/(%d+)</t>
  </si>
  <si>
    <t>{$1}·累计奖励堆·[{$2}/{$3}]</t>
  </si>
  <si>
    <t>^本场攻防“(.-)”“(.-)·(.-)”已结束，(.-)存活首领及拥有据点数为(%d-)，获得(%d-)分；(.-)存活首领及拥有据点数为(%d-)，获得(%d-)分。请再接再厉！</t>
  </si>
  <si>
    <t>{$2}·{$3}·[{$4}{$5}·{$6}]:[{$7}{$8}·{$9}]</t>
  </si>
  <si>
    <t>{nClass=14,nIcon=2401,nFrame=-1,nTime=0,szName="阵营活动",key="阵营活动",},</t>
  </si>
  <si>
    <t>{nClass=14,nIcon=2397,nFrame=-1,nTime=-1,szName="破阵点将·一",nRefresh=2,key="破阵点将·一",},</t>
  </si>
  <si>
    <t>{nClass=14,nIcon=2398,nFrame=-1,nTime=-1,szName="破阵点将·二",nRefresh=2,key="破阵点将·二",},</t>
  </si>
  <si>
    <t>{nClass=14,nIcon=2396,nFrame=-1,nTime=-2,szName="{$2}·{$3}",key="{$2}·{$3}",},</t>
  </si>
  <si>
    <t>{nClass=14,nIcon=7674,nFrame=-1,nTime="2700,{$5}{$4}{$6}·{$8}{$7}{$9};4500,{$5}{$4}{$6}·{$8}{$7}{$9}",szName="{$4}{$5}·{$6}分·{$7}{$8}·{$9}分",nRefresh=0,key="破阵点将·一·常驻",},</t>
  </si>
  <si>
    <t>{nClass=14,nIcon=7676,nFrame=-1,nTime="1800.1,{$5}{$4}{$6}·{$8}{$7}{$9}",szName="{$4}{$5}·{$6}分·{$7}{$8}·{$9}分",nRefresh=0,key="破阵点将·二·常驻",},</t>
  </si>
  <si>
    <t>{nClass=14,nIcon=13,szName="破阵点将·{$3}",nTime=-2,nRefresh=99999,key="破阵点将·{$3}·常驻",},</t>
  </si>
  <si>
    <t>{nClass=14,nIcon=1465,nFrame=-1,szName=" ",nTime=0.001,key="破阵点将·一·常驻",},</t>
  </si>
  <si>
    <t>{nClass=14,nIcon=1465,nFrame=-1,szName=" ",nTime=0.001,key="破阵点将·二·常驻",},</t>
  </si>
  <si>
    <t>{nClass=14,nIcon=2401,nFrame=-1,nTime="60,{$4}{$5}·{$6}分·{$7}{$8}·{$9}分;840,阶段·物资车2·出发剩余;850,阶段·物资车2·正在出发;900,阶段·首领出战·助战剩余;905,阶段·首领出战·助战结束;2699,阶段·破阵点将2·结算剩余;2705,阶段·破阵点将2·正在结算;2710,阶段·物资车3·正在出发;4500,阶段·本场攻防·结束剩余;4505,阶段·本场攻防·正在结算;4510,阶段·本场攻防·已经结束",szName="{$4}{$5}·{$6}分·{$7}{$8}·{$9}分",nRefresh=1,key="破阵点将·一",},</t>
  </si>
  <si>
    <t>{nClass=14,nIcon=2401,nFrame=-1,nTime="60,{$4}{$5}·{$6}分·{$7}{$8}·{$9}分;1800.15,阶段·本场攻防·结束剩余;1805,阶段·本场攻防·正在结算;1810,阶段·本场攻防·已经结束",szName="{$4}{$5}·{$6}分·{$7}{$8}·{$9}分",nRefresh=1,key="破阵点将·二",},</t>
  </si>
  <si>
    <t>五分钟内只可拾取一次对立阵营首领仓皇撤退留下的物资。</t>
  </si>
  <si>
    <t>主场·助战首领堆·拾取间隔</t>
  </si>
  <si>
    <t>{nClass=14,nIcon=13,szName="首领拾取间隔",nTime=-2,key="首领拾取间隔",},</t>
  </si>
  <si>
    <t>放置一辆摧城车，本日本阵营还可放置(%d-)辆摧城车。</t>
  </si>
  <si>
    <t>放置·摧城车</t>
  </si>
  <si>
    <t>{nClass=14,nIcon=6158,nFrame=1,szName="摧城车·本日剩余·{$1}辆",nTime=10,key="摧城车",},</t>
  </si>
  <si>
    <t>当前分线即将关闭，请离场景内所有侠士。</t>
  </si>
  <si>
    <t>分线关闭·请离侠士</t>
  </si>
  <si>
    <t>攻防之战在即，为公平起见，侠士将在30秒后被传出本图，攻防排队将在12点30分或18点30分开始，请做好准备。</t>
  </si>
  <si>
    <t>阵营攻防·场景清图</t>
  </si>
  <si>
    <t>{nClass=14,nIcon=13,nFrame=4,szName="攻防清图·出图剩余",nTime="30,攻防清图·出图剩余;32,阵营攻防·清图传出",nRefresh=1,key="挂机检测",},</t>
  </si>
  <si>
    <t>阵营业务繁忙，中立侠士只能停留30分钟，您将在5分钟后传出场景</t>
  </si>
  <si>
    <t>中立侠士·请离场景</t>
  </si>
  <si>
    <t>{nClass=14,nIcon=13,nFrame=4,szName="中立侠士·传出剩余",nTime=300,key="阵营业务",},</t>
  </si>
  <si>
    <t>阵营业务繁忙，中立侠士只能停留30分钟，您将在4分钟后传出场景</t>
  </si>
  <si>
    <t>{nClass=14,nIcon=13,nFrame=4,szName="中立侠士·传出剩余",nTime=240,key="阵营业务",},</t>
  </si>
  <si>
    <t>阵营业务繁忙，中立侠士只能停留30分钟，您将在3分钟后传出场景</t>
  </si>
  <si>
    <t>{nClass=14,nIcon=13,nFrame=4,szName="中立侠士·传出剩余",nTime=180,key="阵营业务",},</t>
  </si>
  <si>
    <t>阵营业务繁忙，中立侠士只能停留30分钟，您将在2分钟后传出场景</t>
  </si>
  <si>
    <t>{nClass=14,nIcon=13,nFrame=4,szName="中立侠士·传出剩余",nTime=120,key="阵营业务",},</t>
  </si>
  <si>
    <t>阵营业务繁忙，中立侠士只能停留30分钟，您将在1分钟后传出场景</t>
  </si>
  <si>
    <t>{nClass=14,nIcon=13,nFrame=4,szName="中立侠士·传出剩余",nTime=60,key="阵营业务",},</t>
  </si>
  <si>
    <t>阵营业务繁忙，中立侠士只能停留30分钟，您将传出场景</t>
  </si>
  <si>
    <t>中立侠士·传出场景</t>
  </si>
  <si>
    <t>{nClass=14,nIcon=13,nFrame=4,szName="中立侠士·传出场景",nTime=5,key="阵营业务",},</t>
  </si>
  <si>
    <t>军情速递！浩气盟物资车已运达，车内装有大量物资，望侠士们前来拾取，切莫错过。</t>
  </si>
  <si>
    <t>浩气盟·物资车·已运达</t>
  </si>
  <si>
    <t>{nClass=14,nIcon=10449,nFrame=4,szName="浩气盟·内城物资·已刷新",nTime="10,浩气盟·内城物资·已刷新;300,浩气盟·内城物资·拾取剩余;305,浩气盟·内城物资·已消失",nRefresh=0,key="浩气·物资车·运达",},</t>
  </si>
  <si>
    <t>军情速递！恶人谷物资车已运达，车内装有大量物资，望侠士们前来拾取，切莫错过。</t>
  </si>
  <si>
    <t>恶人谷·物资车·已运达</t>
  </si>
  <si>
    <t>{nClass=14,nIcon=10450,nFrame=4,szName="恶人谷·营地物资·已刷新",nTime="10,恶人谷·营地物资·已刷新;300,恶人谷·营地物资·拾取剩余;305,恶人谷·营地物资·已消失",nRefresh=0,key="恶人·物资车·运达",},</t>
  </si>
  <si>
    <t>军情速递！浩气盟物资官传来消息，现有一批新物资运至各复活点，望浩气侠士们前来领取，以便增强战斗实力。</t>
  </si>
  <si>
    <t>复活点·物资箱·已刷新</t>
  </si>
  <si>
    <t>{nClass=14,nIcon=13,nFrame=0,szName="进攻方·速战速决·未达成",nTime=10,nRefresh=99999,key="速战速决",},</t>
  </si>
  <si>
    <t>{nClass=14,nIcon=3557,nFrame=6,szName="复活点·物资箱·已经刷新",nTime=10,nRefresh=5,key="复活点·物资箱",},</t>
  </si>
  <si>
    <t>博望山</t>
  </si>
  <si>
    <t>七星阵</t>
  </si>
  <si>
    <t>漓水河岸</t>
  </si>
  <si>
    <t>望影台</t>
  </si>
  <si>
    <t>兰亭书院</t>
  </si>
  <si>
    <t>周峰已经尽力，请暂且退回疗伤。</t>
  </si>
  <si>
    <t>龙隐山</t>
  </si>
  <si>
    <t>张一洋</t>
  </si>
  <si>
    <t>周峰</t>
  </si>
  <si>
    <t>郑鸥已经尽力，请暂且退回疗伤。</t>
  </si>
  <si>
    <t>栖霞幻境</t>
  </si>
  <si>
    <t>陶国栋</t>
  </si>
  <si>
    <t>郑鸥</t>
  </si>
  <si>
    <t>陶杰已经尽力，请暂且退回疗伤。</t>
  </si>
  <si>
    <t>七星岩</t>
  </si>
  <si>
    <t>吕沛杰</t>
  </si>
  <si>
    <t>陶杰</t>
  </si>
  <si>
    <t>谢烟客已经尽力，请暂且退回疗伤。</t>
  </si>
  <si>
    <t>烟雨居舍</t>
  </si>
  <si>
    <t>顾延恶</t>
  </si>
  <si>
    <t>谢烟客</t>
  </si>
  <si>
    <t>张一洋已经尽力，请暂且退回疗伤。</t>
  </si>
  <si>
    <t>陶国栋已经尽力，请暂且退回疗伤。</t>
  </si>
  <si>
    <t>吕沛杰已经尽力，请暂且退回疗伤。</t>
  </si>
  <si>
    <t>顾延恶已经尽力，请暂且退回疗伤。</t>
  </si>
  <si>
    <t>{nClass=14,nIcon=10449,nFrame=4,szName="浩气盟·营地物资·已刷新",nTime="10,浩气盟·营地物资·刷新;300,浩气盟·营地物资·拾取剩余;305,浩气盟·营地物资·已消失",nRefresh=0,key="浩气·物资车·运达",},</t>
  </si>
  <si>
    <t>{nClass=14,nIcon=10450,nFrame=4,szName="恶人谷·内城物资·已刷新",nTime="10,恶人谷·内城物资·刷新;300,恶人谷·内城物资·拾取剩余;305,恶人谷·内城物资·已消失",nRefresh=0,key="恶人·物资车·运达",},</t>
  </si>
  <si>
    <t>军情速递！恶人谷物资官传来消息，现有一批新物资运至各复活点，望恶人侠士们前来领取，以便增强战斗实力。</t>
  </si>
  <si>
    <t>断肠居</t>
  </si>
  <si>
    <t>烬烟堂</t>
  </si>
  <si>
    <t>雪魔堂</t>
  </si>
  <si>
    <t>小少林</t>
  </si>
  <si>
    <t>酒池峡</t>
  </si>
  <si>
    <t>丐王坡</t>
  </si>
  <si>
    <t>白骨陵园</t>
  </si>
  <si>
    <t>炎狱山</t>
  </si>
  <si>
    <t>平安客栈</t>
  </si>
  <si>
    <t>门派地图</t>
  </si>
  <si>
    <t>分流活动已开启，大侠可以前往龙门荒漠接取阵营攻防前置任务</t>
  </si>
  <si>
    <t>{nClass=14,nIcon=3536,nFrame=3,szName="龙门·攻防前置分流",nTime=30,nRefresh=1800,key="分流活动",},</t>
  </si>
  <si>
    <t>分流活动已开启，大侠可以前往巴陵县接取阵营攻防前置任务</t>
  </si>
  <si>
    <t>{nClass=14,nIcon=3536,nFrame=7,szName="巴陵·攻防前置分流",nTime=30,nRefresh=1800,key="分流活动",},</t>
  </si>
  <si>
    <t>我竟然败给你们这群小辈！</t>
  </si>
  <si>
    <t>防冲突禁用·击退·狼牙先锋首领</t>
  </si>
  <si>
    <t>{nClass=-1,nIcon=3556,nFrame=1,szName="狼牙先锋首领·拾取掉落",nTime="10,狼牙先锋首领·已击退;300,狼牙先锋首领·拾取剩余;600,狼牙先锋首领·刷新剩余;620,狼牙先锋首领·即将刷新;627,狼牙先锋首领·延迟刷新",nRefresh=2,key="狼牙先锋首领",},</t>
  </si>
  <si>
    <t>{nClass=14,nIcon=13,szName="诛恶事件",nTime=-1,nRefresh=7200,key="诛恶事件",},{nClass=14,nIcon=13,szName="通用事件",nTime=-1,nRefresh=7200,key="通用事件",},</t>
  </si>
  <si>
    <t>{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t>
  </si>
  <si>
    <t>你爷爷我年轻些时候，也是翻云覆雨的江湖响当当一号人物！</t>
  </si>
  <si>
    <t>狼牙先锋首领·刷新喊话2</t>
  </si>
  <si>
    <t>{nClass=14,nIcon=3556,nFrame=1,szName="狼牙先锋首领·已经刷新",nTime=10,nRefresh=120,key="狼牙先锋首领",},</t>
  </si>
  <si>
    <t>哼，打扰本大爷休息！</t>
  </si>
  <si>
    <t>狼牙先锋首领·刷新喊话1</t>
  </si>
  <si>
    <t>哼，还有要事要办，今日收获甚多，来日定多来领略你们的武功！</t>
  </si>
  <si>
    <t>狼牙先锋首领·攻防结束</t>
  </si>
  <si>
    <t>{nClass=14,nIcon=13,szName="狼牙先锋首领·离开",nTime=0,key="狼牙先锋首领",},</t>
  </si>
  <si>
    <t>{nClass=14,nIcon=13,szName="诛恶事件",nTime=-2,key="诛恶事件",},{nClass=14,nIcon=13,szName="通用事件",nTime=-2,key="通用事件",},</t>
  </si>
  <si>
    <t>{nClass=14,nIcon=13,nTime=-2,szName="金水镇",key="金水镇",},{nClass=14,nIcon=13,nTime=-2,szName="巴陵县",key="巴陵县",},{nClass=14,nIcon=13,nTime=-2,szName="龙门荒漠",key="龙门荒漠",},{nClass=14,nIcon=13,nTime=-2,szName="南屏山",key="南屏山",},{nClass=14,nIcon=13,nTime=-2,szName="昆仑",key="昆仑",},{nClass=14,nIcon=13,nTime=-2,szName="白龙口",key="白龙口",},{nClass=14,nIcon=13,nTime=-2,szName="无量山",key="无量山",},{nClass=14,nIcon=13,nTime=-2,szName="黑龙沼",key="黑龙沼",},{nClass=14,nIcon=13,nTime=-2,szName="阴山大草原",key="阴山大草原",},{nClass=14,nIcon=13,nTime=-2,szName="黑戈壁",key="黑戈壁",},{nClass=14,nIcon=13,nTime=-2,szName="鲲鹏岛",key="鲲鹏岛",},</t>
  </si>
  <si>
    <t>尔等鼠辈！谁敢与我一战！</t>
  </si>
  <si>
    <t>据点攻防·正式开始</t>
  </si>
  <si>
    <t>{nClass=14,nIcon=3536,nFrame=0,szName="据点攻防·正式开始",nTime="2,据点攻防·正式开始;10,建议关闭·江湖身份",nRefresh=2,key="阵营活动",},</t>
  </si>
  <si>
    <t>{nClass=14,nIcon=13,szName="绣球花",nTime=-1,key="绣球花",},{nClass=14,nIcon=13,szName="郁金香",nTime=-1,key="郁金香",},{nClass=14,nIcon=13,szName="牵牛花",nTime=-1,key="牵牛花",},</t>
  </si>
  <si>
    <t>可恶！</t>
  </si>
  <si>
    <t>{$sender}·退场</t>
  </si>
  <si>
    <t>{nClass=14,nIcon=1465,szName="浩气盟大将",nTime=-2,nRefresh=2,key="浩气盟大将",},</t>
  </si>
  <si>
    <t>{nClass=14,nIcon=1465,szName="恶人谷大将",nTime=-2,nRefresh=2,key="恶人谷大将",},</t>
  </si>
  <si>
    <t>{nClass=14,nIcon=13,szName="{$sender}",nTime=-2,key="{$sender}",},</t>
  </si>
  <si>
    <t>{nClass=14,nIcon=18829,nFrame=7,szName="浩气盟大将·退场",nTime=10,nRefresh=1,key="浩气盟大将",},</t>
  </si>
  <si>
    <t>{nClass=14,nIcon=18830,nFrame=3,szName="恶人谷大将·退场",nTime=10,nRefresh=1,key="恶人谷大将",},</t>
  </si>
  <si>
    <t>留下大量军功，请“恶人谷”侠士们前来拾取，切莫错过。</t>
  </si>
  <si>
    <t>{nClass=14,nIcon=13,szName="狼牙先锋首领",nTime=-2,key="狼牙先锋首领",},</t>
  </si>
  <si>
    <t>{nClass=14,nIcon=13,nFrame=3,szName="恶人谷·拾取首领掉落",nTime="300,恶人谷·拾取首领掉落;600,狼牙先锋首领·刷新剩余;620,狼牙先锋首领·即将刷新;625,狼牙先锋首领·延迟刷新",nRefresh=300,key="狼牙先锋首领",},</t>
  </si>
  <si>
    <t>留下大量军功，请“浩气盟”侠士们前来拾取，切莫错过。</t>
  </si>
  <si>
    <t>{nClass=14,nIcon=13,nFrame=7,szName="浩气盟·拾取首领掉落",nTime="300,浩气盟·拾取首领掉落;600,狼牙先锋首领·刷新剩余;620,狼牙先锋首领·即将刷新;625,狼牙先锋首领·延迟刷新",nRefresh=300,key="狼牙先锋首领",},</t>
  </si>
  <si>
    <t>您因消极怠战,扰乱阵营秩序，被阵营督查官请离当前地图，但同时给予250点贡献积分！</t>
  </si>
  <si>
    <t>阵营督查官·请离据点攻防</t>
  </si>
  <si>
    <t>{nClass=14,nIcon=13,nFrame=1,bHold=true,nTime=30,szName="阵营督查·请离据点攻防",key="挂机检测",},</t>
  </si>
  <si>
    <t>^【(.-)】据点大旗受损，获得(%d-)层易伤，当前总计【(%d-)层易伤】！</t>
  </si>
  <si>
    <t>【{$1}】大旗·易伤{$3}层</t>
  </si>
  <si>
    <t>{nClass=14,nIcon=16834,nFrame=1,szName="大旗易伤",nTime=-1,nRefresh=2,key="大旗易伤",},</t>
  </si>
  <si>
    <t>{nClass=14,nIcon=16834,nFrame=1,szName="【{$1}】大旗·易伤{$3}层",nTime="60,【{$1}】大旗·易伤{$3}层;65,【{$1}】大旗·易伤冷却结束",nRefresh=0,key="{$1}·大旗易伤",},</t>
  </si>
  <si>
    <t>据点总管</t>
  </si>
  <si>
    <t>好嘞，老夫开始收货了。本次特产转为(%d-)个(.-)，(.-)[，]-您辛苦了！</t>
  </si>
  <si>
    <t>{nClass=14,nIcon=13,nFrame=6,szName="阵营模式",nTime=-2,key="阵营模式",},</t>
  </si>
  <si>
    <t>{nClass=14,nIcon=374,nFrame=6,szName="{$2}·{$1}{$3}",nTime=10,nRefresh=600,key="阵营模式",},</t>
  </si>
  <si>
    <t>已为.-补.-%[(.+)%].-(%d-)个.-消耗(%d+%.?%d-)金</t>
  </si>
  <si>
    <t>补货·[{$1}]·{$2}</t>
  </si>
  <si>
    <t>{nClass=14,nIcon=135,nFrame=6,szName="补货·[{$1}]·{$2}",nTime=10,nRefresh=600,key="阵营模式",},</t>
  </si>
  <si>
    <t>(.-)离开据点过久，或在原地五尺范围内盘踞超过五分钟，旗帜重置！</t>
  </si>
  <si>
    <t>[{$1}]·离开据点·大旗重置</t>
  </si>
  <si>
    <t>{nClass=14,nIcon=592,nFrame=4,szName="【{$1}·离开据点】大旗重置",nTime=180,key="离开据点·大旗重置",},</t>
  </si>
  <si>
    <t>^%[逐鹿中原%]%[(.-)%]：正在(.-)城门！</t>
  </si>
  <si>
    <t>[{$1}]·{$2}·城门</t>
  </si>
  <si>
    <t>{nClass=14,nIcon=1465,nFrame=5,nTime=-2,szName="打开·城门",nRefresh=10,key="打开·城门",},</t>
  </si>
  <si>
    <t>{nClass=14,nIcon=1465,nFrame=5,nTime=-2,szName="关闭·城门",nRefresh=10,key="关闭·城门",},</t>
  </si>
  <si>
    <t>{nClass=14,nIcon=13,nFrame=5,nTime=-2,szName="{$2}·城门",key="{$2}·城门",},</t>
  </si>
  <si>
    <t>{nClass=14,nIcon=2310,nFrame=1,nTime=10,szName="城门·打开·[{$1}]",nRefresh=10,key="打开·城门",},</t>
  </si>
  <si>
    <t>{nClass=14,nIcon=4839,nFrame=1,nTime=10,szName="城门·关闭·[{$1}]",nRefresh=10,key="关闭·城门",},</t>
  </si>
  <si>
    <t>身负据点大旗，当心被夺！</t>
  </si>
  <si>
    <t>[{$me}]·扛起大旗</t>
  </si>
  <si>
    <t>{nClass=14,nIcon=592,nFrame=8,szName="【{$me}】·拾取大旗",nTime=30,key="拾取大旗·{$me}",},</t>
  </si>
  <si>
    <t>你已经离开据点，10秒内未进入据点，则据点旗帜重置。</t>
  </si>
  <si>
    <t>{nClass=14,nIcon=592,nFrame=2,szName="据点大旗·重置剩余",nTime=10,key="据点大旗·旗手提示",},</t>
  </si>
  <si>
    <t>系统检测您有挂机行为，如果长期维持该状态将被传送出图！</t>
  </si>
  <si>
    <t>挂机检测·快活跃起来</t>
  </si>
  <si>
    <t>{nClass=14,nIcon=13,nFrame=2,szName="挂机检测·动一动",nTime=30,key="挂机检测",},</t>
  </si>
  <si>
    <t>侠士对抗类装分过低，请前往分流场景或黑戈壁参与。</t>
  </si>
  <si>
    <t>据点攻防·装分过低</t>
  </si>
  <si>
    <t>{nClass=14,nIcon=13,nFrame=2,bHold=true,nTime=30,szName="据点攻防·装分过低",key="挂机检测",},</t>
  </si>
  <si>
    <t>因侠士近来行为异常，逐鹿中原期间，禁止参与，你即将被传送到百溪！</t>
  </si>
  <si>
    <t>据点攻防·禁止参与</t>
  </si>
  <si>
    <t>{nClass=14,nIcon=13,nFrame=2,bHold=true,nTime=30,szName="据点攻防·禁止参与本场",key="挂机检测",},</t>
  </si>
  <si>
    <t>据点之战在即，为公平起见，侠士将在30秒后被传出本图，据点帮会25名拥有地图优先进入权的玩家将不会被传送出去。</t>
  </si>
  <si>
    <t>据点攻防·场景清图</t>
  </si>
  <si>
    <t>{nClass=14,nIcon=13,nFrame=4,szName="攻防清图·出图剩余",nTime="30,攻防清图·出图剩余;32,据点攻防·清图传出",nRefresh=1,key="挂机检测",},</t>
  </si>
  <si>
    <t>万水千山总是情，买满货物行不行？</t>
  </si>
  <si>
    <t>据点贸易·货物不足</t>
  </si>
  <si>
    <t>浩气盟督廷卫</t>
  </si>
  <si>
    <t>增援已至武王城，速速进攻！</t>
  </si>
  <si>
    <t>浩气·兵符增援·武王城</t>
  </si>
  <si>
    <t>{nClass=14,nIcon=8478,nFrame=8,szName="浩气·兵符增援·武王城",nTime="10,浩气·兵符增援·武王城;300,浩气·武王城·兵符冷却;305,浩气·武王城·可用兵符",nRefresh=1,key="兵符·武王城",},</t>
  </si>
  <si>
    <t>恶人谷督廷卫</t>
  </si>
  <si>
    <t>增援已至凛风堡，速速进攻！</t>
  </si>
  <si>
    <t>恶人·兵符增援·凛风堡</t>
  </si>
  <si>
    <t>{nClass=14,nIcon=8478,nFrame=8,szName="恶人·兵符增援·凛风堡",nTime="10,恶人·兵符增援·凛风堡;300,恶人·凛风堡·兵符冷却;305,恶人·凛风堡·可用兵符",nRefresh=1,key="兵符·凛风堡",},</t>
  </si>
  <si>
    <t>增援已至盘龙坞，速速进攻！</t>
  </si>
  <si>
    <t>浩气·兵符增援·盘龙坞</t>
  </si>
  <si>
    <t>{nClass=14,nIcon=8478,nFrame=8,szName="浩气·兵符增援·盘龙坞",nTime="10,浩气·兵符增援·盘龙坞;300,浩气·盘龙坞·兵符冷却;305,浩气·盘龙坞·可用兵符",nRefresh=1,key="兵符·盘龙坞",},</t>
  </si>
  <si>
    <t>增援已至逐鹿坪，速速进攻！</t>
  </si>
  <si>
    <t>浩气·兵符增援·逐鹿坪</t>
  </si>
  <si>
    <t>{nClass=14,nIcon=8478,nFrame=8,szName="浩气·兵符增援·逐鹿坪",nTime="10,浩气·兵符增援·逐鹿坪;300,浩气·逐鹿坪·兵符冷却;305,浩气·逐鹿坪·可用兵符",nRefresh=1,key="兵符·逐鹿坪",},</t>
  </si>
  <si>
    <t>增援已至龙门镇，速速进攻！</t>
  </si>
  <si>
    <t>恶人·兵符增援·龙门镇</t>
  </si>
  <si>
    <t>{nClass=14,nIcon=8478,nFrame=8,szName="恶人·兵符增援·龙门镇",nTime="10,恶人·兵符增援·龙门镇;300,恶人·龙门镇·兵符冷却;305,恶人·龙门镇·可用兵符",nRefresh=1,key="兵符·龙门镇",},</t>
  </si>
  <si>
    <t>增援已至飞沙关，速速进攻！</t>
  </si>
  <si>
    <t>恶人·兵符增援·飞沙关</t>
  </si>
  <si>
    <t>{nClass=14,nIcon=8478,nFrame=8,szName="恶人·兵符增援·飞沙关",nTime="10,恶人·兵符增援·飞沙关;300,恶人·飞沙关·兵符冷却;305,恶人·飞沙关·可用兵符",nRefresh=1,key="兵符·飞沙关",},</t>
  </si>
  <si>
    <t>增援已至红莲岗，速速进攻！</t>
  </si>
  <si>
    <t>浩气·兵符增援·红莲岗</t>
  </si>
  <si>
    <t>{nClass=14,nIcon=8478,nFrame=8,szName="浩气·兵符增援·红莲岗",nTime="10,浩气·兵符增援·红莲岗;300,浩气·红莲岗·兵符冷却;305,浩气·红莲岗·可用兵符",nRefresh=1,key="兵符·红莲岗",},</t>
  </si>
  <si>
    <t>增援已至秋雨堡，速速进攻！</t>
  </si>
  <si>
    <t>浩气·兵符增援·秋雨堡</t>
  </si>
  <si>
    <t>{nClass=14,nIcon=8478,nFrame=8,szName="浩气·兵符增援·秋雨堡",nTime="10,浩气·兵符增援·秋雨堡;300,浩气·秋雨堡·兵符冷却;305,浩气·秋雨堡·可用兵符",nRefresh=1,key="兵符·秋雨堡",},</t>
  </si>
  <si>
    <t>增援已至神池岭，速速进攻！</t>
  </si>
  <si>
    <t>恶人·兵符增援·神池岭</t>
  </si>
  <si>
    <t>{nClass=14,nIcon=8478,nFrame=8,szName="恶人·兵符增援·神池岭",nTime="10,恶人·兵符增援·神池岭;300,恶人·神池岭·兵符冷却;305,恶人·神池岭·可用兵符",nRefresh=1,key="兵符·神池岭",},</t>
  </si>
  <si>
    <t>增援已至烈日岗，速速进攻！</t>
  </si>
  <si>
    <t>恶人·兵符增援·烈日岗</t>
  </si>
  <si>
    <t>{nClass=14,nIcon=8478,nFrame=8,szName="恶人·兵符增援·烈日岗",nTime="10,恶人·兵符增援·烈日岗;300,恶人·烈日岗·兵符冷却;305,恶人·烈日岗·可用兵符",nRefresh=1,key="兵符·烈日岗",},</t>
  </si>
  <si>
    <t>增援已至大理山城，速速进攻！</t>
  </si>
  <si>
    <t>浩气·兵符增援·大理山城</t>
  </si>
  <si>
    <t>{nClass=14,nIcon=8478,nFrame=8,szName="浩气·兵符增援·大理山城",nTime="10,浩气·兵符增援·大理山城;300,浩气·大理山城·兵符冷却;305,浩气·大理山城·可用兵符",nRefresh=1,key="兵符·大理山城",},</t>
  </si>
  <si>
    <t>增援已至千岩关，速速进攻！</t>
  </si>
  <si>
    <t>浩气·兵符增援·千岩关</t>
  </si>
  <si>
    <t>{nClass=14,nIcon=8478,nFrame=8,szName="浩气·兵符增援·千岩关",nTime="10,浩气·兵符增援·千岩关;300,浩气·千岩关·兵符冷却;305,浩气·千岩关·可用兵符",nRefresh=1,key="兵符·千岩关",},</t>
  </si>
  <si>
    <t>增援已至扶风郡，速速进攻！</t>
  </si>
  <si>
    <t>恶人·兵符增援·扶风郡</t>
  </si>
  <si>
    <t>{nClass=14,nIcon=8478,nFrame=8,szName="恶人·兵符增援·扶风郡",nTime="10,恶人·兵符增援·扶风郡;300,恶人·扶风郡·兵符冷却;305,恶人·扶风郡·可用兵符",nRefresh=1,key="兵符·扶风郡",},</t>
  </si>
  <si>
    <t>增援已至世外坡，速速进攻！</t>
  </si>
  <si>
    <t>恶人·兵符增援·世外坡</t>
  </si>
  <si>
    <t>{nClass=14,nIcon=8478,nFrame=8,szName="恶人·兵符增援·世外坡",nTime="10,恶人·兵符增援·世外坡;300,恶人·世外坡·兵符冷却;305,恶人·世外坡·可用兵符",nRefresh=1,key="兵符·世外坡",},</t>
  </si>
  <si>
    <t>{nClass=14,nIcon=16834,nFrame=1,szName="【{$1}】大旗·易伤{$3}层",nTime="60,【{$1}】大旗·易伤{$3}层;62,【{$1}】大旗·易伤冷却结束",nRefresh=0,key="{$1}·大旗易伤",},</t>
  </si>
  <si>
    <t>{nClass=14,nIcon=592,nFrame=4,szName="【离开据点】大旗重置",nTime=180,key="离开据点·大旗重置",},</t>
  </si>
  <si>
    <t>(.-)侠士([打开关闭]+)了【(.-)据点】城门！</t>
  </si>
  <si>
    <t>【{$1}】·{$2}·{$3}·城门</t>
  </si>
  <si>
    <t>{nClass=14,nIcon=4839,nFrame=1,szName="关闭·{$3}·城门",nTime=10,key="打开·{$3}·城门",},</t>
  </si>
  <si>
    <t>{nClass=14,nIcon=2310,nFrame=1,szName="打开·{$3}·城门",nTime=10,key="关闭·{$3}·城门",},</t>
  </si>
  <si>
    <t>{nClass=14,nIcon=13,nFrame=-1,szName="{$2}·{$3}·城门",nTime=-1,key="{$2}·{$3}·城门",},</t>
  </si>
  <si>
    <t>阵营首领</t>
  </si>
  <si>
    <t>地图</t>
  </si>
  <si>
    <t>return {CHAT={</t>
  </si>
  <si>
    <t>的带领下，成功击退王遗风！</t>
  </si>
  <si>
    <t>主场·浩气·谢渊·击退·恶人·王遗风·首领</t>
  </si>
  <si>
    <t>[主场]</t>
  </si>
  <si>
    <t>的带领下，成功击退谢渊！</t>
  </si>
  <si>
    <t>主场·恶人·王遗风·击退·浩气·谢渊·首领</t>
  </si>
  <si>
    <t>侠士 [{$me}] 在拾取复活点物资时意外获得了[便携装置·神机车]。</t>
  </si>
  <si>
    <t>获得·便携装置·神机车</t>
  </si>
  <si>
    <t>{nClass=20,nIcon=134,nFrame=0,szName="获得·[便携装置·神机车]",nTime=10,nRefresh=1,key="交互事件",},</t>
  </si>
  <si>
    <t>本场浩气盟攻防即将结束，南屏山物资运送暂且休整，等待下一场攻防开启！\n</t>
  </si>
  <si>
    <t>本场攻防·即将结束</t>
  </si>
  <si>
    <t>{nClass=20,nIcon=2401,nFrame=0,szName="本场攻防·结束剩余",nTime=60,nRefresh=5,key="阵营活动",},</t>
  </si>
  <si>
    <t>{nClass=20,nIcon=13,nFrame=-1,szName="浩气·召请CD·肖药儿",nTime=-1,key="浩气·召请CD·肖药儿",},{nClass=20,nIcon=13,nFrame=-1,szName="浩气·召请CD·司徒一一",nTime=-1,key="浩气·召请CD·司徒一一",},{nClass=20,nIcon=13,nFrame=-1,szName="浩气·召请CD·陶寒亭",nTime=-1,key="浩气·召请CD·陶寒亭",},{nClass=20,nIcon=13,nFrame=-1,szName="浩气·召请CD·白某",nTime=-1,key="浩气·召请CD·白某",},{nClass=20,nIcon=13,nFrame=-1,szName="浩气·召请CD·米丽古丽",nTime=-1,key="浩气·召请CD·米丽古丽",},{nClass=20,nIcon=13,nFrame=-1,szName="恶人·召请CD·小七",nTime=-1,key="恶人·召请CD·小七",},{nClass=20,nIcon=13,nFrame=-1,szName="恶人·召请CD·游驹",nTime=-1,key="恶人·召请CD·游驹",},{nClass=20,nIcon=13,nFrame=-1,szName="恶人·召请CD·张桎辕",nTime=-1,key="恶人·召请CD·张桎辕",},{nClass=20,nIcon=13,nFrame=-1,szName="恶人·召请CD·月弄痕",nTime=-1,key="恶人·召请CD·月弄痕",},{nClass=20,nIcon=13,nFrame=-1,szName="恶人·召请CD·司空仲平",nTime=-1,key="恶人·召请CD·司空仲平",},</t>
  </si>
  <si>
    <t>本场恶人谷攻防即将结束，昆仑物资运送暂且休整，等待下一场攻防开启！\n</t>
  </si>
  <si>
    <t>正在拍卖攻防掉落的稀有物品，其中通常有当前最高品质附魔、绝世稀有坐骑、玄晶等，阵营侠士们切勿错过！\n</t>
  </si>
  <si>
    <t>阵营攻防·拍卖掉落</t>
  </si>
  <si>
    <t>{nClass=20,nIcon=13,nFrame=0,szName="阵营攻防·拍卖掉落",nTime=30,key="拍卖分红",},</t>
  </si>
  <si>
    <t>{nClass=20,nIcon=13,szName="诛恶事件",nTime=-2,key="诛恶事件",},{nClass=20,nIcon=13,szName="通用事件",nTime=-2,key="通用事件",},</t>
  </si>
  <si>
    <t>{nClass=20,nIcon=13,nTime=-2,szName="金水镇",key="金水镇",},{nClass=20,nIcon=13,nTime=-2,szName="巴陵县",key="巴陵县",},{nClass=20,nIcon=13,nTime=-2,szName="龙门荒漠",key="龙门荒漠",},{nClass=20,nIcon=13,nTime=-2,szName="南屏山",key="南屏山",},{nClass=20,nIcon=13,nTime=-2,szName="昆仑",key="昆仑",},{nClass=20,nIcon=13,nTime=-2,szName="白龙口",key="白龙口",},{nClass=20,nIcon=13,nTime=-2,szName="无量山",key="无量山",},{nClass=20,nIcon=13,nTime=-2,szName="黑龙沼",key="黑龙沼",},{nClass=20,nIcon=13,nTime=-2,szName="阴山大草原",key="阴山大草原",},{nClass=20,nIcon=13,nTime=-2,szName="黑戈壁",key="黑戈壁",},{nClass=20,nIcon=13,nTime=-2,szName="鲲鹏岛",key="鲲鹏岛",},</t>
  </si>
  <si>
    <t>^本场攻防“([主战奇袭场]+)”已结束，([浩气盟恶人谷]+)[侠士们众志成城和，]-([大完险胜]+)([浩气盟恶人谷]+)[！，]+</t>
  </si>
  <si>
    <t>{$1}·{$2}·{$3}</t>
  </si>
  <si>
    <t>{nClass=20,nIcon=13,nFrame=-1,nTime=0,szName="阵营活动",key="阵营活动",},</t>
  </si>
  <si>
    <t>{nClass=20,nIcon=13,nFrame=-1,nTime=0,szName="破阵点将·一",key="破阵点将·一",},{nClass=20,nIcon=13,nFrame=-1,nTime=0,szName="破阵点将·二",key="破阵点将·二",},</t>
  </si>
  <si>
    <t>{nClass=20,nIcon=7674,szName="破阵点将·一·常驻",nTime=-1,key="破阵点将·一·常驻",},{nClass=20,nIcon=7676,szName="破阵点将·二·常驻",nTime=-1,key="破阵点将·二·常驻",},</t>
  </si>
  <si>
    <t>{nClass=20,nIcon=2402,nFrame=4,bHold=true,szName="{$1}·{$2}·{$3}",nTime=57,nRefresh=0,key="大攻防·奇袭场",},</t>
  </si>
  <si>
    <t>{nClass=20,nIcon=2400,nFrame=0,bHold=true,szName="{$1}·{$2}·{$3}",nTime=57,nRefresh=0,key="大攻防·主战场",},</t>
  </si>
  <si>
    <t>{nClass=20,nIcon=13,szName="大攻防·{$1}",nTime=-2,nRefresh=10,key="大攻防·{$1}",},</t>
  </si>
  <si>
    <t>{nClass=20,nIcon=1465,nFrame=-1,szName=" ",nTime=0.001,nRefresh=0,key="大攻防·奇袭场",},</t>
  </si>
  <si>
    <t>{nClass=20,nIcon=1465,nFrame=-1,szName=" ",nTime=0.001,nRefresh=0,key="大攻防·主战场",},</t>
  </si>
  <si>
    <t>{nClass=20,nIcon=13,szName="牛车拾取间隔",nTime=-1,key="牛车拾取间隔",},</t>
  </si>
  <si>
    <t>{nClass=20,nIcon=13,szName="首领拾取间隔",nTime=-1,key="首领拾取间隔",},</t>
  </si>
  <si>
    <t>{nClass=20,nIcon=13,nFrame=4,szName="浩气·物资车·运达",nTime=-1,key="浩气·物资车·运达",},</t>
  </si>
  <si>
    <t>{nClass=20,nIcon=13,nFrame=4,szName="恶人·物资车·运达",nTime=-1,key="恶人·物资车·运达",},</t>
  </si>
  <si>
    <t>{nClass=20,nIcon=13,nFrame=-1,szName="谢渊·月弄痕·减伤",nTime=-1,key="谢渊·月弄痕·减伤",},{nClass=20,nIcon=13,nFrame=-1,szName="谢渊·游驹·减伤",nTime=-1,key="谢渊·游驹·减伤",},{nClass=20,nIcon=13,nFrame=-1,szName="谢渊·小七·减伤",nTime=-1,key="谢渊·小七·减伤",},{nClass=20,nIcon=13,nFrame=-1,szName="谢渊·张桎辕·减伤",nTime=-1,key="谢渊·张桎辕·减伤",},{nClass=20,nIcon=13,nFrame=-1,szName="谢渊·司空仲平·减伤",nTime=-1,key="谢渊·司空仲平·减伤",},{nClass=20,nIcon=13,nFrame=-1,szName="谢渊·韩非池·减伤",nTime=-1,key="谢渊·韩非池·减伤",},{nClass=20,nIcon=13,nFrame=-1,szName="谢渊·赵紫儿·减伤",nTime=-1,key="谢渊·赵紫儿·减伤",},{nClass=20,nIcon=13,nFrame=-1,szName="谢渊·叶镜池·减伤",nTime=-1,key="谢渊·叶镜池·减伤",},{nClass=20,nIcon=13,nFrame=-1,szName="谢渊·郭珠·减伤",nTime=-1,key="谢渊·郭珠·减伤",},{nClass=20,nIcon=13,nFrame=-1,szName="谢渊·穆玄英·减伤",nTime=-1,key="谢渊·穆玄英·减伤",},{nClass=20,nIcon=13,nFrame=-1,szName="谢渊·影·减伤",nTime=-1,key="谢渊·影·减伤",},{nClass=20,nIcon=13,nFrame=-1,szName="王遗风·司徒一一·减伤",nTime=-1,key="王遗风·司徒一一·减伤",},{nClass=20,nIcon=13,nFrame=-1,szName="王遗风·白某·减伤",nTime=-1,key="王遗风·白某·减伤",},{nClass=20,nIcon=13,nFrame=-1,szName="王遗风·米丽古丽·减伤",nTime=-1,key="王遗风·米丽古丽·减伤",},{nClass=20,nIcon=13,nFrame=-1,szName="王遗风·陶寒亭·减伤",nTime=-1,key="王遗风·陶寒亭·减伤",},{nClass=20,nIcon=13,nFrame=-1,szName="王遗风·肖药儿·减伤",nTime=-1,key="王遗风·肖药儿·减伤",},{nClass=20,nIcon=13,nFrame=-1,szName="王遗风·伊夜·减伤",nTime=-1,key="王遗风·伊夜·减伤",},{nClass=20,nIcon=13,nFrame=-1,szName="王遗风·丁丁·减伤",nTime=-1,key="王遗风·丁丁·减伤",},{nClass=20,nIcon=13,nFrame=-1,szName="王遗风·岳琅·减伤",nTime=-1,key="王遗风·岳琅·减伤",},{nClass=20,nIcon=13,nFrame=-1,szName="王遗风·毕罗巴·减伤",nTime=-1,key="王遗风·毕罗巴·减伤",},{nClass=20,nIcon=13,nFrame=-1,szName="王遗风·烟·减伤",nTime=-1,key="王遗风·烟·减伤",},{nClass=20,nIcon=13,nFrame=-1,szName="王遗风·独孤修·减伤",nTime=-1,key="王遗风·独孤修·减伤",},{nClass=20,nIcon=13,nFrame=-1,szName="谢渊·周峰·减伤",nTime=-1,key="谢渊·周峰·减伤",},{nClass=20,nIcon=13,nFrame=-1,szName="谢渊·郑鸥·减伤",nTime=-1,key="谢渊·郑鸥·减伤",},{nClass=20,nIcon=13,nFrame=-1,szName="谢渊·陶杰·减伤",nTime=-1,key="谢渊·陶杰·减伤",},{nClass=20,nIcon=13,nFrame=-1,szName="谢渊·谢烟客·减伤",nTime=-1,key="谢渊·谢烟客·减伤",},{nClass=20,nIcon=13,nFrame=-1,szName="王遗风·张一洋·减伤",nTime=-1,key="王遗风·张一洋·减伤",},{nClass=20,nIcon=13,nFrame=-1,szName="王遗风·陶国栋·减伤",nTime=-1,key="王遗风·陶国栋·减伤",},{nClass=20,nIcon=13,nFrame=-1,szName="王遗风·吕沛杰·减伤",nTime=-1,key="王遗风·吕沛杰·减伤",},{nClass=20,nIcon=13,nFrame=-1,szName="王遗风·顾延恶·减伤",nTime=-1,key="王遗风·顾延恶·减伤",},{nClass=20,nIcon=13,nFrame=-1,szName="王遗风·莫雨·减伤",nTime=-1,key="王遗风·莫雨·减伤",},{nClass=20,nIcon=13,nFrame=-1,szName="王遗风·万兽王·减伤",nTime=-1,key="王遗风·万兽王·减伤",},{nClass=20,nIcon=13,nFrame=-1,szName="谢渊·谢铃儿·减伤",nTime=-1,key="谢渊·谢铃儿·减伤",},</t>
  </si>
  <si>
    <t>本场攻防“主战场”已结束，浩气盟侠士和恶人谷侠士经过一场恶战，势均力敌，最终打为平手。战利品稍后开始拍卖，请留意！\n</t>
  </si>
  <si>
    <t>主战场·平局</t>
  </si>
  <si>
    <t>{nClass=20,nIcon=2400,nFrame=0,bHold=true,szName="主战场·平局",nTime=57,nRefresh=5,key="大攻防·主战场",},</t>
  </si>
  <si>
    <t>本场攻防“奇袭场”已结束，浩气盟侠士和恶人谷侠士经过一场恶战，势均力敌，最终打为平手。战利品稍后开始拍卖，请留意！\n</t>
  </si>
  <si>
    <t>奇袭场·平局</t>
  </si>
  <si>
    <t>{nClass=20,nIcon=2402,nFrame=4,bHold=true,szName="奇袭场·平局",nTime=57,nRefresh=5,key="大攻防·奇袭场",},</t>
  </si>
  <si>
    <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t>
  </si>
  <si>
    <t>浩气盟·本周胜利</t>
  </si>
  <si>
    <t>{nClass=20,nIcon=3444,nFrame=7,szName="浩气盟·本周胜利",nTime=60,key="阵营活动",},</t>
  </si>
  <si>
    <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t>
  </si>
  <si>
    <t>恶人谷·本周胜利</t>
  </si>
  <si>
    <t>{nClass=20,nIcon=3445,nFrame=3,szName="恶人谷·本周胜利",nTime=60,key="阵营活动",},</t>
  </si>
  <si>
    <t>驿马快报！本周浩气盟和恶人谷最终战为平手，未分胜负！\n</t>
  </si>
  <si>
    <t>阵营事件·本周战平</t>
  </si>
  <si>
    <t>{nClass=20,nIcon=13354,nFrame=4,szName="阵营事件·本周战平",nTime=60,key="阵营活动",},</t>
  </si>
  <si>
    <t>[团队监控]数据加载成功</t>
  </si>
  <si>
    <t>关闭刷马等计时条</t>
  </si>
  <si>
    <t>{nClass=20,nIcon=13,szName="诛恶事件",nTime=-1,nRefresh=7200,key="诛恶事件",},{nClass=20,nIcon=13,szName="通用事件",nTime=-1,nRefresh=7200,key="通用事件",},</t>
  </si>
  <si>
    <t>{nClass=20,nIcon=13,nTime=-1,szName="金水镇",nRefresh=99999,key="金水镇",},{nClass=20,nIcon=13,nTime=-1,szName="巴陵县",nRefresh=99999,key="巴陵县",},{nClass=20,nIcon=13,nTime=-1,szName="龙门荒漠",nRefresh=99999,key="龙门荒漠",},{nClass=20,nIcon=13,nTime=-1,szName="南屏山",nRefresh=99999,key="南屏山",},{nClass=20,nIcon=13,nTime=-1,szName="昆仑",nRefresh=99999,key="昆仑",},{nClass=20,nIcon=13,nTime=-1,szName="白龙口",nRefresh=99999,key="白龙口",},{nClass=20,nIcon=13,nTime=-1,szName="无量山",nRefresh=99999,key="无量山",},{nClass=20,nIcon=13,nTime=-1,szName="黑龙沼",nRefresh=99999,key="黑龙沼",},{nClass=20,nIcon=13,nTime=-1,szName="阴山大草原",nRefresh=99999,key="阴山大草原",},{nClass=20,nIcon=13,nTime=-1,szName="黑戈壁",nRefresh=99999,key="黑戈壁",},{nClass=20,nIcon=13,nTime=-1,szName="鲲鹏岛",nRefresh=99999,key="鲲鹏岛",},</t>
  </si>
  <si>
    <t>{nClass=20,nIcon=2402,szName="大攻防·奇袭场",nTime=-1,nRefresh=999999,key="大攻防·奇袭场",},</t>
  </si>
  <si>
    <t>{nClass=-1,key="订阅提示1",nTime=15,szName="订阅提示1",nRefresh=2,nIcon=13,nFrame=5,},{nClass=-1,key="订阅提示2",nTime=15,szName="订阅提示2",nRefresh=2,nIcon=13,nFrame=6,},{nClass=-1,key="订阅提示3",nTime=15,szName="订阅提示3",nRefresh=2,nIcon=13,nFrame=7,},</t>
  </si>
  <si>
    <t>你已进入地图【浩气盟】。</t>
  </si>
  <si>
    <t>{nClass=20,nIcon=1465,nFrame=-1,nTime=0.001,szName=" ",nRefresh=99999,key="破阵点将·一·常驻",},{nClass=20,nIcon=1465,nFrame=-1,nTime=0.001,szName=" ",nRefresh=99999,key="破阵点将·二·常驻",},</t>
  </si>
  <si>
    <t>{nClass=20,nIcon=13,szName="天气事件1",nTime=-2,key="天气事件1",},{nClass=20,nIcon=13,szName="天气事件2",nTime=-2,key="天气事件2",},</t>
  </si>
  <si>
    <t>{nClass=20,nIcon=13,nFrame=-1,szName="阵营活动",nTime=-2,key="阵营活动",},</t>
  </si>
  <si>
    <t>{nClass=20,nIcon=13,nFrame=-1,szName="创意食品",nTime=-1,nRefresh=5,key="创意食品",},</t>
  </si>
  <si>
    <t>{nClass=20,nIcon=13,szName="速战速决",nTime=-1,nRefresh=99999,key="速战速决",},</t>
  </si>
  <si>
    <t>伊夜使用了一招围魏救赵的妙计，率众客将奇袭了浩气盟大本营，浩气盟侠士也请速回救援！\n</t>
  </si>
  <si>
    <t>奇袭攻防·正式开启</t>
  </si>
  <si>
    <t>{nClass=20,nIcon=2401,nFrame=0,szName="奇袭攻防·正式开始",nTime="30,奇袭攻防·正式开始;60,建议关闭·江湖身份",nRefresh=10,key="阵营活动",},</t>
  </si>
  <si>
    <t>{nClass=20,nIcon=13,szName="首领拾取间隔",nTime=-1,nRefresh=7200,key="首领拾取间隔",},</t>
  </si>
  <si>
    <t>{nClass=20,nIcon=13,nTime=-2,szName="屹立不倒",key="屹立不倒",},</t>
  </si>
  <si>
    <t>王遗风已率恶人谷众首领抵达浩气盟，请各位恶人谷侠士速到浩气盟支援。浩气盟侠士也请速回浩气盟防御！\n</t>
  </si>
  <si>
    <t>主场攻防·正式开启</t>
  </si>
  <si>
    <t>{nClass=20,nIcon=2401,nFrame=-1,szName="主场攻防·正式开始",nTime="2,主场攻防·正式开始;10,建议关闭·江湖身份;900,阶段·速战速决·15分钟;905,阶段·速战速决·已经结束;910,阶段·首领出战·正在召请;1800,阶段·物资车1·出发剩余;1810,阶段·物资车1·正在出发;2700,阶段·破阵点将1·结算剩余;2710,阶段·破阵点将1·正在结算;3540,阶段·物资车2·出发剩余;3550,阶段·物资车2·正在出发;3600,阶段·首领出战·助战剩余;3605,阶段·首领出战·助战结束;5400,阶段·破阵点将2·结算剩余;5405,阶段·破阵点将2·正在结算;5410,阶段·物资车3·正在出发;7200,阶段·本场攻防·结束剩余;7205,阶段·本场攻防·正在结算;7210,阶段·本场攻防·已经结束",nRefresh=10,key="阵营活动",},</t>
  </si>
  <si>
    <t>{nClass=20,nIcon=13,szName="首领拾取间隔",nTime=-1,nRefresh=30,key="首领拾取间隔",},</t>
  </si>
  <si>
    <t>{nClass=20,nIcon=13,szName="速战速决",nTime=-2,key="速战速决",},</t>
  </si>
  <si>
    <t>你已进入地图【恶人谷】。</t>
  </si>
  <si>
    <t>韩非池使用了一招围魏救赵的妙计，率众客将奇袭了恶人谷大本营，恶人谷侠士也请速回救援！\n</t>
  </si>
  <si>
    <t>谢渊已率浩气盟众首领抵达恶人谷，请各位浩气盟侠士速到恶人谷支援。恶人谷侠士也请速回恶人谷防御！\n</t>
  </si>
  <si>
    <t>通用地图</t>
  </si>
  <si>
    <t>阵营攻防排队正式开始，同时清空此前所有排队队列，尚未排队的侠士们速速前往浩气盟地图参与排队，亦可与主城战场的冷倪之、冷允之对话进行排队。\n</t>
  </si>
  <si>
    <t>{nClass=20,nIcon=5815,nFrame=-1,szName="阵营攻防·开始排队",nTime="1,阵营攻防·开始排队;10,阵营攻防·开始排队",nRefresh=1,key="阵营活动",},</t>
  </si>
  <si>
    <t>{nClass=20,nIcon=14890,nFrame=7,szName="主战场·浩气盟",nTime=60,key="大攻防·主战场",},</t>
  </si>
  <si>
    <t>{nClass=20,nIcon=14889,nFrame=3,szName="奇袭场·恶人谷",nTime=60,key="大攻防·奇袭场",},</t>
  </si>
  <si>
    <t>阵营攻防排队正式开始，同时清空此前所有排队队列，尚未排队的侠士们速速前往恶人谷地图参与排队，亦可与主城战场的冷倪之、冷允之对话进行排队。\n</t>
  </si>
  <si>
    <t>{nClass=20,nIcon=14889,nFrame=3,szName="主战场·恶人谷",nTime=60,key="大攻防·主战场",},</t>
  </si>
  <si>
    <t>{nClass=20,nIcon=14890,nFrame=7,szName="奇袭场·浩气盟",nTime=60,key="大攻防·奇袭场",},</t>
  </si>
  <si>
    <t>阵营攻防战即将开始，为防弄虚作假者，即将对“浩气盟”地图进行清场操作，并在“中午十二点三十分”开始攻防排队，请勿在中午十二点三十分前排队，将被视为无效，请侠士们提前做好准备。\n</t>
  </si>
  <si>
    <t>{nClass=20,nIcon=1465,nFrame=-1,bHold=true,szName="阵营攻防·浩气盟·12:30",nTime=599.795,key="阵营活动",},</t>
  </si>
  <si>
    <t>阵营攻防战即将开始，为防弄虚作假者，即将对“浩气盟”地图进行清场操作，并在“下午六点三十分”开始攻防排队，请勿在下午六点三十分前排队，将被视为无效，请侠士们提前做好准备。\n</t>
  </si>
  <si>
    <t>{nClass=20,nIcon=1465,nFrame=-1,bHold=true,szName="阵营攻防·浩气盟·18:30",nTime=599.795,key="阵营活动",},</t>
  </si>
  <si>
    <t>阵营攻防战即将开始，为防弄虚作假者，即将对“恶人谷”地图进行清场操作，并在“中午十二点三十分”开始攻防排队，请勿在中午十二点三十分前排队，将被视为无效，请侠士们提前做好准备。\n</t>
  </si>
  <si>
    <t>{nClass=20,nIcon=1465,nFrame=-1,bHold=true,szName="阵营攻防·恶人谷·12:30",nTime=599.795,key="阵营活动",},</t>
  </si>
  <si>
    <t>阵营攻防战即将开始，为防弄虚作假者，即将对“恶人谷”地图进行清场操作，并在“下午六点三十分”开始攻防排队，请勿在下午六点三十分前排队，将被视为无效，请侠士们提前做好准备。\n</t>
  </si>
  <si>
    <t>{nClass=20,nIcon=1465,nFrame=-1,bHold=true,szName="阵营攻防·恶人谷·18:30",nTime=599.795,key="阵营活动",},</t>
  </si>
  <si>
    <t>据点争夺战即将开始，为防弄虚作假者，即将对据点活动地图进行清场操作，同时清空此前所有排队队列，请各阵营侠士做好准备。拥有据点地图优先进入权的帮众可提前进入地图以作防守准备，不会被清出地图。\n</t>
  </si>
  <si>
    <t>{nClass=20,nIcon=5815,nFrame=-1,szName="阵营活动",nTime="1,据点攻防·开始排队;10,据点攻防·开始排队;60,据点攻防·等待排队",nRefresh=1,key="阵营活动",},</t>
  </si>
  <si>
    <t>为保障各位侠士的安全，浩气盟和恶人谷重新派出了守卫，在野外地图侠士重伤后复活可回到阵营复活点！\n</t>
  </si>
  <si>
    <t>{nClass=20,nIcon=1465,nFrame=-1,bHold=true,szName="据点攻防·消失模式",nTime=1799.795,key="阵营活动",},</t>
  </si>
  <si>
    <t>(.-)【(.-)】帮会的(.-)大侠成功护送祭祀物资到达(.-)据点，该据点将士备受鼓舞，战意高昂，战时必将固若金汤！</t>
  </si>
  <si>
    <t>祭天·{$1}·[{$2}]·{$4}</t>
  </si>
  <si>
    <t>{nClass=20,nIcon=8838,nFrame=1,szName="{$1}祭天·[{$2}]·{$4}",nTime=30,key="通用事件",},</t>
  </si>
  <si>
    <t>阵营攻防首领战奇袭场分线已经开启，现可前往本日奇袭场分线参与争夺，也可通过主城战场区分线接引人前往各个奇袭场分线参与。\n</t>
  </si>
  <si>
    <t>阵营攻防·奇袭场·开启分线</t>
  </si>
  <si>
    <t>{nClass=20,nIcon=3536,nFrame=4,szName="攻防·奇袭场·开启分线",nTime=30,nRefresh=10,key="分流活动",},</t>
  </si>
  <si>
    <t>阵营攻防首领战紧张火热，本服今日无奇袭场分线模式，请侠士速速前往主战场及奇袭场参与活动。\n</t>
  </si>
  <si>
    <t>阵营攻防·奇袭场·未开分线</t>
  </si>
  <si>
    <t>{nClass=20,nIcon=3536,nFrame=4,szName="攻防·奇袭场·未开分线",nTime=30,key="分流活动",},</t>
  </si>
  <si>
    <t>逐鹿中原前线战况空前激烈，位于阴山大草原的分线据点争夺将于5分钟后开启！未能进入前线据点争夺场景的侠士可从沙盘地图（Ctrl + M）动态分线入口，或主城战场区小曾和小珍处进入分线场景。\n</t>
  </si>
  <si>
    <t>据点攻防·阴山大草原·开启分线·5分钟</t>
  </si>
  <si>
    <t>{nClass=20,nIcon=13,szName="分流活动",nTime=-2,key="分流活动",},</t>
  </si>
  <si>
    <t>{nClass=20,nIcon=3536,nFrame=4,szName="小攻防·阴山大草原·分线开启",nTime=10,nRefresh=3600,key="分流活动",},</t>
  </si>
  <si>
    <t>前线战况空前激烈！未能进入前线据点争夺场景参与战斗的侠士，可前往阴山大草原助本阵营后方物资运送一臂之力！只需完成增援任务，也可以参与本日逐鹿中原结算奖励发放。\n</t>
  </si>
  <si>
    <t>据点攻防·阴山大草原</t>
  </si>
  <si>
    <t>{nClass=20,nIcon=3536,nFrame=4,szName="小攻防·阴山大草原·分流",nTime=10,nRefresh=3600,key="分流活动",},</t>
  </si>
  <si>
    <t>阴山大草原·分线据点争夺正式开始，场景内交通已中断。\n</t>
  </si>
  <si>
    <t>据点攻防·阴山大草原·分线·正式开始</t>
  </si>
  <si>
    <t>{nClass=20,nIcon=3536,nFrame=4,szName="小攻防·阴山大草原·正式开始",nTime=10,nRefresh=3600,key="分流活动",},</t>
  </si>
  <si>
    <t>据点争夺已结束，所有交通已恢复。\n</t>
  </si>
  <si>
    <t>据点攻防·已经结束</t>
  </si>
  <si>
    <t>{nClass=20,nIcon=3536,nFrame=3,szName="据点攻防·活动结束",nTime=5,key="阵营活动",},</t>
  </si>
  <si>
    <t>{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t>
  </si>
  <si>
    <t>正在拍卖逐鹿中原掉落的稀有物品，其中通常有当前最高品质附魔、绝世稀有坐骑、玄晶等，阵营侠士们切勿错过！\n</t>
  </si>
  <si>
    <t>据点攻防·拍卖掉落</t>
  </si>
  <si>
    <t>{nClass=20,nIcon=13,nFrame=0,szName="据点攻防·拍卖掉落",nTime=30,key="拍卖分红",},</t>
  </si>
  <si>
    <t>本场战役已结束，双方战事惨烈，但终是浩气盟略胜一筹，险胜！浩气盟士气大涨500分！\n</t>
  </si>
  <si>
    <t>据点攻防·浩气盟·险胜</t>
  </si>
  <si>
    <t>{nClass=20,nIcon=2400,nFrame=0,szName="据点攻防·浩气盟·险胜",nTime=30,nRefresh=2,key="阵营活动",},</t>
  </si>
  <si>
    <t>本场战役已结束，双方战事惨烈，但终是浩气盟略胜一筹，大胜！浩气盟士气大涨600分！\n</t>
  </si>
  <si>
    <t>据点攻防·浩气盟·大胜</t>
  </si>
  <si>
    <t>{nClass=20,nIcon=2400,nFrame=0,szName="据点攻防·浩气盟·大胜",nTime=30,nRefresh=2,key="阵营活动",},</t>
  </si>
  <si>
    <t>本场战役已结束，双方战事惨烈，但终是浩气盟略胜一筹，完胜！浩气盟士气大涨700分！\n</t>
  </si>
  <si>
    <t>据点攻防·浩气盟·完胜</t>
  </si>
  <si>
    <t>{nClass=20,nIcon=2400,nFrame=0,szName="据点攻防·浩气盟·完胜",nTime=30,nRefresh=2,key="阵营活动",},</t>
  </si>
  <si>
    <t>本场战役已结束，双方战事惨烈，但终是恶人谷略胜一筹，险胜！恶人谷士气大涨500分！\n</t>
  </si>
  <si>
    <t>据点攻防·恶人谷·险胜</t>
  </si>
  <si>
    <t>{nClass=20,nIcon=2400,nFrame=0,szName="据点攻防·恶人谷·险胜",nTime=30,nRefresh=2,key="阵营活动",},</t>
  </si>
  <si>
    <t>本场战役已结束，双方战事惨烈，但终是恶人谷略胜一筹，大胜！恶人谷士气大涨600分！\n</t>
  </si>
  <si>
    <t>据点攻防·恶人谷·大胜</t>
  </si>
  <si>
    <t>{nClass=20,nIcon=2400,nFrame=0,szName="据点攻防·恶人谷·大胜",nTime=30,nRefresh=2,key="阵营活动",},</t>
  </si>
  <si>
    <t>本场战役已结束，双方战事惨烈，但终是恶人谷略胜一筹，完胜！恶人谷士气大涨700分！\n</t>
  </si>
  <si>
    <t>据点攻防·恶人谷·完胜</t>
  </si>
  <si>
    <t>{nClass=20,nIcon=2400,nFrame=0,szName="据点攻防·恶人谷·完胜",nTime=30,nRefresh=2,key="阵营活动",},</t>
  </si>
  <si>
    <t>本场战役已结束，双方战事惨烈，未分胜负！双方士气各涨500分！\n</t>
  </si>
  <si>
    <t>据点攻防·平局</t>
  </si>
  <si>
    <t>{nClass=20,nIcon=2400,nFrame=0,szName="据点攻防·平局",nTime=30,nRefresh=2,key="阵营活动",},</t>
  </si>
  <si>
    <t>([浩气恶人]+)[盟谷]-位于([^%d]-)的【(.-)据点】大旗被夺</t>
  </si>
  <si>
    <t>{$3}·{$1}大旗被夺</t>
  </si>
  <si>
    <t>{nClass=20,nIcon=592,nFrame=4,szName="{$3}·大旗重置",nTime=-1,key="{$3}·大旗重置",},</t>
  </si>
  <si>
    <t>{nClass=20,nIcon=2397,nFrame=-1,szName="{$3}·浩气大旗被夺",nTime=-1,nRefresh=2,key="{$3}·浩气大旗",},</t>
  </si>
  <si>
    <t>{nClass=20,nIcon=2398,nFrame=-1,szName="{$3}·恶人大旗被夺",nTime=-1,nRefresh=2,key="{$3}·恶人大旗",},</t>
  </si>
  <si>
    <t>{nClass=20,nIcon=2400,nFrame=7,szName="{$3}·{$1}大旗被夺",nTime=-2,key="{$3}·{$1}大旗",},</t>
  </si>
  <si>
    <t>{nClass=20,nIcon=4837,nFrame=7,szName="{$2}【{$3}】浩气大旗被夺",nTime=30,nRefresh=1,key="{$3}·浩气大旗",},</t>
  </si>
  <si>
    <t>{nClass=20,nIcon=4838,nFrame=3,szName="{$2}【{$3}】恶人大旗被夺",nTime=30,nRefresh=1,key="{$3}·恶人大旗",},</t>
  </si>
  <si>
    <t>([浩气恶人]+)[盟谷]-的【(.-)】帮会成功占领【(.-)】据点！</t>
  </si>
  <si>
    <t>{$3}·{$1}占领</t>
  </si>
  <si>
    <t>{nClass=20,nIcon=13,szName="{$3}·浩气大旗",nTime=-1,nRefresh=2,key="{$3}·浩气大旗",},</t>
  </si>
  <si>
    <t>{nClass=20,nIcon=13,szName="{$3}·恶人大旗",nTime=-1,nRefresh=2,key="{$3}·恶人大旗",},</t>
  </si>
  <si>
    <t>{nClass=20,nIcon=13,szName="{$3}·{$1}大旗",nTime=-2,key="{$3}·{$1}大旗",},</t>
  </si>
  <si>
    <t>{nClass=20,nIcon=14888,nFrame=7,szName="【{$3}】·浩气[{$2}]占领",nTime=30,nRefresh=1,key="{$3}·浩气大旗",},</t>
  </si>
  <si>
    <t>{nClass=20,nIcon=14887,nFrame=3,szName="【{$3}】·恶人[{$2}]占领",nTime=30,nRefresh=1,key="{$3}·恶人大旗",},</t>
  </si>
  <si>
    <t>前线据点之争已经打响，争夺正式开始，沙盘地图（CTRL + M）绘有详细战略意图，谁将称霸中原，我们拭目以待！\n</t>
  </si>
  <si>
    <t>{nClass=20,nIcon=3536,nFrame=0,szName="据点攻防·正式开始",nTime=10,key="阵营活动",},</t>
  </si>
  <si>
    <t>{nClass=20,nIcon=3536,nFrame=0,szName="据点攻防·活动结束",nTime=5,key="阵营活动",},</t>
  </si>
  <si>
    <t>{nClass=20,nIcon=13,szName="狼牙先锋首领",nTime=0,key="狼牙先锋首领",},</t>
  </si>
  <si>
    <t>{nClass=20,nIcon=13,szName="离开据点·大旗重置",nTime=0,key="离开据点·大旗重置",},</t>
  </si>
  <si>
    <t>本场贡献值进入前1200名，额外获得3000威名，可通过邮件领取\n</t>
  </si>
  <si>
    <t>据点攻防·进入前1200名</t>
  </si>
  <si>
    <t>{nClass=20,nIcon=13,szName="{$3}·浩气大旗",nTime=-1,key="{$3}·浩气大旗",},</t>
  </si>
  <si>
    <t>{nClass=20,nIcon=13,szName="{$3}·恶人大旗",nTime=-1,key="{$3}·恶人大旗",},</t>
  </si>
  <si>
    <t>{nClass=20,nIcon=14887,nFrame=3,szName="【{$3}】·恶人[{$2}]占领",nTime=30,nRefresh=1,key="{$3}·浩气占领",},</t>
  </si>
  <si>
    <t>{nClass=20,nIcon=14888,nFrame=7,szName="【{$3}】·浩气[{$2}]占领",nTime=30,nRefresh=1,key="{$3}·恶人占领",},</t>
  </si>
  <si>
    <t>{nClass=20,nIcon=13,szName="{$3}·{$1}占领",nTime=-1,key="{$3}·{$1}占领",},</t>
  </si>
  <si>
    <t>^江湖快报！(.-)据点粮仓被一群([浩气恶人]+)[盟谷]-人士洗劫</t>
  </si>
  <si>
    <t>{$1}·{$2}劫粮</t>
  </si>
  <si>
    <t>{nClass=20,nIcon=2397,nFrame=-1,szName="{$1}·浩气劫粮",nTime=-1,nRefresh=2,key="{$1}·浩气劫粮",},</t>
  </si>
  <si>
    <t>{nClass=20,nIcon=2398,nFrame=-1,szName="{$1}·恶人劫粮",nTime=-1,nRefresh=2,key="{$1}·恶人劫粮",},</t>
  </si>
  <si>
    <t>{nClass=20,nIcon=2400,nFrame=7,szName="{$1}·{$2}劫粮",nTime=-2,key="{$1}·{$2}劫粮",},</t>
  </si>
  <si>
    <t>{nClass=20,nIcon=10449,nFrame=7,szName="【{$1}】浩气劫粮",nTime=30,nRefresh=1,key="{$1}·浩气劫粮",},</t>
  </si>
  <si>
    <t>{nClass=20,nIcon=10450,nFrame=3,szName="【{$1}】恶人劫粮",nTime=30,nRefresh=1,key="{$1}·恶人劫粮",},</t>
  </si>
  <si>
    <t>秘境地图</t>
  </si>
  <si>
    <t>{nClass=20,nIcon=5815,nFrame=3,szName="主战场·恶人谷",nTime="1,阵营攻防·开始排队·恶人谷;10,阵营攻防·开始排队·恶人谷",nRefresh=1,key="大攻防·主战场",},</t>
  </si>
  <si>
    <t>{nClass=20,nIcon=5815,nFrame=7,szName="主战场·浩气盟",nTime="1,阵营攻防·开始排队·浩气盟;10,阵营攻防·开始排队·浩气盟",nRefresh=1,key="大攻防·主战场",},</t>
  </si>
  <si>
    <t>{nClass=20,nIcon=13,szName="大攻防·奇袭场",nTime=-2,nRefresh=10,key="大攻防·奇袭场",},</t>
  </si>
  <si>
    <t>{nClass=20,nIcon=13,szName="大攻防·主战场",nTime=-2,nRefresh=10,key="大攻防·主战场",},</t>
  </si>
  <si>
    <t>{nClass=20,nIcon=13,szName="大攻防·{$1}",nTime=-2,key="大攻防·{$1}",},</t>
  </si>
  <si>
    <t>{nClass=20,nIcon=2402,nFrame=4,szName="{$1}·{$2}·{$3}",nTime=57,nRefresh=5,key="大攻防·奇袭场",},</t>
  </si>
  <si>
    <t>{nClass=20,nIcon=2400,nFrame=0,szName="{$1}·{$2}·{$3}",nTime=57,nRefresh=5,key="大攻防·主战场",},</t>
  </si>
  <si>
    <t>本场攻防“主战场”已结束，浩气盟侠士和恶人谷侠士经过一场恶战，势均力敌，最终打为平手，暂时休战！\n</t>
  </si>
  <si>
    <t>主战场·平手</t>
  </si>
  <si>
    <t>{nClass=20,nIcon=2400,nFrame=0,szName="主战场·平手",nTime=57,nRefresh=5,key="大攻防·主战场",},</t>
  </si>
  <si>
    <t>本场攻防“奇袭场”已结束，浩气盟侠士和恶人谷侠士经过一场恶战，势均力敌，最终打为平手，暂时休战！\n</t>
  </si>
  <si>
    <t>奇袭场·平手</t>
  </si>
  <si>
    <t>{nClass=20,nIcon=2402,nFrame=4,szName="奇袭场·平手",nTime=57,nRefresh=5,key="大攻防·奇袭场",},</t>
  </si>
  <si>
    <t>武王城</t>
  </si>
  <si>
    <t>{nClass=20,nIcon=2400,nFrame=-1,szName="{$3}·{$1}大旗被夺",nTime=-2,key="{$3}·{$1}大旗",},</t>
  </si>
  <si>
    <t>{nClass=20,nIcon=4837,nFrame=7,szName="{$2}【{$3}】浩气大旗被夺",nTime=30,key="{$3}·浩气大旗",},</t>
  </si>
  <si>
    <t>{nClass=20,nIcon=4838,nFrame=3,szName="{$2}【{$3}】恶人大旗被夺",nTime=30,key="{$3}·恶人大旗",},</t>
  </si>
  <si>
    <t>^【(.*)】据点大旗(.*)重置回初始位置！\n</t>
  </si>
  <si>
    <t>{$1}·大旗重置</t>
  </si>
  <si>
    <t>{nClass=20,nIcon=1465,szName="武王城·大旗重置",nTime=-2,nRefresh=7200,key="武王城·大旗重置",},</t>
  </si>
  <si>
    <t>{nClass=20,nIcon=13,szName="【{$1}】大旗重置",nTime=-2,key="{$1}·大旗重置",},</t>
  </si>
  <si>
    <t>{nClass=20,nIcon=592,nFrame=4,szName="【{$1}】大旗重置",nTime=30,key="{$1}·大旗重置",},</t>
  </si>
  <si>
    <t>{nClass=20,nIcon=592,nFrame=4,szName="【武王城】大旗重置",nTime="180,【武王城】大旗重置;185,【武王城】大旗重置·结束",nRefresh=7200,key="武王城·大旗重置",},</t>
  </si>
  <si>
    <t>凛风堡</t>
  </si>
  <si>
    <t>{nClass=20,nIcon=1465,szName="凛风堡·大旗重置",nTime=-2,nRefresh=7200,key="凛风堡·大旗重置",},</t>
  </si>
  <si>
    <t>{nClass=20,nIcon=592,nFrame=4,szName="【凛风堡】大旗重置",nTime="180,【凛风堡】大旗重置;185,【凛风堡】大旗重置·结束",nRefresh=7200,key="凛风堡·大旗重置",},</t>
  </si>
  <si>
    <t>盘龙坞</t>
  </si>
  <si>
    <t>逐鹿坪</t>
  </si>
  <si>
    <t>{nClass=20,nIcon=1465,szName="盘龙坞·大旗重置",nTime=-2,nRefresh=7200,key="盘龙坞·大旗重置",},</t>
  </si>
  <si>
    <t>{nClass=20,nIcon=1465,szName="逐鹿坪·大旗重置",nTime=-2,nRefresh=7200,key="逐鹿坪·大旗重置",},</t>
  </si>
  <si>
    <t>{nClass=20,nIcon=592,nFrame=4,szName="【盘龙坞】大旗重置",nTime="180,【盘龙坞】大旗重置;185,【盘龙坞】大旗重置·结束",nRefresh=7200,key="盘龙坞·大旗重置",},</t>
  </si>
  <si>
    <t>{nClass=20,nIcon=592,nFrame=4,szName="【逐鹿坪】大旗重置",nTime="180,【逐鹿坪】大旗重置;185,【逐鹿坪】大旗重置·结束",nRefresh=7200,key="逐鹿坪·大旗重置",},</t>
  </si>
  <si>
    <t>龙门镇</t>
  </si>
  <si>
    <t>飞沙关</t>
  </si>
  <si>
    <t>{nClass=20,nIcon=1465,szName="龙门镇·大旗重置",nTime=-2,nRefresh=7200,key="龙门镇·大旗重置",},</t>
  </si>
  <si>
    <t>{nClass=20,nIcon=1465,szName="飞沙关·大旗重置",nTime=-2,nRefresh=7200,key="飞沙关·大旗重置",},</t>
  </si>
  <si>
    <t>{nClass=20,nIcon=592,nFrame=4,szName="【龙门镇】大旗重置",nTime="180,【龙门镇】大旗重置;185,【龙门镇】大旗重置·结束",nRefresh=7200,key="龙门镇·大旗重置",},</t>
  </si>
  <si>
    <t>{nClass=20,nIcon=592,nFrame=4,szName="【飞沙关】大旗重置",nTime="180,【飞沙关】大旗重置;185,【飞沙关】大旗重置·结束",nRefresh=7200,key="飞沙关·大旗重置",},</t>
  </si>
  <si>
    <t>红莲岗</t>
  </si>
  <si>
    <t>秋雨堡</t>
  </si>
  <si>
    <t>{nClass=20,nIcon=1465,szName="红莲岗·大旗重置",nTime=-2,nRefresh=7200,key="红莲岗·大旗重置",},</t>
  </si>
  <si>
    <t>{nClass=20,nIcon=1465,szName="秋雨堡·大旗重置",nTime=-2,nRefresh=7200,key="秋雨堡·大旗重置",},</t>
  </si>
  <si>
    <t>{nClass=20,nIcon=592,nFrame=4,szName="【红莲岗】大旗重置",nTime="180,【红莲岗】大旗重置;185,【红莲岗】大旗重置·结束",nRefresh=7200,key="红莲岗·大旗重置",},</t>
  </si>
  <si>
    <t>{nClass=20,nIcon=592,nFrame=4,szName="【秋雨堡】大旗重置",nTime="180,【秋雨堡】大旗重置;185,【秋雨堡】大旗重置·结束",nRefresh=7200,key="秋雨堡·大旗重置",},</t>
  </si>
  <si>
    <t>金门关</t>
  </si>
  <si>
    <t>青云坞</t>
  </si>
  <si>
    <t>{nClass=20,nIcon=1465,szName="金门关·大旗重置",nTime=-2,nRefresh=7200,key="金门关·大旗重置",},</t>
  </si>
  <si>
    <t>{nClass=20,nIcon=1465,szName="青云坞·大旗重置",nTime=-2,nRefresh=7200,key="青云坞·大旗重置",},</t>
  </si>
  <si>
    <t>{nClass=20,nIcon=592,nFrame=4,szName="【金门关】大旗重置",nTime="180,【金门关】大旗重置;185,【金门关】大旗重置·结束",nRefresh=7200,key="金门关·大旗重置",},</t>
  </si>
  <si>
    <t>{nClass=20,nIcon=592,nFrame=4,szName="【青云坞】大旗重置",nTime="180,【青云坞】大旗重置;185,【青云坞】大旗重置·结束",nRefresh=7200,key="青云坞·大旗重置",},</t>
  </si>
  <si>
    <t>激流坞</t>
  </si>
  <si>
    <t>不空关</t>
  </si>
  <si>
    <t>{nClass=20,nIcon=1465,szName="激流坞·大旗重置",nTime=-2,nRefresh=7200,key="激流坞·大旗重置",},</t>
  </si>
  <si>
    <t>{nClass=20,nIcon=1465,szName="不空关·大旗重置",nTime=-2,nRefresh=7200,key="不空关·大旗重置",},</t>
  </si>
  <si>
    <t>{nClass=20,nIcon=592,nFrame=4,szName="【激流坞】大旗重置",nTime="180,【激流坞】大旗重置;185,【激流坞】大旗重置·结束",nRefresh=7200,key="激流坞·大旗重置",},</t>
  </si>
  <si>
    <t>{nClass=20,nIcon=592,nFrame=4,szName="【不空关】大旗重置",nTime="180,【不空关】大旗重置;185,【不空关】大旗重置·结束",nRefresh=7200,key="不空关·大旗重置",},</t>
  </si>
  <si>
    <t>日月崖</t>
  </si>
  <si>
    <t>卧龙坡</t>
  </si>
  <si>
    <t>{nClass=20,nIcon=1465,szName="日月崖·大旗重置",nTime=-2,nRefresh=7200,key="日月崖·大旗重置",},</t>
  </si>
  <si>
    <t>{nClass=20,nIcon=1465,szName="卧龙坡·大旗重置",nTime=-2,nRefresh=7200,key="卧龙坡·大旗重置",},</t>
  </si>
  <si>
    <t>{nClass=20,nIcon=592,nFrame=4,szName="【日月崖】大旗重置",nTime="180,【日月崖】大旗重置;185,【日月崖】大旗重置·结束",nRefresh=7200,key="日月崖·大旗重置",},</t>
  </si>
  <si>
    <t>{nClass=20,nIcon=592,nFrame=4,szName="【卧龙坡】大旗重置",nTime="180,【卧龙坡】大旗重置;185,【卧龙坡】大旗重置·结束",nRefresh=7200,key="卧龙坡·大旗重置",},</t>
  </si>
  <si>
    <t>霜戈堡</t>
  </si>
  <si>
    <t>澜沧城</t>
  </si>
  <si>
    <t>{nClass=20,nIcon=1465,szName="霜戈堡·大旗重置",nTime=-2,nRefresh=7200,key="霜戈堡·大旗重置",},</t>
  </si>
  <si>
    <t>{nClass=20,nIcon=1465,szName="澜沧城·大旗重置",nTime=-2,nRefresh=7200,key="澜沧城·大旗重置",},</t>
  </si>
  <si>
    <t>{nClass=20,nIcon=592,nFrame=4,szName="【霜戈堡】大旗重置",nTime="180,【霜戈堡】大旗重置;185,【霜戈堡】大旗重置·结束",nRefresh=7200,key="霜戈堡·大旗重置",},</t>
  </si>
  <si>
    <t>{nClass=20,nIcon=592,nFrame=4,szName="【澜沧城】大旗重置",nTime="180,【澜沧城】大旗重置;185,【澜沧城】大旗重置·结束",nRefresh=7200,key="澜沧城·大旗重置",},</t>
  </si>
  <si>
    <t>神池岭</t>
  </si>
  <si>
    <t>烈日岗</t>
  </si>
  <si>
    <t>{nClass=20,nIcon=1465,szName="神池岭·大旗重置",nTime=-2,nRefresh=7200,key="神池岭·大旗重置",},</t>
  </si>
  <si>
    <t>{nClass=20,nIcon=1465,szName="烈日岗·大旗重置",nTime=-2,nRefresh=7200,key="烈日岗·大旗重置",},</t>
  </si>
  <si>
    <t>{nClass=20,nIcon=592,nFrame=4,szName="【神池岭】大旗重置",nTime="180,【神池岭】大旗重置;185,【神池岭】大旗重置·结束",nRefresh=7200,key="神池岭·大旗重置",},</t>
  </si>
  <si>
    <t>{nClass=20,nIcon=592,nFrame=4,szName="【烈日岗】大旗重置",nTime="180,【烈日岗】大旗重置;185,【烈日岗】大旗重置·结束",nRefresh=7200,key="烈日岗·大旗重置",},</t>
  </si>
  <si>
    <t>凤鸣堡</t>
  </si>
  <si>
    <t>惊虬谷</t>
  </si>
  <si>
    <t>{nClass=20,nIcon=1465,szName="凤鸣堡·大旗重置",nTime=-2,nRefresh=7200,key="凤鸣堡·大旗重置",},</t>
  </si>
  <si>
    <t>{nClass=20,nIcon=1465,szName="惊虬谷·大旗重置",nTime=-2,nRefresh=7200,key="惊虬谷·大旗重置",},</t>
  </si>
  <si>
    <t>{nClass=20,nIcon=592,nFrame=4,szName="【凤鸣堡】大旗重置",nTime="180,【凤鸣堡】大旗重置;185,【凤鸣堡】大旗重置·结束",nRefresh=7200,key="凤鸣堡·大旗重置",},</t>
  </si>
  <si>
    <t>{nClass=20,nIcon=592,nFrame=4,szName="【惊虬谷】大旗重置",nTime="180,【惊虬谷】大旗重置;185,【惊虬谷】大旗重置·结束",nRefresh=7200,key="惊虬谷·大旗重置",},</t>
  </si>
  <si>
    <t>大理山城</t>
  </si>
  <si>
    <t>千岩关</t>
  </si>
  <si>
    <t>{nClass=20,nIcon=1465,szName="大理山城·大旗重置",nTime=-2,nRefresh=7200,key="大理山城·大旗重置",},</t>
  </si>
  <si>
    <t>{nClass=20,nIcon=1465,szName="千岩关·大旗重置",nTime=-2,nRefresh=7200,key="千岩关·大旗重置",},</t>
  </si>
  <si>
    <t>{nClass=20,nIcon=592,nFrame=4,szName="【大理山城】大旗重置",nTime="180,【大理山城】大旗重置;185,【大理山城】大旗重置·结束",nRefresh=7200,key="大理山城·大旗重置",},</t>
  </si>
  <si>
    <t>{nClass=20,nIcon=592,nFrame=4,szName="【千岩关】大旗重置",nTime="180,【千岩关】大旗重置;185,【千岩关】大旗重置·结束",nRefresh=7200,key="千岩关·大旗重置",},</t>
  </si>
  <si>
    <t>枫湖寨</t>
  </si>
  <si>
    <t>啖杏林</t>
  </si>
  <si>
    <t>{nClass=20,nIcon=1465,szName="枫湖寨·大旗重置",nTime=-2,nRefresh=7200,key="枫湖寨·大旗重置",},</t>
  </si>
  <si>
    <t>{nClass=20,nIcon=1465,szName="啖杏林·大旗重置",nTime=-2,nRefresh=7200,key="啖杏林·大旗重置",},</t>
  </si>
  <si>
    <t>{nClass=20,nIcon=592,nFrame=4,szName="【枫湖寨】大旗重置",nTime="180,【枫湖寨】大旗重置;185,【枫湖寨】大旗重置·结束",nRefresh=7200,key="枫湖寨·大旗重置",},</t>
  </si>
  <si>
    <t>{nClass=20,nIcon=592,nFrame=4,szName="【啖杏林】大旗重置",nTime="180,【啖杏林】大旗重置;185,【啖杏林】大旗重置·结束",nRefresh=7200,key="啖杏林·大旗重置",},</t>
  </si>
  <si>
    <t>扶风郡</t>
  </si>
  <si>
    <t>世外坡</t>
  </si>
  <si>
    <t>{nClass=20,nIcon=1465,szName="扶风郡·大旗重置",nTime=-2,nRefresh=7200,key="扶风郡·大旗重置",},</t>
  </si>
  <si>
    <t>{nClass=20,nIcon=1465,szName="世外坡·大旗重置",nTime=-2,nRefresh=7200,key="世外坡·大旗重置",},</t>
  </si>
  <si>
    <t>{nClass=20,nIcon=592,nFrame=4,szName="【扶风郡】大旗重置",nTime="180,【扶风郡】大旗重置;185,【扶风郡】大旗重置·结束",nRefresh=7200,key="扶风郡·大旗重置",},</t>
  </si>
  <si>
    <t>{nClass=20,nIcon=592,nFrame=4,szName="【世外坡】大旗重置",nTime="180,【世外坡】大旗重置;185,【世外坡】大旗重置·结束",nRefresh=7200,key="世外坡·大旗重置",},</t>
  </si>
  <si>
    <t>([浩气恶人]+)[盟谷]-位于(.-)的【(.-)据点】大旗被夺</t>
  </si>
  <si>
    <t>云台营</t>
  </si>
  <si>
    <t>高阳营</t>
  </si>
  <si>
    <t>{nClass=20,nIcon=2400,szName="{$3}·{$1}大旗被夺",nTime=-2,key="{$3}·{$1}大旗",},</t>
  </si>
  <si>
    <t>{nClass=20,nIcon=1465,szName="云台营·大旗重置",nTime=-2,nRefresh=7200,key="云台营·大旗重置",},</t>
  </si>
  <si>
    <t>{nClass=20,nIcon=1465,szName="高阳营·大旗重置",nTime=-2,nRefresh=7200,key="高阳营·大旗重置",},</t>
  </si>
  <si>
    <t>{nClass=20,nIcon=592,nFrame=4,szName="【云台营】大旗重置",nTime="180,【云台营】大旗重置;185,【云台营】大旗重置·结束",nRefresh=7200,key="云台营·大旗重置",},</t>
  </si>
  <si>
    <t>{nClass=20,nIcon=592,nFrame=4,szName="【高阳营】大旗重置",nTime="180,【高阳营】大旗重置;185,【高阳营】大旗重置·结束",nRefresh=7200,key="高阳营·大旗重置",},</t>
  </si>
  <si>
    <t>"180,【武王城】大旗重置;185,【武王城】大旗重置·结束"</t>
  </si>
  <si>
    <t>"180,【凛风堡】大旗重置;185,【凛风堡】大旗重置·结束"</t>
  </si>
  <si>
    <t>"180,【盘龙坞】大旗重置;185,【盘龙坞】大旗重置·结束"</t>
  </si>
  <si>
    <t>"180,【逐鹿坪】大旗重置;185,【逐鹿坪】大旗重置·结束"</t>
  </si>
  <si>
    <t>"180,【龙门镇】大旗重置;185,【龙门镇】大旗重置·结束"</t>
  </si>
  <si>
    <t>"180,【飞沙关】大旗重置;185,【飞沙关】大旗重置·结束"</t>
  </si>
  <si>
    <t>"180,【红莲岗】大旗重置;185,【红莲岗】大旗重置·结束"</t>
  </si>
  <si>
    <t>"180,【秋雨堡】大旗重置;185,【秋雨堡】大旗重置·结束"</t>
  </si>
  <si>
    <t>"180,【金门关】大旗重置;185,【金门关】大旗重置·结束"</t>
  </si>
  <si>
    <t>"180,【青云坞】大旗重置;185,【青云坞】大旗重置·结束"</t>
  </si>
  <si>
    <t>"180,【激流坞】大旗重置;185,【激流坞】大旗重置·结束"</t>
  </si>
  <si>
    <t>"180,【不空关】大旗重置;185,【不空关】大旗重置·结束"</t>
  </si>
  <si>
    <t>"180,【日月崖】大旗重置;185,【日月崖】大旗重置·结束"</t>
  </si>
  <si>
    <t>"180,【卧龙坡】大旗重置;185,【卧龙坡】大旗重置·结束"</t>
  </si>
  <si>
    <t>"180,【霜戈堡】大旗重置;185,【霜戈堡】大旗重置·结束"</t>
  </si>
  <si>
    <t>"180,【澜沧城】大旗重置;185,【澜沧城】大旗重置·结束"</t>
  </si>
  <si>
    <t>"180,【神池岭】大旗重置;185,【神池岭】大旗重置·结束"</t>
  </si>
  <si>
    <t>"180,【烈日岗】大旗重置;185,【烈日岗】大旗重置·结束"</t>
  </si>
  <si>
    <t>"180,【凤鸣堡】大旗重置;185,【凤鸣堡】大旗重置·结束"</t>
  </si>
  <si>
    <t>"180,【惊虬谷】大旗重置;185,【惊虬谷】大旗重置·结束"</t>
  </si>
  <si>
    <t>"180,【大理山城】大旗重置;185,【大理山城】大旗重置·结束"</t>
  </si>
  <si>
    <t>"180,【千岩关】大旗重置;185,【千岩关】大旗重置·结束"</t>
  </si>
  <si>
    <t>"180,【枫湖寨】大旗重置;185,【枫湖寨】大旗重置·结束"</t>
  </si>
  <si>
    <t>"180,【啖杏林】大旗重置;185,【啖杏林】大旗重置·结束"</t>
  </si>
  <si>
    <t>"180,【扶风郡】大旗重置;185,【扶风郡】大旗重置·结束"</t>
  </si>
  <si>
    <t>"180,【世外坡】大旗重置;185,【世外坡】大旗重置·结束"</t>
  </si>
  <si>
    <t>"180,【云台营】大旗重置;185,【云台营】大旗重置·结束"</t>
  </si>
  <si>
    <t>"180,【高阳营】大旗重置;185,【高阳营】大旗重置·结束"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</si>
</sst>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font>
    <font>
      <sz val="11"/>
      <name val="宋体"/>
      <charset val="134"/>
    </font>
    <font>
      <sz val="11"/>
      <color rgb="FF9C0006"/>
      <name val="宋体"/>
      <charset val="134"/>
    </font>
    <font>
      <sz val="11"/>
      <color rgb="FF006100"/>
      <name val="宋体"/>
      <charset val="134"/>
    </font>
    <font>
      <b/>
      <sz val="11"/>
      <color rgb="FFFF0000"/>
      <name val="宋体"/>
      <charset val="134"/>
    </font>
    <font>
      <u/>
      <sz val="11"/>
      <color theme="10"/>
      <name val="宋体"/>
      <charset val="134"/>
    </font>
    <font>
      <b/>
      <sz val="11"/>
      <color theme="1"/>
      <name val="宋体"/>
      <charset val="134"/>
    </font>
    <font>
      <sz val="11"/>
      <color theme="1"/>
      <name val="等线"/>
      <charset val="134"/>
      <scheme val="minor"/>
    </font>
    <font>
      <u/>
      <sz val="11"/>
      <color rgb="FF800080"/>
      <name val="等线"/>
      <charset val="0"/>
      <scheme val="minor"/>
    </font>
    <font>
      <sz val="11"/>
      <color rgb="FFFF0000"/>
      <name val="宋体"/>
      <charset val="134"/>
    </font>
    <font>
      <sz val="18"/>
      <color theme="3"/>
      <name val="等线 Light"/>
      <charset val="134"/>
      <scheme val="major"/>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theme="0"/>
      <name val="宋体"/>
      <charset val="134"/>
    </font>
    <font>
      <sz val="11"/>
      <color rgb="FFFA7D00"/>
      <name val="宋体"/>
      <charset val="134"/>
    </font>
    <font>
      <sz val="11"/>
      <color rgb="FF9C5700"/>
      <name val="宋体"/>
      <charset val="134"/>
    </font>
    <font>
      <sz val="11"/>
      <color theme="0"/>
      <name val="宋体"/>
      <charset val="134"/>
    </font>
  </fonts>
  <fills count="46">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5" tint="0.399975585192419"/>
        <bgColor indexed="64"/>
      </patternFill>
    </fill>
    <fill>
      <patternFill patternType="solid">
        <fgColor rgb="FF00B050"/>
        <bgColor indexed="64"/>
      </patternFill>
    </fill>
    <fill>
      <patternFill patternType="solid">
        <fgColor rgb="FFFF781F"/>
        <bgColor indexed="64"/>
      </patternFill>
    </fill>
    <fill>
      <patternFill patternType="solid">
        <fgColor rgb="FF1FF0FF"/>
        <bgColor indexed="64"/>
      </patternFill>
    </fill>
    <fill>
      <patternFill patternType="solid">
        <fgColor rgb="FFFF0000"/>
        <bgColor indexed="64"/>
      </patternFill>
    </fill>
    <fill>
      <patternFill patternType="solid">
        <fgColor rgb="FFFFC7CE"/>
        <bgColor indexed="64"/>
      </patternFill>
    </fill>
    <fill>
      <patternFill patternType="solid">
        <fgColor rgb="FFFF641F"/>
        <bgColor indexed="64"/>
      </patternFill>
    </fill>
    <fill>
      <patternFill patternType="solid">
        <fgColor rgb="FFC83C28"/>
        <bgColor indexed="64"/>
      </patternFill>
    </fill>
    <fill>
      <patternFill patternType="solid">
        <fgColor rgb="FFB43C28"/>
        <bgColor indexed="64"/>
      </patternFill>
    </fill>
    <fill>
      <patternFill patternType="solid">
        <fgColor rgb="FFEB5032"/>
        <bgColor indexed="64"/>
      </patternFill>
    </fill>
    <fill>
      <patternFill patternType="solid">
        <fgColor rgb="FFC6EFCE"/>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5"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8"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4" fillId="0" borderId="0" applyNumberFormat="0" applyFill="0" applyBorder="0" applyAlignment="0" applyProtection="0">
      <alignment vertical="center"/>
    </xf>
    <xf numFmtId="0" fontId="15" fillId="19" borderId="13" applyNumberFormat="0" applyAlignment="0" applyProtection="0">
      <alignment vertical="center"/>
    </xf>
    <xf numFmtId="0" fontId="16" fillId="20" borderId="14" applyNumberFormat="0" applyAlignment="0" applyProtection="0">
      <alignment vertical="center"/>
    </xf>
    <xf numFmtId="0" fontId="17" fillId="20" borderId="13" applyNumberFormat="0" applyAlignment="0" applyProtection="0">
      <alignment vertical="center"/>
    </xf>
    <xf numFmtId="0" fontId="18" fillId="21" borderId="15" applyNumberFormat="0" applyAlignment="0" applyProtection="0">
      <alignment vertical="center"/>
    </xf>
    <xf numFmtId="0" fontId="19" fillId="0" borderId="16" applyNumberFormat="0" applyFill="0" applyAlignment="0" applyProtection="0">
      <alignment vertical="center"/>
    </xf>
    <xf numFmtId="0" fontId="6" fillId="0" borderId="17" applyNumberFormat="0" applyFill="0" applyAlignment="0" applyProtection="0">
      <alignment vertical="center"/>
    </xf>
    <xf numFmtId="0" fontId="3" fillId="16" borderId="0" applyNumberFormat="0" applyBorder="0" applyAlignment="0" applyProtection="0">
      <alignment vertical="center"/>
    </xf>
    <xf numFmtId="0" fontId="2" fillId="1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21"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0" fillId="6" borderId="0" applyNumberFormat="0" applyBorder="0" applyAlignment="0" applyProtection="0">
      <alignment vertical="center"/>
    </xf>
    <xf numFmtId="0" fontId="21"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21"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21" fillId="38"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21" fillId="42"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0" borderId="0">
      <alignment vertical="center"/>
    </xf>
  </cellStyleXfs>
  <cellXfs count="53">
    <xf numFmtId="0" fontId="0" fillId="0" borderId="0" xfId="0">
      <alignment vertical="center"/>
    </xf>
    <xf numFmtId="0" fontId="0" fillId="0" borderId="0" xfId="0" applyNumberFormat="1">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0" fillId="0" borderId="0" xfId="0" applyFill="1">
      <alignment vertical="center"/>
    </xf>
    <xf numFmtId="0" fontId="0" fillId="7" borderId="0" xfId="0" applyFill="1">
      <alignment vertical="center"/>
    </xf>
    <xf numFmtId="0" fontId="0" fillId="8" borderId="0" xfId="0" applyFill="1" applyAlignment="1">
      <alignment horizontal="left" vertical="center"/>
    </xf>
    <xf numFmtId="0" fontId="0" fillId="9" borderId="0" xfId="0" applyFill="1" applyAlignment="1">
      <alignment horizontal="left" vertical="center"/>
    </xf>
    <xf numFmtId="0" fontId="0" fillId="0" borderId="0" xfId="49" applyFont="1" applyFill="1" applyAlignment="1">
      <alignment vertical="center"/>
    </xf>
    <xf numFmtId="0" fontId="0" fillId="8" borderId="0" xfId="0" applyFill="1">
      <alignment vertical="center"/>
    </xf>
    <xf numFmtId="0" fontId="0" fillId="0" borderId="0" xfId="49">
      <alignment vertical="center"/>
    </xf>
    <xf numFmtId="0" fontId="0" fillId="10" borderId="0" xfId="0" applyFill="1">
      <alignment vertical="center"/>
    </xf>
    <xf numFmtId="0" fontId="1" fillId="0" borderId="0" xfId="0" applyFont="1">
      <alignment vertical="center"/>
    </xf>
    <xf numFmtId="0" fontId="0" fillId="0" borderId="0" xfId="0" applyBorder="1" applyAlignment="1">
      <alignment horizontal="center" vertical="center"/>
    </xf>
    <xf numFmtId="0" fontId="0" fillId="0" borderId="0" xfId="0" applyAlignment="1">
      <alignment horizontal="center" vertical="center"/>
    </xf>
    <xf numFmtId="0" fontId="2" fillId="11" borderId="1" xfId="23" applyBorder="1" applyAlignment="1">
      <alignment horizontal="center" vertical="center"/>
    </xf>
    <xf numFmtId="0" fontId="2" fillId="11" borderId="2" xfId="23" applyBorder="1" applyAlignment="1">
      <alignment horizontal="center" vertical="center"/>
    </xf>
    <xf numFmtId="0" fontId="2" fillId="11" borderId="3" xfId="23" applyBorder="1" applyAlignment="1">
      <alignment horizontal="center" vertical="center"/>
    </xf>
    <xf numFmtId="0" fontId="0" fillId="0" borderId="1" xfId="0" applyBorder="1" applyAlignment="1">
      <alignment horizontal="center" vertical="center"/>
    </xf>
    <xf numFmtId="3" fontId="0" fillId="0" borderId="1"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Border="1">
      <alignmen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6" xfId="0" applyBorder="1">
      <alignment vertical="center"/>
    </xf>
    <xf numFmtId="3" fontId="0" fillId="0" borderId="0" xfId="0" applyNumberFormat="1" applyBorder="1" applyAlignment="1">
      <alignment horizontal="center" vertical="center"/>
    </xf>
    <xf numFmtId="0" fontId="0" fillId="12" borderId="0" xfId="0" applyFill="1" applyAlignment="1">
      <alignment horizontal="center" vertical="center"/>
    </xf>
    <xf numFmtId="0" fontId="0" fillId="13" borderId="0" xfId="0" applyFill="1" applyAlignment="1">
      <alignment horizontal="center" vertical="center"/>
    </xf>
    <xf numFmtId="0" fontId="0" fillId="14" borderId="0" xfId="0" applyFill="1" applyAlignment="1">
      <alignment horizontal="center" vertical="center"/>
    </xf>
    <xf numFmtId="0" fontId="0" fillId="15"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3" fillId="16" borderId="1" xfId="22" applyBorder="1">
      <alignment vertical="center"/>
    </xf>
    <xf numFmtId="0" fontId="0" fillId="5" borderId="1" xfId="0" applyFill="1" applyBorder="1">
      <alignment vertical="center"/>
    </xf>
    <xf numFmtId="0" fontId="4" fillId="5" borderId="0" xfId="0" applyFont="1" applyFill="1" applyAlignment="1">
      <alignment horizontal="center" vertical="center"/>
    </xf>
    <xf numFmtId="0" fontId="5" fillId="0" borderId="0" xfId="6">
      <alignment vertical="center"/>
    </xf>
    <xf numFmtId="0" fontId="0" fillId="0" borderId="1" xfId="0" applyBorder="1">
      <alignment vertical="center"/>
    </xf>
    <xf numFmtId="0" fontId="0" fillId="0" borderId="1" xfId="0" applyBorder="1" applyAlignment="1">
      <alignment vertical="center"/>
    </xf>
    <xf numFmtId="0" fontId="0" fillId="0" borderId="0" xfId="0" applyAlignment="1">
      <alignment vertical="center"/>
    </xf>
    <xf numFmtId="0" fontId="0" fillId="0" borderId="1" xfId="0" applyFill="1" applyBorder="1" applyAlignment="1">
      <alignment vertical="center"/>
    </xf>
    <xf numFmtId="0" fontId="0" fillId="17" borderId="1" xfId="0" applyFill="1" applyBorder="1" applyAlignment="1">
      <alignment vertical="center"/>
    </xf>
    <xf numFmtId="0" fontId="0" fillId="5" borderId="1" xfId="0" applyFill="1" applyBorder="1" applyAlignment="1">
      <alignment vertical="center"/>
    </xf>
    <xf numFmtId="0" fontId="6" fillId="5" borderId="1" xfId="0" applyFont="1" applyFill="1" applyBorder="1" applyAlignment="1">
      <alignment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5" borderId="3" xfId="0" applyFill="1" applyBorder="1" applyAlignment="1">
      <alignment vertical="center"/>
    </xf>
    <xf numFmtId="0" fontId="4" fillId="5" borderId="1" xfId="0" applyFont="1" applyFill="1" applyBorder="1">
      <alignment vertical="center"/>
    </xf>
    <xf numFmtId="3" fontId="0" fillId="0" borderId="1" xfId="0" applyNumberFormat="1" applyBorder="1"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ill>
        <patternFill patternType="solid">
          <fgColor rgb="FF92D050"/>
          <bgColor rgb="FF92D050"/>
        </patternFill>
      </fill>
    </dxf>
  </dxfs>
  <tableStyles count="0" defaultTableStyle="TableStyleMedium2" defaultPivotStyle="PivotStyleLight16"/>
  <colors>
    <mruColors>
      <color rgb="00FF781F"/>
      <color rgb="001FF0FF"/>
      <color rgb="0000E6FF"/>
      <color rgb="001FE6FF"/>
      <color rgb="0050A0F0"/>
      <color rgb="00EB5032"/>
      <color rgb="00B43C28"/>
      <color rgb="00C83C28"/>
      <color rgb="00FF641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jx3box.com/tool/60356" TargetMode="External"/><Relationship Id="rId2" Type="http://schemas.openxmlformats.org/officeDocument/2006/relationships/hyperlink" Target="https://www.jx3box.com/tool/74098" TargetMode="External"/><Relationship Id="rId1" Type="http://schemas.openxmlformats.org/officeDocument/2006/relationships/hyperlink" Target="https://www.jx3box.com/tool/1734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8"/>
  <sheetViews>
    <sheetView zoomScale="90" zoomScaleNormal="90" topLeftCell="A61" workbookViewId="0">
      <selection activeCell="C109" sqref="C109"/>
    </sheetView>
  </sheetViews>
  <sheetFormatPr defaultColWidth="9" defaultRowHeight="13.5" outlineLevelCol="6"/>
  <cols>
    <col min="1" max="1" width="28.25" customWidth="1"/>
    <col min="2" max="2" width="23.625" customWidth="1"/>
    <col min="3" max="4" width="30.625" customWidth="1"/>
    <col min="5" max="5" width="110.375" customWidth="1"/>
    <col min="6" max="6" width="12.625" customWidth="1"/>
    <col min="7" max="7" width="15.125" customWidth="1"/>
    <col min="8" max="8" width="31.75" customWidth="1"/>
  </cols>
  <sheetData>
    <row r="1" spans="1:7">
      <c r="A1" s="38" t="s">
        <v>0</v>
      </c>
      <c r="B1" s="39" t="s">
        <v>1</v>
      </c>
      <c r="C1" s="40" t="s">
        <v>2</v>
      </c>
      <c r="D1" t="s">
        <v>3</v>
      </c>
      <c r="E1" s="41" t="s">
        <v>4</v>
      </c>
    </row>
    <row r="2" spans="1:7">
      <c r="A2" s="38" t="s">
        <v>5</v>
      </c>
      <c r="B2" s="42" t="s">
        <v>6</v>
      </c>
      <c r="C2" s="40" t="s">
        <v>2</v>
      </c>
      <c r="D2" t="s">
        <v>7</v>
      </c>
      <c r="E2" s="41" t="s">
        <v>8</v>
      </c>
    </row>
    <row r="3" spans="1:7">
      <c r="A3" s="38" t="s">
        <v>9</v>
      </c>
      <c r="B3" s="42" t="s">
        <v>10</v>
      </c>
      <c r="C3" s="40" t="s">
        <v>2</v>
      </c>
    </row>
    <row r="4" spans="1:7">
      <c r="A4" s="38" t="str">
        <f ca="1">"nTimeStamp = "&amp;((NOW()-70*365-19)*86400-8*3600)*1000&amp;","</f>
        <v>nTimeStamp = 1792528069000,</v>
      </c>
      <c r="B4" s="42" t="s">
        <v>11</v>
      </c>
      <c r="C4" s="40" t="s">
        <v>2</v>
      </c>
    </row>
    <row r="5" spans="1:7">
      <c r="A5" s="38" t="s">
        <v>12</v>
      </c>
      <c r="B5" s="42" t="s">
        <v>13</v>
      </c>
      <c r="C5" s="40" t="s">
        <v>2</v>
      </c>
    </row>
    <row r="6" spans="1:7">
      <c r="A6" s="38" t="s">
        <v>14</v>
      </c>
      <c r="B6" s="42" t="s">
        <v>15</v>
      </c>
      <c r="C6" s="40" t="s">
        <v>2</v>
      </c>
    </row>
    <row r="7" spans="1:7">
      <c r="A7" s="38" t="s">
        <v>16</v>
      </c>
      <c r="B7" s="42" t="s">
        <v>17</v>
      </c>
      <c r="C7" s="40" t="s">
        <v>2</v>
      </c>
    </row>
    <row r="8" spans="1:7">
      <c r="A8" s="38" t="s">
        <v>18</v>
      </c>
      <c r="B8" s="42"/>
      <c r="C8" s="40" t="s">
        <v>2</v>
      </c>
    </row>
    <row r="9" spans="1:7">
      <c r="C9" s="40" t="s">
        <v>2</v>
      </c>
    </row>
    <row r="10" spans="1:7">
      <c r="A10" s="42" t="s">
        <v>19</v>
      </c>
      <c r="B10" s="42"/>
      <c r="C10" s="40" t="s">
        <v>2</v>
      </c>
      <c r="D10" s="42"/>
    </row>
    <row r="11" spans="1:7">
      <c r="A11" s="43" t="s">
        <v>20</v>
      </c>
      <c r="B11" s="43" t="s">
        <v>21</v>
      </c>
      <c r="C11" s="40" t="s">
        <v>2</v>
      </c>
      <c r="D11" s="43" t="s">
        <v>20</v>
      </c>
      <c r="E11" s="44"/>
      <c r="F11" s="44"/>
      <c r="G11" s="44"/>
    </row>
    <row r="12" spans="1:7">
      <c r="A12" s="43" t="s">
        <v>22</v>
      </c>
      <c r="B12" s="43" t="s">
        <v>23</v>
      </c>
      <c r="C12" s="40" t="s">
        <v>2</v>
      </c>
      <c r="D12" s="43" t="s">
        <v>22</v>
      </c>
      <c r="E12" s="44"/>
      <c r="F12" s="44"/>
      <c r="G12" s="44"/>
    </row>
    <row r="13" spans="1:7">
      <c r="A13" s="43" t="s">
        <v>24</v>
      </c>
      <c r="B13" s="43" t="s">
        <v>25</v>
      </c>
      <c r="C13" s="40" t="s">
        <v>2</v>
      </c>
      <c r="D13" s="43" t="s">
        <v>24</v>
      </c>
      <c r="E13" s="44"/>
      <c r="F13" s="44"/>
      <c r="G13" s="44"/>
    </row>
    <row r="14" spans="1:7">
      <c r="A14" s="43" t="s">
        <v>26</v>
      </c>
      <c r="B14" s="43" t="s">
        <v>27</v>
      </c>
      <c r="C14" s="40" t="s">
        <v>2</v>
      </c>
      <c r="D14" s="43" t="s">
        <v>26</v>
      </c>
      <c r="E14" s="44"/>
      <c r="F14" s="44"/>
      <c r="G14" s="44"/>
    </row>
    <row r="15" spans="1:7">
      <c r="A15" s="43" t="s">
        <v>28</v>
      </c>
      <c r="B15" s="43" t="s">
        <v>29</v>
      </c>
      <c r="C15" s="40" t="s">
        <v>2</v>
      </c>
      <c r="D15" s="43" t="s">
        <v>28</v>
      </c>
      <c r="E15" s="44"/>
      <c r="F15" s="44"/>
      <c r="G15" s="44"/>
    </row>
    <row r="16" spans="1:7">
      <c r="A16" s="43" t="s">
        <v>30</v>
      </c>
      <c r="B16" s="43" t="s">
        <v>31</v>
      </c>
      <c r="C16" s="40" t="s">
        <v>2</v>
      </c>
      <c r="D16" s="43" t="s">
        <v>30</v>
      </c>
      <c r="E16" s="44"/>
      <c r="F16" s="44"/>
      <c r="G16" s="44"/>
    </row>
    <row r="17" spans="1:7">
      <c r="A17" s="43" t="s">
        <v>32</v>
      </c>
      <c r="B17" s="43" t="s">
        <v>33</v>
      </c>
      <c r="C17" s="40" t="s">
        <v>2</v>
      </c>
      <c r="D17" s="43" t="s">
        <v>32</v>
      </c>
      <c r="E17" s="44"/>
      <c r="F17" s="44"/>
      <c r="G17" s="44"/>
    </row>
    <row r="18" spans="1:7">
      <c r="A18" s="44"/>
      <c r="B18" s="44"/>
      <c r="C18" s="40" t="s">
        <v>2</v>
      </c>
      <c r="D18" s="44"/>
      <c r="E18" s="44"/>
      <c r="F18" s="44"/>
      <c r="G18" s="44"/>
    </row>
    <row r="19" spans="1:7">
      <c r="F19" s="44"/>
      <c r="G19" s="44"/>
    </row>
    <row r="20" spans="1:7">
      <c r="A20" s="43" t="s">
        <v>34</v>
      </c>
      <c r="B20" s="43"/>
      <c r="C20" s="43"/>
      <c r="D20" s="43"/>
      <c r="E20" s="43"/>
      <c r="F20" s="43"/>
      <c r="G20" s="43"/>
    </row>
    <row r="21" spans="1:7">
      <c r="A21" s="43" t="s">
        <v>35</v>
      </c>
      <c r="B21" s="43" t="s">
        <v>36</v>
      </c>
      <c r="C21" s="43" t="s">
        <v>37</v>
      </c>
      <c r="D21" s="43" t="s">
        <v>38</v>
      </c>
      <c r="E21" s="43" t="s">
        <v>39</v>
      </c>
      <c r="F21" s="43" t="s">
        <v>40</v>
      </c>
      <c r="G21" s="43" t="s">
        <v>41</v>
      </c>
    </row>
    <row r="22" spans="1:7">
      <c r="A22" s="43" t="s">
        <v>42</v>
      </c>
      <c r="B22" s="43" t="s">
        <v>43</v>
      </c>
      <c r="C22" s="43" t="s">
        <v>44</v>
      </c>
      <c r="D22" s="43" t="s">
        <v>45</v>
      </c>
      <c r="E22" s="43" t="s">
        <v>46</v>
      </c>
      <c r="F22" s="43" t="s">
        <v>47</v>
      </c>
      <c r="G22" s="43" t="s">
        <v>48</v>
      </c>
    </row>
    <row r="23" spans="1:7">
      <c r="A23" s="43" t="s">
        <v>49</v>
      </c>
      <c r="B23" s="43" t="s">
        <v>50</v>
      </c>
      <c r="C23" s="43" t="s">
        <v>51</v>
      </c>
      <c r="D23" s="45" t="s">
        <v>52</v>
      </c>
      <c r="E23" s="43" t="s">
        <v>46</v>
      </c>
      <c r="F23" s="43" t="s">
        <v>47</v>
      </c>
      <c r="G23" s="43" t="s">
        <v>48</v>
      </c>
    </row>
    <row r="24" spans="1:7">
      <c r="A24" s="43" t="s">
        <v>53</v>
      </c>
      <c r="B24" s="43" t="s">
        <v>50</v>
      </c>
      <c r="C24" s="43" t="s">
        <v>54</v>
      </c>
      <c r="D24" s="43" t="s">
        <v>55</v>
      </c>
      <c r="E24" s="43" t="s">
        <v>46</v>
      </c>
      <c r="F24" s="43" t="s">
        <v>47</v>
      </c>
      <c r="G24" s="43" t="s">
        <v>48</v>
      </c>
    </row>
    <row r="25" spans="1:7">
      <c r="A25" s="43" t="s">
        <v>56</v>
      </c>
      <c r="B25" s="43"/>
      <c r="C25" s="43"/>
      <c r="D25" s="43"/>
      <c r="E25" s="43"/>
      <c r="F25" s="43"/>
      <c r="G25" s="43"/>
    </row>
    <row r="26" spans="1:7">
      <c r="A26" s="43" t="s">
        <v>35</v>
      </c>
      <c r="B26" s="43" t="s">
        <v>36</v>
      </c>
      <c r="C26" s="43" t="s">
        <v>37</v>
      </c>
      <c r="D26" s="43" t="s">
        <v>38</v>
      </c>
      <c r="E26" s="43" t="s">
        <v>39</v>
      </c>
      <c r="F26" s="43" t="s">
        <v>40</v>
      </c>
      <c r="G26" s="43" t="s">
        <v>41</v>
      </c>
    </row>
    <row r="27" spans="1:7">
      <c r="A27" s="43" t="s">
        <v>57</v>
      </c>
      <c r="B27" s="43" t="s">
        <v>58</v>
      </c>
      <c r="C27" s="43" t="s">
        <v>59</v>
      </c>
      <c r="D27" s="43" t="s">
        <v>60</v>
      </c>
      <c r="E27" s="43" t="s">
        <v>61</v>
      </c>
      <c r="F27" s="43" t="s">
        <v>48</v>
      </c>
      <c r="G27" s="43" t="s">
        <v>47</v>
      </c>
    </row>
    <row r="28" spans="1:7">
      <c r="A28" s="43" t="s">
        <v>62</v>
      </c>
      <c r="B28" s="43" t="s">
        <v>58</v>
      </c>
      <c r="C28" s="43" t="s">
        <v>63</v>
      </c>
      <c r="D28" s="43" t="s">
        <v>64</v>
      </c>
      <c r="E28" s="43" t="s">
        <v>65</v>
      </c>
      <c r="F28" s="43" t="s">
        <v>48</v>
      </c>
      <c r="G28" s="43" t="s">
        <v>47</v>
      </c>
    </row>
    <row r="29" spans="1:7">
      <c r="A29" s="43" t="s">
        <v>66</v>
      </c>
      <c r="B29" s="43" t="s">
        <v>67</v>
      </c>
      <c r="C29" s="43" t="s">
        <v>68</v>
      </c>
      <c r="D29" s="43" t="s">
        <v>69</v>
      </c>
      <c r="E29" s="43" t="s">
        <v>65</v>
      </c>
      <c r="F29" s="43" t="s">
        <v>47</v>
      </c>
      <c r="G29" s="43" t="s">
        <v>48</v>
      </c>
    </row>
    <row r="30" spans="1:7">
      <c r="A30" s="43" t="s">
        <v>70</v>
      </c>
      <c r="B30" s="43" t="s">
        <v>58</v>
      </c>
      <c r="C30" s="43" t="s">
        <v>71</v>
      </c>
      <c r="D30" s="43" t="s">
        <v>72</v>
      </c>
      <c r="E30" s="43" t="s">
        <v>73</v>
      </c>
      <c r="F30" s="43" t="s">
        <v>47</v>
      </c>
      <c r="G30" s="43" t="s">
        <v>48</v>
      </c>
    </row>
    <row r="31" spans="1:7">
      <c r="A31" s="43" t="s">
        <v>74</v>
      </c>
      <c r="B31" s="43" t="s">
        <v>43</v>
      </c>
      <c r="C31" s="43" t="s">
        <v>75</v>
      </c>
      <c r="D31" s="43" t="s">
        <v>76</v>
      </c>
      <c r="E31" s="43" t="s">
        <v>61</v>
      </c>
      <c r="F31" s="43" t="s">
        <v>47</v>
      </c>
      <c r="G31" s="43" t="s">
        <v>48</v>
      </c>
    </row>
    <row r="32" spans="1:7">
      <c r="A32" s="43" t="s">
        <v>77</v>
      </c>
      <c r="B32" s="43" t="s">
        <v>58</v>
      </c>
      <c r="C32" s="43" t="s">
        <v>78</v>
      </c>
      <c r="D32" s="43" t="s">
        <v>79</v>
      </c>
      <c r="E32" s="43" t="s">
        <v>61</v>
      </c>
      <c r="F32" s="43" t="s">
        <v>47</v>
      </c>
      <c r="G32" s="43" t="s">
        <v>48</v>
      </c>
    </row>
    <row r="33" spans="1:7">
      <c r="A33" s="43" t="s">
        <v>80</v>
      </c>
      <c r="B33" s="43" t="s">
        <v>58</v>
      </c>
      <c r="C33" s="46" t="s">
        <v>81</v>
      </c>
      <c r="D33" s="43" t="s">
        <v>82</v>
      </c>
      <c r="E33" s="43" t="s">
        <v>65</v>
      </c>
      <c r="F33" s="43" t="s">
        <v>47</v>
      </c>
      <c r="G33" s="43" t="s">
        <v>48</v>
      </c>
    </row>
    <row r="34" spans="1:7">
      <c r="A34" s="43" t="s">
        <v>83</v>
      </c>
      <c r="B34" s="43" t="s">
        <v>84</v>
      </c>
      <c r="C34" s="43" t="s">
        <v>85</v>
      </c>
      <c r="D34" s="43" t="s">
        <v>86</v>
      </c>
      <c r="E34" s="43" t="s">
        <v>61</v>
      </c>
      <c r="F34" s="43" t="s">
        <v>47</v>
      </c>
      <c r="G34" s="43" t="s">
        <v>48</v>
      </c>
    </row>
    <row r="35" spans="1:7">
      <c r="A35" s="43" t="s">
        <v>87</v>
      </c>
      <c r="B35" s="43" t="s">
        <v>50</v>
      </c>
      <c r="C35" s="43" t="s">
        <v>88</v>
      </c>
      <c r="D35" s="43" t="s">
        <v>89</v>
      </c>
      <c r="E35" s="43" t="s">
        <v>90</v>
      </c>
      <c r="F35" s="43" t="s">
        <v>47</v>
      </c>
      <c r="G35" s="43" t="s">
        <v>48</v>
      </c>
    </row>
    <row r="36" spans="1:7">
      <c r="A36" s="43" t="s">
        <v>91</v>
      </c>
      <c r="B36" s="43" t="s">
        <v>67</v>
      </c>
      <c r="C36" s="43" t="s">
        <v>92</v>
      </c>
      <c r="D36" s="43" t="s">
        <v>93</v>
      </c>
      <c r="E36" s="43" t="s">
        <v>24</v>
      </c>
      <c r="F36" s="43" t="s">
        <v>47</v>
      </c>
      <c r="G36" s="43" t="s">
        <v>48</v>
      </c>
    </row>
    <row r="37" spans="1:7">
      <c r="A37" s="43" t="s">
        <v>94</v>
      </c>
      <c r="B37" s="43" t="s">
        <v>58</v>
      </c>
      <c r="C37" s="43" t="s">
        <v>95</v>
      </c>
      <c r="D37" s="43" t="s">
        <v>96</v>
      </c>
      <c r="E37" s="43" t="s">
        <v>26</v>
      </c>
      <c r="F37" s="43" t="s">
        <v>48</v>
      </c>
      <c r="G37" s="43" t="s">
        <v>47</v>
      </c>
    </row>
    <row r="38" spans="1:7">
      <c r="A38" s="43" t="s">
        <v>97</v>
      </c>
      <c r="B38" s="43" t="s">
        <v>67</v>
      </c>
      <c r="C38" s="43" t="s">
        <v>98</v>
      </c>
      <c r="D38" s="43" t="s">
        <v>99</v>
      </c>
      <c r="E38" s="43" t="s">
        <v>100</v>
      </c>
      <c r="F38" s="43" t="s">
        <v>47</v>
      </c>
      <c r="G38" s="43" t="s">
        <v>48</v>
      </c>
    </row>
    <row r="39" spans="1:7">
      <c r="A39" s="43" t="s">
        <v>101</v>
      </c>
      <c r="B39" s="43" t="s">
        <v>50</v>
      </c>
      <c r="C39" s="43" t="s">
        <v>102</v>
      </c>
      <c r="D39" s="43" t="s">
        <v>103</v>
      </c>
      <c r="E39" s="43" t="s">
        <v>100</v>
      </c>
      <c r="F39" s="43" t="s">
        <v>47</v>
      </c>
      <c r="G39" s="43" t="s">
        <v>48</v>
      </c>
    </row>
    <row r="40" spans="1:7">
      <c r="A40" s="43" t="s">
        <v>104</v>
      </c>
      <c r="B40" s="43" t="s">
        <v>43</v>
      </c>
      <c r="C40" s="43" t="s">
        <v>105</v>
      </c>
      <c r="D40" s="43" t="s">
        <v>106</v>
      </c>
      <c r="E40" s="43" t="s">
        <v>30</v>
      </c>
      <c r="F40" s="43" t="s">
        <v>47</v>
      </c>
      <c r="G40" s="43" t="s">
        <v>48</v>
      </c>
    </row>
    <row r="41" spans="1:7">
      <c r="A41" s="47" t="s">
        <v>107</v>
      </c>
      <c r="B41" s="47" t="s">
        <v>43</v>
      </c>
      <c r="C41" s="47" t="s">
        <v>108</v>
      </c>
      <c r="D41" s="47" t="s">
        <v>109</v>
      </c>
      <c r="E41" s="48" t="s">
        <v>110</v>
      </c>
      <c r="F41" s="47" t="s">
        <v>47</v>
      </c>
      <c r="G41" s="47" t="s">
        <v>48</v>
      </c>
    </row>
    <row r="42" spans="1:7">
      <c r="A42" s="43" t="s">
        <v>111</v>
      </c>
      <c r="B42" s="43" t="s">
        <v>67</v>
      </c>
      <c r="C42" s="43" t="s">
        <v>112</v>
      </c>
      <c r="D42" s="43" t="s">
        <v>113</v>
      </c>
      <c r="E42" s="43" t="s">
        <v>114</v>
      </c>
      <c r="F42" s="43" t="s">
        <v>47</v>
      </c>
      <c r="G42" s="43" t="s">
        <v>47</v>
      </c>
    </row>
    <row r="43" spans="1:7">
      <c r="A43" s="43" t="s">
        <v>115</v>
      </c>
      <c r="B43" s="43" t="s">
        <v>67</v>
      </c>
      <c r="C43" s="43" t="s">
        <v>116</v>
      </c>
      <c r="D43" s="43" t="s">
        <v>117</v>
      </c>
      <c r="E43" s="43" t="s">
        <v>114</v>
      </c>
      <c r="F43" s="43" t="s">
        <v>47</v>
      </c>
      <c r="G43" s="43" t="s">
        <v>47</v>
      </c>
    </row>
    <row r="45" spans="1:7">
      <c r="A45" s="49" t="s">
        <v>118</v>
      </c>
      <c r="B45" s="49"/>
      <c r="C45" s="49"/>
      <c r="D45" s="42"/>
      <c r="E45" s="42"/>
      <c r="F45" s="42"/>
      <c r="G45" s="42"/>
    </row>
    <row r="46" spans="1:7">
      <c r="A46" s="43" t="s">
        <v>119</v>
      </c>
      <c r="B46" s="43" t="s">
        <v>36</v>
      </c>
      <c r="C46" s="43" t="s">
        <v>37</v>
      </c>
      <c r="D46" s="43" t="s">
        <v>38</v>
      </c>
      <c r="E46" s="43" t="s">
        <v>39</v>
      </c>
      <c r="F46" s="43"/>
      <c r="G46" s="43"/>
    </row>
    <row r="47" spans="1:7">
      <c r="A47" s="43" t="s">
        <v>120</v>
      </c>
      <c r="B47" s="43" t="s">
        <v>50</v>
      </c>
      <c r="C47" s="43" t="s">
        <v>121</v>
      </c>
      <c r="D47" s="43" t="s">
        <v>122</v>
      </c>
      <c r="E47" s="43" t="s">
        <v>65</v>
      </c>
      <c r="F47" s="43"/>
      <c r="G47" s="43"/>
    </row>
    <row r="48" spans="1:7">
      <c r="A48" s="43" t="s">
        <v>123</v>
      </c>
      <c r="B48" s="43" t="s">
        <v>67</v>
      </c>
      <c r="C48" s="43" t="s">
        <v>124</v>
      </c>
      <c r="D48" s="43" t="s">
        <v>125</v>
      </c>
      <c r="E48" s="43" t="s">
        <v>46</v>
      </c>
      <c r="F48" s="43"/>
      <c r="G48" s="43"/>
    </row>
    <row r="49" spans="1:7">
      <c r="A49" s="43" t="s">
        <v>126</v>
      </c>
      <c r="B49" s="43" t="s">
        <v>67</v>
      </c>
      <c r="C49" s="43" t="s">
        <v>127</v>
      </c>
      <c r="D49" s="43" t="s">
        <v>128</v>
      </c>
      <c r="E49" s="43" t="s">
        <v>46</v>
      </c>
      <c r="F49" s="43"/>
      <c r="G49" s="43"/>
    </row>
    <row r="50" spans="1:7">
      <c r="A50" s="43" t="s">
        <v>129</v>
      </c>
      <c r="B50" s="43" t="s">
        <v>67</v>
      </c>
      <c r="C50" s="43" t="s">
        <v>130</v>
      </c>
      <c r="D50" s="43" t="s">
        <v>131</v>
      </c>
      <c r="E50" s="43" t="s">
        <v>46</v>
      </c>
      <c r="F50" s="43"/>
      <c r="G50" s="43"/>
    </row>
    <row r="51" spans="1:7">
      <c r="A51" s="43" t="s">
        <v>132</v>
      </c>
      <c r="B51" s="43" t="s">
        <v>67</v>
      </c>
      <c r="C51" s="43" t="s">
        <v>133</v>
      </c>
      <c r="D51" s="43" t="s">
        <v>134</v>
      </c>
      <c r="E51" s="43" t="s">
        <v>135</v>
      </c>
      <c r="F51" s="43"/>
      <c r="G51" s="43"/>
    </row>
    <row r="52" spans="1:7">
      <c r="A52" s="43" t="s">
        <v>136</v>
      </c>
      <c r="B52" s="43" t="s">
        <v>67</v>
      </c>
      <c r="C52" s="43" t="s">
        <v>137</v>
      </c>
      <c r="D52" s="43" t="s">
        <v>138</v>
      </c>
      <c r="E52" s="43" t="s">
        <v>90</v>
      </c>
      <c r="F52" s="43"/>
      <c r="G52" s="43"/>
    </row>
    <row r="53" spans="1:7">
      <c r="A53" s="43" t="s">
        <v>139</v>
      </c>
      <c r="B53" s="43" t="s">
        <v>67</v>
      </c>
      <c r="C53" s="43" t="s">
        <v>140</v>
      </c>
      <c r="D53" s="43" t="s">
        <v>141</v>
      </c>
      <c r="E53" s="43" t="s">
        <v>90</v>
      </c>
      <c r="F53" s="43"/>
      <c r="G53" s="43"/>
    </row>
    <row r="54" spans="1:7">
      <c r="A54" s="43" t="s">
        <v>142</v>
      </c>
      <c r="B54" s="43" t="s">
        <v>67</v>
      </c>
      <c r="C54" s="43" t="s">
        <v>143</v>
      </c>
      <c r="D54" s="43" t="s">
        <v>144</v>
      </c>
      <c r="E54" s="43" t="s">
        <v>90</v>
      </c>
      <c r="F54" s="43"/>
      <c r="G54" s="43"/>
    </row>
    <row r="55" spans="1:7">
      <c r="A55" s="43" t="s">
        <v>145</v>
      </c>
      <c r="B55" s="43" t="s">
        <v>67</v>
      </c>
      <c r="C55" s="43" t="s">
        <v>146</v>
      </c>
      <c r="D55" s="43" t="s">
        <v>147</v>
      </c>
      <c r="E55" s="43" t="s">
        <v>90</v>
      </c>
      <c r="F55" s="43"/>
      <c r="G55" s="43"/>
    </row>
    <row r="56" spans="1:7">
      <c r="A56" s="43" t="s">
        <v>148</v>
      </c>
      <c r="B56" s="43" t="s">
        <v>43</v>
      </c>
      <c r="C56" s="43" t="s">
        <v>149</v>
      </c>
      <c r="D56" s="43" t="s">
        <v>150</v>
      </c>
      <c r="E56" s="43" t="s">
        <v>65</v>
      </c>
      <c r="F56" s="43" t="s">
        <v>47</v>
      </c>
      <c r="G56" s="43" t="s">
        <v>48</v>
      </c>
    </row>
    <row r="57" spans="1:7">
      <c r="A57" s="43" t="s">
        <v>151</v>
      </c>
      <c r="B57" s="43" t="s">
        <v>67</v>
      </c>
      <c r="C57" s="43" t="s">
        <v>152</v>
      </c>
      <c r="D57" s="43" t="s">
        <v>153</v>
      </c>
      <c r="E57" s="43" t="s">
        <v>65</v>
      </c>
      <c r="F57" s="43" t="s">
        <v>47</v>
      </c>
      <c r="G57" s="43" t="s">
        <v>48</v>
      </c>
    </row>
    <row r="58" spans="1:7">
      <c r="A58" s="43" t="s">
        <v>154</v>
      </c>
      <c r="B58" s="43" t="s">
        <v>67</v>
      </c>
      <c r="C58" s="43" t="s">
        <v>155</v>
      </c>
      <c r="D58" s="43" t="s">
        <v>156</v>
      </c>
      <c r="E58" s="43" t="s">
        <v>65</v>
      </c>
      <c r="F58" s="43" t="s">
        <v>47</v>
      </c>
      <c r="G58" s="43" t="s">
        <v>48</v>
      </c>
    </row>
    <row r="61" spans="1:7">
      <c r="A61" s="49" t="s">
        <v>157</v>
      </c>
      <c r="B61" s="49" t="s">
        <v>35</v>
      </c>
      <c r="C61" s="49" t="s">
        <v>37</v>
      </c>
    </row>
    <row r="62" spans="1:7">
      <c r="A62" s="50">
        <v>0</v>
      </c>
      <c r="B62" s="50" t="s">
        <v>158</v>
      </c>
      <c r="C62" s="50" t="s">
        <v>159</v>
      </c>
    </row>
    <row r="63" spans="1:7">
      <c r="A63" s="49">
        <v>1</v>
      </c>
      <c r="B63" s="49" t="s">
        <v>160</v>
      </c>
      <c r="C63" s="49" t="s">
        <v>161</v>
      </c>
    </row>
    <row r="64" spans="1:7">
      <c r="A64" s="49">
        <v>2</v>
      </c>
      <c r="B64" s="49" t="s">
        <v>162</v>
      </c>
      <c r="C64" s="49" t="s">
        <v>163</v>
      </c>
    </row>
    <row r="65" spans="1:3">
      <c r="A65" s="49">
        <v>3</v>
      </c>
      <c r="B65" s="49" t="s">
        <v>164</v>
      </c>
      <c r="C65" s="49" t="s">
        <v>165</v>
      </c>
    </row>
    <row r="66" ht="15" customHeight="1" spans="1:3">
      <c r="A66" s="49">
        <v>4</v>
      </c>
      <c r="B66" s="49" t="s">
        <v>166</v>
      </c>
      <c r="C66" s="49" t="s">
        <v>167</v>
      </c>
    </row>
    <row r="67" spans="1:3">
      <c r="A67" s="49">
        <v>5</v>
      </c>
      <c r="B67" s="49" t="s">
        <v>168</v>
      </c>
      <c r="C67" s="49" t="s">
        <v>169</v>
      </c>
    </row>
    <row r="68" spans="1:3">
      <c r="A68" s="49">
        <v>6</v>
      </c>
      <c r="B68" s="49" t="s">
        <v>170</v>
      </c>
      <c r="C68" s="49" t="s">
        <v>171</v>
      </c>
    </row>
    <row r="69" spans="1:3">
      <c r="A69" s="49">
        <v>7</v>
      </c>
      <c r="B69" s="49" t="s">
        <v>172</v>
      </c>
      <c r="C69" s="49" t="s">
        <v>173</v>
      </c>
    </row>
    <row r="70" spans="1:3">
      <c r="A70" s="49">
        <v>8</v>
      </c>
      <c r="B70" s="49" t="s">
        <v>174</v>
      </c>
      <c r="C70" s="49" t="s">
        <v>175</v>
      </c>
    </row>
    <row r="71" spans="1:3">
      <c r="A71" s="49">
        <v>9</v>
      </c>
      <c r="B71" s="49" t="s">
        <v>176</v>
      </c>
      <c r="C71" s="49" t="s">
        <v>177</v>
      </c>
    </row>
    <row r="72" spans="1:3">
      <c r="A72" s="49">
        <v>10</v>
      </c>
      <c r="B72" s="49" t="s">
        <v>178</v>
      </c>
      <c r="C72" s="49" t="s">
        <v>179</v>
      </c>
    </row>
    <row r="73" spans="1:3">
      <c r="A73" s="49">
        <v>11</v>
      </c>
      <c r="B73" s="49" t="s">
        <v>180</v>
      </c>
      <c r="C73" s="49" t="s">
        <v>181</v>
      </c>
    </row>
    <row r="74" spans="1:3">
      <c r="A74" s="49">
        <v>12</v>
      </c>
      <c r="B74" s="49" t="s">
        <v>182</v>
      </c>
      <c r="C74" s="49" t="s">
        <v>183</v>
      </c>
    </row>
    <row r="75" spans="1:3">
      <c r="A75" s="49">
        <v>13</v>
      </c>
      <c r="B75" s="49" t="s">
        <v>184</v>
      </c>
      <c r="C75" s="49" t="s">
        <v>185</v>
      </c>
    </row>
    <row r="76" spans="1:3">
      <c r="A76" s="49">
        <v>14</v>
      </c>
      <c r="B76" s="49" t="s">
        <v>186</v>
      </c>
      <c r="C76" s="49" t="s">
        <v>187</v>
      </c>
    </row>
    <row r="77" spans="1:3">
      <c r="A77" s="49">
        <v>15</v>
      </c>
      <c r="B77" s="49" t="s">
        <v>188</v>
      </c>
      <c r="C77" s="49"/>
    </row>
    <row r="78" spans="1:3">
      <c r="A78" s="49">
        <v>16</v>
      </c>
      <c r="B78" s="49" t="s">
        <v>189</v>
      </c>
      <c r="C78" s="49" t="s">
        <v>190</v>
      </c>
    </row>
    <row r="79" spans="1:3">
      <c r="A79" s="49">
        <v>17</v>
      </c>
      <c r="B79" s="49" t="s">
        <v>191</v>
      </c>
      <c r="C79" s="49" t="s">
        <v>192</v>
      </c>
    </row>
    <row r="80" spans="1:3">
      <c r="A80" s="49">
        <v>18</v>
      </c>
      <c r="B80" s="49" t="s">
        <v>193</v>
      </c>
      <c r="C80" s="49" t="s">
        <v>194</v>
      </c>
    </row>
    <row r="81" spans="1:5">
      <c r="A81" s="49">
        <v>19</v>
      </c>
      <c r="B81" s="49" t="s">
        <v>195</v>
      </c>
      <c r="C81" s="49" t="s">
        <v>196</v>
      </c>
    </row>
    <row r="82" spans="1:5">
      <c r="A82" s="49">
        <v>20</v>
      </c>
      <c r="B82" s="49" t="s">
        <v>197</v>
      </c>
      <c r="C82" s="49" t="s">
        <v>198</v>
      </c>
    </row>
    <row r="84" spans="1:5">
      <c r="A84" s="43" t="s">
        <v>35</v>
      </c>
      <c r="B84" s="43" t="s">
        <v>36</v>
      </c>
      <c r="C84" s="43" t="s">
        <v>37</v>
      </c>
      <c r="D84" s="43" t="s">
        <v>38</v>
      </c>
      <c r="E84" s="43"/>
    </row>
    <row r="85" spans="1:5">
      <c r="A85" s="47" t="s">
        <v>199</v>
      </c>
      <c r="B85" s="47"/>
      <c r="C85" s="47"/>
      <c r="D85" s="47"/>
      <c r="E85" s="47" t="s">
        <v>200</v>
      </c>
    </row>
    <row r="86" customHeight="1" spans="1:5">
      <c r="A86" s="43" t="s">
        <v>201</v>
      </c>
      <c r="B86" s="43" t="s">
        <v>58</v>
      </c>
      <c r="C86" s="43" t="s">
        <v>202</v>
      </c>
      <c r="D86" s="43" t="s">
        <v>203</v>
      </c>
      <c r="E86" s="43" t="s">
        <v>204</v>
      </c>
    </row>
    <row r="87" customHeight="1" spans="1:5">
      <c r="A87" s="43" t="s">
        <v>205</v>
      </c>
      <c r="B87" s="43" t="s">
        <v>43</v>
      </c>
      <c r="C87" s="43" t="s">
        <v>206</v>
      </c>
      <c r="D87" s="43" t="s">
        <v>207</v>
      </c>
      <c r="E87" s="43"/>
    </row>
    <row r="88" customHeight="1" spans="1:5">
      <c r="A88" s="43" t="s">
        <v>208</v>
      </c>
      <c r="B88" s="43" t="s">
        <v>67</v>
      </c>
      <c r="C88" s="43" t="s">
        <v>209</v>
      </c>
      <c r="D88" s="43" t="s">
        <v>210</v>
      </c>
      <c r="E88" s="43" t="s">
        <v>211</v>
      </c>
    </row>
    <row r="89" customHeight="1" spans="1:5">
      <c r="A89" s="43" t="s">
        <v>212</v>
      </c>
      <c r="B89" s="43" t="s">
        <v>67</v>
      </c>
      <c r="C89" s="43" t="s">
        <v>213</v>
      </c>
      <c r="D89" s="43" t="s">
        <v>214</v>
      </c>
      <c r="E89" s="43"/>
    </row>
    <row r="90" customHeight="1" spans="1:5">
      <c r="A90" s="43" t="s">
        <v>215</v>
      </c>
      <c r="B90" s="43" t="s">
        <v>43</v>
      </c>
      <c r="C90" s="43" t="s">
        <v>216</v>
      </c>
      <c r="D90" s="43" t="s">
        <v>217</v>
      </c>
      <c r="E90" s="43" t="s">
        <v>218</v>
      </c>
    </row>
    <row r="91" customHeight="1" spans="1:5">
      <c r="A91" s="47" t="s">
        <v>219</v>
      </c>
      <c r="B91" s="47" t="s">
        <v>58</v>
      </c>
      <c r="C91" s="47" t="s">
        <v>220</v>
      </c>
      <c r="D91" s="47" t="s">
        <v>221</v>
      </c>
      <c r="E91" s="47" t="s">
        <v>222</v>
      </c>
    </row>
    <row r="92" spans="1:5">
      <c r="A92" s="43" t="s">
        <v>53</v>
      </c>
      <c r="B92" s="43" t="s">
        <v>43</v>
      </c>
      <c r="C92" s="43" t="s">
        <v>223</v>
      </c>
      <c r="D92" s="43" t="s">
        <v>224</v>
      </c>
      <c r="E92" s="43"/>
    </row>
    <row r="93" spans="1:5">
      <c r="A93" s="43" t="s">
        <v>225</v>
      </c>
      <c r="B93" s="43" t="s">
        <v>226</v>
      </c>
      <c r="C93" s="43" t="s">
        <v>227</v>
      </c>
      <c r="D93" s="43" t="s">
        <v>228</v>
      </c>
      <c r="E93" s="43"/>
    </row>
    <row r="94" spans="1:5">
      <c r="A94" s="43" t="s">
        <v>229</v>
      </c>
      <c r="B94" s="43" t="s">
        <v>67</v>
      </c>
      <c r="C94" s="43" t="s">
        <v>230</v>
      </c>
      <c r="D94" s="43" t="s">
        <v>231</v>
      </c>
      <c r="E94" s="43"/>
    </row>
    <row r="95" spans="1:5">
      <c r="A95" s="43" t="s">
        <v>132</v>
      </c>
      <c r="B95" s="43" t="s">
        <v>67</v>
      </c>
      <c r="C95" s="43" t="s">
        <v>232</v>
      </c>
      <c r="D95" s="43" t="s">
        <v>134</v>
      </c>
      <c r="E95" s="43"/>
    </row>
    <row r="96" spans="1:5">
      <c r="A96" s="43" t="s">
        <v>233</v>
      </c>
      <c r="B96" s="43" t="s">
        <v>43</v>
      </c>
      <c r="C96" s="43" t="s">
        <v>234</v>
      </c>
      <c r="D96" s="43" t="s">
        <v>235</v>
      </c>
      <c r="E96" s="43"/>
    </row>
    <row r="97" spans="1:5">
      <c r="A97" s="43" t="s">
        <v>236</v>
      </c>
      <c r="B97" s="43" t="s">
        <v>67</v>
      </c>
      <c r="C97" s="43" t="s">
        <v>237</v>
      </c>
      <c r="D97" s="43" t="s">
        <v>238</v>
      </c>
      <c r="E97" s="43"/>
    </row>
    <row r="98" spans="1:5">
      <c r="A98" s="44"/>
      <c r="B98" s="44"/>
      <c r="C98" s="44"/>
      <c r="D98" s="44"/>
      <c r="E98" s="44"/>
    </row>
    <row r="99" spans="1:5">
      <c r="A99" s="47" t="s">
        <v>239</v>
      </c>
      <c r="B99" s="47"/>
      <c r="C99" s="47"/>
      <c r="D99" s="47"/>
      <c r="E99" s="47" t="s">
        <v>240</v>
      </c>
    </row>
    <row r="100" spans="1:5">
      <c r="A100" s="43" t="s">
        <v>241</v>
      </c>
      <c r="B100" s="43" t="s">
        <v>84</v>
      </c>
      <c r="C100" s="43" t="s">
        <v>242</v>
      </c>
      <c r="D100" s="43" t="s">
        <v>243</v>
      </c>
      <c r="E100" s="43" t="s">
        <v>244</v>
      </c>
    </row>
    <row r="101" spans="1:5">
      <c r="A101" s="43" t="s">
        <v>245</v>
      </c>
      <c r="B101" s="43" t="s">
        <v>84</v>
      </c>
      <c r="C101" s="43" t="s">
        <v>246</v>
      </c>
      <c r="D101" s="43" t="s">
        <v>247</v>
      </c>
      <c r="E101" s="43"/>
    </row>
    <row r="102" spans="1:5">
      <c r="A102" s="43" t="s">
        <v>248</v>
      </c>
      <c r="B102" s="43" t="s">
        <v>249</v>
      </c>
      <c r="C102" s="43" t="s">
        <v>250</v>
      </c>
      <c r="D102" s="43" t="s">
        <v>251</v>
      </c>
      <c r="E102" s="43"/>
    </row>
    <row r="103" spans="1:5">
      <c r="A103" s="43" t="s">
        <v>252</v>
      </c>
      <c r="B103" s="43" t="s">
        <v>43</v>
      </c>
      <c r="C103" s="43" t="s">
        <v>253</v>
      </c>
      <c r="D103" s="43" t="s">
        <v>254</v>
      </c>
      <c r="E103" s="43"/>
    </row>
    <row r="104" spans="1:5">
      <c r="A104" s="43" t="s">
        <v>255</v>
      </c>
      <c r="B104" s="43" t="s">
        <v>58</v>
      </c>
      <c r="C104" s="43" t="s">
        <v>256</v>
      </c>
      <c r="D104" s="43" t="s">
        <v>257</v>
      </c>
      <c r="E104" s="43"/>
    </row>
    <row r="105" spans="1:5">
      <c r="A105" s="44"/>
      <c r="B105" s="44"/>
      <c r="C105" s="44"/>
      <c r="D105" s="44"/>
      <c r="E105" s="44"/>
    </row>
    <row r="106" spans="1:5">
      <c r="A106" s="43" t="s">
        <v>258</v>
      </c>
      <c r="B106" s="43"/>
      <c r="C106" s="43"/>
      <c r="D106" s="43"/>
      <c r="E106" s="43"/>
    </row>
    <row r="107" spans="1:5">
      <c r="A107" s="43" t="s">
        <v>259</v>
      </c>
      <c r="B107" s="43" t="s">
        <v>58</v>
      </c>
      <c r="C107" s="43" t="s">
        <v>260</v>
      </c>
      <c r="D107" s="43" t="s">
        <v>261</v>
      </c>
      <c r="E107" s="43"/>
    </row>
    <row r="108" spans="1:5">
      <c r="A108" s="43" t="s">
        <v>77</v>
      </c>
      <c r="B108" s="43" t="s">
        <v>58</v>
      </c>
      <c r="C108" s="43" t="s">
        <v>262</v>
      </c>
      <c r="D108" s="43" t="s">
        <v>263</v>
      </c>
      <c r="E108" s="43"/>
    </row>
    <row r="109" spans="1:5">
      <c r="A109" s="47" t="s">
        <v>94</v>
      </c>
      <c r="B109" s="47" t="s">
        <v>58</v>
      </c>
      <c r="C109" s="46" t="s">
        <v>264</v>
      </c>
      <c r="D109" s="47" t="s">
        <v>265</v>
      </c>
      <c r="E109" s="47" t="s">
        <v>266</v>
      </c>
    </row>
    <row r="110" spans="1:5">
      <c r="A110" s="43" t="s">
        <v>267</v>
      </c>
      <c r="B110" s="43" t="s">
        <v>67</v>
      </c>
      <c r="C110" s="43" t="s">
        <v>268</v>
      </c>
      <c r="D110" s="43" t="s">
        <v>269</v>
      </c>
      <c r="E110" s="43"/>
    </row>
    <row r="111" spans="1:5">
      <c r="A111" s="43" t="s">
        <v>74</v>
      </c>
      <c r="B111" s="43" t="s">
        <v>43</v>
      </c>
      <c r="C111" s="43" t="s">
        <v>270</v>
      </c>
      <c r="D111" s="43" t="s">
        <v>271</v>
      </c>
      <c r="E111" s="43"/>
    </row>
    <row r="112" spans="1:5">
      <c r="A112" s="43" t="s">
        <v>123</v>
      </c>
      <c r="B112" s="43" t="s">
        <v>67</v>
      </c>
      <c r="C112" s="43" t="s">
        <v>272</v>
      </c>
      <c r="D112" s="43" t="s">
        <v>125</v>
      </c>
      <c r="E112" s="43"/>
    </row>
    <row r="113" spans="1:5">
      <c r="A113" s="43" t="s">
        <v>273</v>
      </c>
      <c r="B113" s="43" t="s">
        <v>274</v>
      </c>
      <c r="C113" s="43" t="s">
        <v>275</v>
      </c>
      <c r="D113" s="43" t="s">
        <v>276</v>
      </c>
      <c r="E113" s="43"/>
    </row>
    <row r="114" spans="1:5">
      <c r="A114" s="43" t="s">
        <v>277</v>
      </c>
      <c r="B114" s="43" t="s">
        <v>249</v>
      </c>
      <c r="C114" s="43" t="s">
        <v>278</v>
      </c>
      <c r="D114" s="43" t="s">
        <v>279</v>
      </c>
      <c r="E114" s="43"/>
    </row>
    <row r="115" spans="1:5">
      <c r="A115" s="47" t="s">
        <v>280</v>
      </c>
      <c r="B115" s="47" t="s">
        <v>43</v>
      </c>
      <c r="C115" s="47" t="s">
        <v>281</v>
      </c>
      <c r="D115" s="51" t="s">
        <v>282</v>
      </c>
      <c r="E115" s="48" t="s">
        <v>283</v>
      </c>
    </row>
    <row r="116" spans="1:5">
      <c r="E116" s="52" t="s">
        <v>284</v>
      </c>
    </row>
    <row r="117" spans="1:5">
      <c r="E117" s="52" t="s">
        <v>285</v>
      </c>
    </row>
    <row r="118" spans="1:5">
      <c r="E118" s="52" t="s">
        <v>286</v>
      </c>
    </row>
  </sheetData>
  <hyperlinks>
    <hyperlink ref="C107" r:id="rId1" display="动态属性编号"/>
    <hyperlink ref="E2" r:id="rId2" display="https://www.jx3box.com/tool/74098"/>
    <hyperlink ref="E1" r:id="rId3" display="https://www.jx3box.com/tool/60356"/>
  </hyperlinks>
  <pageMargins left="0.7" right="0.7" top="0.75" bottom="0.75" header="0.3" footer="0.3"/>
  <pageSetup paperSize="9"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79"/>
  <sheetViews>
    <sheetView topLeftCell="C16" workbookViewId="0">
      <selection activeCell="J38" sqref="J38"/>
    </sheetView>
  </sheetViews>
  <sheetFormatPr defaultColWidth="9" defaultRowHeight="13.5"/>
  <cols>
    <col min="1" max="2" width="24.625" style="16" customWidth="1"/>
    <col min="3" max="5" width="6.625" style="17" customWidth="1"/>
    <col min="6" max="9" width="10.625" style="17" customWidth="1"/>
    <col min="10" max="10" width="9" style="17"/>
    <col min="11" max="12" width="12.625" style="17" customWidth="1"/>
    <col min="13" max="15" width="18.625" customWidth="1"/>
    <col min="16" max="17" width="9" style="17"/>
    <col min="18" max="19" width="6.625" style="17" customWidth="1"/>
    <col min="20" max="20" width="10.625" style="17" customWidth="1"/>
    <col min="21" max="25" width="10.625" customWidth="1"/>
    <col min="26" max="27" width="6.625" customWidth="1"/>
  </cols>
  <sheetData>
    <row r="1" spans="1:29">
      <c r="A1" s="18" t="s">
        <v>287</v>
      </c>
      <c r="B1" s="18" t="s">
        <v>288</v>
      </c>
      <c r="C1" s="18" t="s">
        <v>289</v>
      </c>
      <c r="D1" s="18" t="s">
        <v>290</v>
      </c>
      <c r="E1" s="18" t="s">
        <v>291</v>
      </c>
      <c r="F1" s="19" t="s">
        <v>292</v>
      </c>
      <c r="G1" s="19" t="s">
        <v>293</v>
      </c>
      <c r="H1" s="19" t="s">
        <v>294</v>
      </c>
      <c r="I1" s="19" t="s">
        <v>295</v>
      </c>
      <c r="J1" s="18" t="s">
        <v>296</v>
      </c>
      <c r="K1" s="18" t="s">
        <v>297</v>
      </c>
      <c r="L1" s="18" t="s">
        <v>298</v>
      </c>
      <c r="M1" s="18" t="s">
        <v>299</v>
      </c>
      <c r="N1" s="18" t="s">
        <v>300</v>
      </c>
      <c r="O1" s="18" t="s">
        <v>301</v>
      </c>
      <c r="P1" s="18" t="s">
        <v>302</v>
      </c>
      <c r="Q1" s="18"/>
      <c r="R1" s="18" t="s">
        <v>291</v>
      </c>
      <c r="S1" s="18" t="s">
        <v>303</v>
      </c>
      <c r="T1" s="18" t="s">
        <v>304</v>
      </c>
      <c r="U1" s="18"/>
      <c r="V1" s="18" t="s">
        <v>305</v>
      </c>
      <c r="W1" s="18"/>
      <c r="X1" s="20" t="s">
        <v>306</v>
      </c>
      <c r="Y1" s="19"/>
      <c r="Z1" s="20" t="s">
        <v>307</v>
      </c>
      <c r="AA1" s="19"/>
    </row>
    <row r="2" spans="1:29">
      <c r="A2" s="21">
        <v>-31</v>
      </c>
      <c r="B2" s="21"/>
      <c r="C2" s="21" t="s">
        <v>308</v>
      </c>
      <c r="D2" s="21">
        <v>0</v>
      </c>
      <c r="E2" s="21">
        <v>0</v>
      </c>
      <c r="F2" s="21" t="s">
        <v>308</v>
      </c>
      <c r="G2" s="21">
        <v>0</v>
      </c>
      <c r="H2" s="21" t="s">
        <v>309</v>
      </c>
      <c r="I2" s="21" t="s">
        <v>310</v>
      </c>
      <c r="J2" s="21" t="s">
        <v>311</v>
      </c>
      <c r="K2" s="53" t="s">
        <v>312</v>
      </c>
      <c r="L2" s="22"/>
      <c r="M2" s="21" t="s">
        <v>313</v>
      </c>
      <c r="N2" s="21" t="s">
        <v>314</v>
      </c>
      <c r="O2" s="21" t="s">
        <v>315</v>
      </c>
      <c r="P2" s="21" t="s">
        <v>316</v>
      </c>
      <c r="Q2" s="21" t="s">
        <v>317</v>
      </c>
      <c r="R2" s="21">
        <v>0</v>
      </c>
      <c r="S2" s="21" t="str">
        <f>""</f>
        <v/>
      </c>
      <c r="T2" s="21">
        <v>0</v>
      </c>
      <c r="U2" s="21" t="str">
        <f>""</f>
        <v/>
      </c>
      <c r="V2" s="21" t="s">
        <v>318</v>
      </c>
      <c r="W2" s="23" t="s">
        <v>319</v>
      </c>
      <c r="X2" s="21" t="s">
        <v>320</v>
      </c>
      <c r="Y2" s="21" t="s">
        <v>321</v>
      </c>
      <c r="Z2" s="21" t="s">
        <v>322</v>
      </c>
      <c r="AA2" s="21" t="s">
        <v>323</v>
      </c>
    </row>
    <row r="3" spans="1:29">
      <c r="A3" s="21">
        <v>-30</v>
      </c>
      <c r="B3" s="21"/>
      <c r="C3" s="21" t="s">
        <v>324</v>
      </c>
      <c r="D3" s="21">
        <v>1</v>
      </c>
      <c r="E3" s="21">
        <v>3</v>
      </c>
      <c r="F3" s="21" t="s">
        <v>325</v>
      </c>
      <c r="G3" s="21">
        <v>10003</v>
      </c>
      <c r="H3" s="21" t="s">
        <v>326</v>
      </c>
      <c r="I3" s="21" t="s">
        <v>327</v>
      </c>
      <c r="J3" s="21" t="s">
        <v>328</v>
      </c>
      <c r="K3" s="21" t="s">
        <v>329</v>
      </c>
      <c r="L3" s="21"/>
      <c r="M3" s="21" t="s">
        <v>330</v>
      </c>
      <c r="N3" s="21" t="s">
        <v>331</v>
      </c>
      <c r="O3" s="21" t="s">
        <v>332</v>
      </c>
      <c r="P3" s="21" t="s">
        <v>333</v>
      </c>
      <c r="Q3" s="21" t="s">
        <v>334</v>
      </c>
      <c r="R3" s="21">
        <v>1</v>
      </c>
      <c r="S3" s="21" t="s">
        <v>335</v>
      </c>
      <c r="T3" s="21">
        <v>1</v>
      </c>
      <c r="U3" s="21" t="s">
        <v>336</v>
      </c>
      <c r="V3" s="21" t="s">
        <v>337</v>
      </c>
      <c r="W3" s="23" t="s">
        <v>321</v>
      </c>
      <c r="X3" s="21" t="s">
        <v>335</v>
      </c>
      <c r="Y3" s="21" t="s">
        <v>319</v>
      </c>
      <c r="Z3" s="21" t="s">
        <v>338</v>
      </c>
      <c r="AA3" s="21" t="s">
        <v>323</v>
      </c>
    </row>
    <row r="4" spans="1:29">
      <c r="A4" s="21">
        <v>-29</v>
      </c>
      <c r="B4" s="21"/>
      <c r="C4" s="21" t="s">
        <v>339</v>
      </c>
      <c r="D4" s="21">
        <v>2</v>
      </c>
      <c r="E4" s="21">
        <v>2</v>
      </c>
      <c r="F4" s="21" t="s">
        <v>340</v>
      </c>
      <c r="G4" s="21">
        <v>10002</v>
      </c>
      <c r="H4" s="21" t="s">
        <v>326</v>
      </c>
      <c r="I4" s="21" t="s">
        <v>327</v>
      </c>
      <c r="J4" s="21" t="s">
        <v>341</v>
      </c>
      <c r="K4" s="21" t="s">
        <v>342</v>
      </c>
      <c r="L4" s="21"/>
      <c r="M4" s="21" t="s">
        <v>343</v>
      </c>
      <c r="N4" s="21" t="s">
        <v>344</v>
      </c>
      <c r="O4" s="21" t="s">
        <v>345</v>
      </c>
      <c r="P4" s="21" t="s">
        <v>346</v>
      </c>
      <c r="Q4" s="21" t="s">
        <v>334</v>
      </c>
      <c r="R4" s="21">
        <v>2</v>
      </c>
      <c r="S4" s="21" t="s">
        <v>320</v>
      </c>
      <c r="T4" s="21">
        <v>2</v>
      </c>
      <c r="U4" s="21" t="s">
        <v>347</v>
      </c>
      <c r="V4" s="21" t="s">
        <v>348</v>
      </c>
      <c r="W4" s="23" t="s">
        <v>349</v>
      </c>
      <c r="X4" s="21" t="s">
        <v>323</v>
      </c>
      <c r="Y4" s="21" t="s">
        <v>350</v>
      </c>
      <c r="Z4" s="21" t="s">
        <v>351</v>
      </c>
      <c r="AA4" s="21" t="s">
        <v>323</v>
      </c>
    </row>
    <row r="5" spans="1:29">
      <c r="A5" s="21">
        <v>-28</v>
      </c>
      <c r="B5" s="21"/>
      <c r="C5" s="21" t="s">
        <v>352</v>
      </c>
      <c r="D5" s="21">
        <v>3</v>
      </c>
      <c r="E5" s="21">
        <v>4</v>
      </c>
      <c r="F5" s="21" t="s">
        <v>353</v>
      </c>
      <c r="G5" s="21">
        <v>10015</v>
      </c>
      <c r="H5" s="21" t="s">
        <v>354</v>
      </c>
      <c r="I5" s="21" t="s">
        <v>355</v>
      </c>
      <c r="J5" s="21" t="s">
        <v>339</v>
      </c>
      <c r="K5" s="53" t="s">
        <v>356</v>
      </c>
      <c r="L5" s="22"/>
      <c r="M5" s="21" t="s">
        <v>357</v>
      </c>
      <c r="N5" s="21" t="s">
        <v>358</v>
      </c>
      <c r="O5" s="21" t="s">
        <v>357</v>
      </c>
      <c r="P5" s="21" t="s">
        <v>359</v>
      </c>
      <c r="Q5" s="21" t="s">
        <v>334</v>
      </c>
      <c r="R5" s="21">
        <v>3</v>
      </c>
      <c r="S5" s="21" t="s">
        <v>360</v>
      </c>
      <c r="T5" s="21">
        <v>3</v>
      </c>
      <c r="U5" s="21" t="s">
        <v>361</v>
      </c>
      <c r="V5" s="21" t="s">
        <v>362</v>
      </c>
      <c r="W5" s="23" t="s">
        <v>362</v>
      </c>
      <c r="X5" s="21" t="s">
        <v>363</v>
      </c>
      <c r="Y5" s="23" t="s">
        <v>349</v>
      </c>
      <c r="Z5" s="24"/>
      <c r="AA5" s="25"/>
      <c r="AB5" s="26"/>
      <c r="AC5" s="26"/>
    </row>
    <row r="6" spans="1:29">
      <c r="A6" s="21">
        <v>-27</v>
      </c>
      <c r="B6" s="21"/>
      <c r="C6" s="21" t="s">
        <v>364</v>
      </c>
      <c r="D6" s="21">
        <v>4</v>
      </c>
      <c r="E6" s="21">
        <v>5</v>
      </c>
      <c r="F6" s="21" t="s">
        <v>365</v>
      </c>
      <c r="G6" s="21">
        <v>10014</v>
      </c>
      <c r="H6" s="21" t="s">
        <v>354</v>
      </c>
      <c r="I6" s="21" t="s">
        <v>355</v>
      </c>
      <c r="J6" s="21" t="s">
        <v>324</v>
      </c>
      <c r="K6" s="21" t="s">
        <v>366</v>
      </c>
      <c r="L6" s="21"/>
      <c r="M6" s="21" t="s">
        <v>367</v>
      </c>
      <c r="N6" s="21" t="s">
        <v>368</v>
      </c>
      <c r="O6" s="21" t="s">
        <v>369</v>
      </c>
      <c r="P6" s="21" t="s">
        <v>370</v>
      </c>
      <c r="Q6" s="21" t="s">
        <v>334</v>
      </c>
      <c r="R6" s="21">
        <v>4</v>
      </c>
      <c r="S6" s="21" t="s">
        <v>371</v>
      </c>
      <c r="T6" s="21">
        <v>4</v>
      </c>
      <c r="U6" s="21" t="s">
        <v>372</v>
      </c>
      <c r="V6" s="21" t="s">
        <v>373</v>
      </c>
      <c r="W6" s="23" t="s">
        <v>374</v>
      </c>
      <c r="X6" s="21" t="s">
        <v>375</v>
      </c>
      <c r="Y6" s="23" t="s">
        <v>349</v>
      </c>
      <c r="Z6" s="27"/>
      <c r="AA6" s="16"/>
      <c r="AB6" s="26"/>
      <c r="AC6" s="26"/>
    </row>
    <row r="7" spans="1:29">
      <c r="A7" s="21">
        <v>-26</v>
      </c>
      <c r="B7" s="21"/>
      <c r="C7" s="21" t="s">
        <v>341</v>
      </c>
      <c r="D7" s="21">
        <v>5</v>
      </c>
      <c r="E7" s="21">
        <v>1</v>
      </c>
      <c r="F7" s="21" t="s">
        <v>376</v>
      </c>
      <c r="G7" s="21">
        <v>10021</v>
      </c>
      <c r="H7" s="21" t="s">
        <v>377</v>
      </c>
      <c r="I7" s="21" t="s">
        <v>378</v>
      </c>
      <c r="J7" s="21" t="s">
        <v>352</v>
      </c>
      <c r="K7" s="53" t="s">
        <v>379</v>
      </c>
      <c r="L7" s="22"/>
      <c r="M7" s="21" t="s">
        <v>380</v>
      </c>
      <c r="N7" s="21" t="s">
        <v>381</v>
      </c>
      <c r="O7" s="21" t="s">
        <v>380</v>
      </c>
      <c r="P7" s="21" t="s">
        <v>382</v>
      </c>
      <c r="Q7" s="21" t="s">
        <v>334</v>
      </c>
      <c r="T7" s="21">
        <v>5</v>
      </c>
      <c r="U7" s="21" t="s">
        <v>383</v>
      </c>
      <c r="V7" s="28" t="s">
        <v>384</v>
      </c>
      <c r="W7" s="24" t="s">
        <v>385</v>
      </c>
      <c r="X7" s="21" t="s">
        <v>386</v>
      </c>
      <c r="Y7" s="23" t="s">
        <v>374</v>
      </c>
      <c r="Z7" s="27"/>
      <c r="AA7" s="16"/>
      <c r="AB7" s="26"/>
      <c r="AC7" s="26"/>
    </row>
    <row r="8" spans="1:29">
      <c r="A8" s="21">
        <v>-25</v>
      </c>
      <c r="B8" s="21"/>
      <c r="C8" s="21" t="s">
        <v>387</v>
      </c>
      <c r="D8" s="21">
        <v>6</v>
      </c>
      <c r="E8" s="21">
        <v>8</v>
      </c>
      <c r="F8" s="21" t="s">
        <v>388</v>
      </c>
      <c r="G8" s="21">
        <v>10028</v>
      </c>
      <c r="H8" s="21" t="s">
        <v>377</v>
      </c>
      <c r="I8" s="21" t="s">
        <v>378</v>
      </c>
      <c r="J8" s="21" t="s">
        <v>364</v>
      </c>
      <c r="K8" s="53" t="s">
        <v>389</v>
      </c>
      <c r="L8" s="22"/>
      <c r="M8" s="21" t="s">
        <v>390</v>
      </c>
      <c r="N8" s="21" t="s">
        <v>391</v>
      </c>
      <c r="O8" s="21" t="s">
        <v>390</v>
      </c>
      <c r="P8" s="21" t="s">
        <v>392</v>
      </c>
      <c r="Q8" s="21" t="s">
        <v>334</v>
      </c>
      <c r="T8" s="21">
        <v>6</v>
      </c>
      <c r="U8" s="23" t="s">
        <v>393</v>
      </c>
      <c r="V8" s="21" t="s">
        <v>394</v>
      </c>
      <c r="W8" s="21" t="s">
        <v>350</v>
      </c>
      <c r="X8" s="21" t="s">
        <v>371</v>
      </c>
      <c r="Y8" s="23" t="s">
        <v>362</v>
      </c>
      <c r="Z8" s="27"/>
      <c r="AA8" s="16"/>
      <c r="AB8" s="26"/>
      <c r="AC8" s="26"/>
    </row>
    <row r="9" spans="1:29">
      <c r="A9" s="21">
        <v>-24</v>
      </c>
      <c r="B9" s="21"/>
      <c r="C9" s="21" t="s">
        <v>395</v>
      </c>
      <c r="D9" s="21">
        <v>7</v>
      </c>
      <c r="E9" s="21">
        <v>9</v>
      </c>
      <c r="F9" s="21" t="s">
        <v>396</v>
      </c>
      <c r="G9" s="21">
        <v>10026</v>
      </c>
      <c r="H9" s="21" t="s">
        <v>397</v>
      </c>
      <c r="I9" s="21" t="s">
        <v>398</v>
      </c>
      <c r="J9" s="21" t="s">
        <v>399</v>
      </c>
      <c r="K9" s="53" t="s">
        <v>400</v>
      </c>
      <c r="L9" s="22"/>
      <c r="M9" s="21" t="s">
        <v>401</v>
      </c>
      <c r="N9" s="21" t="s">
        <v>402</v>
      </c>
      <c r="O9" s="21" t="s">
        <v>403</v>
      </c>
      <c r="P9" s="21" t="s">
        <v>404</v>
      </c>
      <c r="Q9" s="21" t="s">
        <v>334</v>
      </c>
      <c r="T9" s="21">
        <v>7</v>
      </c>
      <c r="U9" s="23" t="s">
        <v>405</v>
      </c>
      <c r="V9" s="27"/>
      <c r="W9" s="29"/>
      <c r="X9" s="21" t="s">
        <v>406</v>
      </c>
      <c r="Y9" s="21" t="s">
        <v>385</v>
      </c>
      <c r="Z9" s="17"/>
      <c r="AA9" s="16"/>
      <c r="AB9" s="26"/>
      <c r="AC9" s="26"/>
    </row>
    <row r="10" spans="1:29">
      <c r="A10" s="21">
        <v>-23</v>
      </c>
      <c r="B10" s="21"/>
      <c r="C10" s="21" t="s">
        <v>407</v>
      </c>
      <c r="D10" s="21">
        <v>8</v>
      </c>
      <c r="E10" s="21">
        <v>10</v>
      </c>
      <c r="F10" s="21" t="s">
        <v>408</v>
      </c>
      <c r="G10" s="21">
        <v>10062</v>
      </c>
      <c r="H10" s="21" t="s">
        <v>397</v>
      </c>
      <c r="I10" s="21" t="s">
        <v>398</v>
      </c>
      <c r="J10" s="21" t="s">
        <v>409</v>
      </c>
      <c r="K10" s="21" t="s">
        <v>410</v>
      </c>
      <c r="L10" s="21"/>
      <c r="M10" s="21" t="s">
        <v>411</v>
      </c>
      <c r="N10" s="21" t="s">
        <v>412</v>
      </c>
      <c r="O10" s="21" t="s">
        <v>413</v>
      </c>
      <c r="P10" s="21" t="s">
        <v>414</v>
      </c>
      <c r="Q10" s="21" t="s">
        <v>334</v>
      </c>
      <c r="T10" s="21">
        <v>8</v>
      </c>
      <c r="U10" s="23" t="s">
        <v>415</v>
      </c>
      <c r="V10" s="27"/>
      <c r="W10" s="29"/>
      <c r="X10" s="21" t="s">
        <v>416</v>
      </c>
      <c r="Y10" s="21" t="s">
        <v>417</v>
      </c>
      <c r="Z10" s="17"/>
      <c r="AA10" s="17"/>
      <c r="AB10" s="26"/>
      <c r="AC10" s="26"/>
    </row>
    <row r="11" spans="1:29">
      <c r="A11" s="21">
        <v>-22</v>
      </c>
      <c r="B11" s="21"/>
      <c r="C11" s="21" t="s">
        <v>399</v>
      </c>
      <c r="D11" s="21">
        <v>9</v>
      </c>
      <c r="E11" s="21">
        <v>6</v>
      </c>
      <c r="F11" s="21" t="s">
        <v>418</v>
      </c>
      <c r="G11" s="21">
        <v>10081</v>
      </c>
      <c r="H11" s="21" t="s">
        <v>419</v>
      </c>
      <c r="I11" s="21" t="s">
        <v>420</v>
      </c>
      <c r="J11" s="21" t="s">
        <v>387</v>
      </c>
      <c r="K11" s="21" t="s">
        <v>421</v>
      </c>
      <c r="L11" s="21"/>
      <c r="M11" s="21" t="s">
        <v>422</v>
      </c>
      <c r="N11" s="21" t="s">
        <v>423</v>
      </c>
      <c r="O11" s="21" t="s">
        <v>424</v>
      </c>
      <c r="P11" s="21" t="s">
        <v>425</v>
      </c>
      <c r="Q11" s="21" t="s">
        <v>426</v>
      </c>
      <c r="T11" s="21">
        <v>9</v>
      </c>
      <c r="U11" s="23" t="s">
        <v>427</v>
      </c>
      <c r="V11" s="27"/>
      <c r="W11" s="17"/>
      <c r="X11" s="17"/>
      <c r="Y11" s="17"/>
      <c r="Z11" s="17"/>
      <c r="AA11" s="17"/>
      <c r="AB11" s="26"/>
      <c r="AC11" s="26"/>
    </row>
    <row r="12" spans="1:29">
      <c r="A12" s="21">
        <v>-21</v>
      </c>
      <c r="B12" s="21"/>
      <c r="C12" s="21" t="s">
        <v>409</v>
      </c>
      <c r="D12" s="21">
        <v>10</v>
      </c>
      <c r="E12" s="21">
        <v>7</v>
      </c>
      <c r="F12" s="21" t="s">
        <v>428</v>
      </c>
      <c r="G12" s="21">
        <v>10080</v>
      </c>
      <c r="H12" s="21" t="s">
        <v>419</v>
      </c>
      <c r="I12" s="21" t="s">
        <v>420</v>
      </c>
      <c r="J12" s="21" t="s">
        <v>395</v>
      </c>
      <c r="K12" s="21" t="s">
        <v>429</v>
      </c>
      <c r="L12" s="21"/>
      <c r="M12" s="21" t="s">
        <v>430</v>
      </c>
      <c r="N12" s="21" t="s">
        <v>431</v>
      </c>
      <c r="O12" s="21" t="s">
        <v>432</v>
      </c>
      <c r="P12" s="21" t="s">
        <v>433</v>
      </c>
      <c r="Q12" s="21" t="s">
        <v>434</v>
      </c>
      <c r="T12" s="21">
        <v>10</v>
      </c>
      <c r="U12" s="23" t="s">
        <v>435</v>
      </c>
      <c r="V12" s="27"/>
      <c r="W12" s="17"/>
      <c r="X12" s="17"/>
      <c r="AA12" s="17"/>
    </row>
    <row r="13" spans="1:29">
      <c r="A13" s="21">
        <v>-20</v>
      </c>
      <c r="B13" s="21"/>
      <c r="C13" s="21" t="s">
        <v>436</v>
      </c>
      <c r="D13" s="21">
        <v>18</v>
      </c>
      <c r="E13" s="21">
        <v>21</v>
      </c>
      <c r="F13" s="21" t="s">
        <v>437</v>
      </c>
      <c r="G13" s="21">
        <v>10175</v>
      </c>
      <c r="H13" s="21" t="s">
        <v>438</v>
      </c>
      <c r="I13" s="21" t="s">
        <v>439</v>
      </c>
      <c r="J13" s="21" t="s">
        <v>407</v>
      </c>
      <c r="K13" s="21" t="s">
        <v>440</v>
      </c>
      <c r="L13" s="21"/>
      <c r="M13" s="21" t="s">
        <v>441</v>
      </c>
      <c r="N13" s="21" t="s">
        <v>442</v>
      </c>
      <c r="O13" s="21" t="s">
        <v>441</v>
      </c>
      <c r="P13" s="21" t="s">
        <v>443</v>
      </c>
      <c r="Q13" s="21" t="s">
        <v>434</v>
      </c>
      <c r="T13" s="21">
        <v>11</v>
      </c>
      <c r="U13" s="23" t="s">
        <v>444</v>
      </c>
      <c r="V13" s="30"/>
    </row>
    <row r="14" spans="1:29">
      <c r="A14" s="21">
        <v>-19</v>
      </c>
      <c r="B14" s="21"/>
      <c r="C14" s="21" t="s">
        <v>445</v>
      </c>
      <c r="D14" s="21">
        <v>19</v>
      </c>
      <c r="E14" s="21">
        <v>22</v>
      </c>
      <c r="F14" s="21" t="s">
        <v>446</v>
      </c>
      <c r="G14" s="21">
        <v>10176</v>
      </c>
      <c r="H14" s="21" t="s">
        <v>438</v>
      </c>
      <c r="I14" s="21" t="s">
        <v>439</v>
      </c>
      <c r="J14" s="21" t="s">
        <v>436</v>
      </c>
      <c r="K14" s="21" t="s">
        <v>447</v>
      </c>
      <c r="L14" s="21"/>
      <c r="M14" s="21" t="s">
        <v>448</v>
      </c>
      <c r="N14" s="21" t="s">
        <v>449</v>
      </c>
      <c r="O14" s="21" t="s">
        <v>448</v>
      </c>
      <c r="P14" s="21" t="s">
        <v>450</v>
      </c>
      <c r="Q14" s="21" t="s">
        <v>451</v>
      </c>
    </row>
    <row r="15" spans="1:29">
      <c r="A15" s="21">
        <v>-18</v>
      </c>
      <c r="B15" s="21"/>
      <c r="C15" s="21" t="s">
        <v>452</v>
      </c>
      <c r="D15" s="21">
        <v>20</v>
      </c>
      <c r="E15" s="21">
        <v>23</v>
      </c>
      <c r="F15" s="21" t="s">
        <v>453</v>
      </c>
      <c r="G15" s="21">
        <v>10224</v>
      </c>
      <c r="H15" s="21" t="s">
        <v>454</v>
      </c>
      <c r="I15" s="21" t="s">
        <v>455</v>
      </c>
      <c r="J15" s="21" t="s">
        <v>445</v>
      </c>
      <c r="K15" s="53" t="s">
        <v>456</v>
      </c>
      <c r="L15" s="22"/>
      <c r="M15" s="21" t="s">
        <v>457</v>
      </c>
      <c r="N15" s="21" t="s">
        <v>458</v>
      </c>
      <c r="O15" s="21" t="s">
        <v>459</v>
      </c>
      <c r="P15" s="21" t="s">
        <v>460</v>
      </c>
      <c r="Q15" s="21" t="s">
        <v>451</v>
      </c>
    </row>
    <row r="16" spans="1:29">
      <c r="A16" s="21">
        <v>-17</v>
      </c>
      <c r="B16" s="21"/>
      <c r="C16" s="21" t="s">
        <v>461</v>
      </c>
      <c r="D16" s="21">
        <v>21</v>
      </c>
      <c r="E16" s="21">
        <v>24</v>
      </c>
      <c r="F16" s="21" t="s">
        <v>462</v>
      </c>
      <c r="G16" s="21">
        <v>10225</v>
      </c>
      <c r="H16" s="21" t="s">
        <v>454</v>
      </c>
      <c r="I16" s="21" t="s">
        <v>455</v>
      </c>
      <c r="J16" s="21" t="s">
        <v>452</v>
      </c>
      <c r="K16" s="53" t="s">
        <v>463</v>
      </c>
      <c r="L16" s="22"/>
      <c r="M16" s="21" t="s">
        <v>464</v>
      </c>
      <c r="N16" s="21" t="s">
        <v>465</v>
      </c>
      <c r="O16" s="21" t="s">
        <v>464</v>
      </c>
      <c r="P16" s="21" t="s">
        <v>466</v>
      </c>
      <c r="Q16" s="21" t="s">
        <v>451</v>
      </c>
    </row>
    <row r="17" spans="1:17">
      <c r="A17" s="21">
        <v>-16</v>
      </c>
      <c r="B17" s="21" t="s">
        <v>467</v>
      </c>
      <c r="C17" s="21" t="s">
        <v>468</v>
      </c>
      <c r="D17" s="21">
        <v>22</v>
      </c>
      <c r="E17" s="21">
        <v>25</v>
      </c>
      <c r="F17" s="21" t="s">
        <v>469</v>
      </c>
      <c r="G17" s="21">
        <v>10144</v>
      </c>
      <c r="H17" s="21" t="s">
        <v>470</v>
      </c>
      <c r="I17" s="21" t="s">
        <v>471</v>
      </c>
      <c r="J17" s="21" t="s">
        <v>461</v>
      </c>
      <c r="K17" s="53" t="s">
        <v>472</v>
      </c>
      <c r="L17" s="22"/>
      <c r="M17" s="21" t="s">
        <v>473</v>
      </c>
      <c r="N17" s="21" t="s">
        <v>474</v>
      </c>
      <c r="O17" s="21" t="s">
        <v>473</v>
      </c>
      <c r="P17" s="21" t="s">
        <v>475</v>
      </c>
      <c r="Q17" s="21" t="s">
        <v>476</v>
      </c>
    </row>
    <row r="18" spans="1:17">
      <c r="A18" s="21">
        <v>-15</v>
      </c>
      <c r="B18" s="21" t="s">
        <v>477</v>
      </c>
      <c r="C18" s="21" t="s">
        <v>478</v>
      </c>
      <c r="D18" s="21">
        <v>23</v>
      </c>
      <c r="E18" s="21">
        <v>211</v>
      </c>
      <c r="F18" s="21" t="s">
        <v>479</v>
      </c>
      <c r="G18" s="21">
        <v>10145</v>
      </c>
      <c r="H18" s="21" t="s">
        <v>470</v>
      </c>
      <c r="I18" s="21" t="s">
        <v>471</v>
      </c>
      <c r="J18" s="21" t="s">
        <v>468</v>
      </c>
      <c r="K18" s="21" t="s">
        <v>480</v>
      </c>
      <c r="L18" s="21"/>
      <c r="M18" s="21" t="s">
        <v>481</v>
      </c>
      <c r="N18" s="21" t="s">
        <v>482</v>
      </c>
      <c r="O18" s="21" t="s">
        <v>483</v>
      </c>
      <c r="P18" s="21" t="s">
        <v>484</v>
      </c>
      <c r="Q18" s="21" t="s">
        <v>476</v>
      </c>
    </row>
    <row r="19" spans="1:17">
      <c r="A19" s="21">
        <v>-14</v>
      </c>
      <c r="B19" s="21" t="s">
        <v>485</v>
      </c>
      <c r="C19" s="21" t="s">
        <v>486</v>
      </c>
      <c r="D19" s="21">
        <v>24</v>
      </c>
      <c r="E19" s="21">
        <v>212</v>
      </c>
      <c r="F19" s="21" t="s">
        <v>487</v>
      </c>
      <c r="G19" s="21">
        <v>10268</v>
      </c>
      <c r="H19" s="21" t="s">
        <v>488</v>
      </c>
      <c r="I19" s="21" t="s">
        <v>489</v>
      </c>
      <c r="J19" s="21" t="s">
        <v>478</v>
      </c>
      <c r="K19" s="21" t="s">
        <v>490</v>
      </c>
      <c r="L19" s="16"/>
      <c r="M19" s="21" t="s">
        <v>491</v>
      </c>
      <c r="N19" s="21" t="s">
        <v>492</v>
      </c>
      <c r="O19" s="21" t="s">
        <v>493</v>
      </c>
    </row>
    <row r="20" spans="1:17">
      <c r="A20" s="21">
        <v>-13</v>
      </c>
      <c r="B20" s="21" t="s">
        <v>494</v>
      </c>
      <c r="C20" s="21" t="s">
        <v>495</v>
      </c>
      <c r="D20" s="21">
        <v>26</v>
      </c>
      <c r="E20" s="21">
        <v>213</v>
      </c>
      <c r="F20" s="21" t="s">
        <v>496</v>
      </c>
      <c r="G20" s="21">
        <v>10242</v>
      </c>
      <c r="H20" s="21" t="s">
        <v>497</v>
      </c>
      <c r="I20" s="21" t="s">
        <v>498</v>
      </c>
      <c r="J20" s="21" t="s">
        <v>486</v>
      </c>
      <c r="K20" s="21" t="s">
        <v>499</v>
      </c>
      <c r="L20" s="16"/>
      <c r="M20" s="21" t="s">
        <v>500</v>
      </c>
      <c r="N20" s="21" t="s">
        <v>501</v>
      </c>
      <c r="O20" s="21" t="s">
        <v>502</v>
      </c>
    </row>
    <row r="21" spans="1:17">
      <c r="A21" s="21">
        <v>-12</v>
      </c>
      <c r="B21" s="21" t="s">
        <v>503</v>
      </c>
      <c r="F21" s="21" t="s">
        <v>504</v>
      </c>
      <c r="G21" s="21">
        <v>10243</v>
      </c>
      <c r="H21" s="21" t="s">
        <v>497</v>
      </c>
      <c r="I21" s="21" t="s">
        <v>498</v>
      </c>
      <c r="J21" s="21" t="s">
        <v>495</v>
      </c>
      <c r="K21" s="53" t="s">
        <v>505</v>
      </c>
      <c r="L21" s="31"/>
      <c r="M21" s="21" t="s">
        <v>506</v>
      </c>
      <c r="N21" s="21" t="s">
        <v>507</v>
      </c>
      <c r="O21" s="21" t="s">
        <v>508</v>
      </c>
    </row>
    <row r="22" spans="1:17">
      <c r="A22" s="21">
        <v>-11</v>
      </c>
      <c r="B22" s="21" t="s">
        <v>509</v>
      </c>
      <c r="F22" s="21" t="s">
        <v>510</v>
      </c>
      <c r="G22" s="21">
        <v>10389</v>
      </c>
      <c r="H22" s="21" t="s">
        <v>511</v>
      </c>
      <c r="I22" s="21" t="s">
        <v>512</v>
      </c>
      <c r="J22" s="21" t="s">
        <v>513</v>
      </c>
      <c r="K22" s="53" t="s">
        <v>514</v>
      </c>
      <c r="L22" s="31"/>
      <c r="M22" s="21" t="s">
        <v>515</v>
      </c>
      <c r="N22" s="21" t="s">
        <v>516</v>
      </c>
      <c r="O22" s="21" t="s">
        <v>517</v>
      </c>
    </row>
    <row r="23" spans="1:17">
      <c r="A23" s="21">
        <v>-10</v>
      </c>
      <c r="B23" s="21" t="s">
        <v>518</v>
      </c>
      <c r="F23" s="21" t="s">
        <v>519</v>
      </c>
      <c r="G23" s="21">
        <v>10390</v>
      </c>
      <c r="H23" s="21" t="s">
        <v>511</v>
      </c>
      <c r="I23" s="21" t="s">
        <v>512</v>
      </c>
      <c r="J23" s="21" t="s">
        <v>520</v>
      </c>
      <c r="K23" s="53" t="s">
        <v>521</v>
      </c>
      <c r="L23" s="31"/>
      <c r="M23" s="21" t="s">
        <v>522</v>
      </c>
      <c r="N23" s="21" t="s">
        <v>523</v>
      </c>
      <c r="O23" s="21" t="s">
        <v>524</v>
      </c>
    </row>
    <row r="24" spans="1:17">
      <c r="A24" s="21">
        <v>-9</v>
      </c>
      <c r="B24" s="21" t="s">
        <v>525</v>
      </c>
      <c r="F24" s="21" t="s">
        <v>526</v>
      </c>
      <c r="G24" s="21">
        <v>10447</v>
      </c>
      <c r="H24" s="21" t="s">
        <v>527</v>
      </c>
      <c r="I24" s="21" t="s">
        <v>528</v>
      </c>
      <c r="J24" s="21" t="s">
        <v>529</v>
      </c>
      <c r="K24" s="21" t="s">
        <v>530</v>
      </c>
      <c r="L24" s="16"/>
      <c r="M24" s="18" t="s">
        <v>531</v>
      </c>
      <c r="N24" s="18" t="s">
        <v>300</v>
      </c>
      <c r="O24" s="18" t="s">
        <v>301</v>
      </c>
    </row>
    <row r="25" spans="1:17">
      <c r="A25" s="21">
        <v>-8</v>
      </c>
      <c r="B25" s="21" t="s">
        <v>532</v>
      </c>
      <c r="F25" s="21" t="s">
        <v>533</v>
      </c>
      <c r="G25" s="21">
        <v>10448</v>
      </c>
      <c r="H25" s="21" t="s">
        <v>527</v>
      </c>
      <c r="I25" s="21" t="s">
        <v>528</v>
      </c>
      <c r="J25" s="21" t="s">
        <v>534</v>
      </c>
      <c r="K25" s="21" t="s">
        <v>535</v>
      </c>
      <c r="L25" s="16"/>
      <c r="M25" s="21" t="s">
        <v>536</v>
      </c>
      <c r="N25" s="21" t="s">
        <v>537</v>
      </c>
      <c r="O25" s="21" t="s">
        <v>536</v>
      </c>
    </row>
    <row r="26" spans="1:17">
      <c r="A26" s="21">
        <v>-7</v>
      </c>
      <c r="B26" s="21" t="s">
        <v>538</v>
      </c>
      <c r="F26" s="21" t="s">
        <v>539</v>
      </c>
      <c r="G26" s="21">
        <v>10464</v>
      </c>
      <c r="H26" s="21" t="s">
        <v>540</v>
      </c>
      <c r="I26" s="21" t="s">
        <v>541</v>
      </c>
      <c r="J26" s="21" t="s">
        <v>542</v>
      </c>
      <c r="K26" s="21" t="s">
        <v>543</v>
      </c>
      <c r="L26" s="16"/>
      <c r="M26" s="21" t="s">
        <v>544</v>
      </c>
      <c r="N26" s="21" t="s">
        <v>545</v>
      </c>
      <c r="O26" s="21" t="s">
        <v>546</v>
      </c>
    </row>
    <row r="27" spans="1:17">
      <c r="A27" s="21">
        <v>-6</v>
      </c>
      <c r="B27" s="21" t="s">
        <v>547</v>
      </c>
      <c r="F27" s="21" t="s">
        <v>548</v>
      </c>
      <c r="G27" s="21">
        <v>10533</v>
      </c>
      <c r="H27" s="21" t="s">
        <v>549</v>
      </c>
      <c r="I27" s="21" t="s">
        <v>550</v>
      </c>
      <c r="J27" s="21" t="s">
        <v>551</v>
      </c>
      <c r="K27" s="21" t="s">
        <v>552</v>
      </c>
      <c r="L27" s="16"/>
      <c r="M27" s="21" t="s">
        <v>553</v>
      </c>
      <c r="N27" s="21" t="s">
        <v>554</v>
      </c>
      <c r="O27" s="21" t="s">
        <v>555</v>
      </c>
    </row>
    <row r="28" spans="1:17">
      <c r="A28" s="21">
        <v>-5</v>
      </c>
      <c r="B28" s="21" t="s">
        <v>556</v>
      </c>
      <c r="F28" s="21" t="s">
        <v>557</v>
      </c>
      <c r="G28" s="21">
        <v>10585</v>
      </c>
      <c r="H28" s="21" t="s">
        <v>558</v>
      </c>
      <c r="I28" s="21" t="s">
        <v>559</v>
      </c>
      <c r="J28" s="21" t="s">
        <v>560</v>
      </c>
      <c r="K28" s="21" t="s">
        <v>561</v>
      </c>
      <c r="L28" s="16"/>
      <c r="M28" s="21" t="s">
        <v>562</v>
      </c>
      <c r="N28" s="21" t="s">
        <v>563</v>
      </c>
      <c r="O28" s="21" t="s">
        <v>564</v>
      </c>
    </row>
    <row r="29" spans="1:17">
      <c r="A29" s="21">
        <v>-4</v>
      </c>
      <c r="B29" s="21" t="s">
        <v>565</v>
      </c>
      <c r="F29" s="21" t="s">
        <v>566</v>
      </c>
      <c r="G29" s="21">
        <v>10615</v>
      </c>
      <c r="H29" s="21" t="s">
        <v>567</v>
      </c>
      <c r="I29" s="21" t="s">
        <v>568</v>
      </c>
      <c r="J29" s="21" t="s">
        <v>569</v>
      </c>
      <c r="K29" s="21" t="s">
        <v>570</v>
      </c>
      <c r="L29" s="16"/>
      <c r="M29" s="21" t="s">
        <v>571</v>
      </c>
      <c r="N29" s="21" t="s">
        <v>572</v>
      </c>
      <c r="O29" s="21" t="s">
        <v>573</v>
      </c>
    </row>
    <row r="30" spans="1:17">
      <c r="A30" s="21">
        <v>-3</v>
      </c>
      <c r="B30" s="21" t="s">
        <v>574</v>
      </c>
      <c r="F30" s="21" t="s">
        <v>575</v>
      </c>
      <c r="G30" s="21">
        <v>10626</v>
      </c>
      <c r="H30" s="21" t="s">
        <v>576</v>
      </c>
      <c r="I30" s="21" t="s">
        <v>577</v>
      </c>
      <c r="J30" s="21" t="s">
        <v>578</v>
      </c>
      <c r="K30" s="21" t="s">
        <v>579</v>
      </c>
      <c r="L30" s="16"/>
      <c r="M30" s="21" t="s">
        <v>580</v>
      </c>
      <c r="N30" s="21" t="s">
        <v>581</v>
      </c>
      <c r="O30" s="21" t="s">
        <v>582</v>
      </c>
    </row>
    <row r="31" spans="1:17">
      <c r="A31" s="21">
        <v>-2</v>
      </c>
      <c r="B31" s="21" t="s">
        <v>583</v>
      </c>
      <c r="F31" s="21" t="s">
        <v>584</v>
      </c>
      <c r="G31" s="21">
        <v>10627</v>
      </c>
      <c r="H31" s="21" t="s">
        <v>576</v>
      </c>
      <c r="I31" s="21" t="s">
        <v>577</v>
      </c>
      <c r="J31" s="21" t="s">
        <v>585</v>
      </c>
      <c r="K31" s="21" t="s">
        <v>586</v>
      </c>
      <c r="L31" s="16"/>
      <c r="M31" s="21" t="s">
        <v>587</v>
      </c>
      <c r="N31" s="21" t="s">
        <v>588</v>
      </c>
      <c r="O31" s="21" t="s">
        <v>589</v>
      </c>
    </row>
    <row r="32" spans="1:17">
      <c r="A32" s="21">
        <v>-1</v>
      </c>
      <c r="B32" s="21" t="s">
        <v>590</v>
      </c>
      <c r="F32" s="21" t="s">
        <v>495</v>
      </c>
      <c r="G32" s="21">
        <v>10698</v>
      </c>
      <c r="H32" s="21" t="s">
        <v>591</v>
      </c>
      <c r="I32" s="21" t="s">
        <v>592</v>
      </c>
      <c r="J32" s="21" t="s">
        <v>593</v>
      </c>
      <c r="K32" s="21" t="s">
        <v>594</v>
      </c>
      <c r="L32" s="16"/>
      <c r="M32" s="18" t="s">
        <v>595</v>
      </c>
      <c r="N32" s="18" t="s">
        <v>300</v>
      </c>
      <c r="O32" s="18" t="s">
        <v>301</v>
      </c>
    </row>
    <row r="33" spans="1:15">
      <c r="A33" s="21">
        <v>0</v>
      </c>
      <c r="B33" s="21" t="str">
        <f>""</f>
        <v/>
      </c>
      <c r="F33" s="21" t="s">
        <v>513</v>
      </c>
      <c r="G33" s="21">
        <v>10756</v>
      </c>
      <c r="J33" s="21" t="s">
        <v>596</v>
      </c>
      <c r="K33" s="53" t="s">
        <v>597</v>
      </c>
      <c r="L33" s="31"/>
      <c r="M33" s="21" t="s">
        <v>598</v>
      </c>
      <c r="N33" s="21" t="s">
        <v>599</v>
      </c>
      <c r="O33" s="21" t="s">
        <v>598</v>
      </c>
    </row>
    <row r="34" spans="1:15">
      <c r="A34" s="21">
        <v>1</v>
      </c>
      <c r="B34" s="21" t="s">
        <v>600</v>
      </c>
      <c r="J34" s="21" t="s">
        <v>601</v>
      </c>
      <c r="K34" s="53" t="s">
        <v>602</v>
      </c>
      <c r="L34" s="31"/>
      <c r="M34" s="21" t="s">
        <v>603</v>
      </c>
      <c r="N34" s="21" t="s">
        <v>604</v>
      </c>
      <c r="O34" s="21" t="s">
        <v>605</v>
      </c>
    </row>
    <row r="35" spans="1:15">
      <c r="A35" s="21">
        <v>2</v>
      </c>
      <c r="B35" s="21" t="s">
        <v>339</v>
      </c>
      <c r="J35" s="21" t="s">
        <v>606</v>
      </c>
      <c r="K35" s="21" t="s">
        <v>607</v>
      </c>
      <c r="L35" s="16"/>
      <c r="M35" s="21" t="s">
        <v>608</v>
      </c>
      <c r="N35" s="21" t="s">
        <v>609</v>
      </c>
      <c r="O35" s="21" t="s">
        <v>608</v>
      </c>
    </row>
    <row r="36" spans="1:15">
      <c r="A36" s="21">
        <v>3</v>
      </c>
      <c r="B36" s="21" t="s">
        <v>610</v>
      </c>
      <c r="J36" s="21" t="s">
        <v>611</v>
      </c>
      <c r="K36" s="21" t="s">
        <v>612</v>
      </c>
      <c r="L36" s="16"/>
      <c r="M36" s="21" t="s">
        <v>613</v>
      </c>
      <c r="N36" s="21" t="s">
        <v>614</v>
      </c>
      <c r="O36" s="21" t="s">
        <v>613</v>
      </c>
    </row>
    <row r="37" spans="1:15">
      <c r="A37" s="21">
        <v>5</v>
      </c>
      <c r="B37" s="21" t="s">
        <v>341</v>
      </c>
      <c r="J37" s="21" t="s">
        <v>615</v>
      </c>
      <c r="K37" s="21" t="s">
        <v>616</v>
      </c>
      <c r="L37" s="16"/>
      <c r="M37" s="21" t="s">
        <v>617</v>
      </c>
      <c r="N37" s="21" t="s">
        <v>618</v>
      </c>
      <c r="O37" s="21" t="s">
        <v>617</v>
      </c>
    </row>
    <row r="38" spans="1:15">
      <c r="A38" s="21">
        <v>6</v>
      </c>
      <c r="B38" s="21" t="s">
        <v>619</v>
      </c>
      <c r="J38" s="17" t="s">
        <v>620</v>
      </c>
      <c r="K38" s="17" t="s">
        <v>621</v>
      </c>
      <c r="M38" s="21" t="s">
        <v>622</v>
      </c>
      <c r="N38" s="21" t="s">
        <v>623</v>
      </c>
      <c r="O38" s="21" t="s">
        <v>624</v>
      </c>
    </row>
    <row r="39" spans="1:15">
      <c r="A39" s="21">
        <v>7</v>
      </c>
      <c r="B39" s="21" t="s">
        <v>352</v>
      </c>
      <c r="K39" s="32" t="s">
        <v>625</v>
      </c>
      <c r="M39" s="21" t="s">
        <v>626</v>
      </c>
      <c r="N39" s="21" t="s">
        <v>627</v>
      </c>
      <c r="O39" s="21" t="s">
        <v>626</v>
      </c>
    </row>
    <row r="40" spans="1:15">
      <c r="A40" s="21">
        <v>8</v>
      </c>
      <c r="B40" s="21" t="s">
        <v>628</v>
      </c>
      <c r="K40" s="33" t="s">
        <v>629</v>
      </c>
      <c r="M40" s="21" t="s">
        <v>630</v>
      </c>
      <c r="N40" s="21" t="s">
        <v>631</v>
      </c>
      <c r="O40" s="21" t="s">
        <v>632</v>
      </c>
    </row>
    <row r="41" spans="1:15">
      <c r="A41" s="21">
        <v>9</v>
      </c>
      <c r="B41" s="21" t="s">
        <v>633</v>
      </c>
      <c r="K41" s="34" t="s">
        <v>634</v>
      </c>
      <c r="M41" s="21" t="s">
        <v>635</v>
      </c>
      <c r="N41" s="21" t="s">
        <v>636</v>
      </c>
      <c r="O41" s="21" t="s">
        <v>637</v>
      </c>
    </row>
    <row r="42" spans="1:15">
      <c r="A42" s="21">
        <v>10</v>
      </c>
      <c r="B42" s="21" t="s">
        <v>638</v>
      </c>
      <c r="K42" s="35" t="s">
        <v>639</v>
      </c>
      <c r="M42" s="21" t="s">
        <v>640</v>
      </c>
      <c r="N42" s="21" t="s">
        <v>641</v>
      </c>
      <c r="O42" s="21" t="s">
        <v>640</v>
      </c>
    </row>
    <row r="43" spans="1:15">
      <c r="A43" s="21">
        <v>11</v>
      </c>
      <c r="B43" s="21" t="s">
        <v>324</v>
      </c>
      <c r="K43" s="36" t="s">
        <v>642</v>
      </c>
      <c r="M43" s="21" t="s">
        <v>643</v>
      </c>
      <c r="N43" s="21" t="s">
        <v>644</v>
      </c>
      <c r="O43" s="21" t="s">
        <v>645</v>
      </c>
    </row>
    <row r="44" spans="1:15">
      <c r="A44" s="21">
        <v>12</v>
      </c>
      <c r="B44" s="21" t="s">
        <v>646</v>
      </c>
      <c r="K44" s="37" t="s">
        <v>647</v>
      </c>
      <c r="M44" s="21" t="s">
        <v>648</v>
      </c>
      <c r="N44" s="21" t="s">
        <v>649</v>
      </c>
      <c r="O44" s="21" t="s">
        <v>650</v>
      </c>
    </row>
    <row r="45" spans="1:15">
      <c r="A45" s="21">
        <v>13</v>
      </c>
      <c r="B45" s="21" t="s">
        <v>651</v>
      </c>
      <c r="M45" s="21" t="s">
        <v>652</v>
      </c>
      <c r="N45" s="21" t="s">
        <v>653</v>
      </c>
      <c r="O45" s="21" t="s">
        <v>654</v>
      </c>
    </row>
    <row r="46" spans="1:15">
      <c r="A46" s="21">
        <v>14</v>
      </c>
      <c r="B46" s="21" t="s">
        <v>655</v>
      </c>
      <c r="M46" s="21" t="s">
        <v>656</v>
      </c>
      <c r="N46" s="21" t="s">
        <v>657</v>
      </c>
      <c r="O46" s="21" t="s">
        <v>658</v>
      </c>
    </row>
    <row r="47" spans="1:15">
      <c r="A47" s="21">
        <v>15</v>
      </c>
      <c r="B47" s="21" t="s">
        <v>659</v>
      </c>
      <c r="M47" s="21" t="s">
        <v>660</v>
      </c>
      <c r="N47" s="21" t="s">
        <v>661</v>
      </c>
      <c r="O47" s="21" t="s">
        <v>662</v>
      </c>
    </row>
    <row r="48" spans="1:15">
      <c r="A48" s="21">
        <v>16</v>
      </c>
      <c r="B48" s="21" t="s">
        <v>364</v>
      </c>
      <c r="M48" s="21" t="s">
        <v>663</v>
      </c>
      <c r="N48" s="21" t="s">
        <v>664</v>
      </c>
      <c r="O48" s="21" t="s">
        <v>665</v>
      </c>
    </row>
    <row r="49" spans="1:15">
      <c r="A49" s="21">
        <v>17</v>
      </c>
      <c r="B49" s="21" t="s">
        <v>666</v>
      </c>
      <c r="M49" s="21" t="s">
        <v>667</v>
      </c>
      <c r="N49" s="21" t="s">
        <v>668</v>
      </c>
      <c r="O49" s="21" t="s">
        <v>667</v>
      </c>
    </row>
    <row r="50" spans="1:15">
      <c r="A50" s="21">
        <v>18</v>
      </c>
      <c r="B50" s="21" t="s">
        <v>669</v>
      </c>
      <c r="M50" s="21" t="s">
        <v>670</v>
      </c>
      <c r="N50" s="21" t="s">
        <v>671</v>
      </c>
      <c r="O50" s="21" t="s">
        <v>672</v>
      </c>
    </row>
    <row r="51" spans="1:15">
      <c r="A51" s="21">
        <v>19</v>
      </c>
      <c r="B51" s="21" t="s">
        <v>673</v>
      </c>
      <c r="M51" s="21" t="s">
        <v>674</v>
      </c>
      <c r="N51" s="21" t="s">
        <v>675</v>
      </c>
      <c r="O51" s="21" t="s">
        <v>676</v>
      </c>
    </row>
    <row r="52" spans="1:15">
      <c r="A52" s="21">
        <v>20</v>
      </c>
      <c r="B52" s="21" t="s">
        <v>677</v>
      </c>
      <c r="M52" s="18" t="s">
        <v>678</v>
      </c>
      <c r="N52" s="18" t="s">
        <v>300</v>
      </c>
      <c r="O52" s="18" t="s">
        <v>301</v>
      </c>
    </row>
    <row r="53" spans="1:15">
      <c r="A53" s="21">
        <v>21</v>
      </c>
      <c r="B53" s="21" t="s">
        <v>679</v>
      </c>
      <c r="M53" s="21" t="s">
        <v>680</v>
      </c>
      <c r="N53" s="21" t="s">
        <v>681</v>
      </c>
      <c r="O53" s="21" t="s">
        <v>680</v>
      </c>
    </row>
    <row r="54" spans="1:15">
      <c r="A54" s="21">
        <v>22</v>
      </c>
      <c r="B54" s="21" t="s">
        <v>682</v>
      </c>
      <c r="M54" s="21" t="s">
        <v>683</v>
      </c>
      <c r="N54" s="21" t="s">
        <v>684</v>
      </c>
      <c r="O54" s="21" t="s">
        <v>683</v>
      </c>
    </row>
    <row r="55" spans="1:15">
      <c r="A55" s="21">
        <v>23</v>
      </c>
      <c r="B55" s="21" t="s">
        <v>685</v>
      </c>
      <c r="M55" s="21" t="s">
        <v>686</v>
      </c>
      <c r="N55" s="21" t="s">
        <v>687</v>
      </c>
      <c r="O55" s="21" t="s">
        <v>688</v>
      </c>
    </row>
    <row r="56" spans="1:15">
      <c r="A56" s="21">
        <v>25</v>
      </c>
      <c r="B56" s="21" t="s">
        <v>311</v>
      </c>
      <c r="M56" s="21" t="s">
        <v>689</v>
      </c>
      <c r="N56" s="21" t="s">
        <v>690</v>
      </c>
      <c r="O56" s="21" t="s">
        <v>691</v>
      </c>
    </row>
    <row r="57" spans="1:15">
      <c r="A57" s="21">
        <v>26</v>
      </c>
      <c r="B57" s="21" t="s">
        <v>692</v>
      </c>
      <c r="M57" s="21" t="s">
        <v>693</v>
      </c>
      <c r="N57" s="21" t="s">
        <v>694</v>
      </c>
      <c r="O57" s="21" t="s">
        <v>695</v>
      </c>
    </row>
    <row r="58" spans="1:15">
      <c r="A58" s="21">
        <v>27</v>
      </c>
      <c r="B58" s="21" t="s">
        <v>328</v>
      </c>
      <c r="M58" s="21" t="s">
        <v>696</v>
      </c>
      <c r="N58" s="21" t="s">
        <v>697</v>
      </c>
      <c r="O58" s="21" t="s">
        <v>698</v>
      </c>
    </row>
    <row r="59" spans="1:15">
      <c r="A59" s="21">
        <v>28</v>
      </c>
      <c r="B59" s="21" t="s">
        <v>699</v>
      </c>
      <c r="M59" s="21" t="s">
        <v>700</v>
      </c>
      <c r="N59" s="21" t="s">
        <v>701</v>
      </c>
      <c r="O59" s="21" t="s">
        <v>702</v>
      </c>
    </row>
    <row r="60" spans="1:15">
      <c r="A60" s="21">
        <v>29</v>
      </c>
      <c r="B60" s="21" t="s">
        <v>703</v>
      </c>
      <c r="M60" s="18" t="s">
        <v>704</v>
      </c>
      <c r="N60" s="18" t="s">
        <v>300</v>
      </c>
      <c r="O60" s="18" t="s">
        <v>301</v>
      </c>
    </row>
    <row r="61" spans="1:15">
      <c r="A61" s="21">
        <v>30</v>
      </c>
      <c r="B61" s="21" t="s">
        <v>705</v>
      </c>
      <c r="M61" s="21" t="s">
        <v>706</v>
      </c>
      <c r="N61" s="21" t="s">
        <v>707</v>
      </c>
      <c r="O61" s="21" t="s">
        <v>706</v>
      </c>
    </row>
    <row r="62" spans="1:15">
      <c r="A62" s="21">
        <v>31</v>
      </c>
      <c r="B62" s="21" t="s">
        <v>708</v>
      </c>
      <c r="M62" s="21" t="s">
        <v>709</v>
      </c>
      <c r="N62" s="21" t="s">
        <v>710</v>
      </c>
      <c r="O62" s="21" t="s">
        <v>709</v>
      </c>
    </row>
    <row r="63" spans="1:15">
      <c r="A63" s="21">
        <v>32</v>
      </c>
      <c r="B63" s="21" t="s">
        <v>711</v>
      </c>
      <c r="M63" s="21" t="s">
        <v>712</v>
      </c>
      <c r="N63" s="21" t="s">
        <v>713</v>
      </c>
      <c r="O63" s="21" t="s">
        <v>714</v>
      </c>
    </row>
    <row r="64" spans="1:15">
      <c r="A64" s="21">
        <v>33</v>
      </c>
      <c r="B64" s="21" t="s">
        <v>715</v>
      </c>
      <c r="M64" s="21" t="s">
        <v>716</v>
      </c>
      <c r="N64" s="21" t="s">
        <v>717</v>
      </c>
      <c r="O64" s="21" t="s">
        <v>716</v>
      </c>
    </row>
    <row r="65" spans="1:15">
      <c r="A65" s="21">
        <v>34</v>
      </c>
      <c r="B65" s="21" t="s">
        <v>718</v>
      </c>
      <c r="M65" s="18" t="s">
        <v>719</v>
      </c>
      <c r="N65" s="18" t="s">
        <v>300</v>
      </c>
      <c r="O65" s="18" t="s">
        <v>301</v>
      </c>
    </row>
    <row r="66" spans="1:15">
      <c r="A66" s="21">
        <v>35</v>
      </c>
      <c r="B66" s="21" t="s">
        <v>720</v>
      </c>
      <c r="M66" s="21" t="s">
        <v>721</v>
      </c>
      <c r="N66" s="21" t="s">
        <v>722</v>
      </c>
      <c r="O66" s="21" t="s">
        <v>721</v>
      </c>
    </row>
    <row r="67" spans="1:15">
      <c r="A67" s="21">
        <v>36</v>
      </c>
      <c r="B67" s="21" t="s">
        <v>723</v>
      </c>
      <c r="M67" s="21" t="s">
        <v>724</v>
      </c>
      <c r="N67" s="21" t="s">
        <v>725</v>
      </c>
      <c r="O67" s="21" t="s">
        <v>724</v>
      </c>
    </row>
    <row r="68" spans="1:15">
      <c r="A68" s="21">
        <v>37</v>
      </c>
      <c r="B68" s="21" t="s">
        <v>726</v>
      </c>
      <c r="M68" s="21" t="s">
        <v>727</v>
      </c>
      <c r="N68" s="21" t="s">
        <v>728</v>
      </c>
      <c r="O68" s="21" t="s">
        <v>727</v>
      </c>
    </row>
    <row r="69" spans="1:15">
      <c r="A69" s="21">
        <v>38</v>
      </c>
      <c r="B69" s="21" t="s">
        <v>729</v>
      </c>
      <c r="M69" s="21" t="s">
        <v>730</v>
      </c>
      <c r="N69" s="21" t="s">
        <v>731</v>
      </c>
      <c r="O69" s="21" t="s">
        <v>730</v>
      </c>
    </row>
    <row r="70" spans="1:15">
      <c r="A70" s="21">
        <v>39</v>
      </c>
      <c r="B70" s="21" t="s">
        <v>732</v>
      </c>
      <c r="M70" s="21" t="s">
        <v>733</v>
      </c>
      <c r="N70" s="21" t="s">
        <v>734</v>
      </c>
      <c r="O70" s="21" t="s">
        <v>733</v>
      </c>
    </row>
    <row r="71" spans="1:15">
      <c r="A71" s="21">
        <v>40</v>
      </c>
      <c r="B71" s="21" t="s">
        <v>735</v>
      </c>
      <c r="M71" s="21" t="s">
        <v>736</v>
      </c>
      <c r="N71" s="21" t="s">
        <v>737</v>
      </c>
      <c r="O71" s="21" t="s">
        <v>736</v>
      </c>
    </row>
    <row r="72" spans="1:15">
      <c r="A72" s="21">
        <v>41</v>
      </c>
      <c r="B72" s="21" t="s">
        <v>738</v>
      </c>
      <c r="M72" s="21" t="s">
        <v>739</v>
      </c>
      <c r="N72" s="21" t="s">
        <v>740</v>
      </c>
      <c r="O72" s="21" t="s">
        <v>739</v>
      </c>
    </row>
    <row r="73" spans="1:15">
      <c r="A73" s="21">
        <v>42</v>
      </c>
      <c r="B73" s="21" t="s">
        <v>741</v>
      </c>
      <c r="M73" s="21" t="s">
        <v>742</v>
      </c>
      <c r="N73" s="21" t="s">
        <v>743</v>
      </c>
      <c r="O73" s="21" t="s">
        <v>742</v>
      </c>
    </row>
    <row r="74" spans="1:15">
      <c r="A74" s="21">
        <v>43</v>
      </c>
      <c r="B74" s="21" t="s">
        <v>744</v>
      </c>
      <c r="M74" s="21" t="s">
        <v>745</v>
      </c>
      <c r="N74" s="21" t="s">
        <v>746</v>
      </c>
      <c r="O74" s="21" t="s">
        <v>745</v>
      </c>
    </row>
    <row r="75" spans="1:15">
      <c r="A75" s="21">
        <v>44</v>
      </c>
      <c r="B75" s="21" t="s">
        <v>747</v>
      </c>
      <c r="M75" s="21" t="s">
        <v>748</v>
      </c>
      <c r="N75" s="21" t="s">
        <v>749</v>
      </c>
      <c r="O75" s="21" t="s">
        <v>750</v>
      </c>
    </row>
    <row r="76" spans="1:15">
      <c r="A76" s="21">
        <v>45</v>
      </c>
      <c r="B76" s="21" t="s">
        <v>751</v>
      </c>
      <c r="M76" s="21" t="s">
        <v>752</v>
      </c>
      <c r="N76" s="21" t="s">
        <v>753</v>
      </c>
      <c r="O76" s="21" t="s">
        <v>752</v>
      </c>
    </row>
    <row r="77" spans="1:15">
      <c r="A77" s="21">
        <v>46</v>
      </c>
      <c r="B77" s="21" t="s">
        <v>754</v>
      </c>
      <c r="M77" s="21" t="s">
        <v>755</v>
      </c>
      <c r="N77" s="21" t="s">
        <v>756</v>
      </c>
      <c r="O77" s="21" t="s">
        <v>755</v>
      </c>
    </row>
    <row r="78" spans="1:15">
      <c r="A78" s="21">
        <v>47</v>
      </c>
      <c r="B78" s="21" t="s">
        <v>757</v>
      </c>
      <c r="M78" s="21" t="s">
        <v>758</v>
      </c>
      <c r="N78" s="21" t="s">
        <v>759</v>
      </c>
      <c r="O78" s="21" t="s">
        <v>758</v>
      </c>
    </row>
    <row r="79" spans="1:15">
      <c r="A79" s="21">
        <v>48</v>
      </c>
      <c r="B79" s="21" t="s">
        <v>760</v>
      </c>
      <c r="M79" s="21" t="s">
        <v>761</v>
      </c>
      <c r="N79" s="21" t="s">
        <v>762</v>
      </c>
      <c r="O79" s="21" t="s">
        <v>761</v>
      </c>
    </row>
    <row r="80" spans="1:15">
      <c r="A80" s="21">
        <v>49</v>
      </c>
      <c r="B80" s="21" t="s">
        <v>763</v>
      </c>
      <c r="M80" s="21" t="s">
        <v>764</v>
      </c>
      <c r="N80" s="21" t="s">
        <v>765</v>
      </c>
      <c r="O80" s="21" t="s">
        <v>764</v>
      </c>
    </row>
    <row r="81" spans="1:15">
      <c r="A81" s="21">
        <v>50</v>
      </c>
      <c r="B81" s="21" t="s">
        <v>766</v>
      </c>
      <c r="M81" s="21" t="s">
        <v>767</v>
      </c>
      <c r="N81" s="21" t="s">
        <v>768</v>
      </c>
      <c r="O81" s="21" t="s">
        <v>767</v>
      </c>
    </row>
    <row r="82" spans="1:15">
      <c r="A82" s="21">
        <v>51</v>
      </c>
      <c r="B82" s="21" t="s">
        <v>769</v>
      </c>
      <c r="M82" s="21" t="s">
        <v>770</v>
      </c>
      <c r="N82" s="21" t="s">
        <v>771</v>
      </c>
      <c r="O82" s="21" t="s">
        <v>770</v>
      </c>
    </row>
    <row r="83" spans="1:15">
      <c r="A83" s="21">
        <v>52</v>
      </c>
      <c r="B83" s="21" t="s">
        <v>772</v>
      </c>
      <c r="M83" s="21" t="s">
        <v>773</v>
      </c>
      <c r="N83" s="21" t="s">
        <v>774</v>
      </c>
      <c r="O83" s="21" t="s">
        <v>773</v>
      </c>
    </row>
    <row r="84" spans="1:15">
      <c r="A84" s="21">
        <v>53</v>
      </c>
      <c r="B84" s="21" t="s">
        <v>775</v>
      </c>
      <c r="M84" s="21" t="s">
        <v>776</v>
      </c>
      <c r="N84" s="21" t="s">
        <v>777</v>
      </c>
      <c r="O84" s="21" t="s">
        <v>776</v>
      </c>
    </row>
    <row r="85" spans="1:15">
      <c r="A85" s="21">
        <v>55</v>
      </c>
      <c r="B85" s="21" t="s">
        <v>778</v>
      </c>
      <c r="M85" s="21" t="s">
        <v>779</v>
      </c>
      <c r="N85" s="21" t="s">
        <v>780</v>
      </c>
      <c r="O85" s="21" t="s">
        <v>779</v>
      </c>
    </row>
    <row r="86" spans="1:15">
      <c r="A86" s="21">
        <v>56</v>
      </c>
      <c r="B86" s="21" t="s">
        <v>781</v>
      </c>
      <c r="M86" s="21" t="s">
        <v>782</v>
      </c>
      <c r="N86" s="21" t="s">
        <v>783</v>
      </c>
      <c r="O86" s="21" t="s">
        <v>782</v>
      </c>
    </row>
    <row r="87" spans="1:15">
      <c r="A87" s="21">
        <v>57</v>
      </c>
      <c r="B87" s="21" t="s">
        <v>784</v>
      </c>
      <c r="M87" s="21" t="s">
        <v>785</v>
      </c>
      <c r="N87" s="21" t="s">
        <v>786</v>
      </c>
      <c r="O87" s="21" t="s">
        <v>785</v>
      </c>
    </row>
    <row r="88" spans="1:15">
      <c r="A88" s="21">
        <v>58</v>
      </c>
      <c r="B88" s="21" t="s">
        <v>787</v>
      </c>
      <c r="M88" s="21" t="s">
        <v>788</v>
      </c>
      <c r="N88" s="21" t="s">
        <v>789</v>
      </c>
      <c r="O88" s="21" t="s">
        <v>788</v>
      </c>
    </row>
    <row r="89" spans="1:15">
      <c r="A89" s="21">
        <v>60</v>
      </c>
      <c r="B89" s="21" t="s">
        <v>790</v>
      </c>
      <c r="M89" s="21" t="s">
        <v>791</v>
      </c>
      <c r="N89" s="21" t="s">
        <v>792</v>
      </c>
      <c r="O89" s="21" t="s">
        <v>791</v>
      </c>
    </row>
    <row r="90" spans="1:15">
      <c r="A90" s="21">
        <v>61</v>
      </c>
      <c r="B90" s="21" t="s">
        <v>793</v>
      </c>
      <c r="M90" s="21" t="s">
        <v>794</v>
      </c>
      <c r="N90" s="21" t="s">
        <v>795</v>
      </c>
      <c r="O90" s="21" t="s">
        <v>794</v>
      </c>
    </row>
    <row r="91" spans="1:15">
      <c r="A91" s="21">
        <v>62</v>
      </c>
      <c r="B91" s="21" t="s">
        <v>796</v>
      </c>
      <c r="M91" s="21" t="s">
        <v>797</v>
      </c>
      <c r="N91" s="21" t="s">
        <v>798</v>
      </c>
      <c r="O91" s="21" t="s">
        <v>797</v>
      </c>
    </row>
    <row r="92" spans="1:15">
      <c r="A92" s="21">
        <v>63</v>
      </c>
      <c r="B92" s="21" t="s">
        <v>799</v>
      </c>
      <c r="M92" s="21" t="s">
        <v>800</v>
      </c>
      <c r="N92" s="21" t="s">
        <v>801</v>
      </c>
      <c r="O92" s="21" t="s">
        <v>800</v>
      </c>
    </row>
    <row r="93" spans="1:15">
      <c r="A93" s="21">
        <v>64</v>
      </c>
      <c r="B93" s="21" t="s">
        <v>802</v>
      </c>
      <c r="M93" s="21" t="s">
        <v>803</v>
      </c>
      <c r="N93" s="21" t="s">
        <v>804</v>
      </c>
      <c r="O93" s="21" t="s">
        <v>803</v>
      </c>
    </row>
    <row r="94" spans="1:15">
      <c r="A94" s="21">
        <v>65</v>
      </c>
      <c r="B94" s="21" t="s">
        <v>805</v>
      </c>
      <c r="M94" s="21" t="s">
        <v>806</v>
      </c>
      <c r="N94" s="21" t="s">
        <v>807</v>
      </c>
      <c r="O94" s="21" t="s">
        <v>806</v>
      </c>
    </row>
    <row r="95" spans="1:15">
      <c r="A95" s="21">
        <v>66</v>
      </c>
      <c r="B95" s="21" t="s">
        <v>808</v>
      </c>
      <c r="M95" s="21" t="s">
        <v>809</v>
      </c>
      <c r="N95" s="21" t="s">
        <v>810</v>
      </c>
      <c r="O95" s="21" t="s">
        <v>809</v>
      </c>
    </row>
    <row r="96" spans="1:15">
      <c r="A96" s="21">
        <v>67</v>
      </c>
      <c r="B96" s="21" t="s">
        <v>811</v>
      </c>
      <c r="M96" s="21" t="s">
        <v>812</v>
      </c>
      <c r="N96" s="21" t="s">
        <v>813</v>
      </c>
      <c r="O96" s="21" t="s">
        <v>812</v>
      </c>
    </row>
    <row r="97" spans="1:15">
      <c r="A97" s="21">
        <v>68</v>
      </c>
      <c r="B97" s="21" t="s">
        <v>814</v>
      </c>
      <c r="M97" s="21" t="s">
        <v>815</v>
      </c>
      <c r="N97" s="21" t="s">
        <v>816</v>
      </c>
      <c r="O97" s="21" t="s">
        <v>815</v>
      </c>
    </row>
    <row r="98" spans="1:15">
      <c r="A98" s="21">
        <v>69</v>
      </c>
      <c r="B98" s="21" t="s">
        <v>817</v>
      </c>
      <c r="M98" s="21" t="s">
        <v>818</v>
      </c>
      <c r="N98" s="21" t="s">
        <v>819</v>
      </c>
      <c r="O98" s="21" t="s">
        <v>818</v>
      </c>
    </row>
    <row r="99" spans="1:15">
      <c r="A99" s="21">
        <v>70</v>
      </c>
      <c r="B99" s="21" t="s">
        <v>820</v>
      </c>
      <c r="M99" s="21" t="s">
        <v>821</v>
      </c>
      <c r="N99" s="21" t="s">
        <v>822</v>
      </c>
      <c r="O99" s="21" t="s">
        <v>821</v>
      </c>
    </row>
    <row r="100" spans="1:15">
      <c r="A100" s="21">
        <v>71</v>
      </c>
      <c r="B100" s="21" t="s">
        <v>823</v>
      </c>
      <c r="M100" s="21" t="s">
        <v>824</v>
      </c>
      <c r="N100" s="21" t="s">
        <v>825</v>
      </c>
      <c r="O100" s="21" t="s">
        <v>824</v>
      </c>
    </row>
    <row r="101" spans="1:15">
      <c r="A101" s="21">
        <v>72</v>
      </c>
      <c r="B101" s="21" t="s">
        <v>826</v>
      </c>
      <c r="M101" s="21" t="s">
        <v>827</v>
      </c>
      <c r="N101" s="21" t="s">
        <v>828</v>
      </c>
      <c r="O101" s="21" t="s">
        <v>827</v>
      </c>
    </row>
    <row r="102" spans="1:15">
      <c r="A102" s="21">
        <v>73</v>
      </c>
      <c r="B102" s="21" t="s">
        <v>829</v>
      </c>
      <c r="M102" s="21" t="s">
        <v>830</v>
      </c>
      <c r="N102" s="21" t="s">
        <v>831</v>
      </c>
      <c r="O102" s="21" t="s">
        <v>830</v>
      </c>
    </row>
    <row r="103" spans="1:15">
      <c r="A103" s="21">
        <v>74</v>
      </c>
      <c r="B103" s="21" t="s">
        <v>832</v>
      </c>
      <c r="M103" s="21" t="s">
        <v>833</v>
      </c>
      <c r="N103" s="21" t="s">
        <v>834</v>
      </c>
      <c r="O103" s="21" t="s">
        <v>833</v>
      </c>
    </row>
    <row r="104" spans="1:15">
      <c r="A104" s="21">
        <v>75</v>
      </c>
      <c r="B104" s="21" t="s">
        <v>835</v>
      </c>
      <c r="M104" s="21" t="s">
        <v>836</v>
      </c>
      <c r="N104" s="21" t="s">
        <v>837</v>
      </c>
      <c r="O104" s="21" t="s">
        <v>836</v>
      </c>
    </row>
    <row r="105" spans="1:15">
      <c r="A105" s="21">
        <v>100</v>
      </c>
      <c r="B105" s="21" t="s">
        <v>838</v>
      </c>
      <c r="M105" s="21" t="s">
        <v>839</v>
      </c>
      <c r="N105" s="21" t="s">
        <v>840</v>
      </c>
      <c r="O105" s="21" t="s">
        <v>839</v>
      </c>
    </row>
    <row r="106" spans="1:15">
      <c r="A106" s="21">
        <v>101</v>
      </c>
      <c r="B106" s="21" t="s">
        <v>841</v>
      </c>
      <c r="M106" s="21" t="s">
        <v>842</v>
      </c>
      <c r="N106" s="21" t="s">
        <v>843</v>
      </c>
      <c r="O106" s="21" t="s">
        <v>842</v>
      </c>
    </row>
    <row r="107" spans="1:15">
      <c r="A107" s="21">
        <v>102</v>
      </c>
      <c r="B107" s="21" t="s">
        <v>399</v>
      </c>
      <c r="M107" s="21" t="s">
        <v>844</v>
      </c>
      <c r="N107" s="21" t="s">
        <v>845</v>
      </c>
      <c r="O107" s="21" t="s">
        <v>844</v>
      </c>
    </row>
    <row r="108" spans="1:15">
      <c r="A108" s="21">
        <v>103</v>
      </c>
      <c r="B108" s="21" t="s">
        <v>846</v>
      </c>
      <c r="M108" s="21" t="s">
        <v>847</v>
      </c>
      <c r="N108" s="21" t="s">
        <v>848</v>
      </c>
      <c r="O108" s="21" t="s">
        <v>847</v>
      </c>
    </row>
    <row r="109" spans="1:15">
      <c r="A109" s="21">
        <v>104</v>
      </c>
      <c r="B109" s="21" t="s">
        <v>849</v>
      </c>
      <c r="M109" s="21" t="s">
        <v>850</v>
      </c>
      <c r="N109" s="21" t="s">
        <v>851</v>
      </c>
      <c r="O109" s="21" t="s">
        <v>850</v>
      </c>
    </row>
    <row r="110" spans="1:15">
      <c r="A110" s="21">
        <v>105</v>
      </c>
      <c r="B110" s="21" t="s">
        <v>852</v>
      </c>
      <c r="M110" s="21" t="s">
        <v>853</v>
      </c>
      <c r="N110" s="21" t="s">
        <v>854</v>
      </c>
      <c r="O110" s="21" t="s">
        <v>853</v>
      </c>
    </row>
    <row r="111" spans="1:15">
      <c r="A111" s="21">
        <v>106</v>
      </c>
      <c r="B111" s="21" t="s">
        <v>855</v>
      </c>
      <c r="M111" s="21" t="s">
        <v>856</v>
      </c>
      <c r="N111" s="21" t="s">
        <v>857</v>
      </c>
      <c r="O111" s="21" t="s">
        <v>856</v>
      </c>
    </row>
    <row r="112" spans="1:15">
      <c r="A112" s="21">
        <v>107</v>
      </c>
      <c r="B112" s="21" t="s">
        <v>858</v>
      </c>
      <c r="M112" s="21" t="s">
        <v>859</v>
      </c>
      <c r="N112" s="21" t="s">
        <v>860</v>
      </c>
      <c r="O112" s="21" t="s">
        <v>859</v>
      </c>
    </row>
    <row r="113" spans="1:15">
      <c r="A113" s="21">
        <v>108</v>
      </c>
      <c r="B113" s="21" t="s">
        <v>861</v>
      </c>
      <c r="M113" s="21" t="s">
        <v>862</v>
      </c>
      <c r="N113" s="21" t="s">
        <v>863</v>
      </c>
      <c r="O113" s="21" t="s">
        <v>862</v>
      </c>
    </row>
    <row r="114" spans="1:15">
      <c r="A114" s="21">
        <v>109</v>
      </c>
      <c r="B114" s="21" t="s">
        <v>864</v>
      </c>
      <c r="M114" s="21" t="s">
        <v>865</v>
      </c>
      <c r="N114" s="21" t="s">
        <v>866</v>
      </c>
      <c r="O114" s="21" t="s">
        <v>865</v>
      </c>
    </row>
    <row r="115" spans="1:15">
      <c r="A115" s="21">
        <v>110</v>
      </c>
      <c r="B115" s="21" t="s">
        <v>867</v>
      </c>
      <c r="M115" s="21" t="s">
        <v>868</v>
      </c>
      <c r="N115" s="21" t="s">
        <v>869</v>
      </c>
      <c r="O115" s="21" t="s">
        <v>868</v>
      </c>
    </row>
    <row r="116" spans="1:15">
      <c r="A116" s="21">
        <v>111</v>
      </c>
      <c r="B116" s="21" t="s">
        <v>870</v>
      </c>
      <c r="M116" s="21" t="s">
        <v>871</v>
      </c>
      <c r="N116" s="21" t="s">
        <v>872</v>
      </c>
      <c r="O116" s="21" t="s">
        <v>871</v>
      </c>
    </row>
    <row r="117" spans="1:15">
      <c r="A117" s="21">
        <v>112</v>
      </c>
      <c r="B117" s="21" t="s">
        <v>873</v>
      </c>
      <c r="M117" s="21" t="s">
        <v>874</v>
      </c>
      <c r="N117" s="21" t="s">
        <v>875</v>
      </c>
      <c r="O117" s="21" t="s">
        <v>874</v>
      </c>
    </row>
    <row r="118" spans="1:15">
      <c r="A118" s="21">
        <v>113</v>
      </c>
      <c r="B118" s="21" t="s">
        <v>876</v>
      </c>
      <c r="M118" s="21" t="s">
        <v>877</v>
      </c>
      <c r="N118" s="21" t="s">
        <v>878</v>
      </c>
      <c r="O118" s="21" t="s">
        <v>877</v>
      </c>
    </row>
    <row r="119" spans="1:15">
      <c r="A119" s="21">
        <v>114</v>
      </c>
      <c r="B119" s="21" t="s">
        <v>879</v>
      </c>
      <c r="M119" s="21" t="s">
        <v>880</v>
      </c>
      <c r="N119" s="21" t="s">
        <v>881</v>
      </c>
      <c r="O119" s="21" t="s">
        <v>880</v>
      </c>
    </row>
    <row r="120" spans="1:15">
      <c r="A120" s="21">
        <v>115</v>
      </c>
      <c r="B120" s="21" t="s">
        <v>882</v>
      </c>
      <c r="M120" s="21" t="s">
        <v>883</v>
      </c>
      <c r="N120" s="21" t="s">
        <v>884</v>
      </c>
      <c r="O120" s="21" t="s">
        <v>883</v>
      </c>
    </row>
    <row r="121" spans="1:15">
      <c r="A121" s="21">
        <v>116</v>
      </c>
      <c r="B121" s="21" t="s">
        <v>885</v>
      </c>
      <c r="M121" s="21" t="s">
        <v>886</v>
      </c>
      <c r="N121" s="21" t="s">
        <v>887</v>
      </c>
      <c r="O121" s="21" t="s">
        <v>886</v>
      </c>
    </row>
    <row r="122" spans="1:15">
      <c r="A122" s="21">
        <v>117</v>
      </c>
      <c r="B122" s="21" t="s">
        <v>888</v>
      </c>
      <c r="M122" s="21" t="s">
        <v>889</v>
      </c>
      <c r="N122" s="21" t="s">
        <v>890</v>
      </c>
      <c r="O122" s="21" t="s">
        <v>889</v>
      </c>
    </row>
    <row r="123" spans="1:15">
      <c r="A123" s="21">
        <v>118</v>
      </c>
      <c r="B123" s="21" t="s">
        <v>891</v>
      </c>
      <c r="M123" s="21" t="s">
        <v>892</v>
      </c>
      <c r="N123" s="21" t="s">
        <v>893</v>
      </c>
      <c r="O123" s="21" t="s">
        <v>892</v>
      </c>
    </row>
    <row r="124" spans="1:15">
      <c r="A124" s="21">
        <v>119</v>
      </c>
      <c r="B124" s="21" t="s">
        <v>894</v>
      </c>
      <c r="M124" s="21" t="s">
        <v>895</v>
      </c>
      <c r="N124" s="21" t="s">
        <v>896</v>
      </c>
      <c r="O124" s="21" t="s">
        <v>895</v>
      </c>
    </row>
    <row r="125" spans="1:15">
      <c r="A125" s="21">
        <v>120</v>
      </c>
      <c r="B125" s="21" t="s">
        <v>897</v>
      </c>
      <c r="M125" s="21" t="s">
        <v>898</v>
      </c>
      <c r="N125" s="21" t="s">
        <v>899</v>
      </c>
      <c r="O125" s="21" t="s">
        <v>898</v>
      </c>
    </row>
    <row r="126" spans="1:15">
      <c r="A126" s="21">
        <v>121</v>
      </c>
      <c r="B126" s="21" t="s">
        <v>900</v>
      </c>
      <c r="M126" s="18" t="s">
        <v>901</v>
      </c>
      <c r="N126" s="18" t="s">
        <v>902</v>
      </c>
      <c r="O126" s="18" t="s">
        <v>301</v>
      </c>
    </row>
    <row r="127" spans="1:15">
      <c r="A127" s="21">
        <v>122</v>
      </c>
      <c r="B127" s="21" t="s">
        <v>409</v>
      </c>
      <c r="M127" s="21" t="s">
        <v>903</v>
      </c>
      <c r="N127" s="21" t="s">
        <v>904</v>
      </c>
      <c r="O127" s="21" t="s">
        <v>903</v>
      </c>
    </row>
    <row r="128" spans="1:15">
      <c r="A128" s="21">
        <v>123</v>
      </c>
      <c r="B128" s="21" t="s">
        <v>905</v>
      </c>
      <c r="M128" s="21" t="s">
        <v>906</v>
      </c>
      <c r="N128" s="21" t="s">
        <v>907</v>
      </c>
      <c r="O128" s="21" t="s">
        <v>906</v>
      </c>
    </row>
    <row r="129" spans="1:15">
      <c r="A129" s="21">
        <v>125</v>
      </c>
      <c r="B129" s="21" t="s">
        <v>908</v>
      </c>
      <c r="M129" s="21" t="s">
        <v>909</v>
      </c>
      <c r="N129" s="21" t="s">
        <v>910</v>
      </c>
      <c r="O129" s="21" t="s">
        <v>909</v>
      </c>
    </row>
    <row r="130" spans="1:15">
      <c r="A130" s="21">
        <v>126</v>
      </c>
      <c r="B130" s="21" t="s">
        <v>911</v>
      </c>
      <c r="M130" s="21" t="s">
        <v>912</v>
      </c>
      <c r="N130" s="21" t="s">
        <v>913</v>
      </c>
      <c r="O130" s="21" t="s">
        <v>912</v>
      </c>
    </row>
    <row r="131" spans="1:15">
      <c r="A131" s="21">
        <v>127</v>
      </c>
      <c r="B131" s="21" t="s">
        <v>914</v>
      </c>
      <c r="M131" s="21" t="s">
        <v>915</v>
      </c>
      <c r="N131" s="21" t="s">
        <v>916</v>
      </c>
      <c r="O131" s="21" t="s">
        <v>915</v>
      </c>
    </row>
    <row r="132" spans="1:15">
      <c r="A132" s="21">
        <v>128</v>
      </c>
      <c r="B132" s="21" t="s">
        <v>917</v>
      </c>
      <c r="M132" s="21" t="s">
        <v>918</v>
      </c>
      <c r="N132" s="21" t="s">
        <v>919</v>
      </c>
      <c r="O132" s="21" t="s">
        <v>918</v>
      </c>
    </row>
    <row r="133" spans="1:15">
      <c r="A133" s="21">
        <v>129</v>
      </c>
      <c r="B133" s="21" t="s">
        <v>920</v>
      </c>
      <c r="M133" s="21" t="s">
        <v>921</v>
      </c>
      <c r="N133" s="21" t="s">
        <v>922</v>
      </c>
      <c r="O133" s="21" t="s">
        <v>921</v>
      </c>
    </row>
    <row r="134" spans="1:15">
      <c r="A134" s="21">
        <v>130</v>
      </c>
      <c r="B134" s="21" t="s">
        <v>923</v>
      </c>
      <c r="M134" s="21" t="s">
        <v>924</v>
      </c>
      <c r="N134" s="21" t="s">
        <v>925</v>
      </c>
      <c r="O134" s="21" t="s">
        <v>924</v>
      </c>
    </row>
    <row r="135" spans="1:15">
      <c r="A135" s="21">
        <v>131</v>
      </c>
      <c r="B135" s="21" t="s">
        <v>926</v>
      </c>
      <c r="M135" s="21" t="s">
        <v>927</v>
      </c>
      <c r="N135" s="21" t="s">
        <v>928</v>
      </c>
      <c r="O135" s="21" t="s">
        <v>927</v>
      </c>
    </row>
    <row r="136" spans="1:15">
      <c r="A136" s="21">
        <v>133</v>
      </c>
      <c r="B136" s="21" t="s">
        <v>929</v>
      </c>
      <c r="M136" s="21" t="s">
        <v>930</v>
      </c>
      <c r="N136" s="21" t="s">
        <v>931</v>
      </c>
      <c r="O136" s="21" t="s">
        <v>930</v>
      </c>
    </row>
    <row r="137" spans="1:15">
      <c r="A137" s="21">
        <v>134</v>
      </c>
      <c r="B137" s="21" t="s">
        <v>932</v>
      </c>
      <c r="M137" s="21" t="s">
        <v>933</v>
      </c>
      <c r="N137" s="21" t="s">
        <v>934</v>
      </c>
      <c r="O137" s="21" t="s">
        <v>933</v>
      </c>
    </row>
    <row r="138" spans="1:15">
      <c r="A138" s="21">
        <v>135</v>
      </c>
      <c r="B138" s="21" t="s">
        <v>935</v>
      </c>
      <c r="M138" s="21" t="s">
        <v>936</v>
      </c>
      <c r="N138" s="21" t="s">
        <v>937</v>
      </c>
      <c r="O138" s="21" t="s">
        <v>936</v>
      </c>
    </row>
    <row r="139" spans="1:15">
      <c r="A139" s="21">
        <v>136</v>
      </c>
      <c r="B139" s="21" t="s">
        <v>938</v>
      </c>
      <c r="M139" s="21" t="s">
        <v>939</v>
      </c>
      <c r="N139" s="21" t="s">
        <v>940</v>
      </c>
      <c r="O139" s="21" t="s">
        <v>939</v>
      </c>
    </row>
    <row r="140" spans="1:15">
      <c r="A140" s="21">
        <v>137</v>
      </c>
      <c r="B140" s="21" t="s">
        <v>941</v>
      </c>
      <c r="M140" s="21" t="s">
        <v>942</v>
      </c>
      <c r="N140" s="21" t="s">
        <v>943</v>
      </c>
      <c r="O140" s="21" t="s">
        <v>942</v>
      </c>
    </row>
    <row r="141" spans="1:15">
      <c r="A141" s="21">
        <v>138</v>
      </c>
      <c r="B141" s="21" t="s">
        <v>944</v>
      </c>
      <c r="M141" s="21" t="s">
        <v>945</v>
      </c>
      <c r="N141" s="21" t="s">
        <v>946</v>
      </c>
      <c r="O141" s="21" t="s">
        <v>945</v>
      </c>
    </row>
    <row r="142" spans="1:15">
      <c r="A142" s="21">
        <v>139</v>
      </c>
      <c r="B142" s="21" t="s">
        <v>947</v>
      </c>
      <c r="M142" s="21" t="s">
        <v>948</v>
      </c>
      <c r="N142" s="21" t="s">
        <v>949</v>
      </c>
      <c r="O142" s="21" t="s">
        <v>948</v>
      </c>
    </row>
    <row r="143" spans="1:15">
      <c r="A143" s="21">
        <v>140</v>
      </c>
      <c r="B143" s="21" t="s">
        <v>950</v>
      </c>
      <c r="M143" s="21" t="s">
        <v>951</v>
      </c>
      <c r="N143" s="21" t="s">
        <v>952</v>
      </c>
      <c r="O143" s="21" t="s">
        <v>951</v>
      </c>
    </row>
    <row r="144" spans="1:15">
      <c r="A144" s="21">
        <v>141</v>
      </c>
      <c r="B144" s="21" t="s">
        <v>953</v>
      </c>
      <c r="M144" s="21" t="s">
        <v>954</v>
      </c>
      <c r="N144" s="21" t="s">
        <v>955</v>
      </c>
      <c r="O144" s="21" t="s">
        <v>954</v>
      </c>
    </row>
    <row r="145" spans="1:15">
      <c r="A145" s="21">
        <v>142</v>
      </c>
      <c r="B145" s="21" t="s">
        <v>956</v>
      </c>
      <c r="M145" s="21" t="s">
        <v>957</v>
      </c>
      <c r="N145" s="21" t="s">
        <v>958</v>
      </c>
      <c r="O145" s="21" t="s">
        <v>957</v>
      </c>
    </row>
    <row r="146" spans="1:15">
      <c r="A146" s="21">
        <v>143</v>
      </c>
      <c r="B146" s="21" t="s">
        <v>959</v>
      </c>
      <c r="M146" s="21" t="s">
        <v>960</v>
      </c>
      <c r="N146" s="21" t="s">
        <v>961</v>
      </c>
      <c r="O146" s="21" t="s">
        <v>960</v>
      </c>
    </row>
    <row r="147" spans="1:15">
      <c r="A147" s="21">
        <v>144</v>
      </c>
      <c r="B147" s="21" t="s">
        <v>959</v>
      </c>
      <c r="M147" s="21" t="s">
        <v>962</v>
      </c>
      <c r="N147" s="21" t="s">
        <v>963</v>
      </c>
      <c r="O147" s="21" t="s">
        <v>962</v>
      </c>
    </row>
    <row r="148" spans="1:15">
      <c r="A148" s="21">
        <v>145</v>
      </c>
      <c r="B148" s="21" t="s">
        <v>959</v>
      </c>
      <c r="M148" s="21" t="s">
        <v>964</v>
      </c>
      <c r="N148" s="21" t="s">
        <v>965</v>
      </c>
      <c r="O148" s="21" t="s">
        <v>964</v>
      </c>
    </row>
    <row r="149" spans="1:15">
      <c r="A149" s="21">
        <v>146</v>
      </c>
      <c r="B149" s="21" t="s">
        <v>959</v>
      </c>
      <c r="M149" s="18" t="s">
        <v>966</v>
      </c>
      <c r="N149" s="18" t="s">
        <v>300</v>
      </c>
      <c r="O149" s="18" t="s">
        <v>301</v>
      </c>
    </row>
    <row r="150" spans="1:15">
      <c r="A150" s="21">
        <v>147</v>
      </c>
      <c r="B150" s="21" t="s">
        <v>959</v>
      </c>
      <c r="M150" s="21" t="s">
        <v>967</v>
      </c>
      <c r="N150" s="21" t="s">
        <v>968</v>
      </c>
      <c r="O150" s="21" t="s">
        <v>967</v>
      </c>
    </row>
    <row r="151" spans="1:15">
      <c r="A151" s="21">
        <v>148</v>
      </c>
      <c r="B151" s="21" t="s">
        <v>969</v>
      </c>
      <c r="M151" s="21" t="s">
        <v>970</v>
      </c>
      <c r="N151" s="21" t="s">
        <v>971</v>
      </c>
      <c r="O151" s="21" t="s">
        <v>970</v>
      </c>
    </row>
    <row r="152" spans="1:15">
      <c r="A152" s="21">
        <v>149</v>
      </c>
      <c r="B152" s="21" t="s">
        <v>972</v>
      </c>
      <c r="M152" s="21" t="s">
        <v>973</v>
      </c>
      <c r="N152" s="21" t="s">
        <v>974</v>
      </c>
      <c r="O152" s="21" t="s">
        <v>973</v>
      </c>
    </row>
    <row r="153" spans="1:15">
      <c r="A153" s="21">
        <v>150</v>
      </c>
      <c r="B153" s="21" t="s">
        <v>407</v>
      </c>
      <c r="M153" s="21" t="s">
        <v>975</v>
      </c>
      <c r="N153" s="21" t="s">
        <v>976</v>
      </c>
      <c r="O153" s="21" t="s">
        <v>975</v>
      </c>
    </row>
    <row r="154" spans="1:15">
      <c r="A154" s="21">
        <v>151</v>
      </c>
      <c r="B154" s="21" t="s">
        <v>977</v>
      </c>
      <c r="M154" s="21" t="s">
        <v>978</v>
      </c>
      <c r="N154" s="21" t="s">
        <v>979</v>
      </c>
      <c r="O154" s="21" t="s">
        <v>978</v>
      </c>
    </row>
    <row r="155" spans="1:15">
      <c r="A155" s="21">
        <v>152</v>
      </c>
      <c r="B155" s="21" t="s">
        <v>980</v>
      </c>
      <c r="M155" s="21" t="s">
        <v>981</v>
      </c>
      <c r="N155" s="21" t="s">
        <v>982</v>
      </c>
      <c r="O155" s="21" t="s">
        <v>981</v>
      </c>
    </row>
    <row r="156" spans="1:15">
      <c r="A156" s="21">
        <v>153</v>
      </c>
      <c r="B156" s="21" t="s">
        <v>983</v>
      </c>
      <c r="M156" s="21" t="s">
        <v>984</v>
      </c>
      <c r="N156" s="21" t="s">
        <v>985</v>
      </c>
      <c r="O156" s="21" t="s">
        <v>984</v>
      </c>
    </row>
    <row r="157" spans="1:15">
      <c r="A157" s="21">
        <v>155</v>
      </c>
      <c r="B157" s="21" t="s">
        <v>986</v>
      </c>
      <c r="M157" s="21" t="s">
        <v>987</v>
      </c>
      <c r="N157" s="21" t="s">
        <v>988</v>
      </c>
      <c r="O157" s="21" t="s">
        <v>987</v>
      </c>
    </row>
    <row r="158" spans="1:15">
      <c r="A158" s="21">
        <v>156</v>
      </c>
      <c r="B158" s="21" t="s">
        <v>989</v>
      </c>
      <c r="M158" s="21" t="s">
        <v>990</v>
      </c>
      <c r="N158" s="21" t="s">
        <v>991</v>
      </c>
      <c r="O158" s="21" t="s">
        <v>990</v>
      </c>
    </row>
    <row r="159" spans="1:15">
      <c r="A159" s="21">
        <v>157</v>
      </c>
      <c r="B159" s="21" t="s">
        <v>992</v>
      </c>
      <c r="M159" s="21" t="s">
        <v>993</v>
      </c>
      <c r="N159" s="21" t="s">
        <v>994</v>
      </c>
      <c r="O159" s="21" t="s">
        <v>993</v>
      </c>
    </row>
    <row r="160" spans="1:15">
      <c r="A160" s="21">
        <v>158</v>
      </c>
      <c r="B160" s="21" t="s">
        <v>995</v>
      </c>
      <c r="M160" s="21" t="s">
        <v>996</v>
      </c>
      <c r="N160" s="21" t="s">
        <v>997</v>
      </c>
      <c r="O160" s="21" t="s">
        <v>996</v>
      </c>
    </row>
    <row r="161" spans="1:15">
      <c r="A161" s="21">
        <v>159</v>
      </c>
      <c r="B161" s="21" t="s">
        <v>395</v>
      </c>
      <c r="M161" s="21" t="s">
        <v>998</v>
      </c>
      <c r="N161" s="21" t="s">
        <v>999</v>
      </c>
      <c r="O161" s="21" t="s">
        <v>998</v>
      </c>
    </row>
    <row r="162" spans="1:15">
      <c r="A162" s="21">
        <v>160</v>
      </c>
      <c r="B162" s="21" t="s">
        <v>1000</v>
      </c>
      <c r="M162" s="18" t="s">
        <v>1001</v>
      </c>
      <c r="N162" s="18" t="s">
        <v>300</v>
      </c>
      <c r="O162" s="18" t="s">
        <v>301</v>
      </c>
    </row>
    <row r="163" spans="1:15">
      <c r="A163" s="21">
        <v>161</v>
      </c>
      <c r="B163" s="21" t="s">
        <v>1002</v>
      </c>
      <c r="M163" s="21" t="s">
        <v>1003</v>
      </c>
      <c r="N163" s="21" t="s">
        <v>1004</v>
      </c>
      <c r="O163" s="21" t="s">
        <v>1003</v>
      </c>
    </row>
    <row r="164" spans="1:15">
      <c r="A164" s="21">
        <v>162</v>
      </c>
      <c r="B164" s="21" t="s">
        <v>1005</v>
      </c>
      <c r="M164" s="21" t="s">
        <v>1006</v>
      </c>
      <c r="N164" s="21" t="s">
        <v>1007</v>
      </c>
      <c r="O164" s="21" t="s">
        <v>1006</v>
      </c>
    </row>
    <row r="165" spans="1:15">
      <c r="A165" s="21">
        <v>163</v>
      </c>
      <c r="B165" s="21" t="s">
        <v>1008</v>
      </c>
      <c r="M165" s="21" t="s">
        <v>1009</v>
      </c>
      <c r="N165" s="21" t="s">
        <v>1010</v>
      </c>
      <c r="O165" s="21" t="s">
        <v>1009</v>
      </c>
    </row>
    <row r="166" spans="1:15">
      <c r="A166" s="21">
        <v>164</v>
      </c>
      <c r="B166" s="21" t="s">
        <v>1011</v>
      </c>
      <c r="M166" s="21" t="s">
        <v>1012</v>
      </c>
      <c r="N166" s="21" t="s">
        <v>1013</v>
      </c>
      <c r="O166" s="21" t="s">
        <v>1014</v>
      </c>
    </row>
    <row r="167" spans="1:15">
      <c r="A167" s="21">
        <v>165</v>
      </c>
      <c r="B167" s="21" t="s">
        <v>1015</v>
      </c>
      <c r="M167" s="21" t="s">
        <v>1016</v>
      </c>
      <c r="N167" s="21" t="s">
        <v>1017</v>
      </c>
      <c r="O167" s="21" t="s">
        <v>1018</v>
      </c>
    </row>
    <row r="168" spans="1:15">
      <c r="A168" s="21">
        <v>167</v>
      </c>
      <c r="B168" s="21" t="s">
        <v>1019</v>
      </c>
      <c r="M168" s="21">
        <v>666666</v>
      </c>
      <c r="N168" s="21" t="s">
        <v>1020</v>
      </c>
      <c r="O168" s="21">
        <v>666666</v>
      </c>
    </row>
    <row r="169" spans="1:15">
      <c r="A169" s="21">
        <v>169</v>
      </c>
      <c r="B169" s="21" t="s">
        <v>1021</v>
      </c>
      <c r="M169" s="21" t="s">
        <v>1022</v>
      </c>
      <c r="N169" s="21" t="s">
        <v>1023</v>
      </c>
      <c r="O169" s="21" t="s">
        <v>1022</v>
      </c>
    </row>
    <row r="170" spans="1:15">
      <c r="A170" s="21">
        <v>170</v>
      </c>
      <c r="B170" s="21" t="s">
        <v>1024</v>
      </c>
      <c r="M170" s="21" t="s">
        <v>1025</v>
      </c>
      <c r="N170" s="21" t="s">
        <v>1026</v>
      </c>
      <c r="O170" s="21" t="s">
        <v>1025</v>
      </c>
    </row>
    <row r="171" spans="1:15">
      <c r="A171" s="21">
        <v>171</v>
      </c>
      <c r="B171" s="21" t="s">
        <v>1027</v>
      </c>
      <c r="M171" s="21"/>
      <c r="N171" s="21"/>
      <c r="O171" s="21"/>
    </row>
    <row r="172" spans="1:15">
      <c r="A172" s="21">
        <v>172</v>
      </c>
      <c r="B172" s="21" t="s">
        <v>450</v>
      </c>
      <c r="M172" s="21"/>
      <c r="N172" s="21"/>
      <c r="O172" s="21"/>
    </row>
    <row r="173" spans="1:15">
      <c r="A173" s="21">
        <v>173</v>
      </c>
      <c r="B173" s="21" t="s">
        <v>1028</v>
      </c>
      <c r="M173" s="21"/>
      <c r="N173" s="21"/>
      <c r="O173" s="21"/>
    </row>
    <row r="174" spans="1:15">
      <c r="A174" s="21">
        <v>174</v>
      </c>
      <c r="B174" s="21" t="s">
        <v>1029</v>
      </c>
      <c r="M174" s="21"/>
      <c r="N174" s="21"/>
      <c r="O174" s="21"/>
    </row>
    <row r="175" spans="1:15">
      <c r="A175" s="21">
        <v>175</v>
      </c>
      <c r="B175" s="21" t="s">
        <v>1030</v>
      </c>
      <c r="M175" s="21"/>
      <c r="N175" s="21"/>
      <c r="O175" s="21"/>
    </row>
    <row r="176" spans="1:15">
      <c r="A176" s="21">
        <v>176</v>
      </c>
      <c r="B176" s="21" t="s">
        <v>1031</v>
      </c>
      <c r="M176" s="21"/>
      <c r="N176" s="21"/>
      <c r="O176" s="21"/>
    </row>
    <row r="177" spans="1:15">
      <c r="A177" s="21">
        <v>177</v>
      </c>
      <c r="B177" s="21" t="s">
        <v>1032</v>
      </c>
      <c r="M177" s="21"/>
      <c r="N177" s="21"/>
      <c r="O177" s="21"/>
    </row>
    <row r="178" spans="1:15">
      <c r="A178" s="21">
        <v>178</v>
      </c>
      <c r="B178" s="21" t="s">
        <v>1033</v>
      </c>
      <c r="M178" s="21"/>
      <c r="N178" s="21"/>
      <c r="O178" s="21"/>
    </row>
    <row r="179" spans="1:15">
      <c r="A179" s="21">
        <v>179</v>
      </c>
      <c r="B179" s="21" t="s">
        <v>1034</v>
      </c>
      <c r="M179" s="21"/>
      <c r="N179" s="21"/>
      <c r="O179" s="21"/>
    </row>
    <row r="180" spans="1:15">
      <c r="A180" s="21">
        <v>181</v>
      </c>
      <c r="B180" s="21" t="s">
        <v>1035</v>
      </c>
      <c r="M180" s="21"/>
      <c r="N180" s="21"/>
      <c r="O180" s="21"/>
    </row>
    <row r="181" spans="1:15">
      <c r="A181" s="21">
        <v>182</v>
      </c>
      <c r="B181" s="21" t="s">
        <v>1036</v>
      </c>
      <c r="M181" s="21"/>
      <c r="N181" s="21"/>
      <c r="O181" s="21"/>
    </row>
    <row r="182" spans="1:15">
      <c r="A182" s="21">
        <v>183</v>
      </c>
      <c r="B182" s="21" t="s">
        <v>1037</v>
      </c>
      <c r="M182" s="21"/>
      <c r="N182" s="21"/>
      <c r="O182" s="21"/>
    </row>
    <row r="183" spans="1:15">
      <c r="A183" s="21">
        <v>184</v>
      </c>
      <c r="B183" s="21" t="s">
        <v>1038</v>
      </c>
      <c r="M183" s="21"/>
      <c r="N183" s="21"/>
      <c r="O183" s="21"/>
    </row>
    <row r="184" spans="1:15">
      <c r="A184" s="21">
        <v>186</v>
      </c>
      <c r="B184" s="21" t="s">
        <v>1039</v>
      </c>
      <c r="M184" s="21"/>
      <c r="N184" s="21"/>
      <c r="O184" s="21"/>
    </row>
    <row r="185" spans="1:15">
      <c r="A185" s="21">
        <v>187</v>
      </c>
      <c r="B185" s="21" t="s">
        <v>1040</v>
      </c>
      <c r="M185" s="21"/>
      <c r="N185" s="21"/>
      <c r="O185" s="21"/>
    </row>
    <row r="186" spans="1:15">
      <c r="A186" s="21">
        <v>189</v>
      </c>
      <c r="B186" s="21" t="s">
        <v>1041</v>
      </c>
      <c r="M186" s="21"/>
      <c r="N186" s="21"/>
      <c r="O186" s="21"/>
    </row>
    <row r="187" spans="1:15">
      <c r="A187" s="21">
        <v>190</v>
      </c>
      <c r="B187" s="21" t="s">
        <v>1042</v>
      </c>
      <c r="M187" s="21"/>
      <c r="N187" s="21"/>
      <c r="O187" s="21"/>
    </row>
    <row r="188" spans="1:15">
      <c r="A188" s="21">
        <v>191</v>
      </c>
      <c r="B188" s="21" t="s">
        <v>1043</v>
      </c>
      <c r="M188" s="21"/>
      <c r="N188" s="21"/>
      <c r="O188" s="21"/>
    </row>
    <row r="189" spans="1:15">
      <c r="A189" s="21">
        <v>192</v>
      </c>
      <c r="B189" s="21" t="s">
        <v>1044</v>
      </c>
      <c r="M189" s="21"/>
      <c r="N189" s="21"/>
      <c r="O189" s="21"/>
    </row>
    <row r="190" spans="1:15">
      <c r="A190" s="21">
        <v>193</v>
      </c>
      <c r="B190" s="21" t="s">
        <v>436</v>
      </c>
      <c r="M190" s="21"/>
      <c r="N190" s="21"/>
      <c r="O190" s="21"/>
    </row>
    <row r="191" spans="1:15">
      <c r="A191" s="21">
        <v>194</v>
      </c>
      <c r="B191" s="21" t="s">
        <v>1045</v>
      </c>
      <c r="M191" s="21"/>
      <c r="N191" s="21"/>
      <c r="O191" s="21"/>
    </row>
    <row r="192" spans="1:15">
      <c r="A192" s="21">
        <v>195</v>
      </c>
      <c r="B192" s="21" t="s">
        <v>1046</v>
      </c>
      <c r="M192" s="21"/>
      <c r="N192" s="21"/>
      <c r="O192" s="21"/>
    </row>
    <row r="193" spans="1:15">
      <c r="A193" s="21">
        <v>196</v>
      </c>
      <c r="B193" s="21" t="s">
        <v>1047</v>
      </c>
      <c r="M193" s="21"/>
      <c r="N193" s="21"/>
      <c r="O193" s="21"/>
    </row>
    <row r="194" spans="1:15">
      <c r="A194" s="21">
        <v>197</v>
      </c>
      <c r="B194" s="21" t="s">
        <v>436</v>
      </c>
      <c r="M194" s="21"/>
      <c r="N194" s="21"/>
      <c r="O194" s="21"/>
    </row>
    <row r="195" spans="1:15">
      <c r="A195" s="21">
        <v>198</v>
      </c>
      <c r="B195" s="21" t="s">
        <v>1048</v>
      </c>
      <c r="M195" s="21"/>
      <c r="N195" s="21"/>
      <c r="O195" s="21"/>
    </row>
    <row r="196" spans="1:15">
      <c r="A196" s="21">
        <v>199</v>
      </c>
      <c r="B196" s="21" t="s">
        <v>1049</v>
      </c>
      <c r="M196" s="21"/>
      <c r="N196" s="21"/>
      <c r="O196" s="21"/>
    </row>
    <row r="197" spans="1:15">
      <c r="A197" s="21">
        <v>200</v>
      </c>
      <c r="B197" s="21" t="s">
        <v>1050</v>
      </c>
      <c r="M197" s="21"/>
      <c r="N197" s="21"/>
      <c r="O197" s="21"/>
    </row>
    <row r="198" spans="1:15">
      <c r="A198" s="21">
        <v>203</v>
      </c>
      <c r="B198" s="21" t="s">
        <v>1051</v>
      </c>
      <c r="M198" s="21"/>
      <c r="N198" s="21"/>
      <c r="O198" s="21"/>
    </row>
    <row r="199" spans="1:15">
      <c r="A199" s="21">
        <v>204</v>
      </c>
      <c r="B199" s="21" t="s">
        <v>1052</v>
      </c>
      <c r="M199" s="21"/>
      <c r="N199" s="21"/>
      <c r="O199" s="21"/>
    </row>
    <row r="200" spans="1:15">
      <c r="A200" s="21">
        <v>205</v>
      </c>
      <c r="B200" s="21" t="s">
        <v>1053</v>
      </c>
      <c r="M200" s="21"/>
      <c r="N200" s="21"/>
      <c r="O200" s="21"/>
    </row>
    <row r="201" spans="1:15">
      <c r="A201" s="21">
        <v>206</v>
      </c>
      <c r="B201" s="21" t="s">
        <v>1054</v>
      </c>
      <c r="M201" s="21"/>
      <c r="N201" s="21"/>
      <c r="O201" s="21"/>
    </row>
    <row r="202" spans="1:15">
      <c r="A202" s="21">
        <v>209</v>
      </c>
      <c r="B202" s="21" t="s">
        <v>1055</v>
      </c>
      <c r="M202" s="21"/>
      <c r="N202" s="21"/>
      <c r="O202" s="21"/>
    </row>
    <row r="203" spans="1:15">
      <c r="A203" s="21">
        <v>211</v>
      </c>
      <c r="B203" s="21" t="s">
        <v>1056</v>
      </c>
      <c r="M203" s="21"/>
      <c r="N203" s="21"/>
      <c r="O203" s="21"/>
    </row>
    <row r="204" spans="1:15">
      <c r="A204" s="21">
        <v>212</v>
      </c>
      <c r="B204" s="21" t="s">
        <v>1057</v>
      </c>
      <c r="M204" s="21"/>
      <c r="N204" s="21"/>
      <c r="O204" s="21"/>
    </row>
    <row r="205" spans="1:15">
      <c r="A205" s="21">
        <v>213</v>
      </c>
      <c r="B205" s="21" t="s">
        <v>1058</v>
      </c>
      <c r="M205" s="21"/>
      <c r="N205" s="21"/>
      <c r="O205" s="21"/>
    </row>
    <row r="206" spans="1:15">
      <c r="A206" s="21">
        <v>214</v>
      </c>
      <c r="B206" s="21" t="s">
        <v>1059</v>
      </c>
      <c r="M206" s="21"/>
      <c r="N206" s="21"/>
      <c r="O206" s="21"/>
    </row>
    <row r="207" spans="1:15">
      <c r="A207" s="21">
        <v>215</v>
      </c>
      <c r="B207" s="21" t="s">
        <v>1060</v>
      </c>
      <c r="M207" s="21"/>
      <c r="N207" s="21"/>
      <c r="O207" s="21"/>
    </row>
    <row r="208" spans="1:15">
      <c r="A208" s="21">
        <v>216</v>
      </c>
      <c r="B208" s="21" t="s">
        <v>1061</v>
      </c>
      <c r="M208" s="21"/>
      <c r="N208" s="21"/>
      <c r="O208" s="21"/>
    </row>
    <row r="209" spans="1:15">
      <c r="A209" s="21">
        <v>217</v>
      </c>
      <c r="B209" s="21" t="s">
        <v>1062</v>
      </c>
      <c r="M209" s="21"/>
      <c r="N209" s="21"/>
      <c r="O209" s="21"/>
    </row>
    <row r="210" spans="1:15">
      <c r="A210" s="21">
        <v>218</v>
      </c>
      <c r="B210" s="21" t="s">
        <v>1063</v>
      </c>
      <c r="M210" s="21"/>
      <c r="N210" s="21"/>
      <c r="O210" s="21"/>
    </row>
    <row r="211" spans="1:15">
      <c r="A211" s="21">
        <v>219</v>
      </c>
      <c r="B211" s="21" t="s">
        <v>1064</v>
      </c>
      <c r="M211" s="21"/>
      <c r="N211" s="21"/>
      <c r="O211" s="21"/>
    </row>
    <row r="212" spans="1:15">
      <c r="A212" s="21">
        <v>220</v>
      </c>
      <c r="B212" s="21" t="s">
        <v>1065</v>
      </c>
      <c r="M212" s="21"/>
      <c r="N212" s="21"/>
      <c r="O212" s="21"/>
    </row>
    <row r="213" spans="1:15">
      <c r="A213" s="21">
        <v>221</v>
      </c>
      <c r="B213" s="21" t="s">
        <v>1066</v>
      </c>
      <c r="M213" s="21"/>
      <c r="N213" s="21"/>
      <c r="O213" s="21"/>
    </row>
    <row r="214" spans="1:15">
      <c r="A214" s="21">
        <v>222</v>
      </c>
      <c r="B214" s="21" t="s">
        <v>1067</v>
      </c>
      <c r="M214" s="21"/>
      <c r="N214" s="21"/>
      <c r="O214" s="21"/>
    </row>
    <row r="215" spans="1:15">
      <c r="A215" s="21">
        <v>224</v>
      </c>
      <c r="B215" s="21" t="s">
        <v>1068</v>
      </c>
      <c r="M215" s="21"/>
      <c r="N215" s="21"/>
      <c r="O215" s="21"/>
    </row>
    <row r="216" spans="1:15">
      <c r="A216" s="21">
        <v>225</v>
      </c>
      <c r="B216" s="21" t="s">
        <v>1069</v>
      </c>
      <c r="M216" s="21"/>
      <c r="N216" s="21"/>
      <c r="O216" s="21"/>
    </row>
    <row r="217" spans="1:15">
      <c r="A217" s="21">
        <v>227</v>
      </c>
      <c r="B217" s="21" t="s">
        <v>1070</v>
      </c>
      <c r="M217" s="21"/>
      <c r="N217" s="21"/>
      <c r="O217" s="21"/>
    </row>
    <row r="218" spans="1:15">
      <c r="A218" s="21">
        <v>228</v>
      </c>
      <c r="B218" s="21" t="s">
        <v>1071</v>
      </c>
      <c r="M218" s="21"/>
      <c r="N218" s="21"/>
      <c r="O218" s="21"/>
    </row>
    <row r="219" spans="1:15">
      <c r="A219" s="21">
        <v>229</v>
      </c>
      <c r="B219" s="21" t="s">
        <v>1072</v>
      </c>
      <c r="M219" s="21"/>
      <c r="N219" s="21"/>
      <c r="O219" s="21"/>
    </row>
    <row r="220" spans="1:15">
      <c r="A220" s="21">
        <v>230</v>
      </c>
      <c r="B220" s="21" t="s">
        <v>1073</v>
      </c>
      <c r="M220" s="21"/>
      <c r="N220" s="21"/>
      <c r="O220" s="21"/>
    </row>
    <row r="221" spans="1:15">
      <c r="A221" s="21">
        <v>231</v>
      </c>
      <c r="B221" s="21" t="s">
        <v>1074</v>
      </c>
      <c r="M221" s="21"/>
      <c r="N221" s="21"/>
      <c r="O221" s="21"/>
    </row>
    <row r="222" spans="1:15">
      <c r="A222" s="21">
        <v>232</v>
      </c>
      <c r="B222" s="21" t="s">
        <v>1075</v>
      </c>
      <c r="M222" s="21"/>
      <c r="N222" s="21"/>
      <c r="O222" s="21"/>
    </row>
    <row r="223" spans="1:15">
      <c r="A223" s="21">
        <v>233</v>
      </c>
      <c r="B223" s="21" t="s">
        <v>1076</v>
      </c>
      <c r="M223" s="21"/>
      <c r="N223" s="21"/>
      <c r="O223" s="21"/>
    </row>
    <row r="224" spans="1:15">
      <c r="A224" s="21">
        <v>234</v>
      </c>
      <c r="B224" s="21" t="s">
        <v>1077</v>
      </c>
      <c r="M224" s="21"/>
      <c r="N224" s="21"/>
      <c r="O224" s="21"/>
    </row>
    <row r="225" spans="1:15">
      <c r="A225" s="21">
        <v>235</v>
      </c>
      <c r="B225" s="21" t="s">
        <v>1078</v>
      </c>
      <c r="M225" s="21"/>
      <c r="N225" s="21"/>
      <c r="O225" s="21"/>
    </row>
    <row r="226" spans="1:15">
      <c r="A226" s="21">
        <v>236</v>
      </c>
      <c r="B226" s="21" t="s">
        <v>1079</v>
      </c>
      <c r="M226" s="21"/>
      <c r="N226" s="21"/>
      <c r="O226" s="21"/>
    </row>
    <row r="227" spans="1:15">
      <c r="A227" s="21">
        <v>237</v>
      </c>
      <c r="B227" s="21" t="s">
        <v>1080</v>
      </c>
      <c r="M227" s="21"/>
      <c r="N227" s="21"/>
      <c r="O227" s="21"/>
    </row>
    <row r="228" spans="1:15">
      <c r="A228" s="21">
        <v>238</v>
      </c>
      <c r="B228" s="21" t="s">
        <v>1081</v>
      </c>
      <c r="M228" s="21"/>
      <c r="N228" s="21"/>
      <c r="O228" s="21"/>
    </row>
    <row r="229" spans="1:15">
      <c r="A229" s="21">
        <v>239</v>
      </c>
      <c r="B229" s="21" t="s">
        <v>1082</v>
      </c>
      <c r="M229" s="21"/>
      <c r="N229" s="21"/>
      <c r="O229" s="21"/>
    </row>
    <row r="230" spans="1:15">
      <c r="A230" s="21">
        <v>240</v>
      </c>
      <c r="B230" s="21" t="s">
        <v>1083</v>
      </c>
      <c r="M230" s="21"/>
      <c r="N230" s="21"/>
      <c r="O230" s="21"/>
    </row>
    <row r="231" spans="1:15">
      <c r="A231" s="21">
        <v>241</v>
      </c>
      <c r="B231" s="21" t="s">
        <v>1084</v>
      </c>
      <c r="M231" s="21"/>
      <c r="N231" s="21"/>
      <c r="O231" s="21"/>
    </row>
    <row r="232" spans="1:15">
      <c r="A232" s="21">
        <v>242</v>
      </c>
      <c r="B232" s="21" t="s">
        <v>1085</v>
      </c>
      <c r="M232" s="21"/>
      <c r="N232" s="21"/>
      <c r="O232" s="21"/>
    </row>
    <row r="233" spans="1:15">
      <c r="A233" s="21">
        <v>243</v>
      </c>
      <c r="B233" s="21" t="s">
        <v>1086</v>
      </c>
      <c r="M233" s="21"/>
      <c r="N233" s="21"/>
      <c r="O233" s="21"/>
    </row>
    <row r="234" spans="1:15">
      <c r="A234" s="21">
        <v>244</v>
      </c>
      <c r="B234" s="21" t="s">
        <v>1087</v>
      </c>
      <c r="M234" s="21"/>
      <c r="N234" s="21"/>
      <c r="O234" s="21"/>
    </row>
    <row r="235" spans="1:15">
      <c r="A235" s="21">
        <v>245</v>
      </c>
      <c r="B235" s="21" t="s">
        <v>1088</v>
      </c>
      <c r="M235" s="21"/>
      <c r="N235" s="21"/>
      <c r="O235" s="21"/>
    </row>
    <row r="236" spans="1:15">
      <c r="A236" s="21">
        <v>246</v>
      </c>
      <c r="B236" s="21" t="s">
        <v>1089</v>
      </c>
      <c r="M236" s="21"/>
      <c r="N236" s="21"/>
      <c r="O236" s="21"/>
    </row>
    <row r="237" spans="1:15">
      <c r="A237" s="21">
        <v>247</v>
      </c>
      <c r="B237" s="21" t="s">
        <v>1090</v>
      </c>
      <c r="M237" s="21"/>
      <c r="N237" s="21"/>
      <c r="O237" s="21"/>
    </row>
    <row r="238" spans="1:15">
      <c r="A238" s="21">
        <v>248</v>
      </c>
      <c r="B238" s="21" t="s">
        <v>1091</v>
      </c>
      <c r="M238" s="21"/>
      <c r="N238" s="21"/>
      <c r="O238" s="21"/>
    </row>
    <row r="239" spans="1:15">
      <c r="A239" s="21">
        <v>249</v>
      </c>
      <c r="B239" s="21" t="s">
        <v>1092</v>
      </c>
      <c r="M239" s="21"/>
      <c r="N239" s="21"/>
      <c r="O239" s="21"/>
    </row>
    <row r="240" spans="1:15">
      <c r="A240" s="21">
        <v>250</v>
      </c>
      <c r="B240" s="21" t="s">
        <v>1093</v>
      </c>
      <c r="M240" s="21"/>
      <c r="N240" s="21"/>
      <c r="O240" s="21"/>
    </row>
    <row r="241" spans="1:15">
      <c r="A241" s="21">
        <v>251</v>
      </c>
      <c r="B241" s="21" t="s">
        <v>1094</v>
      </c>
      <c r="M241" s="21"/>
      <c r="N241" s="21"/>
      <c r="O241" s="21"/>
    </row>
    <row r="242" spans="1:15">
      <c r="A242" s="21">
        <v>256</v>
      </c>
      <c r="B242" s="21" t="s">
        <v>1095</v>
      </c>
      <c r="M242" s="21"/>
      <c r="N242" s="21"/>
      <c r="O242" s="21"/>
    </row>
    <row r="243" spans="1:15">
      <c r="A243" s="21">
        <v>257</v>
      </c>
      <c r="B243" s="21" t="s">
        <v>1096</v>
      </c>
      <c r="M243" s="21"/>
      <c r="N243" s="21"/>
      <c r="O243" s="21"/>
    </row>
    <row r="244" spans="1:15">
      <c r="A244" s="21">
        <v>258</v>
      </c>
      <c r="B244" s="21" t="s">
        <v>1097</v>
      </c>
      <c r="M244" s="21"/>
      <c r="N244" s="21"/>
      <c r="O244" s="21"/>
    </row>
    <row r="245" spans="1:15">
      <c r="A245" s="21">
        <v>259</v>
      </c>
      <c r="B245" s="21" t="s">
        <v>1098</v>
      </c>
      <c r="M245" s="21"/>
      <c r="N245" s="21"/>
      <c r="O245" s="21"/>
    </row>
    <row r="246" spans="1:15">
      <c r="A246" s="21">
        <v>260</v>
      </c>
      <c r="B246" s="21" t="s">
        <v>1099</v>
      </c>
      <c r="M246" s="21"/>
      <c r="N246" s="21"/>
      <c r="O246" s="21"/>
    </row>
    <row r="247" spans="1:15">
      <c r="A247" s="21">
        <v>261</v>
      </c>
      <c r="B247" s="21" t="s">
        <v>1100</v>
      </c>
      <c r="M247" s="21"/>
      <c r="N247" s="21"/>
      <c r="O247" s="21"/>
    </row>
    <row r="248" spans="1:15">
      <c r="A248" s="21">
        <v>262</v>
      </c>
      <c r="B248" s="21" t="s">
        <v>1101</v>
      </c>
      <c r="M248" s="21"/>
      <c r="N248" s="21"/>
      <c r="O248" s="21"/>
    </row>
    <row r="249" spans="1:15">
      <c r="A249" s="21">
        <v>263</v>
      </c>
      <c r="B249" s="21" t="s">
        <v>1102</v>
      </c>
      <c r="M249" s="21"/>
      <c r="N249" s="21"/>
      <c r="O249" s="21"/>
    </row>
    <row r="250" spans="1:15">
      <c r="A250" s="21">
        <v>264</v>
      </c>
      <c r="B250" s="21" t="s">
        <v>1103</v>
      </c>
      <c r="M250" s="21"/>
      <c r="N250" s="21"/>
      <c r="O250" s="21"/>
    </row>
    <row r="251" spans="1:15">
      <c r="A251" s="21">
        <v>265</v>
      </c>
      <c r="B251" s="21" t="s">
        <v>1104</v>
      </c>
      <c r="M251" s="21"/>
      <c r="N251" s="21"/>
      <c r="O251" s="21"/>
    </row>
    <row r="252" spans="1:15">
      <c r="A252" s="21">
        <v>266</v>
      </c>
      <c r="B252" s="21" t="s">
        <v>1105</v>
      </c>
      <c r="M252" s="21"/>
      <c r="N252" s="21"/>
      <c r="O252" s="21"/>
    </row>
    <row r="253" spans="1:15">
      <c r="A253" s="21">
        <v>267</v>
      </c>
      <c r="B253" s="21" t="s">
        <v>1106</v>
      </c>
      <c r="M253" s="21"/>
      <c r="N253" s="21"/>
      <c r="O253" s="21"/>
    </row>
    <row r="254" spans="1:15">
      <c r="A254" s="21">
        <v>268</v>
      </c>
      <c r="B254" s="21" t="s">
        <v>1107</v>
      </c>
      <c r="M254" s="21"/>
      <c r="N254" s="21"/>
      <c r="O254" s="21"/>
    </row>
    <row r="255" spans="1:15">
      <c r="A255" s="21">
        <v>269</v>
      </c>
      <c r="B255" s="21" t="s">
        <v>1108</v>
      </c>
      <c r="M255" s="21"/>
      <c r="N255" s="21"/>
      <c r="O255" s="21"/>
    </row>
    <row r="256" spans="1:15">
      <c r="A256" s="21">
        <v>270</v>
      </c>
      <c r="B256" s="21" t="s">
        <v>1109</v>
      </c>
      <c r="M256" s="21"/>
      <c r="N256" s="21"/>
      <c r="O256" s="21"/>
    </row>
    <row r="257" spans="1:15">
      <c r="A257" s="21">
        <v>271</v>
      </c>
      <c r="B257" s="21" t="s">
        <v>1110</v>
      </c>
      <c r="M257" s="21"/>
      <c r="N257" s="21"/>
      <c r="O257" s="21"/>
    </row>
    <row r="258" spans="1:15">
      <c r="A258" s="21">
        <v>272</v>
      </c>
      <c r="B258" s="21" t="s">
        <v>1111</v>
      </c>
      <c r="M258" s="21"/>
      <c r="N258" s="21"/>
      <c r="O258" s="21"/>
    </row>
    <row r="259" spans="1:15">
      <c r="A259" s="21">
        <v>273</v>
      </c>
      <c r="B259" s="21" t="s">
        <v>1112</v>
      </c>
      <c r="M259" s="21"/>
      <c r="N259" s="21"/>
      <c r="O259" s="21"/>
    </row>
    <row r="260" spans="1:15">
      <c r="A260" s="21">
        <v>274</v>
      </c>
      <c r="B260" s="21" t="s">
        <v>1100</v>
      </c>
      <c r="M260" s="21"/>
      <c r="N260" s="21"/>
      <c r="O260" s="21"/>
    </row>
    <row r="261" spans="1:15">
      <c r="A261" s="21">
        <v>275</v>
      </c>
      <c r="B261" s="21" t="s">
        <v>1113</v>
      </c>
      <c r="M261" s="21"/>
      <c r="N261" s="21"/>
      <c r="O261" s="21"/>
    </row>
    <row r="262" spans="1:15">
      <c r="A262" s="21">
        <v>276</v>
      </c>
      <c r="B262" s="21" t="s">
        <v>1114</v>
      </c>
      <c r="M262" s="21"/>
      <c r="N262" s="21"/>
      <c r="O262" s="21"/>
    </row>
    <row r="263" spans="1:15">
      <c r="A263" s="21">
        <v>277</v>
      </c>
      <c r="B263" s="21" t="s">
        <v>1115</v>
      </c>
      <c r="M263" s="21"/>
      <c r="N263" s="21"/>
      <c r="O263" s="21"/>
    </row>
    <row r="264" spans="1:15">
      <c r="A264" s="21">
        <v>278</v>
      </c>
      <c r="B264" s="21" t="s">
        <v>1114</v>
      </c>
      <c r="M264" s="21"/>
      <c r="N264" s="21"/>
      <c r="O264" s="21"/>
    </row>
    <row r="265" spans="1:15">
      <c r="A265" s="21">
        <v>279</v>
      </c>
      <c r="B265" s="21" t="s">
        <v>1114</v>
      </c>
      <c r="M265" s="21"/>
      <c r="N265" s="21"/>
      <c r="O265" s="21"/>
    </row>
    <row r="266" spans="1:15">
      <c r="A266" s="21">
        <v>280</v>
      </c>
      <c r="B266" s="21" t="s">
        <v>1114</v>
      </c>
      <c r="M266" s="21"/>
      <c r="N266" s="21"/>
      <c r="O266" s="21"/>
    </row>
    <row r="267" spans="1:15">
      <c r="A267" s="21">
        <v>281</v>
      </c>
      <c r="B267" s="21" t="s">
        <v>1114</v>
      </c>
      <c r="M267" s="21"/>
      <c r="N267" s="21"/>
      <c r="O267" s="21"/>
    </row>
    <row r="268" spans="1:15">
      <c r="A268" s="21">
        <v>282</v>
      </c>
      <c r="B268" s="21">
        <v>1024</v>
      </c>
      <c r="M268" s="21"/>
      <c r="N268" s="21"/>
      <c r="O268" s="21"/>
    </row>
    <row r="269" spans="1:15">
      <c r="A269" s="21">
        <v>283</v>
      </c>
      <c r="B269" s="21" t="s">
        <v>1116</v>
      </c>
      <c r="M269" s="21"/>
      <c r="N269" s="21"/>
      <c r="O269" s="21"/>
    </row>
    <row r="270" spans="1:15">
      <c r="A270" s="21">
        <v>284</v>
      </c>
      <c r="B270" s="21" t="s">
        <v>1117</v>
      </c>
      <c r="M270" s="21"/>
      <c r="N270" s="21"/>
      <c r="O270" s="21"/>
    </row>
    <row r="271" spans="1:15">
      <c r="A271" s="21">
        <v>285</v>
      </c>
      <c r="B271" s="21" t="s">
        <v>1118</v>
      </c>
      <c r="M271" s="21"/>
      <c r="N271" s="21"/>
      <c r="O271" s="21"/>
    </row>
    <row r="272" spans="1:15">
      <c r="A272" s="21">
        <v>286</v>
      </c>
      <c r="B272" s="21" t="s">
        <v>1119</v>
      </c>
      <c r="M272" s="21"/>
      <c r="N272" s="21"/>
      <c r="O272" s="21"/>
    </row>
    <row r="273" spans="1:15">
      <c r="A273" s="21">
        <v>287</v>
      </c>
      <c r="B273" s="21" t="s">
        <v>1120</v>
      </c>
      <c r="M273" s="21"/>
      <c r="N273" s="21"/>
      <c r="O273" s="21"/>
    </row>
    <row r="274" spans="1:15">
      <c r="A274" s="21">
        <v>288</v>
      </c>
      <c r="B274" s="21" t="s">
        <v>1121</v>
      </c>
      <c r="M274" s="21"/>
      <c r="N274" s="21"/>
      <c r="O274" s="21"/>
    </row>
    <row r="275" spans="1:15">
      <c r="A275" s="21">
        <v>289</v>
      </c>
      <c r="B275" s="21" t="s">
        <v>1122</v>
      </c>
      <c r="M275" s="21"/>
      <c r="N275" s="21"/>
      <c r="O275" s="21"/>
    </row>
    <row r="276" spans="1:15">
      <c r="A276" s="21">
        <v>290</v>
      </c>
      <c r="B276" s="21" t="s">
        <v>1123</v>
      </c>
      <c r="M276" s="21"/>
      <c r="N276" s="21"/>
      <c r="O276" s="21"/>
    </row>
    <row r="277" spans="1:15">
      <c r="A277" s="21">
        <v>291</v>
      </c>
      <c r="B277" s="21" t="s">
        <v>1124</v>
      </c>
      <c r="M277" s="21"/>
      <c r="N277" s="21"/>
      <c r="O277" s="21"/>
    </row>
    <row r="278" spans="1:15">
      <c r="A278" s="21">
        <v>292</v>
      </c>
      <c r="B278" s="21" t="s">
        <v>1125</v>
      </c>
      <c r="M278" s="21"/>
      <c r="N278" s="21"/>
      <c r="O278" s="21"/>
    </row>
    <row r="279" spans="1:15">
      <c r="A279" s="21">
        <v>293</v>
      </c>
      <c r="B279" s="21" t="s">
        <v>1126</v>
      </c>
      <c r="M279" s="21"/>
      <c r="N279" s="21"/>
      <c r="O279" s="21"/>
    </row>
    <row r="280" spans="1:15">
      <c r="A280" s="21">
        <v>294</v>
      </c>
      <c r="B280" s="21" t="s">
        <v>1127</v>
      </c>
      <c r="M280" s="21"/>
      <c r="N280" s="21"/>
      <c r="O280" s="21"/>
    </row>
    <row r="281" spans="1:15">
      <c r="A281" s="21">
        <v>295</v>
      </c>
      <c r="B281" s="21" t="s">
        <v>1128</v>
      </c>
      <c r="M281" s="21"/>
      <c r="N281" s="21"/>
      <c r="O281" s="21"/>
    </row>
    <row r="282" spans="1:15">
      <c r="A282" s="21">
        <v>296</v>
      </c>
      <c r="B282" s="21" t="s">
        <v>1129</v>
      </c>
      <c r="M282" s="21"/>
      <c r="N282" s="21"/>
      <c r="O282" s="21"/>
    </row>
    <row r="283" spans="1:15">
      <c r="A283" s="21">
        <v>297</v>
      </c>
      <c r="B283" s="21" t="s">
        <v>1130</v>
      </c>
      <c r="M283" s="21"/>
      <c r="N283" s="21"/>
      <c r="O283" s="21"/>
    </row>
    <row r="284" spans="1:15">
      <c r="A284" s="21">
        <v>298</v>
      </c>
      <c r="B284" s="21" t="s">
        <v>1131</v>
      </c>
      <c r="M284" s="21"/>
      <c r="N284" s="21"/>
      <c r="O284" s="21"/>
    </row>
    <row r="285" spans="1:15">
      <c r="A285" s="21">
        <v>299</v>
      </c>
      <c r="B285" s="21" t="s">
        <v>1132</v>
      </c>
      <c r="M285" s="21"/>
      <c r="N285" s="21"/>
      <c r="O285" s="21"/>
    </row>
    <row r="286" spans="1:15">
      <c r="A286" s="21">
        <v>300</v>
      </c>
      <c r="B286" s="21" t="s">
        <v>1133</v>
      </c>
      <c r="M286" s="21"/>
      <c r="N286" s="21"/>
      <c r="O286" s="21"/>
    </row>
    <row r="287" spans="1:15">
      <c r="A287" s="21">
        <v>301</v>
      </c>
      <c r="B287" s="21" t="s">
        <v>1134</v>
      </c>
      <c r="M287" s="21"/>
      <c r="N287" s="21"/>
      <c r="O287" s="21"/>
    </row>
    <row r="288" spans="1:15">
      <c r="A288" s="21">
        <v>302</v>
      </c>
      <c r="B288" s="21" t="s">
        <v>1135</v>
      </c>
      <c r="M288" s="21"/>
      <c r="N288" s="21"/>
      <c r="O288" s="21"/>
    </row>
    <row r="289" spans="1:15">
      <c r="A289" s="21">
        <v>303</v>
      </c>
      <c r="B289" s="21" t="s">
        <v>1136</v>
      </c>
      <c r="M289" s="21"/>
      <c r="N289" s="21"/>
      <c r="O289" s="21"/>
    </row>
    <row r="290" spans="1:15">
      <c r="A290" s="21">
        <v>304</v>
      </c>
      <c r="B290" s="21" t="s">
        <v>1137</v>
      </c>
      <c r="M290" s="21"/>
      <c r="N290" s="21"/>
      <c r="O290" s="21"/>
    </row>
    <row r="291" spans="1:15">
      <c r="A291" s="21">
        <v>305</v>
      </c>
      <c r="B291" s="21" t="s">
        <v>1138</v>
      </c>
      <c r="M291" s="21"/>
      <c r="N291" s="21"/>
      <c r="O291" s="21"/>
    </row>
    <row r="292" spans="1:15">
      <c r="A292" s="21">
        <v>306</v>
      </c>
      <c r="B292" s="21" t="s">
        <v>1139</v>
      </c>
      <c r="M292" s="21"/>
      <c r="N292" s="21"/>
      <c r="O292" s="21"/>
    </row>
    <row r="293" spans="1:15">
      <c r="A293" s="21">
        <v>307</v>
      </c>
      <c r="B293" s="21" t="s">
        <v>1140</v>
      </c>
      <c r="M293" s="21"/>
      <c r="N293" s="21"/>
      <c r="O293" s="21"/>
    </row>
    <row r="294" spans="1:15">
      <c r="A294" s="21">
        <v>308</v>
      </c>
      <c r="B294" s="21" t="s">
        <v>1141</v>
      </c>
      <c r="M294" s="21"/>
      <c r="N294" s="21"/>
      <c r="O294" s="21"/>
    </row>
    <row r="295" spans="1:15">
      <c r="A295" s="21">
        <v>309</v>
      </c>
      <c r="B295" s="21" t="s">
        <v>1142</v>
      </c>
      <c r="M295" s="21"/>
      <c r="N295" s="21"/>
      <c r="O295" s="21"/>
    </row>
    <row r="296" spans="1:15">
      <c r="A296" s="21">
        <v>310</v>
      </c>
      <c r="B296" s="21" t="s">
        <v>1143</v>
      </c>
      <c r="M296" s="21"/>
      <c r="N296" s="21"/>
      <c r="O296" s="21"/>
    </row>
    <row r="297" spans="1:15">
      <c r="A297" s="21">
        <v>311</v>
      </c>
      <c r="B297" s="21" t="s">
        <v>1144</v>
      </c>
      <c r="M297" s="21"/>
      <c r="N297" s="21"/>
      <c r="O297" s="21"/>
    </row>
    <row r="298" spans="1:15">
      <c r="A298" s="21">
        <v>312</v>
      </c>
      <c r="B298" s="21" t="s">
        <v>1145</v>
      </c>
      <c r="M298" s="21"/>
      <c r="N298" s="21"/>
      <c r="O298" s="21"/>
    </row>
    <row r="299" spans="1:15">
      <c r="A299" s="21">
        <v>313</v>
      </c>
      <c r="B299" s="21" t="s">
        <v>1146</v>
      </c>
      <c r="M299" s="21"/>
      <c r="N299" s="21"/>
      <c r="O299" s="21"/>
    </row>
    <row r="300" spans="1:15">
      <c r="A300" s="21">
        <v>314</v>
      </c>
      <c r="B300" s="21" t="s">
        <v>1147</v>
      </c>
      <c r="M300" s="21"/>
      <c r="N300" s="21"/>
      <c r="O300" s="21"/>
    </row>
    <row r="301" spans="1:15">
      <c r="A301" s="21">
        <v>315</v>
      </c>
      <c r="B301" s="21" t="s">
        <v>1148</v>
      </c>
      <c r="M301" s="21"/>
      <c r="N301" s="21"/>
      <c r="O301" s="21"/>
    </row>
    <row r="302" spans="1:15">
      <c r="A302" s="21">
        <v>316</v>
      </c>
      <c r="B302" s="21" t="s">
        <v>1149</v>
      </c>
      <c r="M302" s="21"/>
      <c r="N302" s="21"/>
      <c r="O302" s="21"/>
    </row>
    <row r="303" spans="1:15">
      <c r="A303" s="21">
        <v>317</v>
      </c>
      <c r="B303" s="21" t="s">
        <v>1150</v>
      </c>
      <c r="M303" s="21"/>
      <c r="N303" s="21"/>
      <c r="O303" s="21"/>
    </row>
    <row r="304" spans="1:15">
      <c r="A304" s="21">
        <v>318</v>
      </c>
      <c r="B304" s="21" t="s">
        <v>1151</v>
      </c>
      <c r="M304" s="21"/>
      <c r="N304" s="21"/>
      <c r="O304" s="21"/>
    </row>
    <row r="305" spans="1:15">
      <c r="A305" s="21">
        <v>321</v>
      </c>
      <c r="B305" s="21" t="s">
        <v>1152</v>
      </c>
      <c r="M305" s="21"/>
      <c r="N305" s="21"/>
      <c r="O305" s="21"/>
    </row>
    <row r="306" spans="1:15">
      <c r="A306" s="21">
        <v>322</v>
      </c>
      <c r="B306" s="21" t="s">
        <v>503</v>
      </c>
      <c r="M306" s="21"/>
      <c r="N306" s="21"/>
      <c r="O306" s="21"/>
    </row>
    <row r="307" spans="1:15">
      <c r="A307" s="21">
        <v>323</v>
      </c>
      <c r="B307" s="21" t="s">
        <v>1153</v>
      </c>
      <c r="M307" s="21"/>
      <c r="N307" s="21"/>
      <c r="O307" s="21"/>
    </row>
    <row r="308" spans="1:15">
      <c r="A308" s="21">
        <v>324</v>
      </c>
      <c r="B308" s="21" t="s">
        <v>1154</v>
      </c>
      <c r="M308" s="21"/>
      <c r="N308" s="21"/>
      <c r="O308" s="21"/>
    </row>
    <row r="309" spans="1:15">
      <c r="A309" s="21">
        <v>325</v>
      </c>
      <c r="B309" s="21" t="s">
        <v>1155</v>
      </c>
      <c r="M309" s="21"/>
      <c r="N309" s="21"/>
      <c r="O309" s="21"/>
    </row>
    <row r="310" spans="1:15">
      <c r="A310" s="21">
        <v>330</v>
      </c>
      <c r="B310" s="21" t="s">
        <v>1156</v>
      </c>
      <c r="M310" s="21"/>
      <c r="N310" s="21"/>
      <c r="O310" s="21"/>
    </row>
    <row r="311" spans="1:15">
      <c r="A311" s="21">
        <v>331</v>
      </c>
      <c r="B311" s="21" t="s">
        <v>1157</v>
      </c>
      <c r="M311" s="21"/>
      <c r="N311" s="21"/>
      <c r="O311" s="21"/>
    </row>
    <row r="312" spans="1:15">
      <c r="A312" s="21">
        <v>332</v>
      </c>
      <c r="B312" s="21" t="s">
        <v>1158</v>
      </c>
      <c r="M312" s="21"/>
      <c r="N312" s="21"/>
      <c r="O312" s="21"/>
    </row>
    <row r="313" spans="1:15">
      <c r="A313" s="21">
        <v>333</v>
      </c>
      <c r="B313" s="21" t="s">
        <v>461</v>
      </c>
      <c r="M313" s="21"/>
      <c r="N313" s="21"/>
      <c r="O313" s="21"/>
    </row>
    <row r="314" spans="1:15">
      <c r="A314" s="21">
        <v>334</v>
      </c>
      <c r="B314" s="21" t="s">
        <v>1159</v>
      </c>
      <c r="M314" s="21"/>
      <c r="N314" s="21"/>
      <c r="O314" s="21"/>
    </row>
    <row r="315" spans="1:15">
      <c r="A315" s="21">
        <v>337</v>
      </c>
      <c r="B315" s="21" t="s">
        <v>1160</v>
      </c>
      <c r="M315" s="21"/>
      <c r="N315" s="21"/>
      <c r="O315" s="21"/>
    </row>
    <row r="316" spans="1:15">
      <c r="A316" s="21">
        <v>338</v>
      </c>
      <c r="B316" s="21" t="s">
        <v>1161</v>
      </c>
      <c r="M316" s="21"/>
      <c r="N316" s="21"/>
      <c r="O316" s="21"/>
    </row>
    <row r="317" spans="1:15">
      <c r="A317" s="21">
        <v>339</v>
      </c>
      <c r="B317" s="21" t="s">
        <v>1162</v>
      </c>
      <c r="M317" s="21"/>
      <c r="N317" s="21"/>
      <c r="O317" s="21"/>
    </row>
    <row r="318" spans="1:15">
      <c r="A318" s="21">
        <v>340</v>
      </c>
      <c r="B318" s="21" t="s">
        <v>1163</v>
      </c>
      <c r="M318" s="21"/>
      <c r="N318" s="21"/>
      <c r="O318" s="21"/>
    </row>
    <row r="319" spans="1:15">
      <c r="A319" s="21">
        <v>341</v>
      </c>
      <c r="B319" s="21" t="s">
        <v>1164</v>
      </c>
      <c r="M319" s="21"/>
      <c r="N319" s="21"/>
      <c r="O319" s="21"/>
    </row>
    <row r="320" spans="1:15">
      <c r="A320" s="21">
        <v>342</v>
      </c>
      <c r="B320" s="21" t="s">
        <v>1165</v>
      </c>
      <c r="M320" s="21"/>
      <c r="N320" s="21"/>
      <c r="O320" s="21"/>
    </row>
    <row r="321" spans="1:15">
      <c r="A321" s="21">
        <v>343</v>
      </c>
      <c r="B321" s="21" t="s">
        <v>1166</v>
      </c>
      <c r="M321" s="21"/>
      <c r="N321" s="21"/>
      <c r="O321" s="21"/>
    </row>
    <row r="322" spans="1:15">
      <c r="A322" s="21">
        <v>344</v>
      </c>
      <c r="B322" s="21" t="s">
        <v>1167</v>
      </c>
      <c r="M322" s="21"/>
      <c r="N322" s="21"/>
      <c r="O322" s="21"/>
    </row>
    <row r="323" spans="1:15">
      <c r="A323" s="21">
        <v>347</v>
      </c>
      <c r="B323" s="21" t="s">
        <v>1168</v>
      </c>
      <c r="M323" s="21"/>
      <c r="N323" s="21"/>
      <c r="O323" s="21"/>
    </row>
    <row r="324" spans="1:15">
      <c r="A324" s="21">
        <v>348</v>
      </c>
      <c r="B324" s="21" t="s">
        <v>1169</v>
      </c>
      <c r="M324" s="21"/>
      <c r="N324" s="21"/>
      <c r="O324" s="21"/>
    </row>
    <row r="325" spans="1:15">
      <c r="A325" s="21">
        <v>349</v>
      </c>
      <c r="B325" s="21" t="s">
        <v>1170</v>
      </c>
      <c r="M325" s="21"/>
      <c r="N325" s="21"/>
      <c r="O325" s="21"/>
    </row>
    <row r="326" spans="1:15">
      <c r="A326" s="21">
        <v>350</v>
      </c>
      <c r="B326" s="21" t="s">
        <v>1171</v>
      </c>
      <c r="M326" s="21"/>
      <c r="N326" s="21"/>
      <c r="O326" s="21"/>
    </row>
    <row r="327" spans="1:15">
      <c r="A327" s="21">
        <v>354</v>
      </c>
      <c r="B327" s="21" t="s">
        <v>1172</v>
      </c>
      <c r="M327" s="21"/>
      <c r="N327" s="21"/>
      <c r="O327" s="21"/>
    </row>
    <row r="328" spans="1:15">
      <c r="A328" s="21">
        <v>355</v>
      </c>
      <c r="B328" s="21" t="s">
        <v>1173</v>
      </c>
      <c r="M328" s="21"/>
      <c r="N328" s="21"/>
      <c r="O328" s="21"/>
    </row>
    <row r="329" spans="1:15">
      <c r="A329" s="21">
        <v>356</v>
      </c>
      <c r="B329" s="21" t="s">
        <v>1174</v>
      </c>
      <c r="M329" s="21"/>
      <c r="N329" s="21"/>
      <c r="O329" s="21"/>
    </row>
    <row r="330" spans="1:15">
      <c r="A330" s="21">
        <v>357</v>
      </c>
      <c r="B330" s="21" t="s">
        <v>1175</v>
      </c>
      <c r="M330" s="21"/>
      <c r="N330" s="21"/>
      <c r="O330" s="21"/>
    </row>
    <row r="331" spans="1:15">
      <c r="A331" s="21">
        <v>358</v>
      </c>
      <c r="B331" s="21" t="s">
        <v>1176</v>
      </c>
      <c r="M331" s="21"/>
      <c r="N331" s="21"/>
      <c r="O331" s="21"/>
    </row>
    <row r="332" spans="1:15">
      <c r="A332" s="21">
        <v>359</v>
      </c>
      <c r="B332" s="21" t="s">
        <v>1177</v>
      </c>
      <c r="M332" s="21"/>
      <c r="N332" s="21"/>
      <c r="O332" s="21"/>
    </row>
    <row r="333" spans="1:15">
      <c r="A333" s="21">
        <v>360</v>
      </c>
      <c r="B333" s="21" t="s">
        <v>1178</v>
      </c>
      <c r="M333" s="21"/>
      <c r="N333" s="21"/>
      <c r="O333" s="21"/>
    </row>
    <row r="334" spans="1:15">
      <c r="A334" s="21">
        <v>361</v>
      </c>
      <c r="B334" s="21" t="s">
        <v>1179</v>
      </c>
      <c r="M334" s="21"/>
      <c r="N334" s="21"/>
      <c r="O334" s="21"/>
    </row>
    <row r="335" spans="1:15">
      <c r="A335" s="21">
        <v>362</v>
      </c>
      <c r="B335" s="21" t="s">
        <v>1180</v>
      </c>
    </row>
    <row r="336" spans="1:15">
      <c r="A336" s="21">
        <v>364</v>
      </c>
      <c r="B336" s="21" t="s">
        <v>1181</v>
      </c>
    </row>
    <row r="337" spans="1:2">
      <c r="A337" s="21">
        <v>365</v>
      </c>
      <c r="B337" s="21" t="s">
        <v>1182</v>
      </c>
    </row>
    <row r="338" spans="1:2">
      <c r="A338" s="21">
        <v>366</v>
      </c>
      <c r="B338" s="21" t="s">
        <v>1183</v>
      </c>
    </row>
    <row r="339" spans="1:2">
      <c r="A339" s="21">
        <v>368</v>
      </c>
      <c r="B339" s="21" t="s">
        <v>1184</v>
      </c>
    </row>
    <row r="340" spans="1:2">
      <c r="A340" s="21">
        <v>369</v>
      </c>
      <c r="B340" s="21" t="s">
        <v>1185</v>
      </c>
    </row>
    <row r="341" spans="1:2">
      <c r="A341" s="21">
        <v>370</v>
      </c>
      <c r="B341" s="21" t="s">
        <v>1186</v>
      </c>
    </row>
    <row r="342" spans="1:2">
      <c r="A342" s="21">
        <v>406</v>
      </c>
      <c r="B342" s="21" t="s">
        <v>1187</v>
      </c>
    </row>
    <row r="343" spans="1:2">
      <c r="A343" s="21">
        <v>407</v>
      </c>
      <c r="B343" s="21" t="s">
        <v>1188</v>
      </c>
    </row>
    <row r="344" spans="1:2">
      <c r="A344" s="21">
        <v>410</v>
      </c>
      <c r="B344" s="21" t="s">
        <v>1189</v>
      </c>
    </row>
    <row r="345" spans="1:2">
      <c r="A345" s="21">
        <v>411</v>
      </c>
      <c r="B345" s="21" t="s">
        <v>1190</v>
      </c>
    </row>
    <row r="346" spans="1:2">
      <c r="A346" s="21">
        <v>412</v>
      </c>
      <c r="B346" s="21" t="s">
        <v>1191</v>
      </c>
    </row>
    <row r="347" spans="1:2">
      <c r="A347" s="21">
        <v>413</v>
      </c>
      <c r="B347" s="21" t="s">
        <v>1192</v>
      </c>
    </row>
    <row r="348" spans="1:2">
      <c r="A348" s="21">
        <v>414</v>
      </c>
      <c r="B348" s="21" t="s">
        <v>1193</v>
      </c>
    </row>
    <row r="349" spans="1:2">
      <c r="A349" s="21">
        <v>415</v>
      </c>
      <c r="B349" s="21" t="s">
        <v>1194</v>
      </c>
    </row>
    <row r="350" spans="1:2">
      <c r="A350" s="21">
        <v>417</v>
      </c>
      <c r="B350" s="21" t="s">
        <v>1195</v>
      </c>
    </row>
    <row r="351" spans="1:2">
      <c r="A351" s="21">
        <v>418</v>
      </c>
      <c r="B351" s="21" t="s">
        <v>1196</v>
      </c>
    </row>
    <row r="352" spans="1:2">
      <c r="A352" s="21">
        <v>419</v>
      </c>
      <c r="B352" s="21" t="s">
        <v>1197</v>
      </c>
    </row>
    <row r="353" spans="1:2">
      <c r="A353" s="21">
        <v>420</v>
      </c>
      <c r="B353" s="21" t="s">
        <v>1198</v>
      </c>
    </row>
    <row r="354" spans="1:2">
      <c r="A354" s="21">
        <v>421</v>
      </c>
      <c r="B354" s="21" t="s">
        <v>1199</v>
      </c>
    </row>
    <row r="355" spans="1:2">
      <c r="A355" s="21">
        <v>422</v>
      </c>
      <c r="B355" s="21" t="s">
        <v>1200</v>
      </c>
    </row>
    <row r="356" spans="1:2">
      <c r="A356" s="21">
        <v>423</v>
      </c>
      <c r="B356" s="21" t="s">
        <v>1201</v>
      </c>
    </row>
    <row r="357" spans="1:2">
      <c r="A357" s="21">
        <v>424</v>
      </c>
      <c r="B357" s="21" t="s">
        <v>1202</v>
      </c>
    </row>
    <row r="358" spans="1:2">
      <c r="A358" s="21">
        <v>425</v>
      </c>
      <c r="B358" s="21" t="s">
        <v>1203</v>
      </c>
    </row>
    <row r="359" spans="1:2">
      <c r="A359" s="21">
        <v>426</v>
      </c>
      <c r="B359" s="21" t="s">
        <v>1204</v>
      </c>
    </row>
    <row r="360" spans="1:2">
      <c r="A360" s="21">
        <v>427</v>
      </c>
      <c r="B360" s="21" t="s">
        <v>1205</v>
      </c>
    </row>
    <row r="361" spans="1:2">
      <c r="A361" s="21">
        <v>428</v>
      </c>
      <c r="B361" s="21" t="s">
        <v>1206</v>
      </c>
    </row>
    <row r="362" spans="1:2">
      <c r="A362" s="21">
        <v>431</v>
      </c>
      <c r="B362" s="21" t="s">
        <v>1207</v>
      </c>
    </row>
    <row r="363" spans="1:2">
      <c r="A363" s="21">
        <v>432</v>
      </c>
      <c r="B363" s="21" t="s">
        <v>1208</v>
      </c>
    </row>
    <row r="364" spans="1:2">
      <c r="A364" s="21">
        <v>433</v>
      </c>
      <c r="B364" s="21" t="s">
        <v>1209</v>
      </c>
    </row>
    <row r="365" spans="1:2">
      <c r="A365" s="21">
        <v>434</v>
      </c>
      <c r="B365" s="21" t="s">
        <v>1210</v>
      </c>
    </row>
    <row r="366" spans="1:2">
      <c r="A366" s="21">
        <v>435</v>
      </c>
      <c r="B366" s="21" t="s">
        <v>1211</v>
      </c>
    </row>
    <row r="367" spans="1:2">
      <c r="A367" s="21">
        <v>436</v>
      </c>
      <c r="B367" s="21" t="s">
        <v>1212</v>
      </c>
    </row>
    <row r="368" spans="1:2">
      <c r="A368" s="21">
        <v>437</v>
      </c>
      <c r="B368" s="21" t="s">
        <v>1213</v>
      </c>
    </row>
    <row r="369" spans="1:2">
      <c r="A369" s="21">
        <v>438</v>
      </c>
      <c r="B369" s="21" t="s">
        <v>1214</v>
      </c>
    </row>
    <row r="370" spans="1:2">
      <c r="A370" s="21">
        <v>439</v>
      </c>
      <c r="B370" s="21" t="s">
        <v>1215</v>
      </c>
    </row>
    <row r="371" spans="1:2">
      <c r="A371" s="21">
        <v>440</v>
      </c>
      <c r="B371" s="21" t="s">
        <v>1216</v>
      </c>
    </row>
    <row r="372" spans="1:2">
      <c r="A372" s="21">
        <v>441</v>
      </c>
      <c r="B372" s="21" t="s">
        <v>1217</v>
      </c>
    </row>
    <row r="373" spans="1:2">
      <c r="A373" s="21">
        <v>442</v>
      </c>
      <c r="B373" s="21" t="s">
        <v>1218</v>
      </c>
    </row>
    <row r="374" spans="1:2">
      <c r="A374" s="21">
        <v>443</v>
      </c>
      <c r="B374" s="21" t="s">
        <v>1219</v>
      </c>
    </row>
    <row r="375" spans="1:2">
      <c r="A375" s="21">
        <v>444</v>
      </c>
      <c r="B375" s="21" t="s">
        <v>1220</v>
      </c>
    </row>
    <row r="376" spans="1:2">
      <c r="A376" s="21">
        <v>445</v>
      </c>
      <c r="B376" s="21" t="s">
        <v>1221</v>
      </c>
    </row>
    <row r="377" spans="1:2">
      <c r="A377" s="21">
        <v>446</v>
      </c>
      <c r="B377" s="21" t="s">
        <v>959</v>
      </c>
    </row>
    <row r="378" spans="1:2">
      <c r="A378" s="21">
        <v>447</v>
      </c>
      <c r="B378" s="21" t="s">
        <v>1222</v>
      </c>
    </row>
    <row r="379" spans="1:2">
      <c r="A379" s="21">
        <v>448</v>
      </c>
      <c r="B379" s="21" t="s">
        <v>1223</v>
      </c>
    </row>
    <row r="380" spans="1:2">
      <c r="A380" s="21">
        <v>450</v>
      </c>
      <c r="B380" s="21" t="s">
        <v>1224</v>
      </c>
    </row>
    <row r="381" spans="1:2">
      <c r="A381" s="21">
        <v>451</v>
      </c>
      <c r="B381" s="21" t="s">
        <v>1225</v>
      </c>
    </row>
    <row r="382" spans="1:2">
      <c r="A382" s="21">
        <v>452</v>
      </c>
      <c r="B382" s="21" t="s">
        <v>1226</v>
      </c>
    </row>
    <row r="383" spans="1:2">
      <c r="A383" s="21">
        <v>453</v>
      </c>
      <c r="B383" s="21" t="s">
        <v>1227</v>
      </c>
    </row>
    <row r="384" spans="1:2">
      <c r="A384" s="21">
        <v>454</v>
      </c>
      <c r="B384" s="21" t="s">
        <v>1228</v>
      </c>
    </row>
    <row r="385" spans="1:2">
      <c r="A385" s="21">
        <v>455</v>
      </c>
      <c r="B385" s="21" t="s">
        <v>1229</v>
      </c>
    </row>
    <row r="386" spans="1:2">
      <c r="A386" s="21">
        <v>457</v>
      </c>
      <c r="B386" s="21" t="s">
        <v>1230</v>
      </c>
    </row>
    <row r="387" spans="1:2">
      <c r="A387" s="21">
        <v>458</v>
      </c>
      <c r="B387" s="21" t="s">
        <v>1231</v>
      </c>
    </row>
    <row r="388" spans="1:2">
      <c r="A388" s="21">
        <v>459</v>
      </c>
      <c r="B388" s="21" t="s">
        <v>1232</v>
      </c>
    </row>
    <row r="389" spans="1:2">
      <c r="A389" s="21">
        <v>460</v>
      </c>
      <c r="B389" s="21" t="s">
        <v>1233</v>
      </c>
    </row>
    <row r="390" spans="1:2">
      <c r="A390" s="21">
        <v>461</v>
      </c>
      <c r="B390" s="21" t="s">
        <v>1234</v>
      </c>
    </row>
    <row r="391" spans="1:2">
      <c r="A391" s="21">
        <v>462</v>
      </c>
      <c r="B391" s="21" t="s">
        <v>1235</v>
      </c>
    </row>
    <row r="392" spans="1:2">
      <c r="A392" s="21">
        <v>463</v>
      </c>
      <c r="B392" s="21" t="s">
        <v>1236</v>
      </c>
    </row>
    <row r="393" spans="1:2">
      <c r="A393" s="21">
        <v>464</v>
      </c>
      <c r="B393" s="21" t="s">
        <v>1237</v>
      </c>
    </row>
    <row r="394" spans="1:2">
      <c r="A394" s="21">
        <v>465</v>
      </c>
      <c r="B394" s="21" t="s">
        <v>1238</v>
      </c>
    </row>
    <row r="395" spans="1:2">
      <c r="A395" s="21">
        <v>466</v>
      </c>
      <c r="B395" s="21" t="s">
        <v>1239</v>
      </c>
    </row>
    <row r="396" spans="1:2">
      <c r="A396" s="21">
        <v>467</v>
      </c>
      <c r="B396" s="21" t="s">
        <v>1240</v>
      </c>
    </row>
    <row r="397" spans="1:2">
      <c r="A397" s="21">
        <v>468</v>
      </c>
      <c r="B397" s="21" t="s">
        <v>1241</v>
      </c>
    </row>
    <row r="398" spans="1:2">
      <c r="A398" s="21">
        <v>469</v>
      </c>
      <c r="B398" s="21" t="s">
        <v>1242</v>
      </c>
    </row>
    <row r="399" spans="1:2">
      <c r="A399" s="21">
        <v>470</v>
      </c>
      <c r="B399" s="21" t="s">
        <v>1243</v>
      </c>
    </row>
    <row r="400" spans="1:2">
      <c r="A400" s="21">
        <v>471</v>
      </c>
      <c r="B400" s="21" t="s">
        <v>1244</v>
      </c>
    </row>
    <row r="401" spans="1:2">
      <c r="A401" s="21">
        <v>473</v>
      </c>
      <c r="B401" s="21" t="s">
        <v>1245</v>
      </c>
    </row>
    <row r="402" spans="1:2">
      <c r="A402" s="21">
        <v>474</v>
      </c>
      <c r="B402" s="21" t="s">
        <v>1246</v>
      </c>
    </row>
    <row r="403" spans="1:2">
      <c r="A403" s="21">
        <v>475</v>
      </c>
      <c r="B403" s="21" t="s">
        <v>1247</v>
      </c>
    </row>
    <row r="404" spans="1:2">
      <c r="A404" s="21">
        <v>476</v>
      </c>
      <c r="B404" s="21" t="s">
        <v>1248</v>
      </c>
    </row>
    <row r="405" spans="1:2">
      <c r="A405" s="21">
        <v>477</v>
      </c>
      <c r="B405" s="21" t="s">
        <v>1249</v>
      </c>
    </row>
    <row r="406" spans="1:2">
      <c r="A406" s="21">
        <v>478</v>
      </c>
      <c r="B406" s="21" t="s">
        <v>1250</v>
      </c>
    </row>
    <row r="407" spans="1:2">
      <c r="A407" s="21">
        <v>479</v>
      </c>
      <c r="B407" s="21" t="s">
        <v>1251</v>
      </c>
    </row>
    <row r="408" spans="1:2">
      <c r="A408" s="21">
        <v>480</v>
      </c>
      <c r="B408" s="21" t="s">
        <v>1252</v>
      </c>
    </row>
    <row r="409" spans="1:2">
      <c r="A409" s="21">
        <v>481</v>
      </c>
      <c r="B409" s="21" t="s">
        <v>1253</v>
      </c>
    </row>
    <row r="410" spans="1:2">
      <c r="A410" s="21">
        <v>482</v>
      </c>
      <c r="B410" s="21" t="s">
        <v>1254</v>
      </c>
    </row>
    <row r="411" spans="1:2">
      <c r="A411" s="21">
        <v>483</v>
      </c>
      <c r="B411" s="21" t="s">
        <v>1255</v>
      </c>
    </row>
    <row r="412" spans="1:2">
      <c r="A412" s="21">
        <v>484</v>
      </c>
      <c r="B412" s="21" t="s">
        <v>1256</v>
      </c>
    </row>
    <row r="413" spans="1:2">
      <c r="A413" s="21">
        <v>486</v>
      </c>
      <c r="B413" s="21" t="s">
        <v>1257</v>
      </c>
    </row>
    <row r="414" spans="1:2">
      <c r="A414" s="21">
        <v>487</v>
      </c>
      <c r="B414" s="21" t="s">
        <v>1258</v>
      </c>
    </row>
    <row r="415" spans="1:2">
      <c r="A415" s="21">
        <v>488</v>
      </c>
      <c r="B415" s="21" t="s">
        <v>1259</v>
      </c>
    </row>
    <row r="416" spans="1:2">
      <c r="A416" s="21">
        <v>489</v>
      </c>
      <c r="B416" s="21" t="s">
        <v>1260</v>
      </c>
    </row>
    <row r="417" spans="1:2">
      <c r="A417" s="21">
        <v>490</v>
      </c>
      <c r="B417" s="21" t="s">
        <v>1261</v>
      </c>
    </row>
    <row r="418" spans="1:2">
      <c r="A418" s="21">
        <v>491</v>
      </c>
      <c r="B418" s="21" t="s">
        <v>1262</v>
      </c>
    </row>
    <row r="419" spans="1:2">
      <c r="A419" s="21">
        <v>492</v>
      </c>
      <c r="B419" s="21" t="s">
        <v>1263</v>
      </c>
    </row>
    <row r="420" spans="1:2">
      <c r="A420" s="21">
        <v>493</v>
      </c>
      <c r="B420" s="21" t="s">
        <v>1264</v>
      </c>
    </row>
    <row r="421" spans="1:2">
      <c r="A421" s="21">
        <v>494</v>
      </c>
      <c r="B421" s="21" t="s">
        <v>1265</v>
      </c>
    </row>
    <row r="422" spans="1:2">
      <c r="A422" s="21">
        <v>495</v>
      </c>
      <c r="B422" s="21" t="s">
        <v>1266</v>
      </c>
    </row>
    <row r="423" spans="1:2">
      <c r="A423" s="21">
        <v>496</v>
      </c>
      <c r="B423" s="21" t="s">
        <v>1267</v>
      </c>
    </row>
    <row r="424" spans="1:2">
      <c r="A424" s="21">
        <v>497</v>
      </c>
      <c r="B424" s="21" t="s">
        <v>1268</v>
      </c>
    </row>
    <row r="425" spans="1:2">
      <c r="A425" s="21">
        <v>498</v>
      </c>
      <c r="B425" s="21" t="s">
        <v>1269</v>
      </c>
    </row>
    <row r="426" spans="1:2">
      <c r="A426" s="21">
        <v>499</v>
      </c>
      <c r="B426" s="21" t="s">
        <v>1270</v>
      </c>
    </row>
    <row r="427" spans="1:2">
      <c r="A427" s="21">
        <v>500</v>
      </c>
      <c r="B427" s="21" t="s">
        <v>1271</v>
      </c>
    </row>
    <row r="428" spans="1:2">
      <c r="A428" s="21">
        <v>501</v>
      </c>
      <c r="B428" s="21" t="s">
        <v>1272</v>
      </c>
    </row>
    <row r="429" spans="1:2">
      <c r="A429" s="21">
        <v>502</v>
      </c>
      <c r="B429" s="21" t="s">
        <v>1273</v>
      </c>
    </row>
    <row r="430" spans="1:2">
      <c r="A430" s="21">
        <v>503</v>
      </c>
      <c r="B430" s="21" t="s">
        <v>1274</v>
      </c>
    </row>
    <row r="431" spans="1:2">
      <c r="A431" s="21">
        <v>504</v>
      </c>
      <c r="B431" s="21" t="s">
        <v>1275</v>
      </c>
    </row>
    <row r="432" spans="1:2">
      <c r="A432" s="21">
        <v>505</v>
      </c>
      <c r="B432" s="21" t="s">
        <v>1276</v>
      </c>
    </row>
    <row r="433" spans="1:2">
      <c r="A433" s="21">
        <v>506</v>
      </c>
      <c r="B433" s="21" t="s">
        <v>1277</v>
      </c>
    </row>
    <row r="434" spans="1:2">
      <c r="A434" s="21">
        <v>507</v>
      </c>
      <c r="B434" s="21" t="s">
        <v>1278</v>
      </c>
    </row>
    <row r="435" spans="1:2">
      <c r="A435" s="21">
        <v>508</v>
      </c>
      <c r="B435" s="21" t="s">
        <v>1279</v>
      </c>
    </row>
    <row r="436" spans="1:2">
      <c r="A436" s="21">
        <v>509</v>
      </c>
      <c r="B436" s="21" t="s">
        <v>1280</v>
      </c>
    </row>
    <row r="437" spans="1:2">
      <c r="A437" s="21">
        <v>510</v>
      </c>
      <c r="B437" s="21" t="s">
        <v>1281</v>
      </c>
    </row>
    <row r="438" spans="1:2">
      <c r="A438" s="21">
        <v>511</v>
      </c>
      <c r="B438" s="21" t="s">
        <v>1282</v>
      </c>
    </row>
    <row r="439" spans="1:2">
      <c r="A439" s="21">
        <v>512</v>
      </c>
      <c r="B439" s="21" t="s">
        <v>1283</v>
      </c>
    </row>
    <row r="440" spans="1:2">
      <c r="A440" s="21">
        <v>513</v>
      </c>
      <c r="B440" s="21" t="s">
        <v>1240</v>
      </c>
    </row>
    <row r="441" spans="1:2">
      <c r="A441" s="21">
        <v>514</v>
      </c>
      <c r="B441" s="21" t="s">
        <v>1284</v>
      </c>
    </row>
    <row r="442" spans="1:2">
      <c r="A442" s="21">
        <v>515</v>
      </c>
      <c r="B442" s="21" t="s">
        <v>1285</v>
      </c>
    </row>
    <row r="443" spans="1:2">
      <c r="A443" s="21">
        <v>516</v>
      </c>
      <c r="B443" s="21" t="s">
        <v>1286</v>
      </c>
    </row>
    <row r="444" spans="1:2">
      <c r="A444" s="21">
        <v>517</v>
      </c>
      <c r="B444" s="21" t="s">
        <v>1287</v>
      </c>
    </row>
    <row r="445" spans="1:2">
      <c r="A445" s="21">
        <v>518</v>
      </c>
      <c r="B445" s="21" t="s">
        <v>1288</v>
      </c>
    </row>
    <row r="446" spans="1:2">
      <c r="A446" s="21">
        <v>519</v>
      </c>
      <c r="B446" s="21" t="s">
        <v>1289</v>
      </c>
    </row>
    <row r="447" spans="1:2">
      <c r="A447" s="21">
        <v>520</v>
      </c>
      <c r="B447" s="21" t="s">
        <v>1290</v>
      </c>
    </row>
    <row r="448" spans="1:2">
      <c r="A448" s="21">
        <v>521</v>
      </c>
      <c r="B448" s="21" t="s">
        <v>1291</v>
      </c>
    </row>
    <row r="449" spans="1:2">
      <c r="A449" s="21">
        <v>522</v>
      </c>
      <c r="B449" s="21" t="s">
        <v>1292</v>
      </c>
    </row>
    <row r="450" spans="1:2">
      <c r="A450" s="21">
        <v>523</v>
      </c>
      <c r="B450" s="21" t="s">
        <v>1293</v>
      </c>
    </row>
    <row r="451" spans="1:2">
      <c r="A451" s="21">
        <v>524</v>
      </c>
      <c r="B451" s="21" t="s">
        <v>1294</v>
      </c>
    </row>
    <row r="452" spans="1:2">
      <c r="A452" s="21">
        <v>525</v>
      </c>
      <c r="B452" s="21" t="s">
        <v>1295</v>
      </c>
    </row>
    <row r="453" spans="1:2">
      <c r="A453" s="21">
        <v>526</v>
      </c>
      <c r="B453" s="21" t="s">
        <v>1296</v>
      </c>
    </row>
    <row r="454" spans="1:2">
      <c r="A454" s="21">
        <v>527</v>
      </c>
      <c r="B454" s="21" t="s">
        <v>1297</v>
      </c>
    </row>
    <row r="455" spans="1:2">
      <c r="A455" s="21">
        <v>528</v>
      </c>
      <c r="B455" s="21" t="s">
        <v>1298</v>
      </c>
    </row>
    <row r="456" spans="1:2">
      <c r="A456" s="21">
        <v>529</v>
      </c>
      <c r="B456" s="21" t="s">
        <v>1299</v>
      </c>
    </row>
    <row r="457" spans="1:2">
      <c r="A457" s="21">
        <v>530</v>
      </c>
      <c r="B457" s="21" t="s">
        <v>1300</v>
      </c>
    </row>
    <row r="458" spans="1:2">
      <c r="A458" s="21">
        <v>531</v>
      </c>
      <c r="B458" s="21" t="s">
        <v>1301</v>
      </c>
    </row>
    <row r="459" spans="1:2">
      <c r="A459" s="21">
        <v>532</v>
      </c>
      <c r="B459" s="21" t="s">
        <v>1302</v>
      </c>
    </row>
    <row r="460" spans="1:2">
      <c r="A460" s="21">
        <v>533</v>
      </c>
      <c r="B460" s="21" t="s">
        <v>1303</v>
      </c>
    </row>
    <row r="461" spans="1:2">
      <c r="A461" s="21">
        <v>534</v>
      </c>
      <c r="B461" s="21" t="s">
        <v>1304</v>
      </c>
    </row>
    <row r="462" spans="1:2">
      <c r="A462" s="21">
        <v>535</v>
      </c>
      <c r="B462" s="21" t="s">
        <v>1305</v>
      </c>
    </row>
    <row r="463" spans="1:2">
      <c r="A463" s="21">
        <v>536</v>
      </c>
      <c r="B463" s="21" t="s">
        <v>1306</v>
      </c>
    </row>
    <row r="464" spans="1:2">
      <c r="A464" s="21">
        <v>537</v>
      </c>
      <c r="B464" s="21" t="s">
        <v>1307</v>
      </c>
    </row>
    <row r="465" spans="1:2">
      <c r="A465" s="21">
        <v>538</v>
      </c>
      <c r="B465" s="21" t="s">
        <v>1308</v>
      </c>
    </row>
    <row r="466" spans="1:2">
      <c r="A466" s="21">
        <v>539</v>
      </c>
      <c r="B466" s="21" t="s">
        <v>1309</v>
      </c>
    </row>
    <row r="467" spans="1:2">
      <c r="A467" s="21">
        <v>540</v>
      </c>
      <c r="B467" s="21" t="s">
        <v>1310</v>
      </c>
    </row>
    <row r="468" spans="1:2">
      <c r="A468" s="21">
        <v>541</v>
      </c>
      <c r="B468" s="21" t="s">
        <v>1311</v>
      </c>
    </row>
    <row r="469" spans="1:2">
      <c r="A469" s="21">
        <v>542</v>
      </c>
      <c r="B469" s="21" t="s">
        <v>1312</v>
      </c>
    </row>
    <row r="470" spans="1:2">
      <c r="A470" s="21">
        <v>543</v>
      </c>
      <c r="B470" s="21" t="s">
        <v>1313</v>
      </c>
    </row>
    <row r="471" spans="1:2">
      <c r="A471" s="21">
        <v>544</v>
      </c>
      <c r="B471" s="21" t="s">
        <v>1314</v>
      </c>
    </row>
    <row r="472" spans="1:2">
      <c r="A472" s="21">
        <v>545</v>
      </c>
      <c r="B472" s="21" t="s">
        <v>1315</v>
      </c>
    </row>
    <row r="473" spans="1:2">
      <c r="A473" s="21">
        <v>546</v>
      </c>
      <c r="B473" s="21" t="s">
        <v>1316</v>
      </c>
    </row>
    <row r="474" spans="1:2">
      <c r="A474" s="21">
        <v>547</v>
      </c>
      <c r="B474" s="21" t="s">
        <v>1317</v>
      </c>
    </row>
    <row r="475" spans="1:2">
      <c r="A475" s="21">
        <v>548</v>
      </c>
      <c r="B475" s="21" t="s">
        <v>1318</v>
      </c>
    </row>
    <row r="476" spans="1:2">
      <c r="A476" s="21">
        <v>549</v>
      </c>
      <c r="B476" s="21" t="s">
        <v>1319</v>
      </c>
    </row>
    <row r="477" spans="1:2">
      <c r="A477" s="21">
        <v>550</v>
      </c>
      <c r="B477" s="21" t="s">
        <v>1320</v>
      </c>
    </row>
    <row r="478" spans="1:2">
      <c r="A478" s="21">
        <v>551</v>
      </c>
      <c r="B478" s="21" t="s">
        <v>1321</v>
      </c>
    </row>
    <row r="479" spans="1:2">
      <c r="A479" s="21">
        <v>552</v>
      </c>
      <c r="B479" s="21" t="s">
        <v>1322</v>
      </c>
    </row>
    <row r="480" spans="1:2">
      <c r="A480" s="21">
        <v>559</v>
      </c>
      <c r="B480" s="21" t="s">
        <v>1323</v>
      </c>
    </row>
    <row r="481" spans="1:2">
      <c r="A481" s="21">
        <v>560</v>
      </c>
      <c r="B481" s="21" t="s">
        <v>1324</v>
      </c>
    </row>
    <row r="482" spans="1:2">
      <c r="A482" s="21">
        <v>561</v>
      </c>
      <c r="B482" s="21" t="s">
        <v>1325</v>
      </c>
    </row>
    <row r="483" spans="1:2">
      <c r="A483" s="21">
        <v>562</v>
      </c>
      <c r="B483" s="21" t="s">
        <v>1326</v>
      </c>
    </row>
    <row r="484" spans="1:2">
      <c r="A484" s="21">
        <v>563</v>
      </c>
      <c r="B484" s="21" t="s">
        <v>1327</v>
      </c>
    </row>
    <row r="485" spans="1:2">
      <c r="A485" s="21">
        <v>564</v>
      </c>
      <c r="B485" s="21" t="s">
        <v>1328</v>
      </c>
    </row>
    <row r="486" spans="1:2">
      <c r="A486" s="21">
        <v>565</v>
      </c>
      <c r="B486" s="21" t="s">
        <v>1329</v>
      </c>
    </row>
    <row r="487" spans="1:2">
      <c r="A487" s="21">
        <v>566</v>
      </c>
      <c r="B487" s="21" t="s">
        <v>1330</v>
      </c>
    </row>
    <row r="488" spans="1:2">
      <c r="A488" s="21">
        <v>567</v>
      </c>
      <c r="B488" s="21" t="s">
        <v>1331</v>
      </c>
    </row>
    <row r="489" spans="1:2">
      <c r="A489" s="21">
        <v>568</v>
      </c>
      <c r="B489" s="21" t="s">
        <v>1332</v>
      </c>
    </row>
    <row r="490" spans="1:2">
      <c r="A490" s="21">
        <v>569</v>
      </c>
      <c r="B490" s="21" t="s">
        <v>1333</v>
      </c>
    </row>
    <row r="491" spans="1:2">
      <c r="A491" s="21">
        <v>570</v>
      </c>
      <c r="B491" s="21" t="s">
        <v>1334</v>
      </c>
    </row>
    <row r="492" spans="1:2">
      <c r="A492" s="21">
        <v>571</v>
      </c>
      <c r="B492" s="21" t="s">
        <v>1335</v>
      </c>
    </row>
    <row r="493" spans="1:2">
      <c r="A493" s="21">
        <v>572</v>
      </c>
      <c r="B493" s="21" t="s">
        <v>1336</v>
      </c>
    </row>
    <row r="494" spans="1:2">
      <c r="A494" s="21">
        <v>573</v>
      </c>
      <c r="B494" s="21" t="s">
        <v>1337</v>
      </c>
    </row>
    <row r="495" spans="1:2">
      <c r="A495" s="21">
        <v>574</v>
      </c>
      <c r="B495" s="21" t="s">
        <v>1338</v>
      </c>
    </row>
    <row r="496" spans="1:2">
      <c r="A496" s="21">
        <v>575</v>
      </c>
      <c r="B496" s="21" t="s">
        <v>1339</v>
      </c>
    </row>
    <row r="497" spans="1:2">
      <c r="A497" s="21">
        <v>576</v>
      </c>
      <c r="B497" s="21" t="s">
        <v>1340</v>
      </c>
    </row>
    <row r="498" spans="1:2">
      <c r="A498" s="21">
        <v>577</v>
      </c>
      <c r="B498" s="21" t="s">
        <v>1341</v>
      </c>
    </row>
    <row r="499" spans="1:2">
      <c r="A499" s="21">
        <v>578</v>
      </c>
      <c r="B499" s="21" t="s">
        <v>495</v>
      </c>
    </row>
    <row r="500" spans="1:2">
      <c r="A500" s="21">
        <v>579</v>
      </c>
      <c r="B500" s="21" t="s">
        <v>1342</v>
      </c>
    </row>
    <row r="501" spans="1:2">
      <c r="A501" s="21">
        <v>580</v>
      </c>
      <c r="B501" s="21" t="s">
        <v>1343</v>
      </c>
    </row>
    <row r="502" spans="1:2">
      <c r="A502" s="21">
        <v>581</v>
      </c>
      <c r="B502" s="21" t="s">
        <v>1344</v>
      </c>
    </row>
    <row r="503" spans="1:2">
      <c r="A503" s="21">
        <v>582</v>
      </c>
      <c r="B503" s="21" t="s">
        <v>1345</v>
      </c>
    </row>
    <row r="504" spans="1:2">
      <c r="A504" s="21">
        <v>583</v>
      </c>
      <c r="B504" s="21" t="s">
        <v>1346</v>
      </c>
    </row>
    <row r="505" spans="1:2">
      <c r="A505" s="21">
        <v>584</v>
      </c>
      <c r="B505" s="21" t="s">
        <v>1347</v>
      </c>
    </row>
    <row r="506" spans="1:2">
      <c r="A506" s="21">
        <v>585</v>
      </c>
      <c r="B506" s="21" t="s">
        <v>1348</v>
      </c>
    </row>
    <row r="507" spans="1:2">
      <c r="A507" s="21">
        <v>586</v>
      </c>
      <c r="B507" s="21" t="s">
        <v>1349</v>
      </c>
    </row>
    <row r="508" spans="1:2">
      <c r="A508" s="21">
        <v>587</v>
      </c>
      <c r="B508" s="21" t="s">
        <v>1350</v>
      </c>
    </row>
    <row r="509" spans="1:2">
      <c r="A509" s="21">
        <v>588</v>
      </c>
      <c r="B509" s="21" t="s">
        <v>1351</v>
      </c>
    </row>
    <row r="510" spans="1:2">
      <c r="A510" s="21">
        <v>589</v>
      </c>
      <c r="B510" s="21" t="s">
        <v>1352</v>
      </c>
    </row>
    <row r="511" spans="1:2">
      <c r="A511" s="21">
        <v>590</v>
      </c>
      <c r="B511" s="21" t="s">
        <v>1353</v>
      </c>
    </row>
    <row r="512" spans="1:2">
      <c r="A512" s="21">
        <v>591</v>
      </c>
      <c r="B512" s="21" t="s">
        <v>1354</v>
      </c>
    </row>
    <row r="513" spans="1:2">
      <c r="A513" s="21">
        <v>593</v>
      </c>
      <c r="B513" s="21" t="s">
        <v>1355</v>
      </c>
    </row>
    <row r="514" spans="1:2">
      <c r="A514" s="21">
        <v>594</v>
      </c>
      <c r="B514" s="21" t="s">
        <v>1356</v>
      </c>
    </row>
    <row r="515" spans="1:2">
      <c r="A515" s="21">
        <v>596</v>
      </c>
      <c r="B515" s="21" t="s">
        <v>1357</v>
      </c>
    </row>
    <row r="516" spans="1:2">
      <c r="A516" s="21">
        <v>597</v>
      </c>
      <c r="B516" s="21" t="s">
        <v>1358</v>
      </c>
    </row>
    <row r="517" spans="1:2">
      <c r="A517" s="21">
        <v>598</v>
      </c>
      <c r="B517" s="21" t="s">
        <v>1359</v>
      </c>
    </row>
    <row r="518" spans="1:2">
      <c r="A518" s="21">
        <v>599</v>
      </c>
      <c r="B518" s="21" t="s">
        <v>1360</v>
      </c>
    </row>
    <row r="519" spans="1:2">
      <c r="A519" s="21">
        <v>600</v>
      </c>
      <c r="B519" s="21" t="s">
        <v>1361</v>
      </c>
    </row>
    <row r="520" spans="1:2">
      <c r="A520" s="21">
        <v>601</v>
      </c>
      <c r="B520" s="21" t="s">
        <v>1362</v>
      </c>
    </row>
    <row r="521" spans="1:2">
      <c r="A521" s="21">
        <v>602</v>
      </c>
      <c r="B521" s="21" t="s">
        <v>1363</v>
      </c>
    </row>
    <row r="522" spans="1:2">
      <c r="A522" s="21">
        <v>603</v>
      </c>
      <c r="B522" s="21" t="s">
        <v>1364</v>
      </c>
    </row>
    <row r="523" spans="1:2">
      <c r="A523" s="21">
        <v>604</v>
      </c>
      <c r="B523" s="21" t="s">
        <v>1365</v>
      </c>
    </row>
    <row r="524" spans="1:2">
      <c r="A524" s="21">
        <v>605</v>
      </c>
      <c r="B524" s="21" t="s">
        <v>1366</v>
      </c>
    </row>
    <row r="525" spans="1:2">
      <c r="A525" s="21">
        <v>606</v>
      </c>
      <c r="B525" s="21" t="s">
        <v>1367</v>
      </c>
    </row>
    <row r="526" spans="1:2">
      <c r="A526" s="21">
        <v>607</v>
      </c>
      <c r="B526" s="21" t="s">
        <v>1368</v>
      </c>
    </row>
    <row r="527" spans="1:2">
      <c r="A527" s="21">
        <v>608</v>
      </c>
      <c r="B527" s="21" t="s">
        <v>1369</v>
      </c>
    </row>
    <row r="528" spans="1:2">
      <c r="A528" s="21">
        <v>609</v>
      </c>
      <c r="B528" s="21" t="s">
        <v>1370</v>
      </c>
    </row>
    <row r="529" spans="1:2">
      <c r="A529" s="21">
        <v>610</v>
      </c>
      <c r="B529" s="21" t="s">
        <v>1371</v>
      </c>
    </row>
    <row r="530" spans="1:2">
      <c r="A530" s="21">
        <v>611</v>
      </c>
      <c r="B530" s="21" t="s">
        <v>1372</v>
      </c>
    </row>
    <row r="531" spans="1:2">
      <c r="A531" s="21">
        <v>612</v>
      </c>
      <c r="B531" s="21" t="s">
        <v>1373</v>
      </c>
    </row>
    <row r="532" spans="1:2">
      <c r="A532" s="21">
        <v>613</v>
      </c>
      <c r="B532" s="21" t="s">
        <v>1374</v>
      </c>
    </row>
    <row r="533" spans="1:2">
      <c r="A533" s="21">
        <v>614</v>
      </c>
      <c r="B533" s="21" t="s">
        <v>1375</v>
      </c>
    </row>
    <row r="534" spans="1:2">
      <c r="A534" s="21">
        <v>615</v>
      </c>
      <c r="B534" s="21" t="s">
        <v>1376</v>
      </c>
    </row>
    <row r="535" spans="1:2">
      <c r="A535" s="21">
        <v>616</v>
      </c>
      <c r="B535" s="21" t="s">
        <v>1377</v>
      </c>
    </row>
    <row r="536" spans="1:2">
      <c r="A536" s="21">
        <v>617</v>
      </c>
      <c r="B536" s="21" t="s">
        <v>1378</v>
      </c>
    </row>
    <row r="537" spans="1:2">
      <c r="A537" s="21">
        <v>618</v>
      </c>
      <c r="B537" s="21" t="s">
        <v>1379</v>
      </c>
    </row>
    <row r="538" spans="1:2">
      <c r="A538" s="21">
        <v>620</v>
      </c>
      <c r="B538" s="21" t="s">
        <v>1380</v>
      </c>
    </row>
    <row r="539" spans="1:2">
      <c r="A539" s="21">
        <v>621</v>
      </c>
      <c r="B539" s="21" t="s">
        <v>1381</v>
      </c>
    </row>
    <row r="540" spans="1:2">
      <c r="A540" s="21">
        <v>622</v>
      </c>
      <c r="B540" s="21" t="s">
        <v>1382</v>
      </c>
    </row>
    <row r="541" spans="1:2">
      <c r="A541" s="21">
        <v>623</v>
      </c>
      <c r="B541" s="21" t="s">
        <v>1383</v>
      </c>
    </row>
    <row r="542" spans="1:2">
      <c r="A542" s="21">
        <v>624</v>
      </c>
      <c r="B542" s="21" t="s">
        <v>1384</v>
      </c>
    </row>
    <row r="543" spans="1:2">
      <c r="A543" s="21">
        <v>625</v>
      </c>
      <c r="B543" s="21" t="s">
        <v>1385</v>
      </c>
    </row>
    <row r="544" spans="1:2">
      <c r="A544" s="21">
        <v>626</v>
      </c>
      <c r="B544" s="21" t="s">
        <v>1386</v>
      </c>
    </row>
    <row r="545" spans="1:2">
      <c r="A545" s="21">
        <v>627</v>
      </c>
      <c r="B545" s="21" t="s">
        <v>1387</v>
      </c>
    </row>
    <row r="546" spans="1:2">
      <c r="A546" s="21">
        <v>628</v>
      </c>
      <c r="B546" s="21" t="s">
        <v>1388</v>
      </c>
    </row>
    <row r="547" spans="1:2">
      <c r="A547" s="21">
        <v>629</v>
      </c>
      <c r="B547" s="21" t="s">
        <v>1389</v>
      </c>
    </row>
    <row r="548" spans="1:2">
      <c r="A548" s="21">
        <v>630</v>
      </c>
      <c r="B548" s="21" t="s">
        <v>1390</v>
      </c>
    </row>
    <row r="549" spans="1:2">
      <c r="A549" s="21">
        <v>631</v>
      </c>
      <c r="B549" s="21" t="s">
        <v>1391</v>
      </c>
    </row>
    <row r="550" spans="1:2">
      <c r="A550" s="21">
        <v>632</v>
      </c>
      <c r="B550" s="21" t="s">
        <v>1392</v>
      </c>
    </row>
    <row r="551" spans="1:2">
      <c r="A551" s="21">
        <v>633</v>
      </c>
      <c r="B551" s="21" t="s">
        <v>1393</v>
      </c>
    </row>
    <row r="552" spans="1:2">
      <c r="A552" s="21">
        <v>634</v>
      </c>
      <c r="B552" s="21" t="s">
        <v>1394</v>
      </c>
    </row>
    <row r="553" spans="1:2">
      <c r="A553" s="21">
        <v>636</v>
      </c>
      <c r="B553" s="21" t="s">
        <v>1395</v>
      </c>
    </row>
    <row r="554" spans="1:2">
      <c r="A554" s="21">
        <v>637</v>
      </c>
      <c r="B554" s="21" t="s">
        <v>1396</v>
      </c>
    </row>
    <row r="555" spans="1:2">
      <c r="A555" s="21">
        <v>638</v>
      </c>
      <c r="B555" s="21" t="s">
        <v>1397</v>
      </c>
    </row>
    <row r="556" spans="1:2">
      <c r="A556" s="21">
        <v>639</v>
      </c>
      <c r="B556" s="21" t="s">
        <v>1398</v>
      </c>
    </row>
    <row r="557" spans="1:2">
      <c r="A557" s="21">
        <v>640</v>
      </c>
      <c r="B557" s="21" t="s">
        <v>1399</v>
      </c>
    </row>
    <row r="558" spans="1:2">
      <c r="A558" s="21">
        <v>642</v>
      </c>
      <c r="B558" s="21" t="s">
        <v>1400</v>
      </c>
    </row>
    <row r="559" spans="1:2">
      <c r="A559" s="21">
        <v>643</v>
      </c>
      <c r="B559" s="21" t="s">
        <v>1401</v>
      </c>
    </row>
    <row r="560" spans="1:2">
      <c r="A560" s="21">
        <v>644</v>
      </c>
      <c r="B560" s="21" t="s">
        <v>1402</v>
      </c>
    </row>
    <row r="561" spans="1:2">
      <c r="A561" s="21">
        <v>645</v>
      </c>
      <c r="B561" s="21" t="s">
        <v>1403</v>
      </c>
    </row>
    <row r="562" spans="1:2">
      <c r="A562" s="21">
        <v>646</v>
      </c>
      <c r="B562" s="21" t="s">
        <v>1404</v>
      </c>
    </row>
    <row r="563" spans="1:2">
      <c r="A563" s="21">
        <v>647</v>
      </c>
      <c r="B563" s="21" t="s">
        <v>1405</v>
      </c>
    </row>
    <row r="564" spans="1:2">
      <c r="A564" s="21">
        <v>648</v>
      </c>
      <c r="B564" s="21" t="s">
        <v>1406</v>
      </c>
    </row>
    <row r="565" spans="1:2">
      <c r="A565" s="21">
        <v>649</v>
      </c>
      <c r="B565" s="21" t="s">
        <v>1407</v>
      </c>
    </row>
    <row r="566" spans="1:2">
      <c r="A566" s="21">
        <v>650</v>
      </c>
      <c r="B566" s="21" t="s">
        <v>1408</v>
      </c>
    </row>
    <row r="567" spans="1:2">
      <c r="A567" s="21">
        <v>651</v>
      </c>
      <c r="B567" s="21" t="s">
        <v>1409</v>
      </c>
    </row>
    <row r="568" spans="1:2">
      <c r="A568" s="21">
        <v>652</v>
      </c>
      <c r="B568" s="21" t="s">
        <v>1410</v>
      </c>
    </row>
    <row r="569" spans="1:2">
      <c r="A569" s="21">
        <v>653</v>
      </c>
      <c r="B569" s="21" t="s">
        <v>1411</v>
      </c>
    </row>
    <row r="570" spans="1:2">
      <c r="A570" s="21">
        <v>654</v>
      </c>
      <c r="B570" s="21" t="s">
        <v>1412</v>
      </c>
    </row>
    <row r="571" spans="1:2">
      <c r="A571" s="21">
        <v>655</v>
      </c>
      <c r="B571" s="21" t="s">
        <v>1413</v>
      </c>
    </row>
    <row r="572" spans="1:2">
      <c r="A572" s="21">
        <v>656</v>
      </c>
      <c r="B572" s="21" t="s">
        <v>1414</v>
      </c>
    </row>
    <row r="573" spans="1:2">
      <c r="A573" s="21">
        <v>658</v>
      </c>
      <c r="B573" s="21" t="s">
        <v>1415</v>
      </c>
    </row>
    <row r="574" spans="1:2">
      <c r="A574" s="21">
        <v>659</v>
      </c>
      <c r="B574" s="21" t="s">
        <v>1416</v>
      </c>
    </row>
    <row r="575" spans="1:2">
      <c r="A575" s="21">
        <v>660</v>
      </c>
      <c r="B575" s="21" t="s">
        <v>1417</v>
      </c>
    </row>
    <row r="576" spans="1:2">
      <c r="A576" s="21">
        <v>661</v>
      </c>
      <c r="B576" s="21" t="s">
        <v>1418</v>
      </c>
    </row>
    <row r="577" spans="1:2">
      <c r="A577" s="21">
        <v>662</v>
      </c>
      <c r="B577" s="21" t="s">
        <v>1419</v>
      </c>
    </row>
    <row r="578" spans="1:2">
      <c r="A578" s="21">
        <v>663</v>
      </c>
      <c r="B578" s="21" t="s">
        <v>1420</v>
      </c>
    </row>
    <row r="579" spans="1:2">
      <c r="A579" s="21">
        <v>995</v>
      </c>
      <c r="B579" s="21" t="s">
        <v>1421</v>
      </c>
    </row>
  </sheetData>
  <mergeCells count="6">
    <mergeCell ref="P1:Q1"/>
    <mergeCell ref="R1:S1"/>
    <mergeCell ref="T1:U1"/>
    <mergeCell ref="V1:W1"/>
    <mergeCell ref="X1:Y1"/>
    <mergeCell ref="Z1:AA1"/>
  </mergeCells>
  <pageMargins left="0.7" right="0.7" top="0.75" bottom="0.75" header="0.3" footer="0.3"/>
  <pageSetup paperSize="9" orientation="portrait" horizontalDpi="1200" verticalDpi="12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8"/>
  <sheetViews>
    <sheetView zoomScale="90" zoomScaleNormal="90" workbookViewId="0">
      <selection activeCell="AN7" sqref="AN7"/>
    </sheetView>
  </sheetViews>
  <sheetFormatPr defaultColWidth="9" defaultRowHeight="13.5"/>
  <cols>
    <col min="11" max="11" width="15.375" customWidth="1"/>
    <col min="13" max="17" width="9" customWidth="1"/>
    <col min="18" max="18" width="18.125" customWidth="1"/>
    <col min="19" max="19" width="18.25" customWidth="1"/>
    <col min="20" max="21" width="14.5" customWidth="1"/>
    <col min="22" max="22" width="17.375" customWidth="1"/>
    <col min="23" max="23" width="15.875" customWidth="1"/>
    <col min="24" max="24" width="17.625" customWidth="1"/>
    <col min="36" max="36" width="15.875" customWidth="1"/>
    <col min="37" max="37" width="14.125" customWidth="1"/>
    <col min="38" max="38" width="15.375" customWidth="1"/>
    <col min="41" max="41" width="43.25" customWidth="1"/>
    <col min="42" max="42" width="68.75" customWidth="1"/>
  </cols>
  <sheetData>
    <row r="1" customFormat="1" spans="1:42">
      <c r="A1" t="s">
        <v>1422</v>
      </c>
      <c r="B1" t="s">
        <v>1423</v>
      </c>
      <c r="C1" t="s">
        <v>57</v>
      </c>
      <c r="D1" t="s">
        <v>63</v>
      </c>
      <c r="E1" t="s">
        <v>1424</v>
      </c>
      <c r="F1" t="s">
        <v>1425</v>
      </c>
      <c r="G1" t="s">
        <v>1426</v>
      </c>
      <c r="H1" t="s">
        <v>1427</v>
      </c>
      <c r="I1" t="s">
        <v>1428</v>
      </c>
      <c r="J1" t="s">
        <v>1429</v>
      </c>
      <c r="K1" t="s">
        <v>44</v>
      </c>
      <c r="L1" t="s">
        <v>1430</v>
      </c>
      <c r="M1" t="s">
        <v>1431</v>
      </c>
      <c r="N1" t="s">
        <v>1432</v>
      </c>
      <c r="O1" t="s">
        <v>1433</v>
      </c>
      <c r="P1" t="s">
        <v>1434</v>
      </c>
      <c r="Q1" t="s">
        <v>1435</v>
      </c>
      <c r="R1" t="s">
        <v>1436</v>
      </c>
      <c r="S1" t="s">
        <v>1437</v>
      </c>
      <c r="T1" t="s">
        <v>1438</v>
      </c>
      <c r="U1" t="s">
        <v>1439</v>
      </c>
      <c r="V1" t="s">
        <v>1440</v>
      </c>
      <c r="W1" t="s">
        <v>1441</v>
      </c>
      <c r="X1" t="s">
        <v>1442</v>
      </c>
      <c r="Y1" t="s">
        <v>1443</v>
      </c>
      <c r="Z1" t="s">
        <v>1444</v>
      </c>
      <c r="AA1" t="s">
        <v>1445</v>
      </c>
      <c r="AB1" t="s">
        <v>1446</v>
      </c>
      <c r="AC1" t="s">
        <v>1447</v>
      </c>
      <c r="AD1" t="s">
        <v>1448</v>
      </c>
      <c r="AE1" t="s">
        <v>1449</v>
      </c>
      <c r="AF1" t="s">
        <v>1450</v>
      </c>
      <c r="AG1" t="s">
        <v>1451</v>
      </c>
      <c r="AH1" t="s">
        <v>1452</v>
      </c>
      <c r="AI1" t="s">
        <v>1453</v>
      </c>
      <c r="AJ1" t="s">
        <v>1454</v>
      </c>
      <c r="AK1" t="s">
        <v>1455</v>
      </c>
      <c r="AL1" t="s">
        <v>1456</v>
      </c>
      <c r="AM1" t="s">
        <v>1457</v>
      </c>
      <c r="AN1" t="s">
        <v>1458</v>
      </c>
      <c r="AO1" t="s">
        <v>258</v>
      </c>
    </row>
    <row r="2" spans="1:42">
      <c r="A2" t="s">
        <v>538</v>
      </c>
      <c r="B2">
        <v>-7</v>
      </c>
      <c r="AN2" t="str">
        <f>IF(B2&lt;&gt;"",IF(IFERROR(VALUE(C1),0)&lt;=0,"["&amp;B2&amp;"]={","},["&amp;B2&amp;"]={"),IF(C2&gt;0,"{dwID="&amp;C2&amp;","&amp;"nLevel="&amp;D2&amp;","&amp;IF(E2&gt;0,"nCount="&amp;E2&amp;",","")&amp;IF(F2&gt;0,"nIcon="&amp;F2&amp;",","")&amp;IF(G2&lt;&gt;"","szName="""&amp;G2&amp;""",","")&amp;IF(H2&gt;0,"bCheckLevel=true,","")&amp;IF(I2&gt;0,"nScrutinyType="&amp;I2&amp;",","")&amp;IF(J2&lt;&gt;"","tKungFu={"&amp;J2&amp;"},","")&amp;IF(K2&lt;&gt;"","szNote="""&amp;K2&amp;""",","")&amp;IF(L2&lt;&gt;"","col={"&amp;L2&amp;"},","")&amp;"[1]={"&amp;IF(M2&lt;&gt;"","tMark={"&amp;M2&amp;"},","")&amp;IF(N2&lt;&gt;"","szVoice="""&amp;N2&amp;""",","")&amp;IF(O2&gt;0,"bTeamChannel=true,","")&amp;IF(P2&gt;0,"bWhisperChannel=true,","")&amp;IF(Q2&gt;0,"bCenterAlarm=true,","")&amp;IF(R2&gt;0,"bScreenHead=true,","")&amp;IF(S2&gt;0,"bPartyBuffList=true,","")&amp;IF(T2&gt;0,"bBuffList=true,","")&amp;IF(U2&gt;0,"bFullScreen=true,","")&amp;IF(V2&gt;0,"bTeamPanel=true,","")&amp;IF(W2&gt;0,"bOnlySelfSrc=true,","")&amp;"},"&amp;"[2]={"&amp;IF(X2&gt;0,"bTeamChannel=true,","")&amp;IF(Y2&gt;0,"bWhisperChannel=true,","")&amp;IF(Z2&gt;0,"bCenterAlarm=true,","")&amp;"},"&amp;IF(OR(AA2&gt;0,AE2&lt;&gt;"",AF2&gt;0,AG2&lt;&gt;"",AH2&lt;&gt;"",AI2&gt;0,AJ2&gt;0,AK2&gt;0,AL2&gt;0),"aCataclysmBuff={{"&amp;IF(AA2&gt;0,"nStackNum="&amp;AA2&amp;",","")&amp;IF(AB2&lt;&gt;"","szStackOp="""&amp;AB2&amp;""",","")&amp;IF(AC2&gt;0,"bOnlyMine=true,","")&amp;IF(AD2&gt;0,"bOnlyMe=true,","")&amp;IF(AE2&lt;&gt;"","szReminder="""&amp;AE2&amp;""",","")&amp;IF(AF2&gt;0,"nPriority="&amp;AF2&amp;",","")&amp;IF(AG2&lt;&gt;"","col="""&amp;AG2&amp;""",","")&amp;IF(AH2&lt;&gt;"","colScreenHead="""&amp;AH2&amp;""",","")&amp;IF(AI2&gt;0,"nColAlpha="&amp;AI2&amp;",","")&amp;IF(AJ2&gt;0,"bAttention=true,","")&amp;IF(AK2&gt;0,"bCaution=true,","")&amp;IF(AL2&gt;0,"bScreenHead=true,","")&amp;"},"&amp;AM2&amp;"},","")&amp;IF(AO2&lt;&gt;"","tCountdown={"&amp;_xlfn.TEXTJOIN("",TRUE,AO2:ZZ2)&amp;"},","")&amp;"},",IF(C1&gt;0,"},","")&amp;IF(AND(B2="",C2="",OR(B1&lt;&gt;"",C1&lt;&gt;"")),"},}","")))</f>
        <v>[-7]={</v>
      </c>
    </row>
    <row r="3" s="13" customFormat="1" spans="1:42">
      <c r="C3" s="13">
        <v>7746</v>
      </c>
      <c r="D3" s="13">
        <v>1</v>
      </c>
      <c r="I3" s="13">
        <v>2</v>
      </c>
      <c r="K3" s="13" t="s">
        <v>1459</v>
      </c>
      <c r="L3" s="13" t="s">
        <v>1460</v>
      </c>
      <c r="R3" s="13">
        <v>1</v>
      </c>
      <c r="S3" s="13"/>
      <c r="T3" s="13">
        <v>1</v>
      </c>
      <c r="U3" s="13"/>
      <c r="V3" s="13">
        <v>1</v>
      </c>
      <c r="W3" s="13"/>
      <c r="AE3" s="13" t="s">
        <v>1461</v>
      </c>
      <c r="AF3" s="13">
        <v>1</v>
      </c>
      <c r="AG3" s="13" t="s">
        <v>1462</v>
      </c>
      <c r="AH3" s="13" t="s">
        <v>1463</v>
      </c>
      <c r="AI3" s="13">
        <v>255</v>
      </c>
      <c r="AJ3" s="13">
        <v>1</v>
      </c>
      <c r="AL3" s="13">
        <v>1</v>
      </c>
      <c r="AN3" t="str">
        <f t="shared" ref="AN3:AN28" si="0">IF(B3&lt;&gt;"",IF(IFERROR(VALUE(C2),0)&lt;=0,"["&amp;B3&amp;"]={","},["&amp;B3&amp;"]={"),IF(C3&gt;0,"{dwID="&amp;C3&amp;","&amp;"nLevel="&amp;D3&amp;","&amp;IF(E3&gt;0,"nCount="&amp;E3&amp;",","")&amp;IF(F3&gt;0,"nIcon="&amp;F3&amp;",","")&amp;IF(G3&lt;&gt;"","szName="""&amp;G3&amp;""",","")&amp;IF(H3&gt;0,"bCheckLevel=true,","")&amp;IF(I3&gt;0,"nScrutinyType="&amp;I3&amp;",","")&amp;IF(J3&lt;&gt;"","tKungFu={"&amp;J3&amp;"},","")&amp;IF(K3&lt;&gt;"","szNote="""&amp;K3&amp;""",","")&amp;IF(L3&lt;&gt;"","col={"&amp;L3&amp;"},","")&amp;"[1]={"&amp;IF(M3&lt;&gt;"","tMark={"&amp;M3&amp;"},","")&amp;IF(N3&lt;&gt;"","szVoice="""&amp;N3&amp;""",","")&amp;IF(O3&gt;0,"bTeamChannel=true,","")&amp;IF(P3&gt;0,"bWhisperChannel=true,","")&amp;IF(Q3&gt;0,"bCenterAlarm=true,","")&amp;IF(R3&gt;0,"bScreenHead=true,","")&amp;IF(S3&gt;0,"bPartyBuffList=true,","")&amp;IF(T3&gt;0,"bBuffList=true,","")&amp;IF(U3&gt;0,"bFullScreen=true,","")&amp;IF(V3&gt;0,"bTeamPanel=true,","")&amp;IF(W3&gt;0,"bOnlySelfSrc=true,","")&amp;"},"&amp;"[2]={"&amp;IF(X3&gt;0,"bTeamChannel=true,","")&amp;IF(Y3&gt;0,"bWhisperChannel=true,","")&amp;IF(Z3&gt;0,"bCenterAlarm=true,","")&amp;"},"&amp;IF(OR(AA3&gt;0,AE3&lt;&gt;"",AF3&gt;0,AG3&lt;&gt;"",AH3&lt;&gt;"",AI3&gt;0,AJ3&gt;0,AK3&gt;0,AL3&gt;0),"aCataclysmBuff={{"&amp;IF(AA3&gt;0,"nStackNum="&amp;AA3&amp;",","")&amp;IF(AB3&lt;&gt;"","szStackOp="""&amp;AB3&amp;""",","")&amp;IF(AC3&gt;0,"bOnlyMine=true,","")&amp;IF(AD3&gt;0,"bOnlyMe=true,","")&amp;IF(AE3&lt;&gt;"","szReminder="""&amp;AE3&amp;""",","")&amp;IF(AF3&gt;0,"nPriority="&amp;AF3&amp;",","")&amp;IF(AG3&lt;&gt;"","col="""&amp;AG3&amp;""",","")&amp;IF(AH3&lt;&gt;"","colScreenHead="""&amp;AH3&amp;""",","")&amp;IF(AI3&gt;0,"nColAlpha="&amp;AI3&amp;",","")&amp;IF(AJ3&gt;0,"bAttention=true,","")&amp;IF(AK3&gt;0,"bCaution=true,","")&amp;IF(AL3&gt;0,"bScreenHead=true,","")&amp;"},"&amp;AM3&amp;"},","")&amp;IF(AO3&lt;&gt;"","tCountdown={"&amp;_xlfn.TEXTJOIN("",TRUE,AO3:ZZ3)&amp;"},","")&amp;"},",IF(C2&gt;0,"},","")&amp;IF(AND(B3="",C3="",OR(B2&lt;&gt;"",C2&lt;&gt;"")),"},}","")))</f>
        <v>{dwID=7746,nLevel=1,nScrutinyType=2,szNote="免疫跑商重伤隐身",col={250,150,50,},[1]={bScreenHead=true,bBuffList=true,bTeamPanel=true,},[2]={},aCataclysmBuff={{szReminder="隐",nPriority=1,col="#FF9600FF",colScreenHead="#FF9600",nColAlpha=255,bAttention=true,bScreenHead=true,},},},</v>
      </c>
    </row>
    <row r="4" customFormat="1" spans="1:42">
      <c r="A4" t="s">
        <v>1464</v>
      </c>
      <c r="B4">
        <v>-19</v>
      </c>
      <c r="AN4" t="str">
        <f t="shared" si="0"/>
        <v>},[-19]={</v>
      </c>
    </row>
    <row r="5" customFormat="1" spans="1:42">
      <c r="C5">
        <v>3921</v>
      </c>
      <c r="D5">
        <v>1</v>
      </c>
      <c r="F5">
        <v>134</v>
      </c>
      <c r="G5" t="s">
        <v>1465</v>
      </c>
      <c r="I5">
        <v>1</v>
      </c>
      <c r="K5" t="s">
        <v>1466</v>
      </c>
      <c r="T5">
        <v>1</v>
      </c>
      <c r="AN5" t="str">
        <f t="shared" si="0"/>
        <v>{dwID=3921,nLevel=1,nIcon=134,szName="弩CD",nScrutinyType=1,szNote="伟龙debuff",[1]={bBuffList=true,},[2]={},},</v>
      </c>
    </row>
    <row r="6" customFormat="1" spans="1:42">
      <c r="C6">
        <v>4332</v>
      </c>
      <c r="D6">
        <v>1</v>
      </c>
      <c r="G6" t="s">
        <v>1467</v>
      </c>
      <c r="I6">
        <v>2</v>
      </c>
      <c r="K6" t="s">
        <v>1468</v>
      </c>
      <c r="L6" t="s">
        <v>1469</v>
      </c>
      <c r="T6">
        <v>1</v>
      </c>
      <c r="AE6" t="s">
        <v>1470</v>
      </c>
      <c r="AF6">
        <v>3</v>
      </c>
      <c r="AG6" t="s">
        <v>1471</v>
      </c>
      <c r="AH6" t="s">
        <v>1472</v>
      </c>
      <c r="AI6">
        <v>255</v>
      </c>
      <c r="AJ6">
        <v>1</v>
      </c>
      <c r="AL6">
        <v>1</v>
      </c>
      <c r="AN6" t="str">
        <f t="shared" si="0"/>
        <v>{dwID=4332,nLevel=1,szName="箭弩车",nScrutinyType=2,szNote="操作箭弩车",col={255,204,0,},[1]={bBuffList=true,},[2]={},aCataclysmBuff={{szReminder="弩",nPriority=3,col="#FFCC00FF",colScreenHead="#FFCC00",nColAlpha=255,bAttention=true,bScreenHead=true,},},},</v>
      </c>
    </row>
    <row r="7" customFormat="1" spans="1:42">
      <c r="C7">
        <v>7373</v>
      </c>
      <c r="D7">
        <v>1</v>
      </c>
      <c r="F7">
        <v>134</v>
      </c>
      <c r="G7" t="s">
        <v>1467</v>
      </c>
      <c r="I7">
        <v>3</v>
      </c>
      <c r="K7" t="s">
        <v>1473</v>
      </c>
      <c r="L7" t="s">
        <v>1474</v>
      </c>
      <c r="R7">
        <v>1</v>
      </c>
      <c r="AN7" t="str">
        <f t="shared" si="0"/>
        <v>{dwID=7373,nLevel=1,nIcon=134,szName="箭弩车",nScrutinyType=3,szNote="箭弩车记录ID",col={255,50,255,},[1]={bScreenHead=true,},[2]={},},</v>
      </c>
    </row>
    <row r="8" customFormat="1" spans="1:42">
      <c r="C8">
        <v>13876</v>
      </c>
      <c r="D8">
        <v>1</v>
      </c>
      <c r="G8" t="s">
        <v>1475</v>
      </c>
      <c r="I8">
        <v>2</v>
      </c>
      <c r="K8" t="s">
        <v>1476</v>
      </c>
      <c r="T8">
        <v>1</v>
      </c>
      <c r="AN8" t="str">
        <f t="shared" si="0"/>
        <v>{dwID=13876,nLevel=1,szName="指挥车",nScrutinyType=2,szNote="热血沸腾",[1]={bBuffList=true,},[2]={},},</v>
      </c>
    </row>
    <row r="9" customFormat="1" spans="1:42">
      <c r="C9">
        <v>13885</v>
      </c>
      <c r="D9">
        <v>1</v>
      </c>
      <c r="G9" t="s">
        <v>1477</v>
      </c>
      <c r="I9">
        <v>2</v>
      </c>
      <c r="K9" t="s">
        <v>1478</v>
      </c>
      <c r="L9" t="s">
        <v>1479</v>
      </c>
      <c r="T9">
        <v>1</v>
      </c>
      <c r="V9">
        <v>1</v>
      </c>
      <c r="AN9" t="str">
        <f t="shared" si="0"/>
        <v>{dwID=13885,nLevel=1,szName="庇佑",nScrutinyType=2,szNote="战车庇佑",col={0,255,0,},[1]={bBuffList=true,bTeamPanel=true,},[2]={},},</v>
      </c>
    </row>
    <row r="10" spans="1:42">
      <c r="A10" t="s">
        <v>1480</v>
      </c>
      <c r="B10">
        <v>-20</v>
      </c>
      <c r="AN10" t="str">
        <f t="shared" si="0"/>
        <v>},[-20]={</v>
      </c>
    </row>
    <row r="11" spans="1:42">
      <c r="C11">
        <v>11035</v>
      </c>
      <c r="D11">
        <v>1</v>
      </c>
      <c r="G11" t="s">
        <v>1481</v>
      </c>
      <c r="K11" t="s">
        <v>1482</v>
      </c>
      <c r="T11">
        <v>1</v>
      </c>
      <c r="AN11" t="str">
        <f t="shared" si="0"/>
        <v>{dwID=11035,nLevel=1,szName="找镖师",szNote="寻找镖师",[1]={bBuffList=true,},[2]={},},</v>
      </c>
    </row>
    <row r="12" spans="1:42">
      <c r="C12">
        <v>7561</v>
      </c>
      <c r="D12">
        <v>1</v>
      </c>
      <c r="G12" t="s">
        <v>1483</v>
      </c>
      <c r="K12" t="s">
        <v>1484</v>
      </c>
      <c r="L12" t="s">
        <v>1485</v>
      </c>
      <c r="R12">
        <v>1</v>
      </c>
      <c r="S12">
        <v>1</v>
      </c>
      <c r="T12">
        <v>1</v>
      </c>
      <c r="V12">
        <v>1</v>
      </c>
      <c r="AD12">
        <v>1</v>
      </c>
      <c r="AE12" t="s">
        <v>1486</v>
      </c>
      <c r="AF12">
        <v>2</v>
      </c>
      <c r="AG12" t="s">
        <v>1487</v>
      </c>
      <c r="AH12" t="s">
        <v>1488</v>
      </c>
      <c r="AI12">
        <v>255</v>
      </c>
      <c r="AM12" t="s">
        <v>1489</v>
      </c>
      <c r="AN12" t="str">
        <f t="shared" si="0"/>
        <v>{dwID=7561,nLevel=1,szName="守据点",szNote="守卫据点",col={0,255,255,},[1]={bScreenHead=true,bPartyBuffList=true,bBuffList=true,bTeamPanel=true,},[2]={},aCataclysmBuff={{bOnlyMe=true,szReminder="旗",nPriority=2,col="#00FFFFFF",colScreenHead="#00FFFF",nColAlpha=255,},{colScreenHead="#00FFFF",bScreenHead=true,nStackNum=1,bOnlyMe=false,col="#00FFFFFF",nColAlpha=255,szStackOp="&gt;=",szReminder="旗",nPriority=3,},},tCountdown={{nClass=1,nTime=30,szName="【{$receiver}】·拾取大旗",nFrame=8,nIcon=592,key="拾取大旗·{$receiver}",},{nClass=2,nTime=-1,szName="拾取大旗",nIcon=592,key="拾取大旗·{$receiver}",},},},</v>
      </c>
      <c r="AO12" t="s">
        <v>1490</v>
      </c>
      <c r="AP12" t="s">
        <v>1491</v>
      </c>
    </row>
    <row r="13" spans="1:42">
      <c r="C13">
        <v>7525</v>
      </c>
      <c r="D13">
        <v>1</v>
      </c>
      <c r="G13" t="s">
        <v>1492</v>
      </c>
      <c r="K13" t="s">
        <v>1493</v>
      </c>
      <c r="L13" t="s">
        <v>1485</v>
      </c>
      <c r="R13">
        <v>1</v>
      </c>
      <c r="S13">
        <v>1</v>
      </c>
      <c r="T13">
        <v>1</v>
      </c>
      <c r="V13">
        <v>1</v>
      </c>
      <c r="AD13">
        <v>1</v>
      </c>
      <c r="AE13" t="s">
        <v>1486</v>
      </c>
      <c r="AF13">
        <v>2</v>
      </c>
      <c r="AG13" t="s">
        <v>1487</v>
      </c>
      <c r="AH13" t="s">
        <v>1488</v>
      </c>
      <c r="AI13">
        <v>255</v>
      </c>
      <c r="AM13" t="s">
        <v>1489</v>
      </c>
      <c r="AN13" t="str">
        <f t="shared" si="0"/>
        <v>{dwID=7525,nLevel=1,szName="占据点",szNote="据点大旗",col={0,255,255,},[1]={bScreenHead=true,bPartyBuffList=true,bBuffList=true,bTeamPanel=true,},[2]={},aCataclysmBuff={{bOnlyMe=true,szReminder="旗",nPriority=2,col="#00FFFFFF",colScreenHead="#00FFFF",nColAlpha=255,},{colScreenHead="#00FFFF",bScreenHead=true,nStackNum=1,bOnlyMe=false,col="#00FFFFFF",nColAlpha=255,szStackOp="&gt;=",szReminder="旗",nPriority=3,},},tCountdown={{nClass=1,nTime=30,szName="【{$receiver}】·拾取大旗",nFrame=8,nIcon=592,key="拾取大旗·{$receiver}",},{nClass=2,nTime=-1,szName="拾取大旗",nIcon=592,key="拾取大旗·{$receiver}",},},},</v>
      </c>
      <c r="AO13" t="s">
        <v>1490</v>
      </c>
      <c r="AP13" t="s">
        <v>1491</v>
      </c>
    </row>
    <row r="14" customFormat="1" spans="1:42">
      <c r="C14">
        <v>7373</v>
      </c>
      <c r="D14">
        <v>1</v>
      </c>
      <c r="F14">
        <v>134</v>
      </c>
      <c r="G14" t="s">
        <v>1467</v>
      </c>
      <c r="I14">
        <v>3</v>
      </c>
      <c r="K14" s="14" t="s">
        <v>1473</v>
      </c>
      <c r="L14" t="s">
        <v>1474</v>
      </c>
      <c r="R14">
        <v>1</v>
      </c>
      <c r="AN14" t="str">
        <f t="shared" si="0"/>
        <v>{dwID=7373,nLevel=1,nIcon=134,szName="箭弩车",nScrutinyType=3,szNote="箭弩车记录ID",col={255,50,255,},[1]={bScreenHead=true,},[2]={},},</v>
      </c>
    </row>
    <row r="15" customFormat="1" spans="1:42">
      <c r="C15">
        <v>7492</v>
      </c>
      <c r="D15">
        <v>1</v>
      </c>
      <c r="G15" t="s">
        <v>1494</v>
      </c>
      <c r="I15">
        <v>2</v>
      </c>
      <c r="K15" t="s">
        <v>1495</v>
      </c>
      <c r="L15" t="s">
        <v>1479</v>
      </c>
      <c r="T15">
        <v>1</v>
      </c>
      <c r="AN15" t="str">
        <f t="shared" si="0"/>
        <v>{dwID=7492,nLevel=1,szName="御城矛",nScrutinyType=2,szNote="御城·矛",col={0,255,0,},[1]={bBuffList=true,},[2]={},},</v>
      </c>
    </row>
    <row r="16" customFormat="1" spans="1:42">
      <c r="A16" t="s">
        <v>1061</v>
      </c>
      <c r="B16">
        <v>216</v>
      </c>
      <c r="AN16" t="str">
        <f t="shared" si="0"/>
        <v>},[216]={</v>
      </c>
    </row>
    <row r="17" customFormat="1" spans="1:44">
      <c r="C17">
        <v>27699</v>
      </c>
      <c r="D17">
        <v>1</v>
      </c>
      <c r="G17" t="s">
        <v>1496</v>
      </c>
      <c r="I17">
        <v>1</v>
      </c>
      <c r="K17" t="s">
        <v>1497</v>
      </c>
      <c r="L17" t="s">
        <v>1498</v>
      </c>
      <c r="AN17" t="str">
        <f t="shared" si="0"/>
        <v>{dwID=27699,nLevel=1,szName="据点内",nScrutinyType=1,szNote="请战·少林寺",col={80,231,236,},[1]={},[2]={},tCountdown={{nClass=1,nIcon=27699,szName="据点大旗·旗手提示",nTime=-1,key="据点大旗·旗手提示",},},},</v>
      </c>
      <c r="AO17" t="s">
        <v>1499</v>
      </c>
      <c r="AP17" s="7"/>
      <c r="AQ17" s="7"/>
      <c r="AR17" s="7"/>
    </row>
    <row r="18" customFormat="1" spans="1:44">
      <c r="C18" s="5">
        <v>7561</v>
      </c>
      <c r="D18">
        <v>1</v>
      </c>
      <c r="G18" t="s">
        <v>1483</v>
      </c>
      <c r="K18" t="s">
        <v>1484</v>
      </c>
      <c r="L18" t="s">
        <v>1485</v>
      </c>
      <c r="R18">
        <v>1</v>
      </c>
      <c r="S18">
        <v>1</v>
      </c>
      <c r="T18">
        <v>1</v>
      </c>
      <c r="V18">
        <v>1</v>
      </c>
      <c r="AD18">
        <v>1</v>
      </c>
      <c r="AE18" t="s">
        <v>1486</v>
      </c>
      <c r="AF18">
        <v>2</v>
      </c>
      <c r="AG18" t="s">
        <v>1487</v>
      </c>
      <c r="AH18" t="s">
        <v>1488</v>
      </c>
      <c r="AI18">
        <v>255</v>
      </c>
      <c r="AM18" t="s">
        <v>1489</v>
      </c>
      <c r="AN18" t="str">
        <f t="shared" si="0"/>
        <v>{dwID=7561,nLevel=1,szName="守据点",szNote="守卫据点",col={0,255,255,},[1]={bScreenHead=true,bPartyBuffList=true,bBuffList=true,bTeamPanel=true,},[2]={},aCataclysmBuff={{bOnlyMe=true,szReminder="旗",nPriority=2,col="#00FFFFFF",colScreenHead="#00FFFF",nColAlpha=255,},{colScreenHead="#00FFFF",bScreenHead=true,nStackNum=1,bOnlyMe=false,col="#00FFFFFF",nColAlpha=255,szStackOp="&gt;=",szReminder="旗",nPriority=3,},},tCountdown={{nClass=1,nTime=30,szName="【{$receiver}】·拾取大旗",nFrame=8,nIcon=592,key="拾取大旗·{$receiver}",},{nClass=2,nTime=-1,szName="拾取大旗",nIcon=592,key="拾取大旗·{$receiver}",},},},</v>
      </c>
      <c r="AO18" t="s">
        <v>1490</v>
      </c>
      <c r="AP18" t="s">
        <v>1491</v>
      </c>
    </row>
    <row r="19" customFormat="1" spans="1:44">
      <c r="C19" s="5">
        <v>7525</v>
      </c>
      <c r="D19">
        <v>1</v>
      </c>
      <c r="G19" t="s">
        <v>1492</v>
      </c>
      <c r="K19" t="s">
        <v>1493</v>
      </c>
      <c r="L19" t="s">
        <v>1485</v>
      </c>
      <c r="R19">
        <v>1</v>
      </c>
      <c r="S19">
        <v>1</v>
      </c>
      <c r="T19">
        <v>1</v>
      </c>
      <c r="V19">
        <v>1</v>
      </c>
      <c r="AD19">
        <v>1</v>
      </c>
      <c r="AE19" t="s">
        <v>1486</v>
      </c>
      <c r="AF19">
        <v>2</v>
      </c>
      <c r="AG19" t="s">
        <v>1487</v>
      </c>
      <c r="AH19" t="s">
        <v>1488</v>
      </c>
      <c r="AI19">
        <v>255</v>
      </c>
      <c r="AM19" t="s">
        <v>1489</v>
      </c>
      <c r="AN19" t="str">
        <f t="shared" si="0"/>
        <v>{dwID=7525,nLevel=1,szName="占据点",szNote="据点大旗",col={0,255,255,},[1]={bScreenHead=true,bPartyBuffList=true,bBuffList=true,bTeamPanel=true,},[2]={},aCataclysmBuff={{bOnlyMe=true,szReminder="旗",nPriority=2,col="#00FFFFFF",colScreenHead="#00FFFF",nColAlpha=255,},{colScreenHead="#00FFFF",bScreenHead=true,nStackNum=1,bOnlyMe=false,col="#00FFFFFF",nColAlpha=255,szStackOp="&gt;=",szReminder="旗",nPriority=3,},},tCountdown={{nClass=1,nTime=30,szName="【{$receiver}】·拾取大旗",nFrame=8,nIcon=592,key="拾取大旗·{$receiver}",},{nClass=2,nTime=-1,szName="拾取大旗",nIcon=592,key="拾取大旗·{$receiver}",},},},</v>
      </c>
      <c r="AO19" t="s">
        <v>1490</v>
      </c>
      <c r="AP19" t="s">
        <v>1491</v>
      </c>
    </row>
    <row r="20" customFormat="1" spans="1:44">
      <c r="C20" s="5">
        <v>7373</v>
      </c>
      <c r="D20">
        <v>1</v>
      </c>
      <c r="F20">
        <v>134</v>
      </c>
      <c r="G20" t="s">
        <v>1467</v>
      </c>
      <c r="I20">
        <v>3</v>
      </c>
      <c r="K20" s="15" t="s">
        <v>1473</v>
      </c>
      <c r="L20" t="s">
        <v>1474</v>
      </c>
      <c r="R20">
        <v>1</v>
      </c>
      <c r="AN20" t="str">
        <f t="shared" si="0"/>
        <v>{dwID=7373,nLevel=1,nIcon=134,szName="箭弩车",nScrutinyType=3,szNote="箭弩车记录ID",col={255,50,255,},[1]={bScreenHead=true,},[2]={},},</v>
      </c>
    </row>
    <row r="21" customFormat="1" spans="1:44">
      <c r="C21" s="5">
        <v>7492</v>
      </c>
      <c r="D21">
        <v>1</v>
      </c>
      <c r="G21" t="s">
        <v>1494</v>
      </c>
      <c r="I21">
        <v>2</v>
      </c>
      <c r="K21" t="s">
        <v>1495</v>
      </c>
      <c r="L21" t="s">
        <v>1479</v>
      </c>
      <c r="T21">
        <v>1</v>
      </c>
      <c r="AN21" t="str">
        <f t="shared" si="0"/>
        <v>{dwID=7492,nLevel=1,szName="御城矛",nScrutinyType=2,szNote="御城·矛",col={0,255,0,},[1]={bBuffList=true,},[2]={},},</v>
      </c>
    </row>
    <row r="22" customFormat="1" spans="1:44">
      <c r="A22" t="s">
        <v>1414</v>
      </c>
      <c r="B22">
        <v>656</v>
      </c>
      <c r="AN22" t="str">
        <f t="shared" si="0"/>
        <v>},[656]={</v>
      </c>
    </row>
    <row r="23" customFormat="1" spans="1:44">
      <c r="C23">
        <v>27699</v>
      </c>
      <c r="D23">
        <v>1</v>
      </c>
      <c r="G23" t="s">
        <v>1496</v>
      </c>
      <c r="I23">
        <v>1</v>
      </c>
      <c r="K23" t="s">
        <v>1497</v>
      </c>
      <c r="L23" t="s">
        <v>1498</v>
      </c>
      <c r="AN23" t="str">
        <f t="shared" si="0"/>
        <v>{dwID=27699,nLevel=1,szName="据点内",nScrutinyType=1,szNote="请战·少林寺",col={80,231,236,},[1]={},[2]={},tCountdown={{nClass=1,nIcon=27699,szName="据点大旗·旗手提示",nTime=-1,key="据点大旗·旗手提示",},},},</v>
      </c>
      <c r="AO23" t="s">
        <v>1499</v>
      </c>
      <c r="AP23" s="7"/>
      <c r="AQ23" s="7"/>
      <c r="AR23" s="7"/>
    </row>
    <row r="24" customFormat="1" spans="1:44">
      <c r="C24" s="5">
        <v>7561</v>
      </c>
      <c r="D24">
        <v>1</v>
      </c>
      <c r="G24" t="s">
        <v>1483</v>
      </c>
      <c r="K24" t="s">
        <v>1484</v>
      </c>
      <c r="L24" t="s">
        <v>1485</v>
      </c>
      <c r="R24">
        <v>1</v>
      </c>
      <c r="S24">
        <v>1</v>
      </c>
      <c r="T24">
        <v>1</v>
      </c>
      <c r="V24">
        <v>1</v>
      </c>
      <c r="AD24">
        <v>1</v>
      </c>
      <c r="AE24" t="s">
        <v>1486</v>
      </c>
      <c r="AF24">
        <v>2</v>
      </c>
      <c r="AG24" t="s">
        <v>1487</v>
      </c>
      <c r="AH24" t="s">
        <v>1488</v>
      </c>
      <c r="AI24">
        <v>255</v>
      </c>
      <c r="AM24" t="s">
        <v>1489</v>
      </c>
      <c r="AN24" t="str">
        <f t="shared" si="0"/>
        <v>{dwID=7561,nLevel=1,szName="守据点",szNote="守卫据点",col={0,255,255,},[1]={bScreenHead=true,bPartyBuffList=true,bBuffList=true,bTeamPanel=true,},[2]={},aCataclysmBuff={{bOnlyMe=true,szReminder="旗",nPriority=2,col="#00FFFFFF",colScreenHead="#00FFFF",nColAlpha=255,},{colScreenHead="#00FFFF",bScreenHead=true,nStackNum=1,bOnlyMe=false,col="#00FFFFFF",nColAlpha=255,szStackOp="&gt;=",szReminder="旗",nPriority=3,},},tCountdown={{nClass=1,nTime=30,szName="【{$receiver}】·拾取大旗",nFrame=8,nIcon=592,key="拾取大旗·{$receiver}",},{nClass=2,nTime=-1,szName="拾取大旗",nIcon=592,key="拾取大旗·{$receiver}",},},},</v>
      </c>
      <c r="AO24" t="s">
        <v>1490</v>
      </c>
      <c r="AP24" t="s">
        <v>1491</v>
      </c>
    </row>
    <row r="25" customFormat="1" spans="1:44">
      <c r="C25" s="5">
        <v>7525</v>
      </c>
      <c r="D25">
        <v>1</v>
      </c>
      <c r="G25" t="s">
        <v>1492</v>
      </c>
      <c r="K25" t="s">
        <v>1493</v>
      </c>
      <c r="L25" t="s">
        <v>1485</v>
      </c>
      <c r="R25">
        <v>1</v>
      </c>
      <c r="S25">
        <v>1</v>
      </c>
      <c r="T25">
        <v>1</v>
      </c>
      <c r="V25">
        <v>1</v>
      </c>
      <c r="AD25">
        <v>1</v>
      </c>
      <c r="AE25" t="s">
        <v>1486</v>
      </c>
      <c r="AF25">
        <v>2</v>
      </c>
      <c r="AG25" t="s">
        <v>1487</v>
      </c>
      <c r="AH25" t="s">
        <v>1488</v>
      </c>
      <c r="AI25">
        <v>255</v>
      </c>
      <c r="AM25" t="s">
        <v>1489</v>
      </c>
      <c r="AN25" t="str">
        <f t="shared" si="0"/>
        <v>{dwID=7525,nLevel=1,szName="占据点",szNote="据点大旗",col={0,255,255,},[1]={bScreenHead=true,bPartyBuffList=true,bBuffList=true,bTeamPanel=true,},[2]={},aCataclysmBuff={{bOnlyMe=true,szReminder="旗",nPriority=2,col="#00FFFFFF",colScreenHead="#00FFFF",nColAlpha=255,},{colScreenHead="#00FFFF",bScreenHead=true,nStackNum=1,bOnlyMe=false,col="#00FFFFFF",nColAlpha=255,szStackOp="&gt;=",szReminder="旗",nPriority=3,},},tCountdown={{nClass=1,nTime=30,szName="【{$receiver}】·拾取大旗",nFrame=8,nIcon=592,key="拾取大旗·{$receiver}",},{nClass=2,nTime=-1,szName="拾取大旗",nIcon=592,key="拾取大旗·{$receiver}",},},},</v>
      </c>
      <c r="AO25" t="s">
        <v>1490</v>
      </c>
      <c r="AP25" t="s">
        <v>1491</v>
      </c>
    </row>
    <row r="26" customFormat="1" spans="1:44">
      <c r="C26" s="5">
        <v>7373</v>
      </c>
      <c r="D26">
        <v>1</v>
      </c>
      <c r="F26">
        <v>134</v>
      </c>
      <c r="G26" t="s">
        <v>1467</v>
      </c>
      <c r="I26">
        <v>3</v>
      </c>
      <c r="K26" t="s">
        <v>1473</v>
      </c>
      <c r="L26" t="s">
        <v>1474</v>
      </c>
      <c r="R26">
        <v>1</v>
      </c>
      <c r="AN26" t="str">
        <f t="shared" si="0"/>
        <v>{dwID=7373,nLevel=1,nIcon=134,szName="箭弩车",nScrutinyType=3,szNote="箭弩车记录ID",col={255,50,255,},[1]={bScreenHead=true,},[2]={},},</v>
      </c>
    </row>
    <row r="27" customFormat="1" spans="1:44">
      <c r="C27" s="5">
        <v>7492</v>
      </c>
      <c r="D27">
        <v>1</v>
      </c>
      <c r="G27" t="s">
        <v>1494</v>
      </c>
      <c r="I27">
        <v>2</v>
      </c>
      <c r="K27" t="s">
        <v>1495</v>
      </c>
      <c r="L27" t="s">
        <v>1479</v>
      </c>
      <c r="T27">
        <v>1</v>
      </c>
      <c r="AN27" t="str">
        <f t="shared" si="0"/>
        <v>{dwID=7492,nLevel=1,szName="御城矛",nScrutinyType=2,szNote="御城·矛",col={0,255,0,},[1]={bBuffList=true,},[2]={},},</v>
      </c>
    </row>
    <row r="28" spans="1:44">
      <c r="AN28" t="str">
        <f t="shared" si="0"/>
        <v>},},}</v>
      </c>
    </row>
  </sheetData>
  <autoFilter xmlns:etc="http://www.wps.cn/officeDocument/2017/etCustomData" ref="A1:AS28" etc:filterBottomFollowUsedRange="0">
    <extLst/>
  </autoFilter>
  <pageMargins left="0.7" right="0.7" top="0.75" bottom="0.75" header="0.3" footer="0.3"/>
  <pageSetup paperSize="9" orientation="portrait" horizontalDpi="1200" verticalDpi="12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94"/>
  <sheetViews>
    <sheetView zoomScale="90" zoomScaleNormal="90" topLeftCell="AA1" workbookViewId="0">
      <pane ySplit="1" topLeftCell="A2" activePane="bottomLeft" state="frozen"/>
      <selection/>
      <selection pane="bottomLeft" activeCell="AN8" sqref="AN8"/>
    </sheetView>
  </sheetViews>
  <sheetFormatPr defaultColWidth="9" defaultRowHeight="13.5"/>
  <cols>
    <col min="11" max="11" width="18.5" customWidth="1"/>
    <col min="12" max="12" width="13.125" customWidth="1"/>
    <col min="13" max="13" width="15.75" customWidth="1"/>
    <col min="14" max="14" width="16.375" customWidth="1"/>
    <col min="15" max="15" width="17.75" customWidth="1"/>
    <col min="16" max="16" width="18.125" customWidth="1"/>
    <col min="17" max="17" width="18" customWidth="1"/>
    <col min="18" max="18" width="18.625" customWidth="1"/>
    <col min="19" max="19" width="21.5" customWidth="1"/>
    <col min="20" max="20" width="22.125" customWidth="1"/>
    <col min="21" max="21" width="18.375" customWidth="1"/>
    <col min="22" max="22" width="17.375" customWidth="1"/>
    <col min="23" max="23" width="21.25" customWidth="1"/>
    <col min="24" max="24" width="16.25" customWidth="1"/>
    <col min="26" max="26" width="15.5" customWidth="1"/>
    <col min="27" max="27" width="13.375" customWidth="1"/>
    <col min="28" max="28" width="15.125" customWidth="1"/>
    <col min="33" max="33" width="9.875" customWidth="1"/>
    <col min="35" max="35" width="8.125" customWidth="1"/>
    <col min="39" max="39" width="17.375" customWidth="1"/>
    <col min="40" max="40" width="19" customWidth="1"/>
    <col min="41" max="41" width="71.25" customWidth="1"/>
    <col min="42" max="42" width="37.625" customWidth="1"/>
    <col min="43" max="43" width="46.375" customWidth="1"/>
    <col min="46" max="46" width="22.75" customWidth="1"/>
  </cols>
  <sheetData>
    <row r="1" spans="1:44">
      <c r="A1" t="s">
        <v>1422</v>
      </c>
      <c r="B1" t="s">
        <v>1423</v>
      </c>
      <c r="C1" t="s">
        <v>57</v>
      </c>
      <c r="D1" t="s">
        <v>63</v>
      </c>
      <c r="E1" t="s">
        <v>1424</v>
      </c>
      <c r="F1" t="s">
        <v>1425</v>
      </c>
      <c r="G1" t="s">
        <v>1426</v>
      </c>
      <c r="H1" t="s">
        <v>1427</v>
      </c>
      <c r="I1" t="s">
        <v>1428</v>
      </c>
      <c r="J1" t="s">
        <v>1429</v>
      </c>
      <c r="K1" t="s">
        <v>44</v>
      </c>
      <c r="L1" t="s">
        <v>1430</v>
      </c>
      <c r="M1" t="s">
        <v>1431</v>
      </c>
      <c r="N1" t="s">
        <v>1432</v>
      </c>
      <c r="O1" t="s">
        <v>1433</v>
      </c>
      <c r="P1" t="s">
        <v>1434</v>
      </c>
      <c r="Q1" t="s">
        <v>1435</v>
      </c>
      <c r="R1" t="s">
        <v>1436</v>
      </c>
      <c r="S1" t="s">
        <v>1437</v>
      </c>
      <c r="T1" t="s">
        <v>1438</v>
      </c>
      <c r="U1" t="s">
        <v>1439</v>
      </c>
      <c r="V1" t="s">
        <v>1440</v>
      </c>
      <c r="W1" t="s">
        <v>1441</v>
      </c>
      <c r="X1" t="s">
        <v>1442</v>
      </c>
      <c r="Y1" t="s">
        <v>1443</v>
      </c>
      <c r="Z1" t="s">
        <v>1444</v>
      </c>
      <c r="AA1" t="s">
        <v>1445</v>
      </c>
      <c r="AB1" t="s">
        <v>1446</v>
      </c>
      <c r="AC1" t="s">
        <v>1447</v>
      </c>
      <c r="AD1" t="s">
        <v>1448</v>
      </c>
      <c r="AE1" t="s">
        <v>1449</v>
      </c>
      <c r="AF1" t="s">
        <v>1450</v>
      </c>
      <c r="AG1" t="s">
        <v>1451</v>
      </c>
      <c r="AH1" t="s">
        <v>1452</v>
      </c>
      <c r="AI1" t="s">
        <v>1453</v>
      </c>
      <c r="AJ1" t="s">
        <v>1454</v>
      </c>
      <c r="AK1" t="s">
        <v>1455</v>
      </c>
      <c r="AL1" t="s">
        <v>1456</v>
      </c>
      <c r="AM1" t="s">
        <v>1457</v>
      </c>
      <c r="AN1" t="s">
        <v>1500</v>
      </c>
      <c r="AO1" t="s">
        <v>258</v>
      </c>
    </row>
    <row r="2" spans="1:44">
      <c r="A2" t="s">
        <v>1464</v>
      </c>
      <c r="B2">
        <v>-19</v>
      </c>
      <c r="AN2" t="str">
        <f>IF(B2&lt;&gt;"",IF(IFERROR(VALUE(C1),0)&lt;=0,"["&amp;B2&amp;"]={","},["&amp;B2&amp;"]={"),IF(C2&gt;0,"{dwID="&amp;C2&amp;","&amp;"nLevel="&amp;D2&amp;","&amp;IF(E2&gt;0,"nCount="&amp;E2&amp;",","")&amp;IF(F2&gt;0,"nIcon="&amp;F2&amp;",","")&amp;IF(G2&lt;&gt;"","szName="""&amp;G2&amp;""",","")&amp;IF(H2&gt;0,"bCheckLevel=true,","")&amp;IF(I2&gt;0,"nScrutinyType="&amp;I2&amp;",","")&amp;IF(J2&lt;&gt;"","tKungFu={"&amp;J2&amp;"},","")&amp;IF(K2&lt;&gt;"","szNote="""&amp;K2&amp;""",","")&amp;IF(L2&lt;&gt;"","col={"&amp;L2&amp;"},","")&amp;"[1]={"&amp;IF(M2&lt;&gt;"","tMark={"&amp;M2&amp;"},","")&amp;IF(N2&lt;&gt;"","szVoice="""&amp;N2&amp;""",","")&amp;IF(O2&gt;0,"bTeamChannel=true,","")&amp;IF(P2&gt;0,"bWhisperChannel=true,","")&amp;IF(Q2&gt;0,"bCenterAlarm=true,","")&amp;IF(R2&gt;0,"bScreenHead=true,","")&amp;IF(S2&gt;0,"bPartyBuffList=true,","")&amp;IF(T2&gt;0,"bBuffList=true,","")&amp;IF(U2&gt;0,"bFullScreen=true,","")&amp;IF(V2&gt;0,"bTeamPanel=true,","")&amp;IF(W2&gt;0,"bOnlySelfSrc=true,","")&amp;"},"&amp;"[2]={"&amp;IF(X2&gt;0,"bTeamChannel=true,","")&amp;IF(Y2&gt;0,"bWhisperChannel=true,","")&amp;IF(Z2&gt;0,"bCenterAlarm=true,","")&amp;"},"&amp;IF(OR(AA2&gt;0,AE2&lt;&gt;"",AF2&gt;0,AG2&lt;&gt;"",AH2&lt;&gt;"",AI2&gt;0,AJ2&gt;0,AK2&gt;0,AL2&gt;0),"aCataclysmBuff={{"&amp;IF(AA2&gt;0,"nStackNum="&amp;AA2&amp;",","")&amp;IF(AB2&lt;&gt;"","szStackOp="""&amp;AB2&amp;""",","")&amp;IF(AC2&gt;0,"bOnlyMine=true,","")&amp;IF(AD2&gt;0,"bOnlyMe=true,","")&amp;IF(AE2&lt;&gt;"","szReminder="""&amp;AE2&amp;""",","")&amp;IF(AF2&gt;0,"nPriority="&amp;AF2&amp;",","")&amp;IF(AG2&lt;&gt;"","col="""&amp;AG2&amp;""",","")&amp;IF(AH2&lt;&gt;"","colScreenHead="""&amp;AH2&amp;""",","")&amp;IF(AI2&gt;0,"nColAlpha="&amp;AI2&amp;",","")&amp;IF(AJ2&gt;0,"bAttention=true,","")&amp;IF(AK2&gt;0,"bCaution=true,","")&amp;IF(AL2&gt;0,"bScreenHead=true,","")&amp;"},"&amp;AM2&amp;"},","")&amp;IF(AO2&lt;&gt;"","tCountdown={"&amp;_xlfn.TEXTJOIN("",TRUE,AO2:ZZ2)&amp;"},","")&amp;"},",IF(C1&gt;0,"},","")&amp;IF(AND(B2="",C2="",OR(B1&lt;&gt;"",C1&lt;&gt;"")),"},}","")))</f>
        <v>[-19]={</v>
      </c>
    </row>
    <row r="3" customFormat="1" spans="1:44">
      <c r="C3">
        <v>11567</v>
      </c>
      <c r="D3">
        <v>1</v>
      </c>
      <c r="F3">
        <v>1245</v>
      </c>
      <c r="G3" t="s">
        <v>1501</v>
      </c>
      <c r="I3">
        <v>1</v>
      </c>
      <c r="K3" t="s">
        <v>1502</v>
      </c>
      <c r="L3" t="s">
        <v>1503</v>
      </c>
      <c r="AN3" t="str">
        <f t="shared" ref="AN3:AN34" si="0">IF(B3&lt;&gt;"",IF(IFERROR(VALUE(C2),0)&lt;=0,"["&amp;B3&amp;"]={","},["&amp;B3&amp;"]={"),IF(C3&gt;0,"{dwID="&amp;C3&amp;","&amp;"nLevel="&amp;D3&amp;","&amp;IF(E3&gt;0,"nCount="&amp;E3&amp;",","")&amp;IF(F3&gt;0,"nIcon="&amp;F3&amp;",","")&amp;IF(G3&lt;&gt;"","szName="""&amp;G3&amp;""",","")&amp;IF(H3&gt;0,"bCheckLevel=true,","")&amp;IF(I3&gt;0,"nScrutinyType="&amp;I3&amp;",","")&amp;IF(J3&lt;&gt;"","tKungFu={"&amp;J3&amp;"},","")&amp;IF(K3&lt;&gt;"","szNote="""&amp;K3&amp;""",","")&amp;IF(L3&lt;&gt;"","col={"&amp;L3&amp;"},","")&amp;"[1]={"&amp;IF(M3&lt;&gt;"","tMark={"&amp;M3&amp;"},","")&amp;IF(N3&lt;&gt;"","szVoice="""&amp;N3&amp;""",","")&amp;IF(O3&gt;0,"bTeamChannel=true,","")&amp;IF(P3&gt;0,"bWhisperChannel=true,","")&amp;IF(Q3&gt;0,"bCenterAlarm=true,","")&amp;IF(R3&gt;0,"bScreenHead=true,","")&amp;IF(S3&gt;0,"bPartyBuffList=true,","")&amp;IF(T3&gt;0,"bBuffList=true,","")&amp;IF(U3&gt;0,"bFullScreen=true,","")&amp;IF(V3&gt;0,"bTeamPanel=true,","")&amp;IF(W3&gt;0,"bOnlySelfSrc=true,","")&amp;"},"&amp;"[2]={"&amp;IF(X3&gt;0,"bTeamChannel=true,","")&amp;IF(Y3&gt;0,"bWhisperChannel=true,","")&amp;IF(Z3&gt;0,"bCenterAlarm=true,","")&amp;"},"&amp;IF(OR(AA3&gt;0,AE3&lt;&gt;"",AF3&gt;0,AG3&lt;&gt;"",AH3&lt;&gt;"",AI3&gt;0,AJ3&gt;0,AK3&gt;0,AL3&gt;0),"aCataclysmBuff={{"&amp;IF(AA3&gt;0,"nStackNum="&amp;AA3&amp;",","")&amp;IF(AB3&lt;&gt;"","szStackOp="""&amp;AB3&amp;""",","")&amp;IF(AC3&gt;0,"bOnlyMine=true,","")&amp;IF(AD3&gt;0,"bOnlyMe=true,","")&amp;IF(AE3&lt;&gt;"","szReminder="""&amp;AE3&amp;""",","")&amp;IF(AF3&gt;0,"nPriority="&amp;AF3&amp;",","")&amp;IF(AG3&lt;&gt;"","col="""&amp;AG3&amp;""",","")&amp;IF(AH3&lt;&gt;"","colScreenHead="""&amp;AH3&amp;""",","")&amp;IF(AI3&gt;0,"nColAlpha="&amp;AI3&amp;",","")&amp;IF(AJ3&gt;0,"bAttention=true,","")&amp;IF(AK3&gt;0,"bCaution=true,","")&amp;IF(AL3&gt;0,"bScreenHead=true,","")&amp;"},"&amp;AM3&amp;"},","")&amp;IF(AO3&lt;&gt;"","tCountdown={"&amp;_xlfn.TEXTJOIN("",TRUE,AO3:ZZ3)&amp;"},","")&amp;"},",IF(C2&gt;0,"},","")&amp;IF(AND(B3="",C3="",OR(B2&lt;&gt;"",C2&lt;&gt;"")),"},}","")))</f>
        <v>{dwID=11567,nLevel=1,nIcon=1245,szName="答对",nScrutinyType=1,szNote="回答奖励",col={255,255,0,},[1]={},[2]={},tCountdown={{nClass=1,nIcon=13,nFrame=1,szName="答题验证·回答正确",nTime=5,key="挂机检测",},},},</v>
      </c>
      <c r="AO3" t="s">
        <v>1504</v>
      </c>
    </row>
    <row r="4" customFormat="1" spans="1:44">
      <c r="C4">
        <v>11559</v>
      </c>
      <c r="D4">
        <v>1</v>
      </c>
      <c r="F4">
        <v>1244</v>
      </c>
      <c r="G4" t="s">
        <v>1505</v>
      </c>
      <c r="I4">
        <v>1</v>
      </c>
      <c r="K4" t="s">
        <v>1506</v>
      </c>
      <c r="L4" t="s">
        <v>1474</v>
      </c>
      <c r="N4" t="s">
        <v>537</v>
      </c>
      <c r="O4">
        <v>1</v>
      </c>
      <c r="P4">
        <v>1</v>
      </c>
      <c r="Q4">
        <v>1</v>
      </c>
      <c r="R4">
        <v>1</v>
      </c>
      <c r="T4">
        <v>1</v>
      </c>
      <c r="U4">
        <v>1</v>
      </c>
      <c r="V4">
        <v>1</v>
      </c>
      <c r="AE4" t="s">
        <v>1507</v>
      </c>
      <c r="AF4">
        <v>3</v>
      </c>
      <c r="AG4" t="s">
        <v>1508</v>
      </c>
      <c r="AH4" t="s">
        <v>1509</v>
      </c>
      <c r="AI4">
        <v>255</v>
      </c>
      <c r="AJ4">
        <v>1</v>
      </c>
      <c r="AK4">
        <v>1</v>
      </c>
      <c r="AL4">
        <v>1</v>
      </c>
      <c r="AN4" t="str">
        <f t="shared" si="0"/>
        <v>{dwID=11559,nLevel=1,nIcon=1244,szName="答题",nScrutinyType=1,szNote="验证码答案",col={255,50,255,},[1]={szVoice="DianMing_P",bTeamChannel=true,bWhisperChannel=true,bCenterAlarm=true,bScreenHead=true,bBuffList=true,bFullScreen=true,bTeamPanel=true,},[2]={},aCataclysmBuff={{szReminder="题",nPriority=3,col="#FF32FFFF",colScreenHead="#FF32FF",nColAlpha=255,bAttention=true,bCaution=true,bScreenHead=true,},},tCountdown={{nClass=1,nIcon=13,nFrame=1,szName="答题验证·剩余时间",nTime=30,key="挂机检测",},},},</v>
      </c>
      <c r="AO4" t="s">
        <v>1510</v>
      </c>
    </row>
    <row r="5" customFormat="1" spans="1:44">
      <c r="C5">
        <v>30543</v>
      </c>
      <c r="D5">
        <v>1</v>
      </c>
      <c r="G5" t="s">
        <v>1511</v>
      </c>
      <c r="I5">
        <v>1</v>
      </c>
      <c r="K5" t="s">
        <v>1512</v>
      </c>
      <c r="L5" t="s">
        <v>1503</v>
      </c>
      <c r="AN5" t="str">
        <f t="shared" si="0"/>
        <v>{dwID=30543,nLevel=1,szName="夜晚",nScrutinyType=1,szNote="攻防·夜晚",col={255,255,0,},[1]={},[2]={},tCountdown={{nClass=1,nIcon=23896,nFrame=5,szName="夜晚·场景火堆·地形障碍",nTime=30,nRefresh=9000,key="天气事件1",},{nClass=1,nIcon=23897,nFrame=4,szName="下周·雨天·减伤加速调息",nTime=30,nRefresh=9000,key="天气事件2",},},},</v>
      </c>
      <c r="AO5" t="s">
        <v>1513</v>
      </c>
      <c r="AP5" t="s">
        <v>1514</v>
      </c>
    </row>
    <row r="6" customFormat="1" spans="1:44">
      <c r="C6">
        <v>30542</v>
      </c>
      <c r="D6">
        <v>1</v>
      </c>
      <c r="G6" t="s">
        <v>1515</v>
      </c>
      <c r="I6">
        <v>1</v>
      </c>
      <c r="K6" t="s">
        <v>1516</v>
      </c>
      <c r="L6" t="s">
        <v>1503</v>
      </c>
      <c r="AN6" t="str">
        <f t="shared" si="0"/>
        <v>{dwID=30542,nLevel=1,szName="大雪",nScrutinyType=1,szNote="攻防·大雪",col={255,255,0,},[1]={},[2]={},tCountdown={{nClass=1,nIcon=23895,nFrame=5,szName="大雪·场景雪堆·地形障碍",nTime=30,nRefresh=9000,key="天气事件1",},{nClass=1,nIcon=23892,nFrame=4,szName="下周·沙暴·减疗加快复活",nTime=30,nRefresh=9000,key="天气事件2",},},},</v>
      </c>
      <c r="AO6" t="s">
        <v>1517</v>
      </c>
      <c r="AP6" t="s">
        <v>1518</v>
      </c>
    </row>
    <row r="7" customFormat="1" spans="1:44">
      <c r="C7">
        <v>30541</v>
      </c>
      <c r="D7">
        <v>1</v>
      </c>
      <c r="G7" t="s">
        <v>1519</v>
      </c>
      <c r="I7">
        <v>1</v>
      </c>
      <c r="K7" t="s">
        <v>1520</v>
      </c>
      <c r="L7" t="s">
        <v>1503</v>
      </c>
      <c r="T7">
        <v>1</v>
      </c>
      <c r="AN7" t="str">
        <f t="shared" si="0"/>
        <v>{dwID=30541,nLevel=1,szName="15尺",nScrutinyType=1,szNote="攻防·雾天",col={255,255,0,},[1]={bBuffList=true,},[2]={},tCountdown={{nClass=1,nIcon=23893,nFrame=5,szName="雾天·伤害15尺内·气血增加20%",nTime=30,nRefresh=9000,key="天气事件1",},{nClass=1,nIcon=23895,nFrame=4,szName="下周·大雪·场景雪堆·地形障碍",nTime=30,nRefresh=9000,key="天气事件2",},},},</v>
      </c>
      <c r="AO7" t="s">
        <v>1521</v>
      </c>
      <c r="AP7" t="s">
        <v>1522</v>
      </c>
    </row>
    <row r="8" customFormat="1" spans="1:44">
      <c r="C8">
        <v>30540</v>
      </c>
      <c r="D8">
        <v>1</v>
      </c>
      <c r="G8" t="s">
        <v>1523</v>
      </c>
      <c r="I8">
        <v>1</v>
      </c>
      <c r="K8" t="s">
        <v>1524</v>
      </c>
      <c r="L8" t="s">
        <v>1503</v>
      </c>
      <c r="AN8" t="str">
        <f t="shared" si="0"/>
        <v>{dwID=30540,nLevel=1,szName="沙暴",nScrutinyType=1,szNote="攻防·沙尘暴",col={255,255,0,},[1]={},[2]={},tCountdown={{nClass=1,nIcon=23892,nFrame=5,szName="沙暴·减疗10%·复活加快50%",nTime=30,nRefresh=9000,key="天气事件1",},{nClass=1,nIcon=23896,nFrame=4,szName="下周·夜晚·场景火堆地形障碍",nTime=30,nRefresh=9000,key="天气事件2",},},},</v>
      </c>
      <c r="AO8" t="s">
        <v>1525</v>
      </c>
      <c r="AP8" t="s">
        <v>1526</v>
      </c>
    </row>
    <row r="9" customFormat="1" spans="1:44">
      <c r="C9">
        <v>30539</v>
      </c>
      <c r="D9">
        <v>1</v>
      </c>
      <c r="G9" t="s">
        <v>1527</v>
      </c>
      <c r="I9">
        <v>1</v>
      </c>
      <c r="K9" t="s">
        <v>1528</v>
      </c>
      <c r="L9" t="s">
        <v>1503</v>
      </c>
      <c r="AN9" t="str">
        <f t="shared" si="0"/>
        <v>{dwID=30539,nLevel=1,szName="下雨",nScrutinyType=1,szNote="攻防·下雨",col={255,255,0,},[1]={},[2]={},tCountdown={{nClass=1,nIcon=23897,nFrame=5,szName="雨天·减伤5%·加速调息20%",nTime=30,nRefresh=9000,key="天气事件1",},{nClass=1,nIcon=23890,nFrame=4,szName="下周·大风·战斗上马机甲",nTime=30,nRefresh=9000,key="天气事件2",},},},</v>
      </c>
      <c r="AO9" t="s">
        <v>1529</v>
      </c>
      <c r="AP9" t="s">
        <v>1530</v>
      </c>
    </row>
    <row r="10" customFormat="1" spans="1:44">
      <c r="C10">
        <v>30538</v>
      </c>
      <c r="D10">
        <v>1</v>
      </c>
      <c r="G10" t="s">
        <v>1531</v>
      </c>
      <c r="I10">
        <v>1</v>
      </c>
      <c r="K10" t="s">
        <v>1532</v>
      </c>
      <c r="L10" t="s">
        <v>1503</v>
      </c>
      <c r="AN10" t="str">
        <f t="shared" si="0"/>
        <v>{dwID=30538,nLevel=1,szName="大风",nScrutinyType=1,szNote="攻防·大风",col={255,255,0,},[1]={},[2]={},tCountdown={{nClass=1,nIcon=23890,nFrame=5,szName="大风·气力减慢·战斗上马机甲",nTime=30,nRefresh=9000,key="天气事件1",},{nClass=1,nIcon=23893,nFrame=4,szName="下周·雾天·伤害15尺气血增加",nTime=30,nRefresh=9000,key="天气事件2",},},},</v>
      </c>
      <c r="AO10" t="s">
        <v>1533</v>
      </c>
      <c r="AP10" t="s">
        <v>1534</v>
      </c>
    </row>
    <row r="11" customFormat="1" spans="1:44">
      <c r="C11">
        <v>10662</v>
      </c>
      <c r="D11">
        <v>1</v>
      </c>
      <c r="F11">
        <v>3287</v>
      </c>
      <c r="G11" t="s">
        <v>1535</v>
      </c>
      <c r="I11">
        <v>1</v>
      </c>
      <c r="K11" t="s">
        <v>1536</v>
      </c>
      <c r="L11" t="s">
        <v>1503</v>
      </c>
      <c r="T11">
        <v>1</v>
      </c>
      <c r="AN11" t="str">
        <f t="shared" si="0"/>
        <v>{dwID=10662,nLevel=1,nIcon=3287,szName="验战阶",nScrutinyType=1,szNote="前阶段战阶·占坑检测",col={255,255,0,},[1]={bBuffList=true,},[2]={},tCountdown={{nClass=-1,nIcon=1465,nTime=0.001,szName=" ",nRefresh=99999,key="破阵点将·一·常驻",},{nClass=-1,nIcon=1465,nTime=0.001,szName=" ",nRefresh=99999,key="破阵点将·二·常驻",},{nClass=-1,nIcon=7674,nTime=-1,szName="破阵点将·一·常驻",key="破阵点将·一·常驻",},{nClass=-1,nIcon=7676,nTime=-1,szName="破阵点将·二·常驻",key="破阵点将·二·常驻",},},},</v>
      </c>
      <c r="AO11" t="s">
        <v>1537</v>
      </c>
    </row>
    <row r="12" customFormat="1" spans="1:44">
      <c r="C12">
        <v>10305</v>
      </c>
      <c r="D12">
        <v>1</v>
      </c>
      <c r="G12" t="s">
        <v>1538</v>
      </c>
      <c r="I12">
        <v>1</v>
      </c>
      <c r="K12" t="s">
        <v>1539</v>
      </c>
      <c r="L12" t="s">
        <v>1474</v>
      </c>
      <c r="N12" t="s">
        <v>537</v>
      </c>
      <c r="O12">
        <v>1</v>
      </c>
      <c r="P12">
        <v>1</v>
      </c>
      <c r="Q12">
        <v>1</v>
      </c>
      <c r="T12">
        <v>1</v>
      </c>
      <c r="U12">
        <v>1</v>
      </c>
      <c r="AE12" t="s">
        <v>1540</v>
      </c>
      <c r="AF12">
        <v>2</v>
      </c>
      <c r="AG12" t="s">
        <v>1508</v>
      </c>
      <c r="AI12">
        <v>255</v>
      </c>
      <c r="AJ12">
        <v>1</v>
      </c>
      <c r="AN12" t="str">
        <f t="shared" si="0"/>
        <v>{dwID=10305,nLevel=1,szName="注视",nScrutinyType=1,szNote="攻防挂机",col={255,50,255,},[1]={szVoice="DianMing_P",bTeamChannel=true,bWhisperChannel=true,bCenterAlarm=true,bBuffList=true,bFullScreen=true,},[2]={},aCataclysmBuff={{szReminder="视",nPriority=2,col="#FF32FFFF",nColAlpha=255,bAttention=true,},},tCountdown={{nClass=1,nIcon=13,nFrame=2,szName="挂机检测·首领注视",nTime=30,key="挂机检测",},},},</v>
      </c>
      <c r="AO12" t="s">
        <v>1541</v>
      </c>
    </row>
    <row r="13" customFormat="1" spans="1:44">
      <c r="C13">
        <v>7756</v>
      </c>
      <c r="D13">
        <v>1</v>
      </c>
      <c r="I13">
        <v>1</v>
      </c>
      <c r="K13" t="s">
        <v>1542</v>
      </c>
      <c r="L13" t="s">
        <v>1503</v>
      </c>
      <c r="T13">
        <v>1</v>
      </c>
      <c r="AE13" t="s">
        <v>1543</v>
      </c>
      <c r="AF13">
        <v>3</v>
      </c>
      <c r="AG13" t="s">
        <v>1544</v>
      </c>
      <c r="AI13">
        <v>0</v>
      </c>
      <c r="AN13" t="str">
        <f t="shared" si="0"/>
        <v>{dwID=7756,nLevel=1,nScrutinyType=1,szNote="燃火20s",col={255,255,0,},[1]={bBuffList=true,},[2]={},aCataclysmBuff={{szReminder="火",nPriority=3,col="#00FFFF00",},},tCountdown={{nClass=1,nIcon=5399,nFrame=0,szName="增益·燃火·持续剩余",nTime=20,key="燃火",},{nClass=2,nIcon=13,szName="燃火",nTime=-1,key="燃火",},},},</v>
      </c>
      <c r="AO13" t="s">
        <v>1545</v>
      </c>
      <c r="AP13" t="s">
        <v>1546</v>
      </c>
    </row>
    <row r="14" customFormat="1" spans="1:44">
      <c r="C14">
        <v>29721</v>
      </c>
      <c r="D14">
        <v>1</v>
      </c>
      <c r="I14">
        <v>1</v>
      </c>
      <c r="K14" t="s">
        <v>1547</v>
      </c>
      <c r="L14" t="s">
        <v>1503</v>
      </c>
      <c r="AN14" t="str">
        <f t="shared" si="0"/>
        <v>{dwID=29721,nLevel=1,nScrutinyType=1,szNote="业务繁忙·中立侠士",col={255,255,0,},[1]={},[2]={},tCountdown={{nClass=1,nIcon=13,szName="通用事件",nTime=-1,nRefresh=99999,key="通用事件",},{nClass=2,nIcon=13,szName="通用事件",nTime=-2,key="通用事件",},{nClass=1,nIcon=2402,szName="大攻防·奇袭场",nTime=-1,nRefresh=999999,key="大攻防·奇袭场",},{nClass=1,nIcon=7674,szName="破阵点将·一·常驻",nTime=-1,nRefresh=5,key="破阵点将·一·常驻",},{nClass=1,nIcon=7676,szName="破阵点将·二·常驻",nTime=-1,nRefresh=5,key="破阵点将·二·常驻",},},},</v>
      </c>
      <c r="AO14" t="s">
        <v>1548</v>
      </c>
      <c r="AP14" t="s">
        <v>1549</v>
      </c>
      <c r="AQ14" t="s">
        <v>1550</v>
      </c>
      <c r="AR14" t="s">
        <v>1551</v>
      </c>
    </row>
    <row r="15" customFormat="1" spans="1:44">
      <c r="C15">
        <v>25654</v>
      </c>
      <c r="D15">
        <v>1</v>
      </c>
      <c r="I15">
        <v>1</v>
      </c>
      <c r="K15" t="s">
        <v>1552</v>
      </c>
      <c r="L15" t="s">
        <v>1503</v>
      </c>
      <c r="AN15" t="str">
        <f t="shared" si="0"/>
        <v>{dwID=25654,nLevel=1,nScrutinyType=1,szNote="攻防场景特殊规则",col={255,255,0,},[1]={},[2]={},tCountdown={{nClass=1,nIcon=13,szName="诛恶事件",nTime=-1,nRefresh=99999,key="诛恶事件",},{nClass=1,nIcon=13,szName="通用事件",nTime=-1,nRefresh=99999,key="通用事件",},{nClass=1,nIcon=13,szName="绣球花",nTime=-1,key="绣球花",},{nClass=1,nIcon=13,szName="郁金香",nTime=-1,key="郁金香",},{nClass=1,nIcon=13,szName="牵牛花",nTime=-1,key="牵牛花",},},},</v>
      </c>
      <c r="AO15" t="s">
        <v>1553</v>
      </c>
      <c r="AP15" t="s">
        <v>1548</v>
      </c>
      <c r="AQ15" s="5" t="s">
        <v>1554</v>
      </c>
    </row>
    <row r="16" customFormat="1" spans="1:44">
      <c r="C16">
        <v>29007</v>
      </c>
      <c r="D16">
        <v>1</v>
      </c>
      <c r="I16">
        <v>1</v>
      </c>
      <c r="K16" t="s">
        <v>1555</v>
      </c>
      <c r="L16" t="s">
        <v>1556</v>
      </c>
      <c r="AN16" t="str">
        <f t="shared" si="0"/>
        <v>{dwID=29007,nLevel=1,nScrutinyType=1,szNote="九素化生·伤害距离",col={128,238,255,},[1]={},[2]={},},</v>
      </c>
    </row>
    <row r="17" spans="3:46">
      <c r="C17">
        <v>2104</v>
      </c>
      <c r="D17">
        <v>1</v>
      </c>
      <c r="I17">
        <v>1</v>
      </c>
      <c r="K17" t="s">
        <v>1557</v>
      </c>
      <c r="L17" t="s">
        <v>1503</v>
      </c>
      <c r="AN17" t="str">
        <f t="shared" si="0"/>
        <v>{dwID=2104,nLevel=1,nScrutinyType=1,szNote="一触即发·休息阶段",col={255,255,0,},[1]={},[2]={},tCountdown={{nClass=1,nIcon=13,szName="牛车拾取间隔",nTime=0,key="牛车拾取间隔",},{nClass=1,nIcon=13,szName="首领拾取间隔",nTime=-1,key="首领拾取间隔",},{nClass=1,nIcon=13,nFrame=4,szName="浩气·物资车·运达",nTime=-1,key="浩气·物资车·运达",},{nClass=1,nIcon=13,nFrame=4,szName="恶人·物资车·运达",nTime=-1,key="恶人·物资车·运达",},{nClass=1,nIcon=13,nTime=-1,szName="屹立不倒",nRefresh=14400,key="屹立不倒",},{nClass=1,nIcon=13,nFrame=-1,szName="谢渊·月弄痕·减伤",nTime=-1,key="谢渊·月弄痕·减伤",},{nClass=1,nIcon=13,nFrame=-1,szName="谢渊·游驹·减伤",nTime=-1,key="谢渊·游驹·减伤",},{nClass=1,nIcon=13,nFrame=-1,szName="谢渊·小七·减伤",nTime=-1,key="谢渊·小七·减伤",},{nClass=1,nIcon=13,nFrame=-1,szName="谢渊·张桎辕·减伤",nTime=-1,key="谢渊·张桎辕·减伤",},{nClass=1,nIcon=13,nFrame=-1,szName="谢渊·司空仲平·减伤",nTime=-1,key="谢渊·司空仲平·减伤",},{nClass=1,nIcon=13,nFrame=-1,szName="谢渊·韩非池·减伤",nTime=-1,key="谢渊·韩非池·减伤",},{nClass=1,nIcon=13,nFrame=-1,szName="谢渊·赵紫儿·减伤",nTime=-1,key="谢渊·赵紫儿·减伤",},{nClass=1,nIcon=13,nFrame=-1,szName="谢渊·叶镜池·减伤",nTime=-1,key="谢渊·叶镜池·减伤",},{nClass=1,nIcon=13,nFrame=-1,szName="谢渊·郭珠·减伤",nTime=-1,key="谢渊·郭珠·减伤",},{nClass=1,nIcon=13,nFrame=-1,szName="谢渊·穆玄英·减伤",nTime=-1,key="谢渊·穆玄英·减伤",},{nClass=1,nIcon=13,nFrame=-1,szName="谢渊·影·减伤",nTime=-1,key="谢渊·影·减伤",},{nClass=1,nIcon=13,nFrame=-1,szName="王遗风·司徒一一·减伤",nTime=-1,key="王遗风·司徒一一·减伤",},{nClass=1,nIcon=13,nFrame=-1,szName="王遗风·白某·减伤",nTime=-1,key="王遗风·白某·减伤",},{nClass=1,nIcon=13,nFrame=-1,szName="王遗风·米丽古丽·减伤",nTime=-1,key="王遗风·米丽古丽·减伤",},{nClass=1,nIcon=13,nFrame=-1,szName="王遗风·陶寒亭·减伤",nTime=-1,key="王遗风·陶寒亭·减伤",},{nClass=1,nIcon=13,nFrame=-1,szName="王遗风·肖药儿·减伤",nTime=-1,key="王遗风·肖药儿·减伤",},{nClass=1,nIcon=13,nFrame=-1,szName="王遗风·伊夜·减伤",nTime=-1,key="王遗风·伊夜·减伤",},{nClass=1,nIcon=13,nFrame=-1,szName="王遗风·丁丁·减伤",nTime=-1,key="王遗风·丁丁·减伤",},{nClass=1,nIcon=13,nFrame=-1,szName="王遗风·岳琅·减伤",nTime=-1,key="王遗风·岳琅·减伤",},{nClass=1,nIcon=13,nFrame=-1,szName="王遗风·毕罗巴·减伤",nTime=-1,key="王遗风·毕罗巴·减伤",},{nClass=1,nIcon=13,nFrame=-1,szName="王遗风·烟·减伤",nTime=-1,key="王遗风·烟·减伤",},{nClass=1,nIcon=13,nFrame=-1,szName="王遗风·独孤修·减伤",nTime=-1,key="王遗风·独孤修·减伤",},{nClass=1,nIcon=13,nFrame=-1,szName="谢渊·周峰·减伤",nTime=-1,key="谢渊·周峰·减伤",},{nClass=1,nIcon=13,nFrame=-1,szName="谢渊·郑鸥·减伤",nTime=-1,key="谢渊·郑鸥·减伤",},{nClass=1,nIcon=13,nFrame=-1,szName="谢渊·陶杰·减伤",nTime=-1,key="谢渊·陶杰·减伤",},{nClass=1,nIcon=13,nFrame=-1,szName="谢渊·谢烟客·减伤",nTime=-1,key="谢渊·谢烟客·减伤",},{nClass=1,nIcon=13,nFrame=-1,szName="王遗风·张一洋·减伤",nTime=-1,key="王遗风·张一洋·减伤",},{nClass=1,nIcon=13,nFrame=-1,szName="王遗风·陶国栋·减伤",nTime=-1,key="王遗风·陶国栋·减伤",},{nClass=1,nIcon=13,nFrame=-1,szName="王遗风·吕沛杰·减伤",nTime=-1,key="王遗风·吕沛杰·减伤",},{nClass=1,nIcon=13,nFrame=-1,szName="王遗风·顾延恶·减伤",nTime=-1,key="王遗风·顾延恶·减伤",},{nClass=1,nIcon=13,nFrame=-1,szName="王遗风·莫雨·减伤",nTime=-1,key="王遗风·莫雨·减伤",},{nClass=1,nIcon=13,nFrame=-1,szName="王遗风·万兽王·减伤",nTime=-1,key="王遗风·万兽王·减伤",},{nClass=1,nIcon=13,nFrame=-1,szName="谢渊·谢铃儿·减伤",nTime=-1,key="谢渊·谢铃儿·减伤",},},},</v>
      </c>
      <c r="AO17" t="s">
        <v>1558</v>
      </c>
      <c r="AP17" t="s">
        <v>1559</v>
      </c>
      <c r="AQ17" t="s">
        <v>1560</v>
      </c>
      <c r="AR17" t="s">
        <v>1561</v>
      </c>
      <c r="AS17" t="s">
        <v>1562</v>
      </c>
      <c r="AT17" s="6" t="s">
        <v>1563</v>
      </c>
    </row>
    <row r="18" spans="3:46">
      <c r="C18">
        <v>2105</v>
      </c>
      <c r="D18">
        <v>1</v>
      </c>
      <c r="I18">
        <v>1</v>
      </c>
      <c r="K18" t="s">
        <v>1564</v>
      </c>
      <c r="L18" t="s">
        <v>1503</v>
      </c>
      <c r="AN18" t="str">
        <f t="shared" si="0"/>
        <v>{dwID=2105,nLevel=1,nScrutinyType=1,szNote="偃旗息鼓·攻防阶段",col={255,255,0,},[1]={},[2]={},tCountdown={{nClass=1,nIcon=13,szName="诛恶事件",nTime=-1,nRefresh=7200,key="诛恶事件",},{nClass=1,nIcon=13,szName="通用事件",nTime=-1,nRefresh=7200,key="通用事件",},{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nClass=1,nIcon=13,nTime=-2,szName="屹立不倒",key="屹立不倒",},{nClass=-1,nIcon=7674,nTime=-2,szName="破阵点将·一·常驻",key="破阵点将·一·常驻",},{nClass=-1,nIcon=7676,nTime=-2,szName="破阵点将·二·常驻",key="破阵点将·二·常驻",},},},</v>
      </c>
      <c r="AO18" s="5" t="s">
        <v>1565</v>
      </c>
      <c r="AP18" s="5" t="s">
        <v>1566</v>
      </c>
      <c r="AQ18" t="s">
        <v>1567</v>
      </c>
      <c r="AR18" t="s">
        <v>1568</v>
      </c>
    </row>
    <row r="19" customFormat="1" spans="3:46">
      <c r="C19">
        <v>10323</v>
      </c>
      <c r="D19">
        <v>1</v>
      </c>
      <c r="F19">
        <v>18973</v>
      </c>
      <c r="G19" t="s">
        <v>1569</v>
      </c>
      <c r="I19">
        <v>1</v>
      </c>
      <c r="K19" t="s">
        <v>1570</v>
      </c>
      <c r="T19">
        <v>1</v>
      </c>
      <c r="AN19" t="str">
        <f t="shared" si="0"/>
        <v>{dwID=10323,nLevel=1,nIcon=18973,szName="重伤",nScrutinyType=1,szNote="死亡挂机",[1]={bBuffList=true,},[2]={},},</v>
      </c>
    </row>
    <row r="20" customFormat="1" spans="3:46">
      <c r="C20">
        <v>7913</v>
      </c>
      <c r="D20">
        <v>1</v>
      </c>
      <c r="I20">
        <v>2</v>
      </c>
      <c r="K20" t="s">
        <v>1571</v>
      </c>
      <c r="L20" t="s">
        <v>1469</v>
      </c>
      <c r="T20">
        <v>1</v>
      </c>
      <c r="AE20" t="s">
        <v>1572</v>
      </c>
      <c r="AF20">
        <v>3</v>
      </c>
      <c r="AG20" t="s">
        <v>1471</v>
      </c>
      <c r="AH20" t="s">
        <v>1472</v>
      </c>
      <c r="AI20">
        <v>255</v>
      </c>
      <c r="AJ20">
        <v>1</v>
      </c>
      <c r="AL20">
        <v>1</v>
      </c>
      <c r="AN20" t="str">
        <f t="shared" si="0"/>
        <v>{dwID=7913,nLevel=1,nScrutinyType=2,szNote="意涌系统通用抗百分比回血",col={255,204,0,},[1]={bBuffList=true,},[2]={},aCataclysmBuff={{szReminder="涌",nPriority=3,col="#FFCC00FF",colScreenHead="#FFCC00",nColAlpha=255,bAttention=true,bScreenHead=true,},},},</v>
      </c>
    </row>
    <row r="21" customFormat="1" spans="3:46">
      <c r="C21">
        <v>7911</v>
      </c>
      <c r="D21">
        <v>1</v>
      </c>
      <c r="I21">
        <v>2</v>
      </c>
      <c r="K21" t="s">
        <v>1573</v>
      </c>
      <c r="L21" t="s">
        <v>1474</v>
      </c>
      <c r="R21">
        <v>1</v>
      </c>
      <c r="T21">
        <v>1</v>
      </c>
      <c r="AE21" t="s">
        <v>1574</v>
      </c>
      <c r="AF21">
        <v>4</v>
      </c>
      <c r="AG21" t="s">
        <v>1508</v>
      </c>
      <c r="AH21" t="s">
        <v>1509</v>
      </c>
      <c r="AI21">
        <v>255</v>
      </c>
      <c r="AJ21">
        <v>1</v>
      </c>
      <c r="AL21">
        <v>1</v>
      </c>
      <c r="AN21" t="str">
        <f t="shared" si="0"/>
        <v>{dwID=7911,nLevel=1,nScrutinyType=2,szNote="繁忙",col={255,50,255,},[1]={bScreenHead=true,bBuffList=true,},[2]={},aCataclysmBuff={{szReminder="忙",nPriority=4,col="#FF32FFFF",colScreenHead="#FF32FF",nColAlpha=255,bAttention=true,bScreenHead=true,},},},</v>
      </c>
    </row>
    <row r="22" customFormat="1" spans="3:46">
      <c r="C22">
        <v>4038</v>
      </c>
      <c r="D22">
        <v>1</v>
      </c>
      <c r="I22">
        <v>1</v>
      </c>
      <c r="K22" t="s">
        <v>1575</v>
      </c>
      <c r="L22" t="s">
        <v>1576</v>
      </c>
      <c r="R22">
        <v>1</v>
      </c>
      <c r="T22">
        <v>1</v>
      </c>
      <c r="AE22" t="s">
        <v>1577</v>
      </c>
      <c r="AF22">
        <v>15</v>
      </c>
      <c r="AG22" t="s">
        <v>1578</v>
      </c>
      <c r="AH22" t="s">
        <v>1579</v>
      </c>
      <c r="AI22">
        <v>255</v>
      </c>
      <c r="AL22">
        <v>1</v>
      </c>
      <c r="AN22" t="str">
        <f t="shared" si="0"/>
        <v>{dwID=4038,nLevel=1,nScrutinyType=1,szNote="锁足·首领的怒火",col={31,63,255,},[1]={bScreenHead=true,bBuffList=true,},[2]={},aCataclysmBuff={{szReminder="锁",nPriority=15,col="#1F3FFFFF",colScreenHead="#1F3FFF",nColAlpha=255,bScreenHead=true,},},},</v>
      </c>
    </row>
    <row r="23" customFormat="1" spans="3:46">
      <c r="C23">
        <v>2224</v>
      </c>
      <c r="D23">
        <v>1</v>
      </c>
      <c r="G23" t="s">
        <v>1580</v>
      </c>
      <c r="I23">
        <v>2</v>
      </c>
      <c r="K23" t="s">
        <v>1580</v>
      </c>
      <c r="L23" t="s">
        <v>1503</v>
      </c>
      <c r="R23">
        <v>1</v>
      </c>
      <c r="T23">
        <v>1</v>
      </c>
      <c r="AE23" t="s">
        <v>1581</v>
      </c>
      <c r="AF23">
        <v>13</v>
      </c>
      <c r="AG23" t="s">
        <v>1582</v>
      </c>
      <c r="AH23" t="s">
        <v>1583</v>
      </c>
      <c r="AI23">
        <v>255</v>
      </c>
      <c r="AL23">
        <v>1</v>
      </c>
      <c r="AN23" t="str">
        <f t="shared" si="0"/>
        <v>{dwID=2224,nLevel=1,szName="眩晕·斩魂",nScrutinyType=2,szNote="眩晕·斩魂",col={255,255,0,},[1]={bScreenHead=true,bBuffList=true,},[2]={},aCataclysmBuff={{szReminder="晕",nPriority=13,col="#FFFF00FF",colScreenHead="#FFFF00",nColAlpha=255,bScreenHead=true,},},},</v>
      </c>
    </row>
    <row r="24" customFormat="1" spans="3:46">
      <c r="C24">
        <v>1499</v>
      </c>
      <c r="D24">
        <v>1</v>
      </c>
      <c r="G24" t="s">
        <v>1584</v>
      </c>
      <c r="I24">
        <v>1</v>
      </c>
      <c r="K24" t="s">
        <v>1585</v>
      </c>
      <c r="L24" t="s">
        <v>1576</v>
      </c>
      <c r="R24">
        <v>1</v>
      </c>
      <c r="T24">
        <v>1</v>
      </c>
      <c r="AN24" t="str">
        <f t="shared" si="0"/>
        <v>{dwID=1499,nLevel=1,szName="锁足·呔",nScrutinyType=1,szNote="锁足·首领·呔",col={31,63,255,},[1]={bScreenHead=true,bBuffList=true,},[2]={},},</v>
      </c>
    </row>
    <row r="25" customFormat="1" spans="3:46">
      <c r="C25">
        <v>1373</v>
      </c>
      <c r="D25">
        <v>1</v>
      </c>
      <c r="I25">
        <v>2</v>
      </c>
      <c r="K25" t="s">
        <v>1586</v>
      </c>
      <c r="L25" t="s">
        <v>1503</v>
      </c>
      <c r="R25">
        <v>1</v>
      </c>
      <c r="T25">
        <v>1</v>
      </c>
      <c r="V25">
        <v>1</v>
      </c>
      <c r="AE25" t="s">
        <v>1587</v>
      </c>
      <c r="AF25">
        <v>14</v>
      </c>
      <c r="AG25" t="s">
        <v>1582</v>
      </c>
      <c r="AH25" t="s">
        <v>1583</v>
      </c>
      <c r="AI25">
        <v>255</v>
      </c>
      <c r="AL25">
        <v>1</v>
      </c>
      <c r="AN25" t="str">
        <f t="shared" si="0"/>
        <v>{dwID=1373,nLevel=1,nScrutinyType=2,szNote="定身·红尘曲·心魔",col={255,255,0,},[1]={bScreenHead=true,bBuffList=true,bTeamPanel=true,},[2]={},aCataclysmBuff={{szReminder="定",nPriority=14,col="#FFFF00FF",colScreenHead="#FFFF00",nColAlpha=255,bScreenHead=true,},},},</v>
      </c>
    </row>
    <row r="26" customFormat="1" spans="3:46">
      <c r="C26">
        <v>1452</v>
      </c>
      <c r="D26">
        <v>1</v>
      </c>
      <c r="I26">
        <v>2</v>
      </c>
      <c r="K26" t="s">
        <v>1588</v>
      </c>
      <c r="L26" t="s">
        <v>1474</v>
      </c>
      <c r="R26">
        <v>1</v>
      </c>
      <c r="T26">
        <v>1</v>
      </c>
      <c r="V26">
        <v>1</v>
      </c>
      <c r="AE26" t="s">
        <v>1589</v>
      </c>
      <c r="AF26">
        <v>4</v>
      </c>
      <c r="AG26" t="s">
        <v>1508</v>
      </c>
      <c r="AH26" t="s">
        <v>1509</v>
      </c>
      <c r="AI26">
        <v>255</v>
      </c>
      <c r="AK26">
        <v>1</v>
      </c>
      <c r="AL26">
        <v>1</v>
      </c>
      <c r="AN26" t="str">
        <f t="shared" si="0"/>
        <v>{dwID=1452,nLevel=1,nScrutinyType=2,szNote="爆炸·烈日剑·升凤",col={255,50,255,},[1]={bScreenHead=true,bBuffList=true,bTeamPanel=true,},[2]={},aCataclysmBuff={{szReminder="爆",nPriority=4,col="#FF32FFFF",colScreenHead="#FF32FF",nColAlpha=255,bCaution=true,bScreenHead=true,},},},</v>
      </c>
    </row>
    <row r="27" customFormat="1" spans="3:46">
      <c r="C27">
        <v>1490</v>
      </c>
      <c r="D27">
        <v>1</v>
      </c>
      <c r="I27">
        <v>2</v>
      </c>
      <c r="K27" t="s">
        <v>1590</v>
      </c>
      <c r="L27" t="s">
        <v>1591</v>
      </c>
      <c r="T27">
        <v>1</v>
      </c>
      <c r="V27">
        <v>1</v>
      </c>
      <c r="AE27" t="s">
        <v>1592</v>
      </c>
      <c r="AF27">
        <v>31</v>
      </c>
      <c r="AG27" t="s">
        <v>1593</v>
      </c>
      <c r="AI27">
        <v>255</v>
      </c>
      <c r="AN27" t="str">
        <f t="shared" si="0"/>
        <v>{dwID=1490,nLevel=1,nScrutinyType=2,szNote="DOT·毒王杖·爆",col={206,85,223,},[1]={bBuffList=true,bTeamPanel=true,},[2]={},aCataclysmBuff={{szReminder="毒",nPriority=31,col="#CE55FDFF",nColAlpha=255,},},},</v>
      </c>
    </row>
    <row r="28" customFormat="1" spans="3:46">
      <c r="C28">
        <v>32121</v>
      </c>
      <c r="D28">
        <v>1</v>
      </c>
      <c r="I28">
        <v>1</v>
      </c>
      <c r="K28" t="s">
        <v>1594</v>
      </c>
      <c r="L28" t="s">
        <v>1591</v>
      </c>
      <c r="T28">
        <v>1</v>
      </c>
      <c r="AN28" t="str">
        <f t="shared" si="0"/>
        <v>{dwID=32121,nLevel=1,nScrutinyType=1,szNote="易伤·流血·天魔裂空",col={206,85,223,},[1]={bBuffList=true,},[2]={},},</v>
      </c>
    </row>
    <row r="29" customFormat="1" spans="3:46">
      <c r="C29">
        <v>1472</v>
      </c>
      <c r="D29">
        <v>1</v>
      </c>
      <c r="I29">
        <v>2</v>
      </c>
      <c r="K29" t="s">
        <v>1595</v>
      </c>
      <c r="L29" t="s">
        <v>1576</v>
      </c>
      <c r="T29">
        <v>1</v>
      </c>
      <c r="V29">
        <v>1</v>
      </c>
      <c r="AE29" t="s">
        <v>1596</v>
      </c>
      <c r="AF29">
        <v>15</v>
      </c>
      <c r="AG29" t="s">
        <v>1578</v>
      </c>
      <c r="AI29">
        <v>255</v>
      </c>
      <c r="AN29" t="str">
        <f t="shared" si="0"/>
        <v>{dwID=1472,nLevel=1,nScrutinyType=2,szNote="减速40%·四象轮回",col={31,63,255,},[1]={bBuffList=true,bTeamPanel=true,},[2]={},aCataclysmBuff={{szReminder="慢",nPriority=15,col="#1F3FFFFF",nColAlpha=255,},},},</v>
      </c>
    </row>
    <row r="30" customFormat="1" spans="3:46">
      <c r="C30">
        <v>1473</v>
      </c>
      <c r="D30">
        <v>1</v>
      </c>
      <c r="I30">
        <v>2</v>
      </c>
      <c r="K30" t="s">
        <v>1597</v>
      </c>
      <c r="L30" t="s">
        <v>1598</v>
      </c>
      <c r="R30">
        <v>1</v>
      </c>
      <c r="T30">
        <v>1</v>
      </c>
      <c r="V30">
        <v>1</v>
      </c>
      <c r="AE30" t="s">
        <v>1599</v>
      </c>
      <c r="AF30">
        <v>4</v>
      </c>
      <c r="AG30" t="s">
        <v>1600</v>
      </c>
      <c r="AH30" t="s">
        <v>1601</v>
      </c>
      <c r="AI30">
        <v>255</v>
      </c>
      <c r="AL30">
        <v>1</v>
      </c>
      <c r="AN30" t="str">
        <f t="shared" si="0"/>
        <v>{dwID=1473,nLevel=1,nScrutinyType=2,szNote="沉默·八卦洞玄",col={165,96,232,},[1]={bScreenHead=true,bBuffList=true,bTeamPanel=true,},[2]={},aCataclysmBuff={{szReminder="默",nPriority=4,col="#A560E8FF",colScreenHead="#A560E8",nColAlpha=255,bScreenHead=true,},},},</v>
      </c>
    </row>
    <row r="31" customFormat="1" spans="3:46">
      <c r="C31">
        <v>1474</v>
      </c>
      <c r="D31">
        <v>1</v>
      </c>
      <c r="I31">
        <v>1</v>
      </c>
      <c r="K31" t="s">
        <v>1602</v>
      </c>
      <c r="L31" t="s">
        <v>1603</v>
      </c>
      <c r="T31">
        <v>1</v>
      </c>
      <c r="AN31" t="str">
        <f t="shared" si="0"/>
        <v>{dwID=1474,nLevel=1,nScrutinyType=1,szNote="易伤·霸王卸甲·每层10%",col={255,153,204,},[1]={bBuffList=true,},[2]={},},</v>
      </c>
    </row>
    <row r="32" customFormat="1" spans="3:46">
      <c r="C32">
        <v>1478</v>
      </c>
      <c r="D32">
        <v>1</v>
      </c>
      <c r="I32">
        <v>2</v>
      </c>
      <c r="K32" t="s">
        <v>1604</v>
      </c>
      <c r="L32" t="s">
        <v>1598</v>
      </c>
      <c r="R32">
        <v>1</v>
      </c>
      <c r="T32">
        <v>1</v>
      </c>
      <c r="V32">
        <v>1</v>
      </c>
      <c r="AE32" t="s">
        <v>1599</v>
      </c>
      <c r="AF32">
        <v>4</v>
      </c>
      <c r="AG32" t="s">
        <v>1600</v>
      </c>
      <c r="AH32" t="s">
        <v>1601</v>
      </c>
      <c r="AI32">
        <v>255</v>
      </c>
      <c r="AL32">
        <v>1</v>
      </c>
      <c r="AN32" t="str">
        <f t="shared" si="0"/>
        <v>{dwID=1478,nLevel=1,nScrutinyType=2,szNote="沉默·封血针",col={165,96,232,},[1]={bScreenHead=true,bBuffList=true,bTeamPanel=true,},[2]={},aCataclysmBuff={{szReminder="默",nPriority=4,col="#A560E8FF",colScreenHead="#A560E8",nColAlpha=255,bScreenHead=true,},},},</v>
      </c>
    </row>
    <row r="33" customFormat="1" spans="1:42">
      <c r="C33">
        <v>9677</v>
      </c>
      <c r="D33">
        <v>1</v>
      </c>
      <c r="F33">
        <v>2024</v>
      </c>
      <c r="G33" t="s">
        <v>1605</v>
      </c>
      <c r="I33">
        <v>1</v>
      </c>
      <c r="K33" t="s">
        <v>1605</v>
      </c>
      <c r="L33" t="s">
        <v>1503</v>
      </c>
      <c r="T33">
        <v>1</v>
      </c>
      <c r="AN33" t="str">
        <f t="shared" si="0"/>
        <v>{dwID=9677,nLevel=1,nIcon=2024,szName="轰炸",nScrutinyType=1,szNote="轰炸",col={255,255,0,},[1]={bBuffList=true,},[2]={},},</v>
      </c>
    </row>
    <row r="34" customFormat="1" spans="1:42">
      <c r="C34">
        <v>9871</v>
      </c>
      <c r="D34">
        <v>1</v>
      </c>
      <c r="F34">
        <v>7682</v>
      </c>
      <c r="G34" t="s">
        <v>1606</v>
      </c>
      <c r="I34">
        <v>2</v>
      </c>
      <c r="K34" t="s">
        <v>1607</v>
      </c>
      <c r="L34" t="s">
        <v>1608</v>
      </c>
      <c r="R34">
        <v>1</v>
      </c>
      <c r="T34">
        <v>1</v>
      </c>
      <c r="AF34">
        <v>3</v>
      </c>
      <c r="AG34" t="s">
        <v>1609</v>
      </c>
      <c r="AH34" t="s">
        <v>1610</v>
      </c>
      <c r="AI34">
        <v>255</v>
      </c>
      <c r="AL34">
        <v>1</v>
      </c>
      <c r="AN34" t="str">
        <f t="shared" si="0"/>
        <v>{dwID=9871,nLevel=1,nIcon=7682,szName="翅膀",nScrutinyType=2,szNote="飞行机甲·黑翼",col={255,255,255,},[1]={bScreenHead=true,bBuffList=true,},[2]={},aCataclysmBuff={{nPriority=3,col="#FFFFFFFF",colScreenHead="#FFFFFF",nColAlpha=255,bScreenHead=true,},},},</v>
      </c>
    </row>
    <row r="35" customFormat="1" spans="1:42">
      <c r="C35">
        <v>9632</v>
      </c>
      <c r="D35">
        <v>1</v>
      </c>
      <c r="I35">
        <v>2</v>
      </c>
      <c r="K35" t="s">
        <v>1611</v>
      </c>
      <c r="L35" t="s">
        <v>1608</v>
      </c>
      <c r="T35">
        <v>1</v>
      </c>
      <c r="V35">
        <v>1</v>
      </c>
      <c r="AF35">
        <v>1</v>
      </c>
      <c r="AG35" t="s">
        <v>1612</v>
      </c>
      <c r="AI35">
        <v>0</v>
      </c>
      <c r="AN35" t="str">
        <f t="shared" ref="AN35:AN66" si="1">IF(B35&lt;&gt;"",IF(IFERROR(VALUE(C34),0)&lt;=0,"["&amp;B35&amp;"]={","},["&amp;B35&amp;"]={"),IF(C35&gt;0,"{dwID="&amp;C35&amp;","&amp;"nLevel="&amp;D35&amp;","&amp;IF(E35&gt;0,"nCount="&amp;E35&amp;",","")&amp;IF(F35&gt;0,"nIcon="&amp;F35&amp;",","")&amp;IF(G35&lt;&gt;"","szName="""&amp;G35&amp;""",","")&amp;IF(H35&gt;0,"bCheckLevel=true,","")&amp;IF(I35&gt;0,"nScrutinyType="&amp;I35&amp;",","")&amp;IF(J35&lt;&gt;"","tKungFu={"&amp;J35&amp;"},","")&amp;IF(K35&lt;&gt;"","szNote="""&amp;K35&amp;""",","")&amp;IF(L35&lt;&gt;"","col={"&amp;L35&amp;"},","")&amp;"[1]={"&amp;IF(M35&lt;&gt;"","tMark={"&amp;M35&amp;"},","")&amp;IF(N35&lt;&gt;"","szVoice="""&amp;N35&amp;""",","")&amp;IF(O35&gt;0,"bTeamChannel=true,","")&amp;IF(P35&gt;0,"bWhisperChannel=true,","")&amp;IF(Q35&gt;0,"bCenterAlarm=true,","")&amp;IF(R35&gt;0,"bScreenHead=true,","")&amp;IF(S35&gt;0,"bPartyBuffList=true,","")&amp;IF(T35&gt;0,"bBuffList=true,","")&amp;IF(U35&gt;0,"bFullScreen=true,","")&amp;IF(V35&gt;0,"bTeamPanel=true,","")&amp;IF(W35&gt;0,"bOnlySelfSrc=true,","")&amp;"},"&amp;"[2]={"&amp;IF(X35&gt;0,"bTeamChannel=true,","")&amp;IF(Y35&gt;0,"bWhisperChannel=true,","")&amp;IF(Z35&gt;0,"bCenterAlarm=true,","")&amp;"},"&amp;IF(OR(AA35&gt;0,AE35&lt;&gt;"",AF35&gt;0,AG35&lt;&gt;"",AH35&lt;&gt;"",AI35&gt;0,AJ35&gt;0,AK35&gt;0,AL35&gt;0),"aCataclysmBuff={{"&amp;IF(AA35&gt;0,"nStackNum="&amp;AA35&amp;",","")&amp;IF(AB35&lt;&gt;"","szStackOp="""&amp;AB35&amp;""",","")&amp;IF(AC35&gt;0,"bOnlyMine=true,","")&amp;IF(AD35&gt;0,"bOnlyMe=true,","")&amp;IF(AE35&lt;&gt;"","szReminder="""&amp;AE35&amp;""",","")&amp;IF(AF35&gt;0,"nPriority="&amp;AF35&amp;",","")&amp;IF(AG35&lt;&gt;"","col="""&amp;AG35&amp;""",","")&amp;IF(AH35&lt;&gt;"","colScreenHead="""&amp;AH35&amp;""",","")&amp;IF(AI35&gt;0,"nColAlpha="&amp;AI35&amp;",","")&amp;IF(AJ35&gt;0,"bAttention=true,","")&amp;IF(AK35&gt;0,"bCaution=true,","")&amp;IF(AL35&gt;0,"bScreenHead=true,","")&amp;"},"&amp;AM35&amp;"},","")&amp;IF(AO35&lt;&gt;"","tCountdown={"&amp;_xlfn.TEXTJOIN("",TRUE,AO35:ZZ35)&amp;"},","")&amp;"},",IF(C34&gt;0,"},","")&amp;IF(AND(B35="",C35="",OR(B34&lt;&gt;"",C34&lt;&gt;"")),"},}","")))</f>
        <v>{dwID=9632,nLevel=1,nScrutinyType=2,szNote="神机雷",col={255,255,255,},[1]={bBuffList=true,bTeamPanel=true,},[2]={},aCataclysmBuff={{nPriority=1,col="#FFFFFF00",},},},</v>
      </c>
    </row>
    <row r="36" customFormat="1" spans="1:42">
      <c r="A36" t="s">
        <v>538</v>
      </c>
      <c r="B36">
        <v>-7</v>
      </c>
      <c r="AN36" t="str">
        <f t="shared" si="1"/>
        <v>},[-7]={</v>
      </c>
    </row>
    <row r="37" customFormat="1" spans="1:42">
      <c r="C37">
        <v>1499</v>
      </c>
      <c r="D37">
        <v>1</v>
      </c>
      <c r="G37" t="s">
        <v>1584</v>
      </c>
      <c r="I37">
        <v>1</v>
      </c>
      <c r="K37" t="s">
        <v>1613</v>
      </c>
      <c r="L37" t="s">
        <v>1576</v>
      </c>
      <c r="R37">
        <v>1</v>
      </c>
      <c r="T37">
        <v>1</v>
      </c>
      <c r="AN37" t="str">
        <f t="shared" si="1"/>
        <v>{dwID=1499,nLevel=1,szName="锁足·呔",nScrutinyType=1,szNote="锁足·首领",col={31,63,255,},[1]={bScreenHead=true,bBuffList=true,},[2]={},},</v>
      </c>
    </row>
    <row r="38" customFormat="1" spans="1:42">
      <c r="C38">
        <v>11579</v>
      </c>
      <c r="D38">
        <v>1</v>
      </c>
      <c r="K38" t="s">
        <v>1614</v>
      </c>
      <c r="AN38" t="str">
        <f t="shared" si="1"/>
        <v>{dwID=11579,nLevel=1,szNote="阵营惩罚",[1]={},[2]={},},</v>
      </c>
    </row>
    <row r="39" spans="1:42">
      <c r="A39" t="s">
        <v>1480</v>
      </c>
      <c r="B39">
        <v>-20</v>
      </c>
      <c r="AN39" t="str">
        <f t="shared" si="1"/>
        <v>},[-20]={</v>
      </c>
    </row>
    <row r="40" customFormat="1" spans="1:42">
      <c r="C40">
        <v>11567</v>
      </c>
      <c r="D40">
        <v>1</v>
      </c>
      <c r="F40">
        <v>1245</v>
      </c>
      <c r="G40" t="s">
        <v>1501</v>
      </c>
      <c r="I40">
        <v>1</v>
      </c>
      <c r="K40" t="s">
        <v>1502</v>
      </c>
      <c r="L40" t="s">
        <v>1503</v>
      </c>
      <c r="AN40" t="str">
        <f t="shared" si="1"/>
        <v>{dwID=11567,nLevel=1,nIcon=1245,szName="答对",nScrutinyType=1,szNote="回答奖励",col={255,255,0,},[1]={},[2]={},tCountdown={{nClass=1,nIcon=13,nFrame=1,szName="答题验证·回答正确",nTime=5,key="挂机检测",},},},</v>
      </c>
      <c r="AO40" t="s">
        <v>1504</v>
      </c>
    </row>
    <row r="41" customFormat="1" spans="1:42">
      <c r="C41">
        <v>11559</v>
      </c>
      <c r="D41">
        <v>1</v>
      </c>
      <c r="F41">
        <v>1244</v>
      </c>
      <c r="G41" t="s">
        <v>1505</v>
      </c>
      <c r="I41">
        <v>1</v>
      </c>
      <c r="K41" t="s">
        <v>1506</v>
      </c>
      <c r="L41" t="s">
        <v>1474</v>
      </c>
      <c r="N41" t="s">
        <v>537</v>
      </c>
      <c r="O41">
        <v>1</v>
      </c>
      <c r="P41">
        <v>1</v>
      </c>
      <c r="Q41">
        <v>1</v>
      </c>
      <c r="R41">
        <v>1</v>
      </c>
      <c r="T41">
        <v>1</v>
      </c>
      <c r="U41">
        <v>1</v>
      </c>
      <c r="V41">
        <v>1</v>
      </c>
      <c r="AE41" t="s">
        <v>1507</v>
      </c>
      <c r="AF41">
        <v>3</v>
      </c>
      <c r="AG41" t="s">
        <v>1508</v>
      </c>
      <c r="AH41" t="s">
        <v>1509</v>
      </c>
      <c r="AI41">
        <v>255</v>
      </c>
      <c r="AJ41">
        <v>1</v>
      </c>
      <c r="AK41">
        <v>1</v>
      </c>
      <c r="AL41">
        <v>1</v>
      </c>
      <c r="AN41" t="str">
        <f t="shared" si="1"/>
        <v>{dwID=11559,nLevel=1,nIcon=1244,szName="答题",nScrutinyType=1,szNote="验证码答案",col={255,50,255,},[1]={szVoice="DianMing_P",bTeamChannel=true,bWhisperChannel=true,bCenterAlarm=true,bScreenHead=true,bBuffList=true,bFullScreen=true,bTeamPanel=true,},[2]={},aCataclysmBuff={{szReminder="题",nPriority=3,col="#FF32FFFF",colScreenHead="#FF32FF",nColAlpha=255,bAttention=true,bCaution=true,bScreenHead=true,},},tCountdown={{nClass=1,nIcon=13,nFrame=1,szName="答题验证·剩余时间",nTime=30,key="挂机检测",},},},</v>
      </c>
      <c r="AO41" t="s">
        <v>1510</v>
      </c>
    </row>
    <row r="42" customFormat="1" spans="1:42">
      <c r="C42">
        <v>11565</v>
      </c>
      <c r="D42">
        <v>1</v>
      </c>
      <c r="F42">
        <v>592</v>
      </c>
      <c r="G42" t="s">
        <v>1615</v>
      </c>
      <c r="K42" t="s">
        <v>1616</v>
      </c>
      <c r="L42" t="s">
        <v>1485</v>
      </c>
      <c r="R42">
        <v>1</v>
      </c>
      <c r="AN42" t="str">
        <f t="shared" si="1"/>
        <v>{dwID=11565,nLevel=1,nIcon=592,szName="大旗手",szNote="大旗手检测",col={0,255,255,},[1]={bScreenHead=true,},[2]={},},</v>
      </c>
    </row>
    <row r="43" customFormat="1" spans="1:42">
      <c r="C43">
        <v>32813</v>
      </c>
      <c r="D43">
        <v>1</v>
      </c>
      <c r="F43">
        <v>16834</v>
      </c>
      <c r="G43" t="s">
        <v>1617</v>
      </c>
      <c r="K43" t="s">
        <v>1618</v>
      </c>
      <c r="L43" t="s">
        <v>1603</v>
      </c>
      <c r="T43">
        <v>1</v>
      </c>
      <c r="V43">
        <v>1</v>
      </c>
      <c r="AE43" t="s">
        <v>1619</v>
      </c>
      <c r="AF43">
        <v>37</v>
      </c>
      <c r="AG43" t="s">
        <v>1620</v>
      </c>
      <c r="AH43" t="s">
        <v>1621</v>
      </c>
      <c r="AI43">
        <v>255</v>
      </c>
      <c r="AN43" t="str">
        <f t="shared" si="1"/>
        <v>{dwID=32813,nLevel=1,nIcon=16834,szName="旗易伤",szNote="旗帜受损",col={255,153,204,},[1]={bBuffList=true,bTeamPanel=true,},[2]={},aCataclysmBuff={{szReminder="损",nPriority=37,col="#FF99CCFF",colScreenHead="#FF99CC",nColAlpha=255,},},tCountdown={{nClass=-1,nIcon=16834,nFrame=1,szName="大旗易伤",nTime="60,大旗赛点·触发冷却;62,大旗赛点·解除冷却",nRefresh=0,key="大旗易伤",},},},</v>
      </c>
      <c r="AO43" t="s">
        <v>1622</v>
      </c>
    </row>
    <row r="44" customFormat="1" spans="1:42">
      <c r="C44">
        <v>32812</v>
      </c>
      <c r="D44">
        <v>1</v>
      </c>
      <c r="F44">
        <v>3451</v>
      </c>
      <c r="G44" t="s">
        <v>1623</v>
      </c>
      <c r="K44" t="s">
        <v>1624</v>
      </c>
      <c r="L44" t="s">
        <v>1625</v>
      </c>
      <c r="T44">
        <v>1</v>
      </c>
      <c r="AN44" t="str">
        <f t="shared" si="1"/>
        <v>{dwID=32812,nLevel=1,nIcon=3451,szName="损CD",szNote="据点大旗赛点CD",col={255,50,50,},[1]={bBuffList=true,},[2]={},tCountdown={{nClass=-1,nIcon=16834,nFrame=1,szName="大旗易伤",nTime="60,大旗赛点·触发冷却;62,大旗赛点·解除冷却",nRefresh=1,key="大旗易伤",},},},</v>
      </c>
      <c r="AO44" t="s">
        <v>1626</v>
      </c>
    </row>
    <row r="45" customFormat="1" spans="1:42">
      <c r="C45">
        <v>31381</v>
      </c>
      <c r="D45">
        <v>1</v>
      </c>
      <c r="G45" t="s">
        <v>1627</v>
      </c>
      <c r="K45" t="s">
        <v>1628</v>
      </c>
      <c r="L45" t="s">
        <v>1474</v>
      </c>
      <c r="R45">
        <v>1</v>
      </c>
      <c r="T45">
        <v>1</v>
      </c>
      <c r="AE45" t="s">
        <v>1629</v>
      </c>
      <c r="AF45">
        <v>11</v>
      </c>
      <c r="AG45" t="s">
        <v>1508</v>
      </c>
      <c r="AH45" t="s">
        <v>1509</v>
      </c>
      <c r="AI45">
        <v>255</v>
      </c>
      <c r="AL45">
        <v>1</v>
      </c>
      <c r="AN45" t="str">
        <f t="shared" si="1"/>
        <v>{dwID=31381,nLevel=1,szName="禁捡旗",szNote="无法拾取大旗",col={255,50,255,},[1]={bScreenHead=true,bBuffList=true,},[2]={},aCataclysmBuff={{szReminder="捡",nPriority=11,col="#FF32FFFF",colScreenHead="#FF32FF",nColAlpha=255,bScreenHead=true,},},tCountdown={{nClass=1,nIcon=22928,nFrame=2,szName="【{$receiver}】·禁止捡旗",nTime="30,【{$receiver}】·禁止捡旗;32,【{$receiver}】·可以捡旗",nRefresh=1,key="经脉逆行·{$receiver}",},{nClass=2,nIcon=22928,nFrame=2,szName="【{$receiver}】·可以捡旗",nTime=5,key="经脉逆行·{$receiver}",},},},</v>
      </c>
      <c r="AO45" t="s">
        <v>1630</v>
      </c>
      <c r="AP45" t="s">
        <v>1631</v>
      </c>
    </row>
    <row r="46" customFormat="1" spans="1:42">
      <c r="C46">
        <v>12888</v>
      </c>
      <c r="D46">
        <v>1</v>
      </c>
      <c r="G46" t="s">
        <v>1632</v>
      </c>
      <c r="I46">
        <v>2</v>
      </c>
      <c r="K46" t="s">
        <v>1633</v>
      </c>
      <c r="L46" t="s">
        <v>1634</v>
      </c>
      <c r="T46">
        <v>1</v>
      </c>
      <c r="V46">
        <v>1</v>
      </c>
      <c r="AE46" t="s">
        <v>1635</v>
      </c>
      <c r="AF46">
        <v>29</v>
      </c>
      <c r="AG46" t="s">
        <v>1636</v>
      </c>
      <c r="AH46" t="s">
        <v>1637</v>
      </c>
      <c r="AI46">
        <v>255</v>
      </c>
      <c r="AN46" t="str">
        <f t="shared" si="1"/>
        <v>{dwID=12888,nLevel=1,szName="减疗",nScrutinyType=2,szNote="火圈每层减疗10%",col={170,170,170,},[1]={bBuffList=true,bTeamPanel=true,},[2]={},aCataclysmBuff={{szReminder="疗",nPriority=29,col="#AAAAAAFF",colScreenHead="#AAAAAA",nColAlpha=255,},},},</v>
      </c>
    </row>
    <row r="47" customFormat="1" spans="1:42">
      <c r="C47">
        <v>8807</v>
      </c>
      <c r="D47">
        <v>1</v>
      </c>
      <c r="G47" t="s">
        <v>1538</v>
      </c>
      <c r="I47">
        <v>1</v>
      </c>
      <c r="K47" t="s">
        <v>1638</v>
      </c>
      <c r="L47" t="s">
        <v>1474</v>
      </c>
      <c r="N47" t="s">
        <v>537</v>
      </c>
      <c r="O47">
        <v>1</v>
      </c>
      <c r="P47">
        <v>1</v>
      </c>
      <c r="Q47">
        <v>1</v>
      </c>
      <c r="T47">
        <v>1</v>
      </c>
      <c r="U47">
        <v>1</v>
      </c>
      <c r="AE47" t="s">
        <v>1540</v>
      </c>
      <c r="AF47">
        <v>2</v>
      </c>
      <c r="AG47" t="s">
        <v>1508</v>
      </c>
      <c r="AI47">
        <v>255</v>
      </c>
      <c r="AJ47">
        <v>1</v>
      </c>
      <c r="AN47" t="str">
        <f t="shared" si="1"/>
        <v>{dwID=8807,nLevel=1,szName="注视",nScrutinyType=1,szNote="据点挂机",col={255,50,255,},[1]={szVoice="DianMing_P",bTeamChannel=true,bWhisperChannel=true,bCenterAlarm=true,bBuffList=true,bFullScreen=true,},[2]={},aCataclysmBuff={{szReminder="视",nPriority=2,col="#FF32FFFF",nColAlpha=255,bAttention=true,},},tCountdown={{nClass=1,nIcon=13,nFrame=2,szName="挂机检测·首领注视",nTime=30,key="挂机检测",},},},</v>
      </c>
      <c r="AO47" t="s">
        <v>1541</v>
      </c>
    </row>
    <row r="48" customFormat="1" spans="1:42">
      <c r="C48">
        <v>7913</v>
      </c>
      <c r="D48">
        <v>1</v>
      </c>
      <c r="I48">
        <v>2</v>
      </c>
      <c r="K48" t="s">
        <v>1571</v>
      </c>
      <c r="L48" t="s">
        <v>1469</v>
      </c>
      <c r="T48">
        <v>1</v>
      </c>
      <c r="AD48">
        <v>1</v>
      </c>
      <c r="AE48" t="s">
        <v>1572</v>
      </c>
      <c r="AF48">
        <v>3</v>
      </c>
      <c r="AG48" t="s">
        <v>1471</v>
      </c>
      <c r="AH48" t="s">
        <v>1472</v>
      </c>
      <c r="AI48">
        <v>255</v>
      </c>
      <c r="AJ48">
        <v>1</v>
      </c>
      <c r="AM48" t="s">
        <v>1639</v>
      </c>
      <c r="AN48" t="str">
        <f t="shared" si="1"/>
        <v>{dwID=7913,nLevel=1,nScrutinyType=2,szNote="意涌系统通用抗百分比回血",col={255,204,0,},[1]={bBuffList=true,},[2]={},aCataclysmBuff={{bOnlyMe=true,szReminder="涌",nPriority=3,col="#FFCC00FF",colScreenHead="#FFCC00",nColAlpha=255,bAttention=true,},{colScreenHead="#FFCC00",bAttention=true,bScreenHead=true,nStackNum=1,bOnlyMe=false,col="#FFCC00FF",nPriority=4,szStackOp="&gt;=",nColAlpha=255,szReminder="涌",},},},</v>
      </c>
    </row>
    <row r="49" customFormat="1" spans="1:45">
      <c r="C49">
        <v>7911</v>
      </c>
      <c r="D49">
        <v>1</v>
      </c>
      <c r="I49">
        <v>2</v>
      </c>
      <c r="K49" t="s">
        <v>1573</v>
      </c>
      <c r="L49" t="s">
        <v>1474</v>
      </c>
      <c r="R49">
        <v>1</v>
      </c>
      <c r="T49">
        <v>1</v>
      </c>
      <c r="AE49" t="s">
        <v>1574</v>
      </c>
      <c r="AF49">
        <v>4</v>
      </c>
      <c r="AG49" t="s">
        <v>1508</v>
      </c>
      <c r="AH49" t="s">
        <v>1509</v>
      </c>
      <c r="AI49">
        <v>255</v>
      </c>
      <c r="AJ49">
        <v>1</v>
      </c>
      <c r="AL49">
        <v>1</v>
      </c>
      <c r="AN49" t="str">
        <f t="shared" si="1"/>
        <v>{dwID=7911,nLevel=1,nScrutinyType=2,szNote="繁忙",col={255,50,255,},[1]={bScreenHead=true,bBuffList=true,},[2]={},aCataclysmBuff={{szReminder="忙",nPriority=4,col="#FF32FFFF",colScreenHead="#FF32FF",nColAlpha=255,bAttention=true,bScreenHead=true,},},},</v>
      </c>
    </row>
    <row r="50" customFormat="1" spans="1:45">
      <c r="C50">
        <v>7756</v>
      </c>
      <c r="D50">
        <v>1</v>
      </c>
      <c r="I50">
        <v>1</v>
      </c>
      <c r="K50" t="s">
        <v>1542</v>
      </c>
      <c r="L50" t="s">
        <v>1503</v>
      </c>
      <c r="T50">
        <v>1</v>
      </c>
      <c r="AE50" t="s">
        <v>1543</v>
      </c>
      <c r="AF50">
        <v>3</v>
      </c>
      <c r="AG50" t="s">
        <v>1544</v>
      </c>
      <c r="AI50">
        <v>0</v>
      </c>
      <c r="AN50" t="str">
        <f t="shared" si="1"/>
        <v>{dwID=7756,nLevel=1,nScrutinyType=1,szNote="燃火20s",col={255,255,0,},[1]={bBuffList=true,},[2]={},aCataclysmBuff={{szReminder="火",nPriority=3,col="#00FFFF00",},},tCountdown={{nClass=1,nIcon=5399,nFrame=0,szName="增益·燃火·持续剩余",nTime=20,key="燃火",},{nClass=2,nIcon=13,szName="燃火",nTime=-1,key="燃火",},},},</v>
      </c>
      <c r="AO50" t="s">
        <v>1545</v>
      </c>
      <c r="AP50" t="s">
        <v>1546</v>
      </c>
    </row>
    <row r="51" customFormat="1" spans="1:45">
      <c r="C51">
        <v>7497</v>
      </c>
      <c r="D51">
        <v>1</v>
      </c>
      <c r="G51" t="s">
        <v>1640</v>
      </c>
      <c r="I51">
        <v>2</v>
      </c>
      <c r="K51" t="s">
        <v>1641</v>
      </c>
      <c r="L51" t="s">
        <v>1503</v>
      </c>
      <c r="R51">
        <v>1</v>
      </c>
      <c r="T51">
        <v>1</v>
      </c>
      <c r="AE51" t="s">
        <v>1581</v>
      </c>
      <c r="AF51">
        <v>13</v>
      </c>
      <c r="AG51" t="s">
        <v>1582</v>
      </c>
      <c r="AH51" t="s">
        <v>1583</v>
      </c>
      <c r="AI51">
        <v>255</v>
      </c>
      <c r="AL51">
        <v>1</v>
      </c>
      <c r="AN51" t="str">
        <f t="shared" si="1"/>
        <v>{dwID=7497,nLevel=1,szName="眩晕·抛掷",nScrutinyType=2,szNote="御城·抛掷",col={255,255,0,},[1]={bScreenHead=true,bBuffList=true,},[2]={},aCataclysmBuff={{szReminder="晕",nPriority=13,col="#FFFF00FF",colScreenHead="#FFFF00",nColAlpha=255,bScreenHead=true,},},},</v>
      </c>
    </row>
    <row r="52" customFormat="1" spans="1:45">
      <c r="C52">
        <v>7504</v>
      </c>
      <c r="D52">
        <v>1</v>
      </c>
      <c r="G52" t="s">
        <v>1642</v>
      </c>
      <c r="I52">
        <v>2</v>
      </c>
      <c r="K52" t="s">
        <v>1643</v>
      </c>
      <c r="L52" t="s">
        <v>1503</v>
      </c>
      <c r="R52">
        <v>1</v>
      </c>
      <c r="T52">
        <v>1</v>
      </c>
      <c r="AE52" t="s">
        <v>1581</v>
      </c>
      <c r="AF52">
        <v>13</v>
      </c>
      <c r="AG52" t="s">
        <v>1582</v>
      </c>
      <c r="AH52" t="s">
        <v>1583</v>
      </c>
      <c r="AI52">
        <v>255</v>
      </c>
      <c r="AL52">
        <v>1</v>
      </c>
      <c r="AN52" t="str">
        <f t="shared" si="1"/>
        <v>{dwID=7504,nLevel=1,szName="眩晕·御城",nScrutinyType=2,szNote="御城·精准",col={255,255,0,},[1]={bScreenHead=true,bBuffList=true,},[2]={},aCataclysmBuff={{szReminder="晕",nPriority=13,col="#FFFF00FF",colScreenHead="#FFFF00",nColAlpha=255,bScreenHead=true,},},},</v>
      </c>
    </row>
    <row r="53" customFormat="1" spans="1:45">
      <c r="C53">
        <v>7503</v>
      </c>
      <c r="D53">
        <v>1</v>
      </c>
      <c r="G53" t="s">
        <v>1644</v>
      </c>
      <c r="I53">
        <v>1</v>
      </c>
      <c r="K53" t="s">
        <v>1645</v>
      </c>
      <c r="L53" t="s">
        <v>1576</v>
      </c>
      <c r="T53">
        <v>1</v>
      </c>
      <c r="V53">
        <v>1</v>
      </c>
      <c r="AF53">
        <v>37</v>
      </c>
      <c r="AG53" t="s">
        <v>1646</v>
      </c>
      <c r="AH53" t="s">
        <v>1579</v>
      </c>
      <c r="AI53">
        <v>255</v>
      </c>
      <c r="AN53" t="str">
        <f t="shared" si="1"/>
        <v>{dwID=7503,nLevel=1,szName="减速·御城",nScrutinyType=1,szNote="御城·断股",col={31,63,255,},[1]={bBuffList=true,bTeamPanel=true,},[2]={},aCataclysmBuff={{nPriority=37,col="#1F3FFFAA",colScreenHead="#1F3FFF",nColAlpha=255,},},},</v>
      </c>
    </row>
    <row r="54" customFormat="1" spans="1:45">
      <c r="C54">
        <v>4038</v>
      </c>
      <c r="D54">
        <v>1</v>
      </c>
      <c r="I54">
        <v>1</v>
      </c>
      <c r="K54" t="s">
        <v>1613</v>
      </c>
      <c r="L54" t="s">
        <v>1576</v>
      </c>
      <c r="R54">
        <v>1</v>
      </c>
      <c r="T54">
        <v>1</v>
      </c>
      <c r="AE54" t="s">
        <v>1577</v>
      </c>
      <c r="AF54">
        <v>15</v>
      </c>
      <c r="AG54" t="s">
        <v>1578</v>
      </c>
      <c r="AH54" t="s">
        <v>1579</v>
      </c>
      <c r="AI54">
        <v>255</v>
      </c>
      <c r="AL54">
        <v>1</v>
      </c>
      <c r="AN54" t="str">
        <f t="shared" si="1"/>
        <v>{dwID=4038,nLevel=1,nScrutinyType=1,szNote="锁足·首领",col={31,63,255,},[1]={bScreenHead=true,bBuffList=true,},[2]={},aCataclysmBuff={{szReminder="锁",nPriority=15,col="#1F3FFFFF",colScreenHead="#1F3FFF",nColAlpha=255,bScreenHead=true,},},},</v>
      </c>
    </row>
    <row r="55" customFormat="1" spans="1:45">
      <c r="C55">
        <v>29007</v>
      </c>
      <c r="D55">
        <v>1</v>
      </c>
      <c r="I55">
        <v>1</v>
      </c>
      <c r="K55" s="12" t="s">
        <v>1555</v>
      </c>
      <c r="L55" t="s">
        <v>1556</v>
      </c>
      <c r="AN55" t="str">
        <f t="shared" si="1"/>
        <v>{dwID=29007,nLevel=1,nScrutinyType=1,szNote="九素化生·伤害距离",col={128,238,255,},[1]={},[2]={},tCountdown={{nClass=1,nIcon=13,szName="诛恶事件",nTime=-1,nRefresh=7200,key="诛恶事件",},{nClass=1,nIcon=13,szName="通用事件",nTime=-1,nRefresh=7200,key="通用事件",},{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nClass=1,nIcon=13,szName="绣球花",nTime=-1,key="绣球花",},{nClass=1,nIcon=13,szName="郁金香",nTime=-1,key="郁金香",},{nClass=1,nIcon=13,szName="牵牛花",nTime=-1,key="牵牛花",},{nClass=2,nIcon=13,szName="诛恶事件",nTime=-2,key="诛恶事件",},{nClass=2,nIcon=13,szName="通用事件",nTime=-2,key="通用事件",},{nClass=2,nIcon=13,nTime=-2,szName="金水镇",key="金水镇",},{nClass=2,nIcon=13,nTime=-2,szName="巴陵县",key="巴陵县",},{nClass=2,nIcon=13,nTime=-2,szName="龙门荒漠",key="龙门荒漠",},{nClass=2,nIcon=13,nTime=-2,szName="南屏山",key="南屏山",},{nClass=2,nIcon=13,nTime=-2,szName="昆仑",key="昆仑",},{nClass=2,nIcon=13,nTime=-2,szName="白龙口",key="白龙口",},{nClass=2,nIcon=13,nTime=-2,szName="无量山",key="无量山",},{nClass=2,nIcon=13,nTime=-2,szName="黑龙沼",key="黑龙沼",},{nClass=2,nIcon=13,nTime=-2,szName="阴山大草原",key="阴山大草原",},{nClass=2,nIcon=13,nTime=-2,szName="黑戈壁",key="黑戈壁",},{nClass=2,nIcon=13,nTime=-2,szName="鲲鹏岛",key="鲲鹏岛",},},},</v>
      </c>
      <c r="AO55" s="5" t="s">
        <v>1565</v>
      </c>
      <c r="AP55" s="5" t="s">
        <v>1566</v>
      </c>
      <c r="AQ55" s="5" t="s">
        <v>1554</v>
      </c>
      <c r="AR55" s="4" t="s">
        <v>1647</v>
      </c>
      <c r="AS55" s="4" t="s">
        <v>1648</v>
      </c>
    </row>
    <row r="56" customFormat="1" spans="1:45">
      <c r="C56">
        <v>11561</v>
      </c>
      <c r="D56">
        <v>1</v>
      </c>
      <c r="G56" t="s">
        <v>1496</v>
      </c>
      <c r="I56">
        <v>1</v>
      </c>
      <c r="K56" t="s">
        <v>1649</v>
      </c>
      <c r="L56" t="s">
        <v>1498</v>
      </c>
      <c r="AN56" t="str">
        <f t="shared" si="1"/>
        <v>{dwID=11561,nLevel=1,szName="据点内",nScrutinyType=1,szNote="判断是否在大旗附近",col={80,231,236,},[1]={},[2]={},tCountdown={{nClass=1,nIcon=1272,szName="据点大旗·旗手提示",nTime=-1,key="据点大旗·旗手提示",},},},</v>
      </c>
      <c r="AO56" t="s">
        <v>1650</v>
      </c>
      <c r="AP56" s="7"/>
      <c r="AQ56" s="7"/>
      <c r="AR56" s="7"/>
    </row>
    <row r="57" spans="1:45">
      <c r="C57">
        <v>7723</v>
      </c>
      <c r="D57">
        <v>1</v>
      </c>
      <c r="I57">
        <v>2</v>
      </c>
      <c r="K57" t="s">
        <v>1611</v>
      </c>
      <c r="L57" t="s">
        <v>1608</v>
      </c>
      <c r="T57">
        <v>1</v>
      </c>
      <c r="V57">
        <v>1</v>
      </c>
      <c r="AF57">
        <v>1</v>
      </c>
      <c r="AG57" t="s">
        <v>1612</v>
      </c>
      <c r="AI57">
        <v>0</v>
      </c>
      <c r="AN57" t="str">
        <f t="shared" si="1"/>
        <v>{dwID=7723,nLevel=1,nScrutinyType=2,szNote="神机雷",col={255,255,255,},[1]={bBuffList=true,bTeamPanel=true,},[2]={},aCataclysmBuff={{nPriority=1,col="#FFFFFF00",},},},</v>
      </c>
    </row>
    <row r="58" spans="1:45">
      <c r="A58" t="s">
        <v>1061</v>
      </c>
      <c r="B58">
        <v>216</v>
      </c>
      <c r="AN58" t="str">
        <f t="shared" si="1"/>
        <v>},[216]={</v>
      </c>
    </row>
    <row r="59" customFormat="1" spans="1:45">
      <c r="C59" s="5">
        <v>11567</v>
      </c>
      <c r="D59">
        <v>1</v>
      </c>
      <c r="F59">
        <v>1245</v>
      </c>
      <c r="G59" t="s">
        <v>1501</v>
      </c>
      <c r="I59">
        <v>1</v>
      </c>
      <c r="K59" t="s">
        <v>1502</v>
      </c>
      <c r="L59" t="s">
        <v>1503</v>
      </c>
      <c r="AN59" t="str">
        <f t="shared" si="1"/>
        <v>{dwID=11567,nLevel=1,nIcon=1245,szName="答对",nScrutinyType=1,szNote="回答奖励",col={255,255,0,},[1]={},[2]={},tCountdown={{nClass=1,nIcon=13,nFrame=1,szName="答题验证·回答正确",nTime=5,key="挂机检测",},},},</v>
      </c>
      <c r="AO59" t="s">
        <v>1504</v>
      </c>
    </row>
    <row r="60" customFormat="1" spans="1:45">
      <c r="C60" s="5">
        <v>11559</v>
      </c>
      <c r="D60">
        <v>1</v>
      </c>
      <c r="F60">
        <v>1244</v>
      </c>
      <c r="G60" t="s">
        <v>1505</v>
      </c>
      <c r="I60">
        <v>1</v>
      </c>
      <c r="K60" t="s">
        <v>1506</v>
      </c>
      <c r="L60" t="s">
        <v>1474</v>
      </c>
      <c r="N60" t="s">
        <v>537</v>
      </c>
      <c r="O60">
        <v>1</v>
      </c>
      <c r="P60">
        <v>1</v>
      </c>
      <c r="Q60">
        <v>1</v>
      </c>
      <c r="R60">
        <v>1</v>
      </c>
      <c r="T60">
        <v>1</v>
      </c>
      <c r="U60">
        <v>1</v>
      </c>
      <c r="V60">
        <v>1</v>
      </c>
      <c r="AE60" t="s">
        <v>1507</v>
      </c>
      <c r="AF60">
        <v>3</v>
      </c>
      <c r="AG60" t="s">
        <v>1508</v>
      </c>
      <c r="AH60" t="s">
        <v>1509</v>
      </c>
      <c r="AI60">
        <v>255</v>
      </c>
      <c r="AJ60">
        <v>1</v>
      </c>
      <c r="AK60">
        <v>1</v>
      </c>
      <c r="AL60">
        <v>1</v>
      </c>
      <c r="AN60" t="str">
        <f t="shared" si="1"/>
        <v>{dwID=11559,nLevel=1,nIcon=1244,szName="答题",nScrutinyType=1,szNote="验证码答案",col={255,50,255,},[1]={szVoice="DianMing_P",bTeamChannel=true,bWhisperChannel=true,bCenterAlarm=true,bScreenHead=true,bBuffList=true,bFullScreen=true,bTeamPanel=true,},[2]={},aCataclysmBuff={{szReminder="题",nPriority=3,col="#FF32FFFF",colScreenHead="#FF32FF",nColAlpha=255,bAttention=true,bCaution=true,bScreenHead=true,},},tCountdown={{nClass=1,nIcon=13,nFrame=1,szName="答题验证·剩余时间",nTime=30,key="挂机检测",},},},</v>
      </c>
      <c r="AO60" t="s">
        <v>1510</v>
      </c>
    </row>
    <row r="61" customFormat="1" spans="1:45">
      <c r="C61" s="5">
        <v>11565</v>
      </c>
      <c r="D61">
        <v>1</v>
      </c>
      <c r="F61">
        <v>592</v>
      </c>
      <c r="G61" t="s">
        <v>1615</v>
      </c>
      <c r="K61" t="s">
        <v>1616</v>
      </c>
      <c r="L61" t="s">
        <v>1485</v>
      </c>
      <c r="R61">
        <v>1</v>
      </c>
      <c r="AN61" t="str">
        <f t="shared" si="1"/>
        <v>{dwID=11565,nLevel=1,nIcon=592,szName="大旗手",szNote="大旗手检测",col={0,255,255,},[1]={bScreenHead=true,},[2]={},},</v>
      </c>
    </row>
    <row r="62" customFormat="1" spans="1:45">
      <c r="C62" s="5">
        <v>32813</v>
      </c>
      <c r="D62">
        <v>1</v>
      </c>
      <c r="F62">
        <v>16834</v>
      </c>
      <c r="G62" t="s">
        <v>1617</v>
      </c>
      <c r="K62" t="s">
        <v>1618</v>
      </c>
      <c r="L62" t="s">
        <v>1603</v>
      </c>
      <c r="T62">
        <v>1</v>
      </c>
      <c r="V62">
        <v>1</v>
      </c>
      <c r="AE62" t="s">
        <v>1619</v>
      </c>
      <c r="AF62">
        <v>37</v>
      </c>
      <c r="AG62" t="s">
        <v>1620</v>
      </c>
      <c r="AH62" t="s">
        <v>1621</v>
      </c>
      <c r="AI62">
        <v>255</v>
      </c>
      <c r="AN62" t="str">
        <f t="shared" si="1"/>
        <v>{dwID=32813,nLevel=1,nIcon=16834,szName="旗易伤",szNote="旗帜受损",col={255,153,204,},[1]={bBuffList=true,bTeamPanel=true,},[2]={},aCataclysmBuff={{szReminder="损",nPriority=37,col="#FF99CCFF",colScreenHead="#FF99CC",nColAlpha=255,},},tCountdown={{nClass=-1,nIcon=16834,nFrame=1,szName="大旗易伤",nTime="60,大旗赛点·触发冷却;62,大旗赛点·解除冷却",nRefresh=0,key="大旗易伤",},},},</v>
      </c>
      <c r="AO62" t="s">
        <v>1622</v>
      </c>
    </row>
    <row r="63" customFormat="1" spans="1:45">
      <c r="C63" s="5">
        <v>32812</v>
      </c>
      <c r="D63">
        <v>1</v>
      </c>
      <c r="F63">
        <v>3451</v>
      </c>
      <c r="G63" t="s">
        <v>1623</v>
      </c>
      <c r="K63" t="s">
        <v>1624</v>
      </c>
      <c r="L63" t="s">
        <v>1625</v>
      </c>
      <c r="T63">
        <v>1</v>
      </c>
      <c r="AN63" t="str">
        <f t="shared" si="1"/>
        <v>{dwID=32812,nLevel=1,nIcon=3451,szName="损CD",szNote="据点大旗赛点CD",col={255,50,50,},[1]={bBuffList=true,},[2]={},tCountdown={{nClass=-1,nIcon=16834,nFrame=1,szName="大旗易伤",nTime="60,大旗赛点·触发冷却;62,大旗赛点·解除冷却",nRefresh=1,key="大旗易伤",},},},</v>
      </c>
      <c r="AO63" t="s">
        <v>1626</v>
      </c>
    </row>
    <row r="64" customFormat="1" spans="1:45">
      <c r="C64" s="5">
        <v>31381</v>
      </c>
      <c r="D64">
        <v>1</v>
      </c>
      <c r="G64" t="s">
        <v>1627</v>
      </c>
      <c r="K64" t="s">
        <v>1628</v>
      </c>
      <c r="L64" t="s">
        <v>1474</v>
      </c>
      <c r="R64">
        <v>1</v>
      </c>
      <c r="T64">
        <v>1</v>
      </c>
      <c r="AE64" t="s">
        <v>1629</v>
      </c>
      <c r="AF64">
        <v>11</v>
      </c>
      <c r="AG64" t="s">
        <v>1508</v>
      </c>
      <c r="AH64" t="s">
        <v>1509</v>
      </c>
      <c r="AI64">
        <v>255</v>
      </c>
      <c r="AL64">
        <v>1</v>
      </c>
      <c r="AN64" t="str">
        <f t="shared" si="1"/>
        <v>{dwID=31381,nLevel=1,szName="禁捡旗",szNote="无法拾取大旗",col={255,50,255,},[1]={bScreenHead=true,bBuffList=true,},[2]={},aCataclysmBuff={{szReminder="捡",nPriority=11,col="#FF32FFFF",colScreenHead="#FF32FF",nColAlpha=255,bScreenHead=true,},},tCountdown={{nClass=1,nIcon=22928,nFrame=2,szName="【{$receiver}】·禁止捡旗",nTime="30,【{$receiver}】·禁止捡旗;32,【{$receiver}】·可以捡旗",nRefresh=1,key="经脉逆行·{$receiver}",},{nClass=2,nIcon=22928,nFrame=2,szName="【{$receiver}】·可以捡旗",nTime=5,key="经脉逆行·{$receiver}",},},},</v>
      </c>
      <c r="AO64" t="s">
        <v>1630</v>
      </c>
      <c r="AP64" t="s">
        <v>1631</v>
      </c>
    </row>
    <row r="65" customFormat="1" spans="1:45">
      <c r="C65" s="5">
        <v>12888</v>
      </c>
      <c r="D65">
        <v>1</v>
      </c>
      <c r="G65" t="s">
        <v>1632</v>
      </c>
      <c r="I65">
        <v>2</v>
      </c>
      <c r="K65" t="s">
        <v>1633</v>
      </c>
      <c r="L65" t="s">
        <v>1634</v>
      </c>
      <c r="T65">
        <v>1</v>
      </c>
      <c r="V65">
        <v>1</v>
      </c>
      <c r="AE65" t="s">
        <v>1635</v>
      </c>
      <c r="AF65">
        <v>29</v>
      </c>
      <c r="AG65" t="s">
        <v>1636</v>
      </c>
      <c r="AH65" t="s">
        <v>1637</v>
      </c>
      <c r="AI65">
        <v>255</v>
      </c>
      <c r="AN65" t="str">
        <f t="shared" si="1"/>
        <v>{dwID=12888,nLevel=1,szName="减疗",nScrutinyType=2,szNote="火圈每层减疗10%",col={170,170,170,},[1]={bBuffList=true,bTeamPanel=true,},[2]={},aCataclysmBuff={{szReminder="疗",nPriority=29,col="#AAAAAAFF",colScreenHead="#AAAAAA",nColAlpha=255,},},},</v>
      </c>
    </row>
    <row r="66" customFormat="1" spans="1:45">
      <c r="C66" s="5">
        <v>8807</v>
      </c>
      <c r="D66">
        <v>1</v>
      </c>
      <c r="G66" t="s">
        <v>1538</v>
      </c>
      <c r="I66">
        <v>1</v>
      </c>
      <c r="K66" t="s">
        <v>1638</v>
      </c>
      <c r="L66" t="s">
        <v>1474</v>
      </c>
      <c r="N66" t="s">
        <v>537</v>
      </c>
      <c r="O66">
        <v>1</v>
      </c>
      <c r="P66">
        <v>1</v>
      </c>
      <c r="Q66">
        <v>1</v>
      </c>
      <c r="T66">
        <v>1</v>
      </c>
      <c r="U66">
        <v>1</v>
      </c>
      <c r="AE66" t="s">
        <v>1540</v>
      </c>
      <c r="AF66">
        <v>2</v>
      </c>
      <c r="AG66" t="s">
        <v>1508</v>
      </c>
      <c r="AI66">
        <v>255</v>
      </c>
      <c r="AJ66">
        <v>1</v>
      </c>
      <c r="AN66" t="str">
        <f t="shared" si="1"/>
        <v>{dwID=8807,nLevel=1,szName="注视",nScrutinyType=1,szNote="据点挂机",col={255,50,255,},[1]={szVoice="DianMing_P",bTeamChannel=true,bWhisperChannel=true,bCenterAlarm=true,bBuffList=true,bFullScreen=true,},[2]={},aCataclysmBuff={{szReminder="视",nPriority=2,col="#FF32FFFF",nColAlpha=255,bAttention=true,},},tCountdown={{nClass=1,nIcon=13,nFrame=2,szName="挂机检测·首领注视",nTime=30,key="挂机检测",},},},</v>
      </c>
      <c r="AO66" t="s">
        <v>1541</v>
      </c>
    </row>
    <row r="67" customFormat="1" spans="1:45">
      <c r="C67" s="5">
        <v>7913</v>
      </c>
      <c r="D67">
        <v>1</v>
      </c>
      <c r="I67">
        <v>2</v>
      </c>
      <c r="K67" t="s">
        <v>1571</v>
      </c>
      <c r="L67" t="s">
        <v>1469</v>
      </c>
      <c r="T67">
        <v>1</v>
      </c>
      <c r="AD67">
        <v>1</v>
      </c>
      <c r="AE67" t="s">
        <v>1572</v>
      </c>
      <c r="AF67">
        <v>3</v>
      </c>
      <c r="AG67" t="s">
        <v>1471</v>
      </c>
      <c r="AH67" t="s">
        <v>1472</v>
      </c>
      <c r="AI67">
        <v>255</v>
      </c>
      <c r="AJ67">
        <v>1</v>
      </c>
      <c r="AM67" t="s">
        <v>1639</v>
      </c>
      <c r="AN67" t="str">
        <f t="shared" ref="AN67:AN94" si="2">IF(B67&lt;&gt;"",IF(IFERROR(VALUE(C66),0)&lt;=0,"["&amp;B67&amp;"]={","},["&amp;B67&amp;"]={"),IF(C67&gt;0,"{dwID="&amp;C67&amp;","&amp;"nLevel="&amp;D67&amp;","&amp;IF(E67&gt;0,"nCount="&amp;E67&amp;",","")&amp;IF(F67&gt;0,"nIcon="&amp;F67&amp;",","")&amp;IF(G67&lt;&gt;"","szName="""&amp;G67&amp;""",","")&amp;IF(H67&gt;0,"bCheckLevel=true,","")&amp;IF(I67&gt;0,"nScrutinyType="&amp;I67&amp;",","")&amp;IF(J67&lt;&gt;"","tKungFu={"&amp;J67&amp;"},","")&amp;IF(K67&lt;&gt;"","szNote="""&amp;K67&amp;""",","")&amp;IF(L67&lt;&gt;"","col={"&amp;L67&amp;"},","")&amp;"[1]={"&amp;IF(M67&lt;&gt;"","tMark={"&amp;M67&amp;"},","")&amp;IF(N67&lt;&gt;"","szVoice="""&amp;N67&amp;""",","")&amp;IF(O67&gt;0,"bTeamChannel=true,","")&amp;IF(P67&gt;0,"bWhisperChannel=true,","")&amp;IF(Q67&gt;0,"bCenterAlarm=true,","")&amp;IF(R67&gt;0,"bScreenHead=true,","")&amp;IF(S67&gt;0,"bPartyBuffList=true,","")&amp;IF(T67&gt;0,"bBuffList=true,","")&amp;IF(U67&gt;0,"bFullScreen=true,","")&amp;IF(V67&gt;0,"bTeamPanel=true,","")&amp;IF(W67&gt;0,"bOnlySelfSrc=true,","")&amp;"},"&amp;"[2]={"&amp;IF(X67&gt;0,"bTeamChannel=true,","")&amp;IF(Y67&gt;0,"bWhisperChannel=true,","")&amp;IF(Z67&gt;0,"bCenterAlarm=true,","")&amp;"},"&amp;IF(OR(AA67&gt;0,AE67&lt;&gt;"",AF67&gt;0,AG67&lt;&gt;"",AH67&lt;&gt;"",AI67&gt;0,AJ67&gt;0,AK67&gt;0,AL67&gt;0),"aCataclysmBuff={{"&amp;IF(AA67&gt;0,"nStackNum="&amp;AA67&amp;",","")&amp;IF(AB67&lt;&gt;"","szStackOp="""&amp;AB67&amp;""",","")&amp;IF(AC67&gt;0,"bOnlyMine=true,","")&amp;IF(AD67&gt;0,"bOnlyMe=true,","")&amp;IF(AE67&lt;&gt;"","szReminder="""&amp;AE67&amp;""",","")&amp;IF(AF67&gt;0,"nPriority="&amp;AF67&amp;",","")&amp;IF(AG67&lt;&gt;"","col="""&amp;AG67&amp;""",","")&amp;IF(AH67&lt;&gt;"","colScreenHead="""&amp;AH67&amp;""",","")&amp;IF(AI67&gt;0,"nColAlpha="&amp;AI67&amp;",","")&amp;IF(AJ67&gt;0,"bAttention=true,","")&amp;IF(AK67&gt;0,"bCaution=true,","")&amp;IF(AL67&gt;0,"bScreenHead=true,","")&amp;"},"&amp;AM67&amp;"},","")&amp;IF(AO67&lt;&gt;"","tCountdown={"&amp;_xlfn.TEXTJOIN("",TRUE,AO67:ZZ67)&amp;"},","")&amp;"},",IF(C66&gt;0,"},","")&amp;IF(AND(B67="",C67="",OR(B66&lt;&gt;"",C66&lt;&gt;"")),"},}","")))</f>
        <v>{dwID=7913,nLevel=1,nScrutinyType=2,szNote="意涌系统通用抗百分比回血",col={255,204,0,},[1]={bBuffList=true,},[2]={},aCataclysmBuff={{bOnlyMe=true,szReminder="涌",nPriority=3,col="#FFCC00FF",colScreenHead="#FFCC00",nColAlpha=255,bAttention=true,},{colScreenHead="#FFCC00",bAttention=true,bScreenHead=true,nStackNum=1,bOnlyMe=false,col="#FFCC00FF",nPriority=4,szStackOp="&gt;=",nColAlpha=255,szReminder="涌",},},},</v>
      </c>
    </row>
    <row r="68" customFormat="1" spans="1:45">
      <c r="C68" s="5">
        <v>7911</v>
      </c>
      <c r="D68">
        <v>1</v>
      </c>
      <c r="I68">
        <v>2</v>
      </c>
      <c r="K68" t="s">
        <v>1573</v>
      </c>
      <c r="L68" t="s">
        <v>1474</v>
      </c>
      <c r="R68">
        <v>1</v>
      </c>
      <c r="T68">
        <v>1</v>
      </c>
      <c r="AE68" t="s">
        <v>1574</v>
      </c>
      <c r="AF68">
        <v>4</v>
      </c>
      <c r="AG68" t="s">
        <v>1508</v>
      </c>
      <c r="AH68" t="s">
        <v>1509</v>
      </c>
      <c r="AI68">
        <v>255</v>
      </c>
      <c r="AJ68">
        <v>1</v>
      </c>
      <c r="AL68">
        <v>1</v>
      </c>
      <c r="AN68" t="str">
        <f t="shared" si="2"/>
        <v>{dwID=7911,nLevel=1,nScrutinyType=2,szNote="繁忙",col={255,50,255,},[1]={bScreenHead=true,bBuffList=true,},[2]={},aCataclysmBuff={{szReminder="忙",nPriority=4,col="#FF32FFFF",colScreenHead="#FF32FF",nColAlpha=255,bAttention=true,bScreenHead=true,},},},</v>
      </c>
    </row>
    <row r="69" customFormat="1" spans="1:45">
      <c r="C69" s="5">
        <v>7756</v>
      </c>
      <c r="D69">
        <v>1</v>
      </c>
      <c r="I69">
        <v>1</v>
      </c>
      <c r="K69" t="s">
        <v>1542</v>
      </c>
      <c r="L69" t="s">
        <v>1503</v>
      </c>
      <c r="T69">
        <v>1</v>
      </c>
      <c r="AE69" t="s">
        <v>1543</v>
      </c>
      <c r="AF69">
        <v>3</v>
      </c>
      <c r="AG69" t="s">
        <v>1544</v>
      </c>
      <c r="AI69">
        <v>0</v>
      </c>
      <c r="AN69" t="str">
        <f t="shared" si="2"/>
        <v>{dwID=7756,nLevel=1,nScrutinyType=1,szNote="燃火20s",col={255,255,0,},[1]={bBuffList=true,},[2]={},aCataclysmBuff={{szReminder="火",nPriority=3,col="#00FFFF00",},},tCountdown={{nClass=1,nIcon=5399,nFrame=0,szName="增益·燃火·持续剩余",nTime=20,key="燃火",},{nClass=2,nIcon=13,szName="燃火",nTime=-1,key="燃火",},},},</v>
      </c>
      <c r="AO69" t="s">
        <v>1545</v>
      </c>
      <c r="AP69" t="s">
        <v>1546</v>
      </c>
    </row>
    <row r="70" customFormat="1" spans="1:45">
      <c r="C70" s="5">
        <v>7497</v>
      </c>
      <c r="D70">
        <v>1</v>
      </c>
      <c r="G70" t="s">
        <v>1640</v>
      </c>
      <c r="I70">
        <v>2</v>
      </c>
      <c r="K70" t="s">
        <v>1641</v>
      </c>
      <c r="L70" t="s">
        <v>1503</v>
      </c>
      <c r="R70">
        <v>1</v>
      </c>
      <c r="T70">
        <v>1</v>
      </c>
      <c r="AE70" t="s">
        <v>1581</v>
      </c>
      <c r="AF70">
        <v>13</v>
      </c>
      <c r="AG70" t="s">
        <v>1582</v>
      </c>
      <c r="AH70" t="s">
        <v>1583</v>
      </c>
      <c r="AI70">
        <v>255</v>
      </c>
      <c r="AL70">
        <v>1</v>
      </c>
      <c r="AN70" t="str">
        <f t="shared" si="2"/>
        <v>{dwID=7497,nLevel=1,szName="眩晕·抛掷",nScrutinyType=2,szNote="御城·抛掷",col={255,255,0,},[1]={bScreenHead=true,bBuffList=true,},[2]={},aCataclysmBuff={{szReminder="晕",nPriority=13,col="#FFFF00FF",colScreenHead="#FFFF00",nColAlpha=255,bScreenHead=true,},},},</v>
      </c>
    </row>
    <row r="71" customFormat="1" spans="1:45">
      <c r="C71" s="5">
        <v>7504</v>
      </c>
      <c r="D71">
        <v>1</v>
      </c>
      <c r="G71" t="s">
        <v>1642</v>
      </c>
      <c r="I71">
        <v>2</v>
      </c>
      <c r="K71" t="s">
        <v>1643</v>
      </c>
      <c r="L71" t="s">
        <v>1503</v>
      </c>
      <c r="R71">
        <v>1</v>
      </c>
      <c r="T71">
        <v>1</v>
      </c>
      <c r="AE71" t="s">
        <v>1581</v>
      </c>
      <c r="AF71">
        <v>13</v>
      </c>
      <c r="AG71" t="s">
        <v>1582</v>
      </c>
      <c r="AH71" t="s">
        <v>1583</v>
      </c>
      <c r="AI71">
        <v>255</v>
      </c>
      <c r="AL71">
        <v>1</v>
      </c>
      <c r="AN71" t="str">
        <f t="shared" si="2"/>
        <v>{dwID=7504,nLevel=1,szName="眩晕·御城",nScrutinyType=2,szNote="御城·精准",col={255,255,0,},[1]={bScreenHead=true,bBuffList=true,},[2]={},aCataclysmBuff={{szReminder="晕",nPriority=13,col="#FFFF00FF",colScreenHead="#FFFF00",nColAlpha=255,bScreenHead=true,},},},</v>
      </c>
    </row>
    <row r="72" customFormat="1" spans="1:45">
      <c r="C72" s="5">
        <v>7503</v>
      </c>
      <c r="D72">
        <v>1</v>
      </c>
      <c r="G72" t="s">
        <v>1644</v>
      </c>
      <c r="I72">
        <v>1</v>
      </c>
      <c r="K72" t="s">
        <v>1645</v>
      </c>
      <c r="L72" t="s">
        <v>1576</v>
      </c>
      <c r="T72">
        <v>1</v>
      </c>
      <c r="V72">
        <v>1</v>
      </c>
      <c r="AF72">
        <v>37</v>
      </c>
      <c r="AG72" t="s">
        <v>1646</v>
      </c>
      <c r="AH72" t="s">
        <v>1579</v>
      </c>
      <c r="AI72">
        <v>255</v>
      </c>
      <c r="AN72" t="str">
        <f t="shared" si="2"/>
        <v>{dwID=7503,nLevel=1,szName="减速·御城",nScrutinyType=1,szNote="御城·断股",col={31,63,255,},[1]={bBuffList=true,bTeamPanel=true,},[2]={},aCataclysmBuff={{nPriority=37,col="#1F3FFFAA",colScreenHead="#1F3FFF",nColAlpha=255,},},},</v>
      </c>
    </row>
    <row r="73" customFormat="1" spans="1:45">
      <c r="C73" s="5">
        <v>4038</v>
      </c>
      <c r="D73">
        <v>1</v>
      </c>
      <c r="I73">
        <v>1</v>
      </c>
      <c r="K73" t="s">
        <v>1613</v>
      </c>
      <c r="L73" t="s">
        <v>1576</v>
      </c>
      <c r="R73">
        <v>1</v>
      </c>
      <c r="T73">
        <v>1</v>
      </c>
      <c r="AE73" t="s">
        <v>1577</v>
      </c>
      <c r="AF73">
        <v>15</v>
      </c>
      <c r="AG73" t="s">
        <v>1578</v>
      </c>
      <c r="AH73" t="s">
        <v>1579</v>
      </c>
      <c r="AI73">
        <v>255</v>
      </c>
      <c r="AL73">
        <v>1</v>
      </c>
      <c r="AN73" t="str">
        <f t="shared" si="2"/>
        <v>{dwID=4038,nLevel=1,nScrutinyType=1,szNote="锁足·首领",col={31,63,255,},[1]={bScreenHead=true,bBuffList=true,},[2]={},aCataclysmBuff={{szReminder="锁",nPriority=15,col="#1F3FFFFF",colScreenHead="#1F3FFF",nColAlpha=255,bScreenHead=true,},},},</v>
      </c>
    </row>
    <row r="74" customFormat="1" spans="1:45">
      <c r="C74" s="5">
        <v>29007</v>
      </c>
      <c r="D74">
        <v>1</v>
      </c>
      <c r="I74">
        <v>1</v>
      </c>
      <c r="K74" t="s">
        <v>1555</v>
      </c>
      <c r="L74" t="s">
        <v>1556</v>
      </c>
      <c r="AN74" t="str">
        <f t="shared" si="2"/>
        <v>{dwID=29007,nLevel=1,nScrutinyType=1,szNote="九素化生·伤害距离",col={128,238,255,},[1]={},[2]={},tCountdown={{nClass=1,nIcon=13,szName="诛恶事件",nTime=-1,nRefresh=7200,key="诛恶事件",},{nClass=1,nIcon=13,szName="通用事件",nTime=-1,nRefresh=7200,key="通用事件",},{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nClass=1,nIcon=13,szName="绣球花",nTime=-1,key="绣球花",},{nClass=1,nIcon=13,szName="郁金香",nTime=-1,key="郁金香",},{nClass=1,nIcon=13,szName="牵牛花",nTime=-1,key="牵牛花",},{nClass=2,nIcon=13,szName="诛恶事件",nTime=-2,key="诛恶事件",},{nClass=2,nIcon=13,szName="通用事件",nTime=-2,key="通用事件",},{nClass=2,nIcon=13,nTime=-2,szName="金水镇",key="金水镇",},{nClass=2,nIcon=13,nTime=-2,szName="巴陵县",key="巴陵县",},{nClass=2,nIcon=13,nTime=-2,szName="龙门荒漠",key="龙门荒漠",},{nClass=2,nIcon=13,nTime=-2,szName="南屏山",key="南屏山",},{nClass=2,nIcon=13,nTime=-2,szName="昆仑",key="昆仑",},{nClass=2,nIcon=13,nTime=-2,szName="白龙口",key="白龙口",},{nClass=2,nIcon=13,nTime=-2,szName="无量山",key="无量山",},{nClass=2,nIcon=13,nTime=-2,szName="黑龙沼",key="黑龙沼",},{nClass=2,nIcon=13,nTime=-2,szName="阴山大草原",key="阴山大草原",},{nClass=2,nIcon=13,nTime=-2,szName="黑戈壁",key="黑戈壁",},{nClass=2,nIcon=13,nTime=-2,szName="鲲鹏岛",key="鲲鹏岛",},},},</v>
      </c>
      <c r="AO74" s="5" t="s">
        <v>1565</v>
      </c>
      <c r="AP74" s="5" t="s">
        <v>1566</v>
      </c>
      <c r="AQ74" s="5" t="s">
        <v>1554</v>
      </c>
      <c r="AR74" s="4" t="s">
        <v>1647</v>
      </c>
      <c r="AS74" s="4" t="s">
        <v>1648</v>
      </c>
    </row>
    <row r="75" customFormat="1" spans="1:45">
      <c r="C75" s="5">
        <v>7723</v>
      </c>
      <c r="D75">
        <v>1</v>
      </c>
      <c r="I75">
        <v>2</v>
      </c>
      <c r="K75" t="s">
        <v>1611</v>
      </c>
      <c r="L75" t="s">
        <v>1608</v>
      </c>
      <c r="T75">
        <v>1</v>
      </c>
      <c r="V75">
        <v>1</v>
      </c>
      <c r="AF75">
        <v>1</v>
      </c>
      <c r="AG75" t="s">
        <v>1612</v>
      </c>
      <c r="AI75">
        <v>0</v>
      </c>
      <c r="AN75" t="str">
        <f t="shared" si="2"/>
        <v>{dwID=7723,nLevel=1,nScrutinyType=2,szNote="神机雷",col={255,255,255,},[1]={bBuffList=true,bTeamPanel=true,},[2]={},aCataclysmBuff={{nPriority=1,col="#FFFFFF00",},},},</v>
      </c>
    </row>
    <row r="76" customFormat="1" spans="1:45">
      <c r="A76" t="s">
        <v>1414</v>
      </c>
      <c r="B76">
        <v>656</v>
      </c>
      <c r="AN76" t="str">
        <f t="shared" si="2"/>
        <v>},[656]={</v>
      </c>
    </row>
    <row r="77" customFormat="1" spans="1:45">
      <c r="C77" s="5">
        <v>11567</v>
      </c>
      <c r="D77">
        <v>1</v>
      </c>
      <c r="F77">
        <v>1245</v>
      </c>
      <c r="G77" t="s">
        <v>1501</v>
      </c>
      <c r="I77">
        <v>1</v>
      </c>
      <c r="K77" t="s">
        <v>1502</v>
      </c>
      <c r="L77" t="s">
        <v>1503</v>
      </c>
      <c r="AN77" t="str">
        <f t="shared" si="2"/>
        <v>{dwID=11567,nLevel=1,nIcon=1245,szName="答对",nScrutinyType=1,szNote="回答奖励",col={255,255,0,},[1]={},[2]={},tCountdown={{nClass=1,nIcon=13,nFrame=1,szName="答题验证·回答正确",nTime=5,key="挂机检测",},},},</v>
      </c>
      <c r="AO77" t="s">
        <v>1504</v>
      </c>
    </row>
    <row r="78" customFormat="1" spans="1:45">
      <c r="C78" s="5">
        <v>11559</v>
      </c>
      <c r="D78">
        <v>1</v>
      </c>
      <c r="F78">
        <v>1244</v>
      </c>
      <c r="G78" t="s">
        <v>1505</v>
      </c>
      <c r="I78">
        <v>1</v>
      </c>
      <c r="K78" t="s">
        <v>1506</v>
      </c>
      <c r="L78" t="s">
        <v>1474</v>
      </c>
      <c r="N78" t="s">
        <v>537</v>
      </c>
      <c r="O78">
        <v>1</v>
      </c>
      <c r="P78">
        <v>1</v>
      </c>
      <c r="Q78">
        <v>1</v>
      </c>
      <c r="R78">
        <v>1</v>
      </c>
      <c r="T78">
        <v>1</v>
      </c>
      <c r="U78">
        <v>1</v>
      </c>
      <c r="V78">
        <v>1</v>
      </c>
      <c r="AE78" t="s">
        <v>1507</v>
      </c>
      <c r="AF78">
        <v>3</v>
      </c>
      <c r="AG78" t="s">
        <v>1508</v>
      </c>
      <c r="AH78" t="s">
        <v>1509</v>
      </c>
      <c r="AI78">
        <v>255</v>
      </c>
      <c r="AJ78">
        <v>1</v>
      </c>
      <c r="AK78">
        <v>1</v>
      </c>
      <c r="AL78">
        <v>1</v>
      </c>
      <c r="AN78" t="str">
        <f t="shared" si="2"/>
        <v>{dwID=11559,nLevel=1,nIcon=1244,szName="答题",nScrutinyType=1,szNote="验证码答案",col={255,50,255,},[1]={szVoice="DianMing_P",bTeamChannel=true,bWhisperChannel=true,bCenterAlarm=true,bScreenHead=true,bBuffList=true,bFullScreen=true,bTeamPanel=true,},[2]={},aCataclysmBuff={{szReminder="题",nPriority=3,col="#FF32FFFF",colScreenHead="#FF32FF",nColAlpha=255,bAttention=true,bCaution=true,bScreenHead=true,},},tCountdown={{nClass=1,nIcon=13,nFrame=1,szName="答题验证·剩余时间",nTime=30,key="挂机检测",},},},</v>
      </c>
      <c r="AO78" t="s">
        <v>1510</v>
      </c>
    </row>
    <row r="79" customFormat="1" spans="1:45">
      <c r="C79" s="5">
        <v>11565</v>
      </c>
      <c r="D79">
        <v>1</v>
      </c>
      <c r="F79">
        <v>592</v>
      </c>
      <c r="G79" t="s">
        <v>1615</v>
      </c>
      <c r="K79" t="s">
        <v>1616</v>
      </c>
      <c r="L79" t="s">
        <v>1485</v>
      </c>
      <c r="R79">
        <v>1</v>
      </c>
      <c r="AN79" t="str">
        <f t="shared" si="2"/>
        <v>{dwID=11565,nLevel=1,nIcon=592,szName="大旗手",szNote="大旗手检测",col={0,255,255,},[1]={bScreenHead=true,},[2]={},},</v>
      </c>
    </row>
    <row r="80" customFormat="1" spans="1:45">
      <c r="C80" s="5">
        <v>32813</v>
      </c>
      <c r="D80">
        <v>1</v>
      </c>
      <c r="F80">
        <v>16834</v>
      </c>
      <c r="G80" t="s">
        <v>1617</v>
      </c>
      <c r="K80" t="s">
        <v>1618</v>
      </c>
      <c r="L80" t="s">
        <v>1603</v>
      </c>
      <c r="T80">
        <v>1</v>
      </c>
      <c r="V80">
        <v>1</v>
      </c>
      <c r="AE80" t="s">
        <v>1619</v>
      </c>
      <c r="AF80">
        <v>37</v>
      </c>
      <c r="AG80" t="s">
        <v>1620</v>
      </c>
      <c r="AH80" t="s">
        <v>1621</v>
      </c>
      <c r="AI80">
        <v>255</v>
      </c>
      <c r="AN80" t="str">
        <f t="shared" si="2"/>
        <v>{dwID=32813,nLevel=1,nIcon=16834,szName="旗易伤",szNote="旗帜受损",col={255,153,204,},[1]={bBuffList=true,bTeamPanel=true,},[2]={},aCataclysmBuff={{szReminder="损",nPriority=37,col="#FF99CCFF",colScreenHead="#FF99CC",nColAlpha=255,},},tCountdown={{nClass=-1,nIcon=16834,nFrame=1,szName="大旗易伤",nTime="60,大旗赛点·触发冷却;62,大旗赛点·解除冷却",nRefresh=0,key="大旗易伤",},},},</v>
      </c>
      <c r="AO80" t="s">
        <v>1622</v>
      </c>
    </row>
    <row r="81" customFormat="1" spans="3:45">
      <c r="C81" s="5">
        <v>32812</v>
      </c>
      <c r="D81">
        <v>1</v>
      </c>
      <c r="F81">
        <v>3451</v>
      </c>
      <c r="G81" t="s">
        <v>1623</v>
      </c>
      <c r="K81" t="s">
        <v>1624</v>
      </c>
      <c r="L81" t="s">
        <v>1625</v>
      </c>
      <c r="T81">
        <v>1</v>
      </c>
      <c r="AN81" t="str">
        <f t="shared" si="2"/>
        <v>{dwID=32812,nLevel=1,nIcon=3451,szName="损CD",szNote="据点大旗赛点CD",col={255,50,50,},[1]={bBuffList=true,},[2]={},tCountdown={{nClass=-1,nIcon=16834,nFrame=1,szName="大旗易伤",nTime="60,大旗赛点·触发冷却;62,大旗赛点·解除冷却",nRefresh=1,key="大旗易伤",},},},</v>
      </c>
      <c r="AO81" t="s">
        <v>1626</v>
      </c>
    </row>
    <row r="82" customFormat="1" spans="3:45">
      <c r="C82" s="5">
        <v>31381</v>
      </c>
      <c r="D82">
        <v>1</v>
      </c>
      <c r="G82" t="s">
        <v>1627</v>
      </c>
      <c r="K82" t="s">
        <v>1628</v>
      </c>
      <c r="L82" t="s">
        <v>1474</v>
      </c>
      <c r="R82">
        <v>1</v>
      </c>
      <c r="T82">
        <v>1</v>
      </c>
      <c r="AE82" t="s">
        <v>1629</v>
      </c>
      <c r="AF82">
        <v>11</v>
      </c>
      <c r="AG82" t="s">
        <v>1508</v>
      </c>
      <c r="AH82" t="s">
        <v>1509</v>
      </c>
      <c r="AI82">
        <v>255</v>
      </c>
      <c r="AL82">
        <v>1</v>
      </c>
      <c r="AN82" t="str">
        <f t="shared" si="2"/>
        <v>{dwID=31381,nLevel=1,szName="禁捡旗",szNote="无法拾取大旗",col={255,50,255,},[1]={bScreenHead=true,bBuffList=true,},[2]={},aCataclysmBuff={{szReminder="捡",nPriority=11,col="#FF32FFFF",colScreenHead="#FF32FF",nColAlpha=255,bScreenHead=true,},},tCountdown={{nClass=1,nIcon=22928,nFrame=2,szName="【{$receiver}】·禁止捡旗",nTime="30,【{$receiver}】·禁止捡旗;32,【{$receiver}】·可以捡旗",nRefresh=1,key="经脉逆行·{$receiver}",},{nClass=2,nIcon=22928,nFrame=2,szName="【{$receiver}】·可以捡旗",nTime=5,key="经脉逆行·{$receiver}",},},},</v>
      </c>
      <c r="AO82" t="s">
        <v>1630</v>
      </c>
      <c r="AP82" t="s">
        <v>1631</v>
      </c>
    </row>
    <row r="83" customFormat="1" spans="3:45">
      <c r="C83" s="5">
        <v>12888</v>
      </c>
      <c r="D83">
        <v>1</v>
      </c>
      <c r="G83" t="s">
        <v>1632</v>
      </c>
      <c r="I83">
        <v>2</v>
      </c>
      <c r="K83" t="s">
        <v>1633</v>
      </c>
      <c r="L83" t="s">
        <v>1634</v>
      </c>
      <c r="T83">
        <v>1</v>
      </c>
      <c r="V83">
        <v>1</v>
      </c>
      <c r="AE83" t="s">
        <v>1635</v>
      </c>
      <c r="AF83">
        <v>29</v>
      </c>
      <c r="AG83" t="s">
        <v>1636</v>
      </c>
      <c r="AH83" t="s">
        <v>1637</v>
      </c>
      <c r="AI83">
        <v>255</v>
      </c>
      <c r="AN83" t="str">
        <f t="shared" si="2"/>
        <v>{dwID=12888,nLevel=1,szName="减疗",nScrutinyType=2,szNote="火圈每层减疗10%",col={170,170,170,},[1]={bBuffList=true,bTeamPanel=true,},[2]={},aCataclysmBuff={{szReminder="疗",nPriority=29,col="#AAAAAAFF",colScreenHead="#AAAAAA",nColAlpha=255,},},},</v>
      </c>
    </row>
    <row r="84" customFormat="1" spans="3:45">
      <c r="C84" s="5">
        <v>8807</v>
      </c>
      <c r="D84">
        <v>1</v>
      </c>
      <c r="G84" t="s">
        <v>1538</v>
      </c>
      <c r="I84">
        <v>1</v>
      </c>
      <c r="K84" t="s">
        <v>1638</v>
      </c>
      <c r="L84" t="s">
        <v>1474</v>
      </c>
      <c r="N84" t="s">
        <v>537</v>
      </c>
      <c r="O84">
        <v>1</v>
      </c>
      <c r="P84">
        <v>1</v>
      </c>
      <c r="Q84">
        <v>1</v>
      </c>
      <c r="T84">
        <v>1</v>
      </c>
      <c r="U84">
        <v>1</v>
      </c>
      <c r="AE84" t="s">
        <v>1540</v>
      </c>
      <c r="AF84">
        <v>2</v>
      </c>
      <c r="AG84" t="s">
        <v>1508</v>
      </c>
      <c r="AI84">
        <v>255</v>
      </c>
      <c r="AJ84">
        <v>1</v>
      </c>
      <c r="AN84" t="str">
        <f t="shared" si="2"/>
        <v>{dwID=8807,nLevel=1,szName="注视",nScrutinyType=1,szNote="据点挂机",col={255,50,255,},[1]={szVoice="DianMing_P",bTeamChannel=true,bWhisperChannel=true,bCenterAlarm=true,bBuffList=true,bFullScreen=true,},[2]={},aCataclysmBuff={{szReminder="视",nPriority=2,col="#FF32FFFF",nColAlpha=255,bAttention=true,},},tCountdown={{nClass=1,nIcon=13,nFrame=2,szName="挂机检测·首领注视",nTime=30,key="挂机检测",},},},</v>
      </c>
      <c r="AO84" t="s">
        <v>1541</v>
      </c>
    </row>
    <row r="85" customFormat="1" spans="3:45">
      <c r="C85" s="5">
        <v>7913</v>
      </c>
      <c r="D85">
        <v>1</v>
      </c>
      <c r="I85">
        <v>2</v>
      </c>
      <c r="K85" t="s">
        <v>1571</v>
      </c>
      <c r="L85" t="s">
        <v>1469</v>
      </c>
      <c r="T85">
        <v>1</v>
      </c>
      <c r="AD85">
        <v>1</v>
      </c>
      <c r="AE85" t="s">
        <v>1572</v>
      </c>
      <c r="AF85">
        <v>3</v>
      </c>
      <c r="AG85" t="s">
        <v>1471</v>
      </c>
      <c r="AH85" t="s">
        <v>1472</v>
      </c>
      <c r="AI85">
        <v>255</v>
      </c>
      <c r="AJ85">
        <v>1</v>
      </c>
      <c r="AM85" t="s">
        <v>1639</v>
      </c>
      <c r="AN85" t="str">
        <f t="shared" si="2"/>
        <v>{dwID=7913,nLevel=1,nScrutinyType=2,szNote="意涌系统通用抗百分比回血",col={255,204,0,},[1]={bBuffList=true,},[2]={},aCataclysmBuff={{bOnlyMe=true,szReminder="涌",nPriority=3,col="#FFCC00FF",colScreenHead="#FFCC00",nColAlpha=255,bAttention=true,},{colScreenHead="#FFCC00",bAttention=true,bScreenHead=true,nStackNum=1,bOnlyMe=false,col="#FFCC00FF",nPriority=4,szStackOp="&gt;=",nColAlpha=255,szReminder="涌",},},},</v>
      </c>
    </row>
    <row r="86" customFormat="1" spans="3:45">
      <c r="C86" s="5">
        <v>7911</v>
      </c>
      <c r="D86">
        <v>1</v>
      </c>
      <c r="I86">
        <v>2</v>
      </c>
      <c r="K86" t="s">
        <v>1573</v>
      </c>
      <c r="L86" t="s">
        <v>1474</v>
      </c>
      <c r="R86">
        <v>1</v>
      </c>
      <c r="T86">
        <v>1</v>
      </c>
      <c r="AE86" t="s">
        <v>1574</v>
      </c>
      <c r="AF86">
        <v>4</v>
      </c>
      <c r="AG86" t="s">
        <v>1508</v>
      </c>
      <c r="AH86" t="s">
        <v>1509</v>
      </c>
      <c r="AI86">
        <v>255</v>
      </c>
      <c r="AJ86">
        <v>1</v>
      </c>
      <c r="AL86">
        <v>1</v>
      </c>
      <c r="AN86" t="str">
        <f t="shared" si="2"/>
        <v>{dwID=7911,nLevel=1,nScrutinyType=2,szNote="繁忙",col={255,50,255,},[1]={bScreenHead=true,bBuffList=true,},[2]={},aCataclysmBuff={{szReminder="忙",nPriority=4,col="#FF32FFFF",colScreenHead="#FF32FF",nColAlpha=255,bAttention=true,bScreenHead=true,},},},</v>
      </c>
    </row>
    <row r="87" customFormat="1" spans="3:45">
      <c r="C87" s="5">
        <v>7756</v>
      </c>
      <c r="D87">
        <v>1</v>
      </c>
      <c r="I87">
        <v>1</v>
      </c>
      <c r="K87" t="s">
        <v>1542</v>
      </c>
      <c r="L87" t="s">
        <v>1503</v>
      </c>
      <c r="T87">
        <v>1</v>
      </c>
      <c r="AE87" t="s">
        <v>1543</v>
      </c>
      <c r="AF87">
        <v>3</v>
      </c>
      <c r="AG87" t="s">
        <v>1544</v>
      </c>
      <c r="AI87">
        <v>0</v>
      </c>
      <c r="AN87" t="str">
        <f t="shared" si="2"/>
        <v>{dwID=7756,nLevel=1,nScrutinyType=1,szNote="燃火20s",col={255,255,0,},[1]={bBuffList=true,},[2]={},aCataclysmBuff={{szReminder="火",nPriority=3,col="#00FFFF00",},},tCountdown={{nClass=1,nIcon=5399,nFrame=0,szName="增益·燃火·持续剩余",nTime=20,key="燃火",},{nClass=2,nIcon=13,szName="燃火",nTime=-1,key="燃火",},},},</v>
      </c>
      <c r="AO87" t="s">
        <v>1545</v>
      </c>
      <c r="AP87" t="s">
        <v>1546</v>
      </c>
    </row>
    <row r="88" customFormat="1" spans="3:45">
      <c r="C88" s="5">
        <v>7497</v>
      </c>
      <c r="D88">
        <v>1</v>
      </c>
      <c r="G88" t="s">
        <v>1640</v>
      </c>
      <c r="I88">
        <v>2</v>
      </c>
      <c r="K88" t="s">
        <v>1641</v>
      </c>
      <c r="L88" t="s">
        <v>1503</v>
      </c>
      <c r="R88">
        <v>1</v>
      </c>
      <c r="T88">
        <v>1</v>
      </c>
      <c r="AE88" t="s">
        <v>1581</v>
      </c>
      <c r="AF88">
        <v>13</v>
      </c>
      <c r="AG88" t="s">
        <v>1582</v>
      </c>
      <c r="AH88" t="s">
        <v>1583</v>
      </c>
      <c r="AI88">
        <v>255</v>
      </c>
      <c r="AL88">
        <v>1</v>
      </c>
      <c r="AN88" t="str">
        <f t="shared" si="2"/>
        <v>{dwID=7497,nLevel=1,szName="眩晕·抛掷",nScrutinyType=2,szNote="御城·抛掷",col={255,255,0,},[1]={bScreenHead=true,bBuffList=true,},[2]={},aCataclysmBuff={{szReminder="晕",nPriority=13,col="#FFFF00FF",colScreenHead="#FFFF00",nColAlpha=255,bScreenHead=true,},},},</v>
      </c>
    </row>
    <row r="89" customFormat="1" spans="3:45">
      <c r="C89" s="5">
        <v>7504</v>
      </c>
      <c r="D89">
        <v>1</v>
      </c>
      <c r="G89" t="s">
        <v>1642</v>
      </c>
      <c r="I89">
        <v>2</v>
      </c>
      <c r="K89" t="s">
        <v>1643</v>
      </c>
      <c r="L89" t="s">
        <v>1503</v>
      </c>
      <c r="R89">
        <v>1</v>
      </c>
      <c r="T89">
        <v>1</v>
      </c>
      <c r="AE89" t="s">
        <v>1581</v>
      </c>
      <c r="AF89">
        <v>13</v>
      </c>
      <c r="AG89" t="s">
        <v>1582</v>
      </c>
      <c r="AH89" t="s">
        <v>1583</v>
      </c>
      <c r="AI89">
        <v>255</v>
      </c>
      <c r="AL89">
        <v>1</v>
      </c>
      <c r="AN89" t="str">
        <f t="shared" si="2"/>
        <v>{dwID=7504,nLevel=1,szName="眩晕·御城",nScrutinyType=2,szNote="御城·精准",col={255,255,0,},[1]={bScreenHead=true,bBuffList=true,},[2]={},aCataclysmBuff={{szReminder="晕",nPriority=13,col="#FFFF00FF",colScreenHead="#FFFF00",nColAlpha=255,bScreenHead=true,},},},</v>
      </c>
    </row>
    <row r="90" customFormat="1" spans="3:45">
      <c r="C90" s="5">
        <v>7503</v>
      </c>
      <c r="D90">
        <v>1</v>
      </c>
      <c r="G90" t="s">
        <v>1644</v>
      </c>
      <c r="I90">
        <v>1</v>
      </c>
      <c r="K90" t="s">
        <v>1645</v>
      </c>
      <c r="L90" t="s">
        <v>1576</v>
      </c>
      <c r="T90">
        <v>1</v>
      </c>
      <c r="V90">
        <v>1</v>
      </c>
      <c r="AF90">
        <v>37</v>
      </c>
      <c r="AG90" t="s">
        <v>1646</v>
      </c>
      <c r="AH90" t="s">
        <v>1579</v>
      </c>
      <c r="AI90">
        <v>255</v>
      </c>
      <c r="AN90" t="str">
        <f t="shared" si="2"/>
        <v>{dwID=7503,nLevel=1,szName="减速·御城",nScrutinyType=1,szNote="御城·断股",col={31,63,255,},[1]={bBuffList=true,bTeamPanel=true,},[2]={},aCataclysmBuff={{nPriority=37,col="#1F3FFFAA",colScreenHead="#1F3FFF",nColAlpha=255,},},},</v>
      </c>
    </row>
    <row r="91" customFormat="1" spans="3:45">
      <c r="C91" s="5">
        <v>4038</v>
      </c>
      <c r="D91">
        <v>1</v>
      </c>
      <c r="I91">
        <v>1</v>
      </c>
      <c r="K91" t="s">
        <v>1613</v>
      </c>
      <c r="L91" t="s">
        <v>1576</v>
      </c>
      <c r="R91">
        <v>1</v>
      </c>
      <c r="T91">
        <v>1</v>
      </c>
      <c r="AE91" t="s">
        <v>1577</v>
      </c>
      <c r="AF91">
        <v>15</v>
      </c>
      <c r="AG91" t="s">
        <v>1578</v>
      </c>
      <c r="AH91" t="s">
        <v>1579</v>
      </c>
      <c r="AI91">
        <v>255</v>
      </c>
      <c r="AL91">
        <v>1</v>
      </c>
      <c r="AN91" t="str">
        <f t="shared" si="2"/>
        <v>{dwID=4038,nLevel=1,nScrutinyType=1,szNote="锁足·首领",col={31,63,255,},[1]={bScreenHead=true,bBuffList=true,},[2]={},aCataclysmBuff={{szReminder="锁",nPriority=15,col="#1F3FFFFF",colScreenHead="#1F3FFF",nColAlpha=255,bScreenHead=true,},},},</v>
      </c>
    </row>
    <row r="92" customFormat="1" spans="3:45">
      <c r="C92" s="5">
        <v>29007</v>
      </c>
      <c r="D92">
        <v>1</v>
      </c>
      <c r="I92">
        <v>1</v>
      </c>
      <c r="K92" t="s">
        <v>1555</v>
      </c>
      <c r="L92" t="s">
        <v>1556</v>
      </c>
      <c r="AN92" t="str">
        <f t="shared" si="2"/>
        <v>{dwID=29007,nLevel=1,nScrutinyType=1,szNote="九素化生·伤害距离",col={128,238,255,},[1]={},[2]={},tCountdown={{nClass=1,nIcon=13,szName="诛恶事件",nTime=-1,nRefresh=7200,key="诛恶事件",},{nClass=1,nIcon=13,szName="通用事件",nTime=-1,nRefresh=7200,key="通用事件",},{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nClass=1,nIcon=13,szName="绣球花",nTime=-1,key="绣球花",},{nClass=1,nIcon=13,szName="郁金香",nTime=-1,key="郁金香",},{nClass=1,nIcon=13,szName="牵牛花",nTime=-1,key="牵牛花",},{nClass=2,nIcon=13,szName="诛恶事件",nTime=-2,key="诛恶事件",},{nClass=2,nIcon=13,szName="通用事件",nTime=-2,key="通用事件",},{nClass=2,nIcon=13,nTime=-2,szName="金水镇",key="金水镇",},{nClass=2,nIcon=13,nTime=-2,szName="巴陵县",key="巴陵县",},{nClass=2,nIcon=13,nTime=-2,szName="龙门荒漠",key="龙门荒漠",},{nClass=2,nIcon=13,nTime=-2,szName="南屏山",key="南屏山",},{nClass=2,nIcon=13,nTime=-2,szName="昆仑",key="昆仑",},{nClass=2,nIcon=13,nTime=-2,szName="白龙口",key="白龙口",},{nClass=2,nIcon=13,nTime=-2,szName="无量山",key="无量山",},{nClass=2,nIcon=13,nTime=-2,szName="黑龙沼",key="黑龙沼",},{nClass=2,nIcon=13,nTime=-2,szName="阴山大草原",key="阴山大草原",},{nClass=2,nIcon=13,nTime=-2,szName="黑戈壁",key="黑戈壁",},{nClass=2,nIcon=13,nTime=-2,szName="鲲鹏岛",key="鲲鹏岛",},},},</v>
      </c>
      <c r="AO92" s="5" t="s">
        <v>1565</v>
      </c>
      <c r="AP92" s="5" t="s">
        <v>1566</v>
      </c>
      <c r="AQ92" s="5" t="s">
        <v>1554</v>
      </c>
      <c r="AR92" s="4" t="s">
        <v>1647</v>
      </c>
      <c r="AS92" s="4" t="s">
        <v>1648</v>
      </c>
    </row>
    <row r="93" customFormat="1" spans="3:45">
      <c r="C93" s="5">
        <v>7723</v>
      </c>
      <c r="D93">
        <v>1</v>
      </c>
      <c r="I93">
        <v>2</v>
      </c>
      <c r="K93" t="s">
        <v>1611</v>
      </c>
      <c r="L93" t="s">
        <v>1608</v>
      </c>
      <c r="T93">
        <v>1</v>
      </c>
      <c r="V93">
        <v>1</v>
      </c>
      <c r="AF93">
        <v>1</v>
      </c>
      <c r="AG93" t="s">
        <v>1612</v>
      </c>
      <c r="AI93">
        <v>0</v>
      </c>
      <c r="AN93" t="str">
        <f t="shared" si="2"/>
        <v>{dwID=7723,nLevel=1,nScrutinyType=2,szNote="神机雷",col={255,255,255,},[1]={bBuffList=true,bTeamPanel=true,},[2]={},aCataclysmBuff={{nPriority=1,col="#FFFFFF00",},},},</v>
      </c>
    </row>
    <row r="94" spans="3:45">
      <c r="AN94" t="str">
        <f t="shared" si="2"/>
        <v>},},}</v>
      </c>
    </row>
  </sheetData>
  <autoFilter xmlns:etc="http://www.wps.cn/officeDocument/2017/etCustomData" ref="A1:BY94" etc:filterBottomFollowUsedRange="0">
    <extLst/>
  </autoFilter>
  <pageMargins left="0.7" right="0.7" top="0.75" bottom="0.75" header="0.3" footer="0.3"/>
  <pageSetup paperSize="9" orientation="portrait" horizontalDpi="1200" verticalDpi="12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1"/>
  <sheetViews>
    <sheetView tabSelected="1" topLeftCell="L1" workbookViewId="0">
      <selection activeCell="X9" sqref="X9"/>
    </sheetView>
  </sheetViews>
  <sheetFormatPr defaultColWidth="9" defaultRowHeight="13.5"/>
  <cols>
    <col min="25" max="25" width="49.75" customWidth="1"/>
  </cols>
  <sheetData>
    <row r="1" spans="1:34">
      <c r="A1" t="s">
        <v>1422</v>
      </c>
      <c r="B1" t="s">
        <v>1423</v>
      </c>
      <c r="C1" t="s">
        <v>57</v>
      </c>
      <c r="D1" t="s">
        <v>63</v>
      </c>
      <c r="E1" t="s">
        <v>1425</v>
      </c>
      <c r="F1" t="s">
        <v>1426</v>
      </c>
      <c r="G1" t="s">
        <v>1427</v>
      </c>
      <c r="H1" t="s">
        <v>1428</v>
      </c>
      <c r="I1" t="s">
        <v>1429</v>
      </c>
      <c r="J1" t="s">
        <v>44</v>
      </c>
      <c r="K1" t="s">
        <v>1430</v>
      </c>
      <c r="L1" t="s">
        <v>1651</v>
      </c>
      <c r="M1" t="s">
        <v>1652</v>
      </c>
      <c r="N1" t="s">
        <v>1653</v>
      </c>
      <c r="O1" t="s">
        <v>1654</v>
      </c>
      <c r="P1" t="s">
        <v>1655</v>
      </c>
      <c r="Q1" t="s">
        <v>1656</v>
      </c>
      <c r="R1" t="s">
        <v>1657</v>
      </c>
      <c r="S1" t="s">
        <v>1658</v>
      </c>
      <c r="T1" t="s">
        <v>1659</v>
      </c>
      <c r="U1" t="s">
        <v>1660</v>
      </c>
      <c r="V1" t="s">
        <v>1661</v>
      </c>
      <c r="W1" t="s">
        <v>1662</v>
      </c>
      <c r="X1" t="s">
        <v>1663</v>
      </c>
      <c r="Y1" t="s">
        <v>258</v>
      </c>
    </row>
    <row r="2" spans="1:34">
      <c r="A2" t="s">
        <v>1464</v>
      </c>
      <c r="B2">
        <v>-19</v>
      </c>
      <c r="X2" t="str">
        <f>IF(ISBLANK(B2)=FALSE,IF(ISBLANK(B1),"},["&amp;B2&amp;"]={","["&amp;B2&amp;"]={"),IF(AND(ISBLANK(B2),ISBLANK(C2),ISBLANK(D2),OR(ISBLANK(B1)=FALSE,ISBLANK(C1)=FALSE,ISBLANK(D1)=FALSE)),"},},}",IF(ISBLANK(C2),"","{dwID="&amp;C2&amp;","&amp;"nLevel="&amp;D2&amp;","&amp;IF(E2&gt;0,"nIcon="&amp;E2&amp;",","")&amp;IF(F2&lt;&gt;"","szName="""&amp;F2&amp;""",","")&amp;IF(G2&gt;0,"bCheckLevel=true"&amp;",","")&amp;IF(H2&gt;0,"nScrutinyType="&amp;H2&amp;",","")&amp;IF(I2&lt;&gt;"","tKungFu={"&amp;I2&amp;"},","")&amp;IF(J2&lt;&gt;"","szNote="""&amp;J2&amp;""",","")&amp;IF(K2&lt;&gt;"","col={"&amp;K2&amp;"},","")&amp;"[9]={"&amp;IF(L2&lt;&gt;"","tMark={"&amp;L2&amp;"},","")&amp;IF(M2&lt;&gt;"","szVoice="""&amp;M2&amp;""",","")&amp;IF(N2&gt;0,"bTeamChannel=true,","")&amp;IF(O2&gt;0,"bWhisperChannel=true,","")&amp;IF(P2&gt;0,"bCenterAlarm=true,","")&amp;"},"&amp;"[8]={"&amp;IF(Q2&lt;&gt;"","tMark={"&amp;Q2&amp;"},","")&amp;IF(R2&lt;&gt;"","szVoice="""&amp;R2&amp;""",","")&amp;IF(S2&gt;0,"bTeamChannel=true,","")&amp;IF(T2&gt;0,"bWhisperChannel=true,","")&amp;IF(U2&gt;0,"bCenterAlarm=true,","")&amp;IF(V2&gt;0,"bScreenHead=true,","")&amp;IF(W2&gt;0,"bFullScreen=true,","")&amp;"},"&amp;IF(Y2&lt;&gt;"","tCountdown={"&amp;_xlfn.TEXTJOIN("",TRUE,Y2:AAC2)&amp;"},","")&amp;"},")))</f>
        <v>[-19]={</v>
      </c>
    </row>
    <row r="3" spans="1:34">
      <c r="C3">
        <v>7242</v>
      </c>
      <c r="D3">
        <v>1</v>
      </c>
      <c r="J3" t="s">
        <v>1664</v>
      </c>
      <c r="V3">
        <v>1</v>
      </c>
      <c r="X3" t="str">
        <f t="shared" ref="X3:X11" si="0">IF(ISBLANK(B3)=FALSE,IF(ISBLANK(B2),"},["&amp;B3&amp;"]={","["&amp;B3&amp;"]={"),IF(AND(ISBLANK(B3),ISBLANK(C3),ISBLANK(D3),OR(ISBLANK(B2)=FALSE,ISBLANK(C2)=FALSE,ISBLANK(D2)=FALSE)),"},},}",IF(ISBLANK(C3),"","{dwID="&amp;C3&amp;","&amp;"nLevel="&amp;D3&amp;","&amp;IF(E3&gt;0,"nIcon="&amp;E3&amp;",","")&amp;IF(F3&lt;&gt;"","szName="""&amp;F3&amp;""",","")&amp;IF(G3&gt;0,"bCheckLevel=true"&amp;",","")&amp;IF(H3&gt;0,"nScrutinyType="&amp;H3&amp;",","")&amp;IF(I3&lt;&gt;"","tKungFu={"&amp;I3&amp;"},","")&amp;IF(J3&lt;&gt;"","szNote="""&amp;J3&amp;""",","")&amp;IF(K3&lt;&gt;"","col={"&amp;K3&amp;"},","")&amp;"[9]={"&amp;IF(L3&lt;&gt;"","tMark={"&amp;L3&amp;"},","")&amp;IF(M3&lt;&gt;"","szVoice="""&amp;M3&amp;""",","")&amp;IF(N3&gt;0,"bTeamChannel=true,","")&amp;IF(O3&gt;0,"bWhisperChannel=true,","")&amp;IF(P3&gt;0,"bCenterAlarm=true,","")&amp;"},"&amp;"[8]={"&amp;IF(Q3&lt;&gt;"","tMark={"&amp;Q3&amp;"},","")&amp;IF(R3&lt;&gt;"","szVoice="""&amp;R3&amp;""",","")&amp;IF(S3&gt;0,"bTeamChannel=true,","")&amp;IF(T3&gt;0,"bWhisperChannel=true,","")&amp;IF(U3&gt;0,"bCenterAlarm=true,","")&amp;IF(V3&gt;0,"bScreenHead=true,","")&amp;IF(W3&gt;0,"bFullScreen=true,","")&amp;"},"&amp;IF(Y3&lt;&gt;"","tCountdown={"&amp;_xlfn.TEXTJOIN("",TRUE,Y3:AAC3)&amp;"},","")&amp;"},")))</f>
        <v>{dwID=7242,nLevel=1,szNote="屹立不倒",[9]={},[8]={bScreenHead=true,},tCountdown={{nClass=8,nIcon=1537,nFrame=0,nTime="1,屹立不倒·{$sender}·正在释放;9.5,屹立不倒·{$sender}·50减伤;32.5,屹立不倒·{$sender}·释放剩余;40.5,屹立不倒·{$sender}·延迟释放;50,屹立不倒·{$sender}·随时释放",szName="屹立不倒",nRefresh=0,key="屹立不倒",},{nClass=9,nIcon=1537,nFrame=0,nTime="9,屹立不倒·{$sender}·50减伤;31.5,屹立不倒·{$sender}·释放剩余;40,屹立不倒·{$sender}·延迟释放;50,屹立不倒·{$sender}·随时释放",szName="屹立不倒",nRefresh=5,key="屹立不倒",},},},</v>
      </c>
      <c r="Y3" t="s">
        <v>1665</v>
      </c>
      <c r="Z3" t="s">
        <v>1666</v>
      </c>
    </row>
    <row r="4" customFormat="1" spans="1:34">
      <c r="C4" s="11">
        <v>1361</v>
      </c>
      <c r="D4">
        <v>1</v>
      </c>
      <c r="J4" t="s">
        <v>1667</v>
      </c>
      <c r="X4" t="str">
        <f t="shared" si="0"/>
        <v>{dwID=1361,nLevel=1,szNote="月弄痕·霸气",[9]={},[8]={},tCountdown={{nClass=9,nIcon=2037,nFrame=5,nTime="10,月弄痕·霸气·正在反弹;68,月弄痕·霸气·释放剩余",szName="反弹提示",nRefresh=2,key="反弹提示",},},},</v>
      </c>
      <c r="Y4" s="11" t="s">
        <v>1668</v>
      </c>
    </row>
    <row r="5" customFormat="1" spans="1:34">
      <c r="C5" s="11">
        <v>27379</v>
      </c>
      <c r="D5">
        <v>1</v>
      </c>
      <c r="J5" t="s">
        <v>1669</v>
      </c>
      <c r="X5" t="str">
        <f t="shared" si="0"/>
        <v>{dwID=27379,nLevel=1,szNote="小七·珠袖落日",[9]={},[8]={},tCountdown={{nClass=8,nIcon=21,nFrame=5,nTime="6,小七·珠袖落日·正在反弹;44,小七·珠袖落日·释放剩余",szName="反弹提示",nRefresh=2,key="反弹提示",},},},</v>
      </c>
      <c r="Y5" s="11" t="s">
        <v>1670</v>
      </c>
      <c r="Z5" s="11"/>
      <c r="AA5" s="11"/>
      <c r="AB5" s="11"/>
      <c r="AC5" s="11"/>
      <c r="AD5" s="11"/>
      <c r="AE5" s="11"/>
      <c r="AF5" s="11"/>
      <c r="AG5" s="11"/>
      <c r="AH5" s="11"/>
    </row>
    <row r="6" spans="1:34">
      <c r="C6">
        <v>27917</v>
      </c>
      <c r="D6">
        <v>1</v>
      </c>
      <c r="J6" t="s">
        <v>1671</v>
      </c>
      <c r="X6" t="str">
        <f t="shared" si="0"/>
        <v>{dwID=27917,nLevel=1,szNote="伊夜·斩无常",[9]={},[8]={},tCountdown={{nClass=8,nIcon=12101,nFrame=5,nTime="2.5,伊夜·斩无常·正在反弹;27,伊夜·斩无常·释放剩余",szName="反弹提示",nRefresh=2,key="反弹提示",},},},</v>
      </c>
      <c r="Y6" s="11" t="s">
        <v>1672</v>
      </c>
    </row>
    <row r="7" spans="1:34">
      <c r="C7">
        <v>7230</v>
      </c>
      <c r="D7">
        <v>1</v>
      </c>
      <c r="J7" t="s">
        <v>1673</v>
      </c>
      <c r="X7" t="str">
        <f t="shared" si="0"/>
        <v>{dwID=7230,nLevel=1,szNote="王遗风·红尘曲·倾城",[9]={},[8]={},tCountdown={{nClass=8,nIcon=2033,nFrame=5,nTime="1,红尘曲倾城·抬血",szName="招式提示1",nRefresh=1,key="招式提示1",},},},</v>
      </c>
      <c r="Y7" s="11" t="s">
        <v>1674</v>
      </c>
    </row>
    <row r="8" spans="1:34">
      <c r="C8">
        <v>7330</v>
      </c>
      <c r="D8">
        <v>1</v>
      </c>
      <c r="J8" t="s">
        <v>1675</v>
      </c>
      <c r="X8" t="str">
        <f t="shared" si="0"/>
        <v>{dwID=7330,nLevel=1,szNote="王遗风·红尘曲·御伤",[9]={},[8]={},tCountdown={{nClass=9,nIcon=2024,nFrame=5,nTime="10,红尘曲御伤·80减伤",szName="王遗风",nRefresh=2,key="王遗风",},},},</v>
      </c>
      <c r="Y8" s="11" t="s">
        <v>1676</v>
      </c>
    </row>
    <row r="9" spans="1:34">
      <c r="A9" t="s">
        <v>1480</v>
      </c>
      <c r="B9">
        <v>-20</v>
      </c>
      <c r="X9" t="str">
        <f t="shared" si="0"/>
        <v>},[-20]={</v>
      </c>
    </row>
    <row r="10" spans="1:34">
      <c r="C10">
        <v>8823</v>
      </c>
      <c r="D10">
        <v>1</v>
      </c>
      <c r="H10">
        <v>4</v>
      </c>
      <c r="J10" t="s">
        <v>1641</v>
      </c>
      <c r="X10" t="str">
        <f t="shared" si="0"/>
        <v>{dwID=8823,nLevel=1,nScrutinyType=4,szNote="御城·抛掷",[9]={},[8]={},tCountdown={{nClass=9,nFrame=5,nIcon=13,key="招式提示1",nTime="2,御城·抛掷;4.5,抛掷·眩晕;15,御城·抛掷·下一个",szName="御城·抛掷·下一个",nRefresh=2,},},},</v>
      </c>
      <c r="Y10" t="s">
        <v>1677</v>
      </c>
    </row>
    <row r="11" spans="1:34">
      <c r="X11" t="str">
        <f t="shared" si="0"/>
        <v>},},}</v>
      </c>
    </row>
  </sheetData>
  <pageMargins left="0.75" right="0.75" top="1" bottom="1" header="0.5" footer="0.5"/>
  <pageSetup paperSize="9" orientation="portrait" horizontalDpi="1200" verticalDpi="12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370"/>
  <sheetViews>
    <sheetView zoomScale="80" zoomScaleNormal="80" topLeftCell="C1" workbookViewId="0">
      <pane ySplit="1" topLeftCell="A87" activePane="bottomLeft" state="frozen"/>
      <selection/>
      <selection pane="bottomLeft" activeCell="W98" sqref="W98"/>
    </sheetView>
  </sheetViews>
  <sheetFormatPr defaultColWidth="9" defaultRowHeight="13.5"/>
  <cols>
    <col min="1" max="1" width="11" customWidth="1"/>
    <col min="3" max="3" width="10.75" customWidth="1"/>
    <col min="5" max="5" width="6.5" customWidth="1"/>
    <col min="6" max="6" width="8.5" customWidth="1"/>
    <col min="7" max="7" width="8" customWidth="1"/>
    <col min="8" max="8" width="6.75" customWidth="1"/>
    <col min="9" max="9" width="25.6166666666667" customWidth="1"/>
    <col min="10" max="10" width="12.375" customWidth="1"/>
    <col min="11" max="14" width="9" customWidth="1"/>
    <col min="15" max="15" width="14.5" customWidth="1"/>
    <col min="16" max="16" width="16.5" customWidth="1"/>
    <col min="17" max="19" width="9" customWidth="1"/>
    <col min="20" max="20" width="14.5" customWidth="1"/>
    <col min="23" max="23" width="113.5" customWidth="1"/>
    <col min="24" max="24" width="45.5" customWidth="1"/>
  </cols>
  <sheetData>
    <row r="1" spans="1:23">
      <c r="A1" t="s">
        <v>1422</v>
      </c>
      <c r="B1" t="s">
        <v>1423</v>
      </c>
      <c r="C1" t="s">
        <v>57</v>
      </c>
      <c r="D1" t="s">
        <v>1425</v>
      </c>
      <c r="E1" t="s">
        <v>1678</v>
      </c>
      <c r="F1" t="s">
        <v>1679</v>
      </c>
      <c r="G1" t="s">
        <v>1426</v>
      </c>
      <c r="H1" t="s">
        <v>1429</v>
      </c>
      <c r="I1" t="s">
        <v>44</v>
      </c>
      <c r="J1" t="s">
        <v>1430</v>
      </c>
      <c r="K1" t="s">
        <v>1680</v>
      </c>
      <c r="L1" t="s">
        <v>1681</v>
      </c>
      <c r="M1" t="s">
        <v>1682</v>
      </c>
      <c r="N1" t="s">
        <v>1683</v>
      </c>
      <c r="O1" t="s">
        <v>1684</v>
      </c>
      <c r="P1" t="s">
        <v>1685</v>
      </c>
      <c r="Q1" t="s">
        <v>1686</v>
      </c>
      <c r="R1" t="s">
        <v>1687</v>
      </c>
      <c r="S1" t="s">
        <v>1688</v>
      </c>
      <c r="T1" t="s">
        <v>1689</v>
      </c>
      <c r="U1" t="s">
        <v>239</v>
      </c>
      <c r="V1" t="s">
        <v>1690</v>
      </c>
      <c r="W1" t="s">
        <v>258</v>
      </c>
    </row>
    <row r="2" customFormat="1" spans="1:23">
      <c r="A2" t="s">
        <v>1691</v>
      </c>
      <c r="B2">
        <v>-2</v>
      </c>
      <c r="V2" t="str">
        <f>IF(ISBLANK(B2)=FALSE,IF(ISBLANK(B1),"},["&amp;B2&amp;"]={","["&amp;B2&amp;"]={"),IF(AND(ISBLANK(B2),ISBLANK(D2),ISBLANK(C2),OR(ISBLANK(B1)=FALSE,ISBLANK(D1)=FALSE,ISBLANK(C1)=FALSE)),"},},}",IF(ISBLANK(C2),"","{dwID="&amp;C2&amp;","&amp;"nFrame="&amp;D2&amp;","&amp;IF(E2&gt;0,"nCount="&amp;E2&amp;",","")&amp;IF(F2&gt;0,"bAllLeave=true,","")&amp;IF(G2&lt;&gt;"","szName="""&amp;G2&amp;""",","")&amp;IF(H2&lt;&gt;"","tKungFu={"&amp;H2&amp;"},","")&amp;IF(I2&lt;&gt;"","szNote="""&amp;I2&amp;""",","")&amp;IF(J2&lt;&gt;"","col={"&amp;J2&amp;"},","")&amp;"[3]={"&amp;IF(K2&lt;&gt;"","tMark={"&amp;K2&amp;"},","")&amp;IF(L2&lt;&gt;"","szVoice="""&amp;L2&amp;""",","")&amp;IF(M2&gt;0,"bTeamChannel=true,","")&amp;IF(N2&gt;0,"bWhisperChannel=true,","")&amp;IF(O2&gt;0,"bCenterAlarm=true,","")&amp;IF(P2&gt;0,"bScreenHead=true,","")&amp;"},"&amp;"[4]={"&amp;IF(Q2&lt;&gt;"","szVoice="""&amp;Q2&amp;""",","")&amp;IF(R2&gt;0,"bTeamChannel=true,","")&amp;IF(S2&gt;0,"bWhisperChannel=true,","")&amp;IF(T2&gt;0,"bCenterAlarm=true,","")&amp;"},"&amp;IF(U2&lt;&gt;"","aFocus={"&amp;U2&amp;"},","")&amp;IF(W2&lt;&gt;"","tCountdown={"&amp;_xlfn.TEXTJOIN("",TRUE,W2:ZZ2)&amp;"},","")&amp;"},")))</f>
        <v>[-2]={</v>
      </c>
    </row>
    <row r="3" customFormat="1" spans="1:23">
      <c r="C3">
        <v>123871</v>
      </c>
      <c r="D3">
        <v>47</v>
      </c>
      <c r="I3" t="s">
        <v>1692</v>
      </c>
      <c r="U3" t="s">
        <v>1693</v>
      </c>
      <c r="V3" t="str">
        <f t="shared" ref="V3:V66" si="0">IF(ISBLANK(B3)=FALSE,IF(ISBLANK(B2),"},["&amp;B3&amp;"]={","["&amp;B3&amp;"]={"),IF(AND(ISBLANK(B3),ISBLANK(D3),ISBLANK(C3),OR(ISBLANK(B2)=FALSE,ISBLANK(D2)=FALSE,ISBLANK(C2)=FALSE)),"},},}",IF(ISBLANK(C3),"","{dwID="&amp;C3&amp;","&amp;"nFrame="&amp;D3&amp;","&amp;IF(E3&gt;0,"nCount="&amp;E3&amp;",","")&amp;IF(F3&gt;0,"bAllLeave=true,","")&amp;IF(G3&lt;&gt;"","szName="""&amp;G3&amp;""",","")&amp;IF(H3&lt;&gt;"","tKungFu={"&amp;H3&amp;"},","")&amp;IF(I3&lt;&gt;"","szNote="""&amp;I3&amp;""",","")&amp;IF(J3&lt;&gt;"","col={"&amp;J3&amp;"},","")&amp;"[3]={"&amp;IF(K3&lt;&gt;"","tMark={"&amp;K3&amp;"},","")&amp;IF(L3&lt;&gt;"","szVoice="""&amp;L3&amp;""",","")&amp;IF(M3&gt;0,"bTeamChannel=true,","")&amp;IF(N3&gt;0,"bWhisperChannel=true,","")&amp;IF(O3&gt;0,"bCenterAlarm=true,","")&amp;IF(P3&gt;0,"bScreenHead=true,","")&amp;"},"&amp;"[4]={"&amp;IF(Q3&lt;&gt;"","szVoice="""&amp;Q3&amp;""",","")&amp;IF(R3&gt;0,"bTeamChannel=true,","")&amp;IF(S3&gt;0,"bWhisperChannel=true,","")&amp;IF(T3&gt;0,"bCenterAlarm=true,","")&amp;"},"&amp;IF(U3&lt;&gt;"","aFocus={"&amp;U3&amp;"},","")&amp;IF(W3&lt;&gt;"","tCountdown={"&amp;_xlfn.TEXTJOIN("",TRUE,W3:ZZ3)&amp;"},","")&amp;"},")))</f>
        <v>{dwID=123871,nFrame=47,szNote="小珍",[3]={},[4]={},aFocus={{dwMapID=-1,szDisplay="分线·传送",nMaxDistance=6,tRelation={bAll=false,bEnemy=false,bAlly=true,},tLife={bEnable=false,szOperator="&gt;",nValue=0,},},},},</v>
      </c>
    </row>
    <row r="4" customFormat="1" spans="1:23">
      <c r="C4">
        <v>123867</v>
      </c>
      <c r="D4">
        <v>47</v>
      </c>
      <c r="I4" t="s">
        <v>1694</v>
      </c>
      <c r="U4" t="s">
        <v>1693</v>
      </c>
      <c r="V4" t="str">
        <f t="shared" si="0"/>
        <v>{dwID=123867,nFrame=47,szNote="小曾",[3]={},[4]={},aFocus={{dwMapID=-1,szDisplay="分线·传送",nMaxDistance=6,tRelation={bAll=false,bEnemy=false,bAlly=true,},tLife={bEnable=false,szOperator="&gt;",nValue=0,},},},},</v>
      </c>
    </row>
    <row r="5" spans="1:23">
      <c r="A5" t="s">
        <v>1480</v>
      </c>
      <c r="B5">
        <v>-20</v>
      </c>
      <c r="V5" t="str">
        <f t="shared" si="0"/>
        <v>},[-20]={</v>
      </c>
    </row>
    <row r="6" customFormat="1" spans="1:23">
      <c r="C6">
        <v>59858</v>
      </c>
      <c r="D6">
        <v>47</v>
      </c>
      <c r="I6" s="7" t="s">
        <v>1695</v>
      </c>
      <c r="J6" s="9" t="s">
        <v>642</v>
      </c>
      <c r="P6">
        <v>1</v>
      </c>
      <c r="V6" t="str">
        <f t="shared" si="0"/>
        <v>{dwID=59858,nFrame=47,szNote="恶人谷精锐队长",col={255,120,31,},[3]={bScreenHead=true,},[4]={},},</v>
      </c>
    </row>
    <row r="7" customFormat="1" spans="1:23">
      <c r="C7">
        <v>59845</v>
      </c>
      <c r="D7">
        <v>47</v>
      </c>
      <c r="I7" s="7" t="s">
        <v>1696</v>
      </c>
      <c r="J7" s="10" t="s">
        <v>647</v>
      </c>
      <c r="P7">
        <v>1</v>
      </c>
      <c r="V7" t="str">
        <f t="shared" si="0"/>
        <v>{dwID=59845,nFrame=47,szNote="浩气盟精锐队长",col={31,230,255,},[3]={bScreenHead=true,},[4]={},},</v>
      </c>
    </row>
    <row r="8" spans="1:23">
      <c r="C8">
        <v>30201</v>
      </c>
      <c r="D8">
        <v>52</v>
      </c>
      <c r="I8" t="s">
        <v>1697</v>
      </c>
      <c r="U8" t="s">
        <v>1698</v>
      </c>
      <c r="V8" t="str">
        <f t="shared" si="0"/>
        <v>{dwID=30201,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9" spans="1:23">
      <c r="C9">
        <v>30202</v>
      </c>
      <c r="D9">
        <v>52</v>
      </c>
      <c r="I9" t="s">
        <v>1697</v>
      </c>
      <c r="U9" t="s">
        <v>1698</v>
      </c>
      <c r="V9" t="str">
        <f t="shared" si="0"/>
        <v>{dwID=30202,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0" spans="1:23">
      <c r="C10">
        <v>30211</v>
      </c>
      <c r="D10">
        <v>52</v>
      </c>
      <c r="I10" t="s">
        <v>1697</v>
      </c>
      <c r="U10" t="s">
        <v>1698</v>
      </c>
      <c r="V10" t="str">
        <f t="shared" si="0"/>
        <v>{dwID=30211,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1" spans="1:23">
      <c r="C11">
        <v>30212</v>
      </c>
      <c r="D11">
        <v>52</v>
      </c>
      <c r="I11" t="s">
        <v>1697</v>
      </c>
      <c r="U11" t="s">
        <v>1698</v>
      </c>
      <c r="V11" t="str">
        <f t="shared" si="0"/>
        <v>{dwID=30212,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2" spans="1:23">
      <c r="C12">
        <v>30241</v>
      </c>
      <c r="D12">
        <v>52</v>
      </c>
      <c r="I12" t="s">
        <v>1697</v>
      </c>
      <c r="U12" t="s">
        <v>1698</v>
      </c>
      <c r="V12" t="str">
        <f t="shared" si="0"/>
        <v>{dwID=30241,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3" spans="1:23">
      <c r="C13">
        <v>30251</v>
      </c>
      <c r="D13">
        <v>52</v>
      </c>
      <c r="I13" t="s">
        <v>1697</v>
      </c>
      <c r="U13" t="s">
        <v>1698</v>
      </c>
      <c r="V13" t="str">
        <f t="shared" si="0"/>
        <v>{dwID=30251,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4" spans="1:23">
      <c r="C14">
        <v>30101</v>
      </c>
      <c r="D14">
        <v>52</v>
      </c>
      <c r="I14" t="s">
        <v>1699</v>
      </c>
      <c r="U14" t="s">
        <v>1698</v>
      </c>
      <c r="V14" t="str">
        <f t="shared" si="0"/>
        <v>{dwID=30101,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5" spans="1:23">
      <c r="C15">
        <v>30102</v>
      </c>
      <c r="D15">
        <v>52</v>
      </c>
      <c r="I15" t="s">
        <v>1699</v>
      </c>
      <c r="U15" t="s">
        <v>1698</v>
      </c>
      <c r="V15" t="str">
        <f t="shared" si="0"/>
        <v>{dwID=30102,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6" spans="1:23">
      <c r="C16">
        <v>30111</v>
      </c>
      <c r="D16">
        <v>52</v>
      </c>
      <c r="I16" t="s">
        <v>1699</v>
      </c>
      <c r="U16" t="s">
        <v>1698</v>
      </c>
      <c r="V16" t="str">
        <f t="shared" si="0"/>
        <v>{dwID=30111,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7" spans="3:22">
      <c r="C17">
        <v>30112</v>
      </c>
      <c r="D17">
        <v>52</v>
      </c>
      <c r="I17" t="s">
        <v>1699</v>
      </c>
      <c r="U17" t="s">
        <v>1698</v>
      </c>
      <c r="V17" t="str">
        <f t="shared" si="0"/>
        <v>{dwID=30112,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8" spans="3:22">
      <c r="C18">
        <v>30122</v>
      </c>
      <c r="D18">
        <v>52</v>
      </c>
      <c r="I18" t="s">
        <v>1699</v>
      </c>
      <c r="U18" t="s">
        <v>1698</v>
      </c>
      <c r="V18" t="str">
        <f t="shared" si="0"/>
        <v>{dwID=30122,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9" spans="3:22">
      <c r="C19">
        <v>30141</v>
      </c>
      <c r="D19">
        <v>52</v>
      </c>
      <c r="I19" t="s">
        <v>1699</v>
      </c>
      <c r="U19" t="s">
        <v>1698</v>
      </c>
      <c r="V19" t="str">
        <f t="shared" si="0"/>
        <v>{dwID=30141,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0" spans="3:22">
      <c r="C20">
        <v>30151</v>
      </c>
      <c r="D20">
        <v>52</v>
      </c>
      <c r="I20" t="s">
        <v>1699</v>
      </c>
      <c r="U20" t="s">
        <v>1698</v>
      </c>
      <c r="V20" t="str">
        <f t="shared" si="0"/>
        <v>{dwID=30151,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1" spans="3:22">
      <c r="C21">
        <v>30113</v>
      </c>
      <c r="D21">
        <v>52</v>
      </c>
      <c r="I21" t="s">
        <v>1699</v>
      </c>
      <c r="U21" t="s">
        <v>1698</v>
      </c>
      <c r="V21" t="str">
        <f t="shared" si="0"/>
        <v>{dwID=30113,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2" spans="3:22">
      <c r="C22">
        <v>29001</v>
      </c>
      <c r="D22">
        <v>52</v>
      </c>
      <c r="I22" t="s">
        <v>1700</v>
      </c>
      <c r="U22" t="s">
        <v>1701</v>
      </c>
      <c r="V22" t="str">
        <f t="shared" si="0"/>
        <v>{dwID=29001,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 spans="3:22">
      <c r="C23">
        <v>29002</v>
      </c>
      <c r="D23">
        <v>52</v>
      </c>
      <c r="I23" t="s">
        <v>1700</v>
      </c>
      <c r="U23" t="s">
        <v>1701</v>
      </c>
      <c r="V23" t="str">
        <f t="shared" si="0"/>
        <v>{dwID=29002,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4" spans="3:22">
      <c r="C24">
        <v>29003</v>
      </c>
      <c r="D24">
        <v>52</v>
      </c>
      <c r="I24" t="s">
        <v>1700</v>
      </c>
      <c r="U24" t="s">
        <v>1701</v>
      </c>
      <c r="V24" t="str">
        <f t="shared" si="0"/>
        <v>{dwID=29003,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 spans="3:22">
      <c r="C25">
        <v>29004</v>
      </c>
      <c r="D25">
        <v>52</v>
      </c>
      <c r="I25" t="s">
        <v>1700</v>
      </c>
      <c r="U25" t="s">
        <v>1701</v>
      </c>
      <c r="V25" t="str">
        <f t="shared" si="0"/>
        <v>{dwID=29004,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 spans="3:22">
      <c r="C26">
        <v>29005</v>
      </c>
      <c r="D26">
        <v>52</v>
      </c>
      <c r="I26" t="s">
        <v>1700</v>
      </c>
      <c r="U26" t="s">
        <v>1701</v>
      </c>
      <c r="V26" t="str">
        <f t="shared" si="0"/>
        <v>{dwID=29005,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7" spans="3:22">
      <c r="C27">
        <v>29006</v>
      </c>
      <c r="D27">
        <v>52</v>
      </c>
      <c r="I27" t="s">
        <v>1700</v>
      </c>
      <c r="U27" t="s">
        <v>1701</v>
      </c>
      <c r="V27" t="str">
        <f t="shared" si="0"/>
        <v>{dwID=29006,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8" spans="3:22">
      <c r="C28">
        <v>29007</v>
      </c>
      <c r="D28">
        <v>52</v>
      </c>
      <c r="I28" t="s">
        <v>1700</v>
      </c>
      <c r="U28" t="s">
        <v>1701</v>
      </c>
      <c r="V28" t="str">
        <f t="shared" si="0"/>
        <v>{dwID=29007,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 spans="3:22">
      <c r="C29">
        <v>29008</v>
      </c>
      <c r="D29">
        <v>52</v>
      </c>
      <c r="I29" t="s">
        <v>1700</v>
      </c>
      <c r="U29" t="s">
        <v>1701</v>
      </c>
      <c r="V29" t="str">
        <f t="shared" si="0"/>
        <v>{dwID=29008,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0" spans="3:22">
      <c r="C30">
        <v>29009</v>
      </c>
      <c r="D30">
        <v>52</v>
      </c>
      <c r="I30" t="s">
        <v>1700</v>
      </c>
      <c r="U30" t="s">
        <v>1701</v>
      </c>
      <c r="V30" t="str">
        <f t="shared" si="0"/>
        <v>{dwID=29009,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 spans="3:22">
      <c r="C31">
        <v>29010</v>
      </c>
      <c r="D31">
        <v>52</v>
      </c>
      <c r="I31" t="s">
        <v>1700</v>
      </c>
      <c r="U31" t="s">
        <v>1701</v>
      </c>
      <c r="V31" t="str">
        <f t="shared" si="0"/>
        <v>{dwID=29010,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2" spans="3:22">
      <c r="C32">
        <v>29011</v>
      </c>
      <c r="D32">
        <v>52</v>
      </c>
      <c r="I32" t="s">
        <v>1700</v>
      </c>
      <c r="U32" t="s">
        <v>1701</v>
      </c>
      <c r="V32" t="str">
        <f t="shared" si="0"/>
        <v>{dwID=29011,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3" spans="3:23">
      <c r="C33">
        <v>29012</v>
      </c>
      <c r="D33">
        <v>52</v>
      </c>
      <c r="I33" t="s">
        <v>1700</v>
      </c>
      <c r="U33" t="s">
        <v>1701</v>
      </c>
      <c r="V33" t="str">
        <f t="shared" si="0"/>
        <v>{dwID=29012,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4" spans="3:23">
      <c r="C34">
        <v>29013</v>
      </c>
      <c r="D34">
        <v>52</v>
      </c>
      <c r="I34" t="s">
        <v>1700</v>
      </c>
      <c r="U34" t="s">
        <v>1701</v>
      </c>
      <c r="V34" t="str">
        <f t="shared" si="0"/>
        <v>{dwID=29013,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 spans="3:23">
      <c r="C35">
        <v>29101</v>
      </c>
      <c r="D35">
        <v>52</v>
      </c>
      <c r="I35" t="s">
        <v>1700</v>
      </c>
      <c r="U35" t="s">
        <v>1701</v>
      </c>
      <c r="V35" t="str">
        <f t="shared" si="0"/>
        <v>{dwID=29101,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 spans="3:23">
      <c r="C36">
        <v>29102</v>
      </c>
      <c r="D36">
        <v>52</v>
      </c>
      <c r="I36" t="s">
        <v>1700</v>
      </c>
      <c r="U36" t="s">
        <v>1701</v>
      </c>
      <c r="V36" t="str">
        <f t="shared" si="0"/>
        <v>{dwID=29102,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7" spans="3:23">
      <c r="C37">
        <v>29103</v>
      </c>
      <c r="D37">
        <v>52</v>
      </c>
      <c r="I37" t="s">
        <v>1700</v>
      </c>
      <c r="U37" t="s">
        <v>1701</v>
      </c>
      <c r="V37" t="str">
        <f t="shared" si="0"/>
        <v>{dwID=29103,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8" spans="3:23">
      <c r="C38">
        <v>29201</v>
      </c>
      <c r="D38">
        <v>52</v>
      </c>
      <c r="I38" t="s">
        <v>1700</v>
      </c>
      <c r="U38" t="s">
        <v>1701</v>
      </c>
      <c r="V38" t="str">
        <f t="shared" si="0"/>
        <v>{dwID=29201,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9" customFormat="1" spans="3:23">
      <c r="C39">
        <v>30005</v>
      </c>
      <c r="D39">
        <v>52</v>
      </c>
      <c r="I39" t="s">
        <v>1702</v>
      </c>
      <c r="U39" t="s">
        <v>1703</v>
      </c>
      <c r="V39" t="str">
        <f t="shared" si="0"/>
        <v>{dwID=30005,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9" t="s">
        <v>1704</v>
      </c>
    </row>
    <row r="40" customFormat="1" spans="3:23">
      <c r="C40">
        <v>30004</v>
      </c>
      <c r="D40">
        <v>52</v>
      </c>
      <c r="I40" t="s">
        <v>1702</v>
      </c>
      <c r="U40" t="s">
        <v>1703</v>
      </c>
      <c r="V40" t="str">
        <f t="shared" si="0"/>
        <v>{dwID=30004,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40" t="s">
        <v>1704</v>
      </c>
    </row>
    <row r="41" customFormat="1" spans="3:23">
      <c r="C41">
        <v>30003</v>
      </c>
      <c r="D41">
        <v>52</v>
      </c>
      <c r="I41" t="s">
        <v>1702</v>
      </c>
      <c r="U41" t="s">
        <v>1703</v>
      </c>
      <c r="V41" t="str">
        <f t="shared" si="0"/>
        <v>{dwID=30003,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41" t="s">
        <v>1704</v>
      </c>
    </row>
    <row r="42" customFormat="1" spans="3:23">
      <c r="C42">
        <v>30002</v>
      </c>
      <c r="D42">
        <v>52</v>
      </c>
      <c r="I42" t="s">
        <v>1702</v>
      </c>
      <c r="U42" t="s">
        <v>1703</v>
      </c>
      <c r="V42" t="str">
        <f t="shared" si="0"/>
        <v>{dwID=30002,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42" t="s">
        <v>1704</v>
      </c>
    </row>
    <row r="43" customFormat="1" spans="3:23">
      <c r="C43">
        <v>30001</v>
      </c>
      <c r="D43">
        <v>52</v>
      </c>
      <c r="I43" t="s">
        <v>1702</v>
      </c>
      <c r="U43" t="s">
        <v>1703</v>
      </c>
      <c r="V43" t="str">
        <f t="shared" si="0"/>
        <v>{dwID=30001,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43" t="s">
        <v>1704</v>
      </c>
    </row>
    <row r="44" customFormat="1" spans="3:23">
      <c r="C44">
        <v>66809</v>
      </c>
      <c r="D44">
        <v>57</v>
      </c>
      <c r="G44" t="s">
        <v>1705</v>
      </c>
      <c r="I44" t="s">
        <v>1706</v>
      </c>
      <c r="O44">
        <v>1</v>
      </c>
      <c r="U44" t="s">
        <v>1707</v>
      </c>
      <c r="V44" t="str">
        <f t="shared" si="0"/>
        <v>{dwID=66809,nFrame=57,szName="火圈",szNote="减疗火圈",[3]={bCenterAlarm=true,},[4]={},aFocus={{dwMapID=-1,szDisplay="火圈·减疗",nMaxDistance=8,tRelation={bAll=true,bEnemy=true,bAlly=true,},tLife={bEnable=false,szOperator="&gt;",nValue=0,},},},},</v>
      </c>
    </row>
    <row r="45" customFormat="1" spans="3:23">
      <c r="C45">
        <v>36816</v>
      </c>
      <c r="D45">
        <v>52</v>
      </c>
      <c r="G45" t="s">
        <v>1708</v>
      </c>
      <c r="I45" t="s">
        <v>1709</v>
      </c>
      <c r="J45" s="9" t="s">
        <v>642</v>
      </c>
      <c r="O45">
        <v>1</v>
      </c>
      <c r="P45">
        <v>1</v>
      </c>
      <c r="U45" t="s">
        <v>1710</v>
      </c>
      <c r="V45" t="str">
        <f t="shared" si="0"/>
        <v>{dwID=36816,nFrame=52,szName="恶人·摧城车",szNote="恶人·摧城车·底座",col={255,120,31,},[3]={bCenterAlarm=true,bScreenHead=true,},[4]={},aFocus={{dwMapID=-1,szDisplay="摧城车·恶人",nMaxDistance=60,tRelation={bAll=true,bEnemy=true,bAlly=true,},tLife={bEnable=false,szOperator="&gt;",nValue=0,},},},tCountdown={{nClass=12,nFrame=1,nIcon=15838,nTime=10,szName="恶人·摧城车·已摧毁",},},},</v>
      </c>
      <c r="W45" t="s">
        <v>1711</v>
      </c>
    </row>
    <row r="46" customFormat="1" spans="3:23">
      <c r="C46">
        <v>36823</v>
      </c>
      <c r="D46">
        <v>52</v>
      </c>
      <c r="G46" t="s">
        <v>1712</v>
      </c>
      <c r="I46" t="s">
        <v>1713</v>
      </c>
      <c r="J46" s="10" t="s">
        <v>647</v>
      </c>
      <c r="O46">
        <v>1</v>
      </c>
      <c r="P46">
        <v>1</v>
      </c>
      <c r="U46" t="s">
        <v>1714</v>
      </c>
      <c r="V46" t="str">
        <f t="shared" si="0"/>
        <v>{dwID=36823,nFrame=52,szName="浩气·摧城车",szNote="浩气·摧城车·底座",col={31,230,255,},[3]={bCenterAlarm=true,bScreenHead=true,},[4]={},aFocus={{dwMapID=-1,szDisplay="摧城车·浩气",nMaxDistance=60,tRelation={bAll=true,bEnemy=true,bAlly=true,},tLife={bEnable=false,szOperator="&gt;",nValue=0,},},},tCountdown={{nClass=12,nFrame=1,nIcon=15839,nTime=10,szName="浩气·摧城车·已摧毁",},},},</v>
      </c>
      <c r="W46" t="s">
        <v>1715</v>
      </c>
    </row>
    <row r="47" customFormat="1" spans="3:23">
      <c r="C47">
        <v>36825</v>
      </c>
      <c r="D47">
        <v>52</v>
      </c>
      <c r="G47" t="s">
        <v>1716</v>
      </c>
      <c r="I47" t="s">
        <v>1716</v>
      </c>
      <c r="J47" t="s">
        <v>1474</v>
      </c>
      <c r="P47">
        <v>1</v>
      </c>
      <c r="U47" t="s">
        <v>1717</v>
      </c>
      <c r="V47" t="str">
        <f t="shared" si="0"/>
        <v>{dwID=36825,nFrame=52,szName="摧城车·组装中",szNote="摧城车·组装中",col={255,50,255,},[3]={bScreenHead=true,},[4]={},aFocus={{dwMapID=-1,szDisplay="摧城车·敌方·组装中",nMaxDistance=60,tRelation={bAll=false,bEnemy=true,bAlly=false,},tLife={bEnable=false,szOperator="&gt;",nValue=0,},},{dwMapID=-1,szDisplay="摧城车·组装中",nMaxDistance=60,tRelation={bAll=false,bEnemy=false,bAlly=true,},tLife={bEnable=false,szOperator="&gt;",nValue=0,},},},},</v>
      </c>
    </row>
    <row r="48" customFormat="1" spans="3:23">
      <c r="C48">
        <v>36717</v>
      </c>
      <c r="D48">
        <v>52</v>
      </c>
      <c r="I48" t="s">
        <v>1718</v>
      </c>
      <c r="J48" t="s">
        <v>1474</v>
      </c>
      <c r="P48">
        <v>1</v>
      </c>
      <c r="U48" t="s">
        <v>1719</v>
      </c>
      <c r="V48" t="str">
        <f t="shared" si="0"/>
        <v>{dwID=36717,nFrame=52,szNote="摧城车",col={255,50,255,},[3]={bScreenHead=true,},[4]={},aFocus={{dwMapID=-1,szDisplay="摧城车·敌方",nMaxDistance=15,tRelation={bAll=false,bEnemy=true,bAlly=false,},tLife={bEnable=false,szOperator="&gt;",nValue=0,},},{dwMapID=-1,szDisplay="摧城车·友方",nMaxDistance=6,tRelation={bAll=false,bEnemy=false,bAlly=true,},tLife={bEnable=false,szOperator="&gt;",nValue=0,},},},tCountdown={{nClass=12,nFrame=1,nIcon=134,nTime=10,szName="模型·摧城车·已摧毁",},},},</v>
      </c>
      <c r="W48" t="s">
        <v>1720</v>
      </c>
    </row>
    <row r="49" customFormat="1" spans="1:23">
      <c r="C49">
        <v>36467</v>
      </c>
      <c r="D49">
        <v>52</v>
      </c>
      <c r="G49" t="s">
        <v>1721</v>
      </c>
      <c r="I49" t="s">
        <v>1722</v>
      </c>
      <c r="J49" s="9" t="s">
        <v>642</v>
      </c>
      <c r="P49">
        <v>1</v>
      </c>
      <c r="V49" t="str">
        <f t="shared" si="0"/>
        <v>{dwID=36467,nFrame=52,szName="恶人·神机车",szNote="恶人·神机车·底座",col={255,120,31,},[3]={bScreenHead=true,},[4]={},},</v>
      </c>
    </row>
    <row r="50" customFormat="1" spans="1:23">
      <c r="C50">
        <v>27617</v>
      </c>
      <c r="D50">
        <v>52</v>
      </c>
      <c r="G50" t="s">
        <v>1723</v>
      </c>
      <c r="I50" t="s">
        <v>1724</v>
      </c>
      <c r="J50" s="10" t="s">
        <v>647</v>
      </c>
      <c r="P50">
        <v>1</v>
      </c>
      <c r="V50" t="str">
        <f t="shared" si="0"/>
        <v>{dwID=27617,nFrame=52,szName="浩气·神机车",szNote="浩气·神机车·底座",col={31,230,255,},[3]={bScreenHead=true,},[4]={},},</v>
      </c>
    </row>
    <row r="51" customFormat="1" spans="1:23">
      <c r="C51">
        <v>36562</v>
      </c>
      <c r="D51">
        <v>52</v>
      </c>
      <c r="G51" t="s">
        <v>1725</v>
      </c>
      <c r="I51" t="s">
        <v>1726</v>
      </c>
      <c r="J51" s="9" t="s">
        <v>642</v>
      </c>
      <c r="P51">
        <v>1</v>
      </c>
      <c r="V51" t="str">
        <f t="shared" si="0"/>
        <v>{dwID=36562,nFrame=52,szName="恶人·组装神机车",szNote="恶人·神机车·组装中",col={255,120,31,},[3]={bScreenHead=true,},[4]={},},</v>
      </c>
    </row>
    <row r="52" customFormat="1" spans="1:23">
      <c r="C52">
        <v>36561</v>
      </c>
      <c r="D52">
        <v>52</v>
      </c>
      <c r="G52" t="s">
        <v>1727</v>
      </c>
      <c r="I52" t="s">
        <v>1728</v>
      </c>
      <c r="J52" s="10" t="s">
        <v>647</v>
      </c>
      <c r="P52">
        <v>1</v>
      </c>
      <c r="V52" t="str">
        <f t="shared" si="0"/>
        <v>{dwID=36561,nFrame=52,szName="浩气·组装神机车",szNote="浩气·神机车·组装中",col={31,230,255,},[3]={bScreenHead=true,},[4]={},},</v>
      </c>
    </row>
    <row r="53" customFormat="1" spans="1:23">
      <c r="C53">
        <v>36396</v>
      </c>
      <c r="D53">
        <v>52</v>
      </c>
      <c r="G53" t="s">
        <v>1729</v>
      </c>
      <c r="I53" t="s">
        <v>1730</v>
      </c>
      <c r="O53">
        <v>1</v>
      </c>
      <c r="P53">
        <v>1</v>
      </c>
      <c r="U53" t="s">
        <v>1731</v>
      </c>
      <c r="V53" t="str">
        <f t="shared" si="0"/>
        <v>{dwID=36396,nFrame=52,szName="神机台·有人",szNote="神机台·有人状态",[3]={bCenterAlarm=true,bScreenHead=true,},[4]={},aFocus={{dwMapID=-1,szDisplay="神机台·敌方",nMaxDistance=60,tRelation={bAll=false,bEnemy=true,bAlly=false,},tLife={bEnable=false,szOperator="&gt;",nValue=0,},},{dwMapID=-1,szDisplay="神机台·有人",nMaxDistance=60,tRelation={bAll=false,bEnemy=false,bAlly=true,},tLife={bEnable=false,szOperator="&gt;",nValue=0,},},},tCountdown={{nClass=12,nFrame=1,nIcon=361,nTime=10,szName="神机台·已摧毁",},},},</v>
      </c>
      <c r="W53" t="s">
        <v>1732</v>
      </c>
    </row>
    <row r="54" customFormat="1" spans="1:23">
      <c r="C54">
        <v>36005</v>
      </c>
      <c r="D54">
        <v>52</v>
      </c>
      <c r="I54" t="s">
        <v>1733</v>
      </c>
      <c r="P54">
        <v>1</v>
      </c>
      <c r="U54" t="s">
        <v>1734</v>
      </c>
      <c r="V54" t="str">
        <f t="shared" si="0"/>
        <v>{dwID=36005,nFrame=52,szNote="神机台·没人状态",[3]={bScreenHead=true,},[4]={},aFocus={{dwMapID=-1,nMaxDistance=-1,tRelation={bAll=true,bEnemy=true,bAlly=true,},tLife={bEnable=true,szOperator="&lt;",nValue=10,},},},},</v>
      </c>
    </row>
    <row r="55" customFormat="1" spans="1:23">
      <c r="C55">
        <v>100133</v>
      </c>
      <c r="D55">
        <v>57</v>
      </c>
      <c r="I55" t="s">
        <v>1735</v>
      </c>
      <c r="P55">
        <v>1</v>
      </c>
      <c r="U55" t="s">
        <v>1736</v>
      </c>
      <c r="V55" t="str">
        <f t="shared" si="0"/>
        <v>{dwID=100133,nFrame=57,szNote="狼牙先锋首领",[3]={bScreenHead=true,},[4]={},aFocus={{dwMapID=-1,nMaxDistance=90,tRelation={bAll=false,bEnemy=true,bAlly=false,},tLife={bEnable=false,szOperator="&gt;",nValue=0,},},},},</v>
      </c>
    </row>
    <row r="56" customFormat="1" spans="1:23">
      <c r="C56">
        <v>30310</v>
      </c>
      <c r="D56">
        <v>47</v>
      </c>
      <c r="I56" t="s">
        <v>1737</v>
      </c>
      <c r="P56">
        <v>1</v>
      </c>
      <c r="U56" t="s">
        <v>1738</v>
      </c>
      <c r="V56" t="str">
        <f t="shared" si="0"/>
        <v>{dwID=30310,nFrame=47,szNote="恶人谷大将",[3]={bScreenHead=true,},[4]={},aFocus={{dwMapID=-1,nMaxDistance=90,tRelation={bAll=false,bEnemy=true,bAlly=false,},tLife={bEnable=false,szOperator="&gt;",nValue=0,},},{dwMapID=-1,nMaxDistance=60,tRelation={bAll=false,bEnemy=fals,bAlly=true,},tLife={bEnable=true,szOperator="&lt;",nValue=100,},},},tCountdown={{nClass=12,nFrame=3,nIcon=18830,nTime=10,szName="恶人谷大将·退场",nRefresh=2,key="恶人谷大将",},},},</v>
      </c>
      <c r="W56" t="s">
        <v>1739</v>
      </c>
    </row>
    <row r="57" customFormat="1" spans="1:23">
      <c r="C57">
        <v>30322</v>
      </c>
      <c r="D57">
        <v>47</v>
      </c>
      <c r="I57" t="s">
        <v>1740</v>
      </c>
      <c r="P57">
        <v>1</v>
      </c>
      <c r="U57" t="s">
        <v>1738</v>
      </c>
      <c r="V57" t="str">
        <f t="shared" si="0"/>
        <v>{dwID=30322,nFrame=47,szNote="浩气盟大将",[3]={bScreenHead=true,},[4]={},aFocus={{dwMapID=-1,nMaxDistance=90,tRelation={bAll=false,bEnemy=true,bAlly=false,},tLife={bEnable=false,szOperator="&gt;",nValue=0,},},{dwMapID=-1,nMaxDistance=60,tRelation={bAll=false,bEnemy=fals,bAlly=true,},tLife={bEnable=true,szOperator="&lt;",nValue=100,},},},tCountdown={{nClass=12,nFrame=7,nIcon=18829,nTime=10,szName="浩气盟大将·退场",nRefresh=2,key="浩气盟大将",},},},</v>
      </c>
      <c r="W57" t="s">
        <v>1741</v>
      </c>
    </row>
    <row r="58" customFormat="1" spans="1:23">
      <c r="C58">
        <v>30597</v>
      </c>
      <c r="D58">
        <v>47</v>
      </c>
      <c r="I58" t="s">
        <v>1742</v>
      </c>
      <c r="J58" s="9" t="s">
        <v>642</v>
      </c>
      <c r="P58">
        <v>1</v>
      </c>
      <c r="V58" t="str">
        <f t="shared" si="0"/>
        <v>{dwID=30597,nFrame=47,szNote="恶人谷货郎",col={255,120,31,},[3]={bScreenHead=true,},[4]={},},</v>
      </c>
    </row>
    <row r="59" customFormat="1" spans="1:23">
      <c r="C59">
        <v>30596</v>
      </c>
      <c r="D59">
        <v>47</v>
      </c>
      <c r="I59" t="s">
        <v>1743</v>
      </c>
      <c r="J59" s="10" t="s">
        <v>647</v>
      </c>
      <c r="P59">
        <v>1</v>
      </c>
      <c r="V59" t="str">
        <f t="shared" si="0"/>
        <v>{dwID=30596,nFrame=47,szNote="浩气盟货郎",col={31,230,255,},[3]={bScreenHead=true,},[4]={},},</v>
      </c>
    </row>
    <row r="60" customFormat="1" spans="1:23">
      <c r="C60">
        <v>30537</v>
      </c>
      <c r="D60">
        <v>47</v>
      </c>
      <c r="I60" t="s">
        <v>1744</v>
      </c>
      <c r="J60" t="s">
        <v>1745</v>
      </c>
      <c r="P60">
        <v>1</v>
      </c>
      <c r="U60" t="s">
        <v>1746</v>
      </c>
      <c r="V60" t="str">
        <f t="shared" si="0"/>
        <v>{dwID=30537,nFrame=47,szNote="据点伙计",col={100,255,100,},[3]={bScreenHead=true,},[4]={},aFocus={{dwMapID=-1,nMaxDistance=10,tRelation={bAll=false,bEnemy=false,bAlly=true,},tLife={bEnable=false,szOperator="&gt;",nValue=0,},},},},</v>
      </c>
    </row>
    <row r="61" customFormat="1" spans="1:23">
      <c r="C61">
        <v>36388</v>
      </c>
      <c r="D61">
        <v>47</v>
      </c>
      <c r="I61" t="s">
        <v>1747</v>
      </c>
      <c r="P61">
        <v>1</v>
      </c>
      <c r="U61" t="s">
        <v>1748</v>
      </c>
      <c r="V61" t="str">
        <f t="shared" si="0"/>
        <v>{dwID=36388,nFrame=47,szNote="浩气·据点总管",[3]={bScreenHead=true,},[4]={},aFocus={{dwMapID=-1,nMaxDistance=6,tRelation={bAll=false,bEnemy=false,bAlly=true,},tLife={bEnable=false,szOperator="&gt;",nValue=0,},},},},</v>
      </c>
    </row>
    <row r="62" customFormat="1" spans="1:23">
      <c r="C62">
        <v>36387</v>
      </c>
      <c r="D62">
        <v>47</v>
      </c>
      <c r="I62" t="s">
        <v>1749</v>
      </c>
      <c r="P62">
        <v>1</v>
      </c>
      <c r="U62" t="s">
        <v>1748</v>
      </c>
      <c r="V62" t="str">
        <f t="shared" si="0"/>
        <v>{dwID=36387,nFrame=47,szNote="恶人·据点总管",[3]={bScreenHead=true,},[4]={},aFocus={{dwMapID=-1,nMaxDistance=6,tRelation={bAll=false,bEnemy=false,bAlly=true,},tLife={bEnable=false,szOperator="&gt;",nValue=0,},},},},</v>
      </c>
    </row>
    <row r="63" customFormat="1" spans="1:23">
      <c r="A63" t="s">
        <v>1464</v>
      </c>
      <c r="B63">
        <v>-19</v>
      </c>
      <c r="V63" t="str">
        <f t="shared" si="0"/>
        <v>},[-19]={</v>
      </c>
    </row>
    <row r="64" customFormat="1" spans="1:23">
      <c r="C64">
        <v>46194</v>
      </c>
      <c r="D64">
        <v>52</v>
      </c>
      <c r="G64" t="s">
        <v>1708</v>
      </c>
      <c r="I64" t="s">
        <v>1750</v>
      </c>
      <c r="J64" s="9" t="s">
        <v>642</v>
      </c>
      <c r="O64">
        <v>1</v>
      </c>
      <c r="P64">
        <v>1</v>
      </c>
      <c r="U64" t="s">
        <v>1710</v>
      </c>
      <c r="V64" t="str">
        <f t="shared" si="0"/>
        <v>{dwID=46194,nFrame=52,szName="恶人·摧城车",szNote="摧城车底座-恶人",col={255,120,31,},[3]={bCenterAlarm=true,bScreenHead=true,},[4]={},aFocus={{dwMapID=-1,szDisplay="摧城车·恶人",nMaxDistance=60,tRelation={bAll=true,bEnemy=true,bAlly=true,},tLife={bEnable=false,szOperator="&gt;",nValue=0,},},},tCountdown={{nClass=12,nFrame=1,nIcon=15838,nTime=10,szName="恶人·摧城车·已摧毁",},},},</v>
      </c>
      <c r="W64" t="s">
        <v>1711</v>
      </c>
    </row>
    <row r="65" customFormat="1" spans="1:23">
      <c r="C65">
        <v>46195</v>
      </c>
      <c r="D65">
        <v>52</v>
      </c>
      <c r="G65" t="s">
        <v>1712</v>
      </c>
      <c r="I65" t="s">
        <v>1751</v>
      </c>
      <c r="J65" s="10" t="s">
        <v>647</v>
      </c>
      <c r="O65">
        <v>1</v>
      </c>
      <c r="P65">
        <v>1</v>
      </c>
      <c r="U65" t="s">
        <v>1714</v>
      </c>
      <c r="V65" t="str">
        <f t="shared" si="0"/>
        <v>{dwID=46195,nFrame=52,szName="浩气·摧城车",szNote="摧城车底座-浩气",col={31,230,255,},[3]={bCenterAlarm=true,bScreenHead=true,},[4]={},aFocus={{dwMapID=-1,szDisplay="摧城车·浩气",nMaxDistance=60,tRelation={bAll=true,bEnemy=true,bAlly=true,},tLife={bEnable=false,szOperator="&gt;",nValue=0,},},},tCountdown={{nClass=12,nFrame=1,nIcon=15839,nTime=10,szName="浩气·摧城车·已摧毁",},},},</v>
      </c>
      <c r="W65" t="s">
        <v>1715</v>
      </c>
    </row>
    <row r="66" customFormat="1" spans="1:23">
      <c r="C66">
        <v>46193</v>
      </c>
      <c r="D66">
        <v>52</v>
      </c>
      <c r="I66" t="s">
        <v>1718</v>
      </c>
      <c r="J66" t="s">
        <v>1474</v>
      </c>
      <c r="P66">
        <v>1</v>
      </c>
      <c r="U66" t="s">
        <v>1752</v>
      </c>
      <c r="V66" t="str">
        <f t="shared" si="0"/>
        <v>{dwID=46193,nFrame=52,szNote="摧城车",col={255,50,255,},[3]={bScreenHead=true,},[4]={},aFocus={{dwMapID=-1,szDisplay="摧城车·敌方",nMaxDistance=30,tRelation={bAll=false,bEnemy=true,bAlly=false,},tLife={bEnable=false,szOperator="&gt;",nValue=0,},},{dwMapID=-1,szDisplay="摧城车·友方",nMaxDistance=15,tRelation={bAll=false,bEnemy=false,bAlly=true,},tLife={bEnable=false,szOperator="&gt;",nValue=0,},},},tCountdown={{nClass=12,nFrame=1,nIcon=134,nTime=10,szName="模型·摧城车·已摧毁",},},},</v>
      </c>
      <c r="W66" t="s">
        <v>1720</v>
      </c>
    </row>
    <row r="67" customFormat="1" spans="1:23">
      <c r="C67">
        <v>45171</v>
      </c>
      <c r="D67">
        <v>52</v>
      </c>
      <c r="G67" t="s">
        <v>1729</v>
      </c>
      <c r="I67" t="s">
        <v>1753</v>
      </c>
      <c r="O67">
        <v>1</v>
      </c>
      <c r="P67">
        <v>1</v>
      </c>
      <c r="U67" t="s">
        <v>1731</v>
      </c>
      <c r="V67" t="str">
        <f t="shared" ref="V67:V130" si="1">IF(ISBLANK(B67)=FALSE,IF(ISBLANK(B66),"},["&amp;B67&amp;"]={","["&amp;B67&amp;"]={"),IF(AND(ISBLANK(B67),ISBLANK(D67),ISBLANK(C67),OR(ISBLANK(B66)=FALSE,ISBLANK(D66)=FALSE,ISBLANK(C66)=FALSE)),"},},}",IF(ISBLANK(C67),"","{dwID="&amp;C67&amp;","&amp;"nFrame="&amp;D67&amp;","&amp;IF(E67&gt;0,"nCount="&amp;E67&amp;",","")&amp;IF(F67&gt;0,"bAllLeave=true,","")&amp;IF(G67&lt;&gt;"","szName="""&amp;G67&amp;""",","")&amp;IF(H67&lt;&gt;"","tKungFu={"&amp;H67&amp;"},","")&amp;IF(I67&lt;&gt;"","szNote="""&amp;I67&amp;""",","")&amp;IF(J67&lt;&gt;"","col={"&amp;J67&amp;"},","")&amp;"[3]={"&amp;IF(K67&lt;&gt;"","tMark={"&amp;K67&amp;"},","")&amp;IF(L67&lt;&gt;"","szVoice="""&amp;L67&amp;""",","")&amp;IF(M67&gt;0,"bTeamChannel=true,","")&amp;IF(N67&gt;0,"bWhisperChannel=true,","")&amp;IF(O67&gt;0,"bCenterAlarm=true,","")&amp;IF(P67&gt;0,"bScreenHead=true,","")&amp;"},"&amp;"[4]={"&amp;IF(Q67&lt;&gt;"","szVoice="""&amp;Q67&amp;""",","")&amp;IF(R67&gt;0,"bTeamChannel=true,","")&amp;IF(S67&gt;0,"bWhisperChannel=true,","")&amp;IF(T67&gt;0,"bCenterAlarm=true,","")&amp;"},"&amp;IF(U67&lt;&gt;"","aFocus={"&amp;U67&amp;"},","")&amp;IF(W67&lt;&gt;"","tCountdown={"&amp;_xlfn.TEXTJOIN("",TRUE,W67:ZZ67)&amp;"},","")&amp;"},")))</f>
        <v>{dwID=45171,nFrame=52,szName="神机台·有人",szNote="神机台·启动状态",[3]={bCenterAlarm=true,bScreenHead=true,},[4]={},aFocus={{dwMapID=-1,szDisplay="神机台·敌方",nMaxDistance=60,tRelation={bAll=false,bEnemy=true,bAlly=false,},tLife={bEnable=false,szOperator="&gt;",nValue=0,},},{dwMapID=-1,szDisplay="神机台·有人",nMaxDistance=60,tRelation={bAll=false,bEnemy=false,bAlly=true,},tLife={bEnable=false,szOperator="&gt;",nValue=0,},},},tCountdown={{nClass=12,nFrame=1,nIcon=361,nTime=10,szName="神机台·已摧毁",},},},</v>
      </c>
      <c r="W67" t="s">
        <v>1732</v>
      </c>
    </row>
    <row r="68" customFormat="1" spans="1:23">
      <c r="C68">
        <v>45170</v>
      </c>
      <c r="D68">
        <v>52</v>
      </c>
      <c r="I68" t="s">
        <v>1754</v>
      </c>
      <c r="P68">
        <v>1</v>
      </c>
      <c r="U68" t="s">
        <v>1734</v>
      </c>
      <c r="V68" t="str">
        <f t="shared" si="1"/>
        <v>{dwID=45170,nFrame=52,szNote="神机台·无人状态",[3]={bScreenHead=true,},[4]={},aFocus={{dwMapID=-1,nMaxDistance=-1,tRelation={bAll=true,bEnemy=true,bAlly=true,},tLife={bEnable=true,szOperator="&lt;",nValue=10,},},},},</v>
      </c>
    </row>
    <row r="69" spans="1:23">
      <c r="C69">
        <v>46057</v>
      </c>
      <c r="D69">
        <v>47</v>
      </c>
      <c r="I69" t="s">
        <v>1755</v>
      </c>
      <c r="J69" s="9" t="s">
        <v>642</v>
      </c>
      <c r="P69">
        <v>1</v>
      </c>
      <c r="U69" t="s">
        <v>1746</v>
      </c>
      <c r="V69" t="str">
        <f t="shared" si="1"/>
        <v>{dwID=46057,nFrame=47,szNote="恶人谷伍长",col={255,120,31,},[3]={bScreenHead=true,},[4]={},aFocus={{dwMapID=-1,nMaxDistance=10,tRelation={bAll=false,bEnemy=false,bAlly=true,},tLife={bEnable=false,szOperator="&gt;",nValue=0,},},},},</v>
      </c>
    </row>
    <row r="70" spans="1:23">
      <c r="C70">
        <v>46058</v>
      </c>
      <c r="D70">
        <v>47</v>
      </c>
      <c r="I70" t="s">
        <v>1756</v>
      </c>
      <c r="J70" s="10" t="s">
        <v>647</v>
      </c>
      <c r="P70">
        <v>1</v>
      </c>
      <c r="U70" t="s">
        <v>1746</v>
      </c>
      <c r="V70" t="str">
        <f t="shared" si="1"/>
        <v>{dwID=46058,nFrame=47,szNote="浩气盟伍长",col={31,230,255,},[3]={bScreenHead=true,},[4]={},aFocus={{dwMapID=-1,nMaxDistance=10,tRelation={bAll=false,bEnemy=false,bAlly=true,},tLife={bEnable=false,szOperator="&gt;",nValue=0,},},},},</v>
      </c>
    </row>
    <row r="71" spans="1:23">
      <c r="C71">
        <v>46268</v>
      </c>
      <c r="D71">
        <v>47</v>
      </c>
      <c r="I71" t="s">
        <v>1757</v>
      </c>
      <c r="J71" t="s">
        <v>1474</v>
      </c>
      <c r="K71" t="s">
        <v>1758</v>
      </c>
      <c r="P71">
        <v>1</v>
      </c>
      <c r="U71" t="s">
        <v>1759</v>
      </c>
      <c r="V71" t="str">
        <f t="shared" si="1"/>
        <v>{dwID=46268,nFrame=47,szNote="物资车",col={255,50,255,},[3]={tMark={true,false,false,false,false,false,false,false,false,false,},bScreenHead=true,},[4]={},aFocus={{dwMapID=-1,szDisplay="物资车·敌方",nMaxDistance=120,tRelation={bAll=false,bEnemy=true,bAlly=false,},tLife={bEnable=false,szOperator="&gt;",nValue=0,},},{dwMapID=-1,szDisplay="物资车·友方",nMaxDistance=60,tRelation={bAll=false,bEnemy=false,bAlly=true,},tLife={bEnable=true,szOperator="&lt;",nValue=100,},},{dwMapID=-1,nMaxDistance=30,tRelation={bAll=true,bEnemy=true,bAlly=true,},tLife={bEnable=false,szOperator="&gt;",nValue=0,},},},},</v>
      </c>
    </row>
    <row r="72" spans="1:23">
      <c r="A72" t="s">
        <v>311</v>
      </c>
      <c r="B72">
        <v>25</v>
      </c>
      <c r="V72" t="str">
        <f t="shared" si="1"/>
        <v>},[25]={</v>
      </c>
    </row>
    <row r="73" customFormat="1" spans="1:23">
      <c r="C73">
        <v>36388</v>
      </c>
      <c r="D73">
        <v>47</v>
      </c>
      <c r="I73" t="s">
        <v>1747</v>
      </c>
      <c r="P73">
        <v>1</v>
      </c>
      <c r="U73" t="s">
        <v>1748</v>
      </c>
      <c r="V73" t="str">
        <f t="shared" si="1"/>
        <v>{dwID=36388,nFrame=47,szNote="浩气·据点总管",[3]={bScreenHead=true,},[4]={},aFocus={{dwMapID=-1,nMaxDistance=6,tRelation={bAll=false,bEnemy=false,bAlly=true,},tLife={bEnable=false,szOperator="&gt;",nValue=0,},},},},</v>
      </c>
    </row>
    <row r="74" customFormat="1" spans="1:23">
      <c r="C74">
        <v>5724</v>
      </c>
      <c r="D74">
        <v>47</v>
      </c>
      <c r="I74" t="s">
        <v>1760</v>
      </c>
      <c r="J74" t="s">
        <v>1761</v>
      </c>
      <c r="P74">
        <v>1</v>
      </c>
      <c r="U74" t="s">
        <v>1762</v>
      </c>
      <c r="V74" t="str">
        <f t="shared" si="1"/>
        <v>{dwID=5724,nFrame=47,szNote="铁铸刚",col={31,255,255,},[3]={bScreenHead=true,},[4]={},aFocus={{dwMapID=-1,nMaxDistance=60,tRelation={bAll=false,bEnemy=true,bAlly=false,},tLife={bEnable=true,szOperator="&gt;",nValue=98,},}},tCountdown={{nClass=12,nFrame=4,nIcon=13,nTime="180,铁铸刚·刷新剩余;182,铁铸刚·正在刷新",szName="铁铸刚·刷新剩余",nRefresh=0,key="铁铸刚",},},},</v>
      </c>
      <c r="W74" t="s">
        <v>1763</v>
      </c>
    </row>
    <row r="75" spans="1:23">
      <c r="C75">
        <v>105586</v>
      </c>
      <c r="D75">
        <v>47</v>
      </c>
      <c r="I75" t="s">
        <v>1764</v>
      </c>
      <c r="J75" t="s">
        <v>1608</v>
      </c>
      <c r="P75">
        <v>1</v>
      </c>
      <c r="U75" t="s">
        <v>1765</v>
      </c>
      <c r="V75" t="str">
        <f t="shared" si="1"/>
        <v>{dwID=105586,nFrame=47,szNote="主场·恶人·白某（莫雨）小少林",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76" spans="1:23">
      <c r="C76">
        <v>7779</v>
      </c>
      <c r="D76">
        <v>47</v>
      </c>
      <c r="I76" t="s">
        <v>1766</v>
      </c>
      <c r="J76" t="s">
        <v>1608</v>
      </c>
      <c r="P76">
        <v>1</v>
      </c>
      <c r="U76" t="s">
        <v>1765</v>
      </c>
      <c r="V76" t="str">
        <f t="shared" si="1"/>
        <v>{dwID=7779,nFrame=47,szNote="主场·恶人·米丽古丽",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77" spans="1:23">
      <c r="C77">
        <v>16900</v>
      </c>
      <c r="D77">
        <v>47</v>
      </c>
      <c r="I77" t="s">
        <v>1766</v>
      </c>
      <c r="J77" t="s">
        <v>1608</v>
      </c>
      <c r="P77">
        <v>1</v>
      </c>
      <c r="U77" t="s">
        <v>1765</v>
      </c>
      <c r="V77" t="str">
        <f t="shared" si="1"/>
        <v>{dwID=16900,nFrame=47,szNote="主场·恶人·米丽古丽",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78" spans="1:23">
      <c r="C78">
        <v>105828</v>
      </c>
      <c r="D78">
        <v>47</v>
      </c>
      <c r="I78" t="s">
        <v>1767</v>
      </c>
      <c r="J78" t="s">
        <v>1608</v>
      </c>
      <c r="P78">
        <v>1</v>
      </c>
      <c r="U78" t="s">
        <v>1765</v>
      </c>
      <c r="V78" t="str">
        <f t="shared" si="1"/>
        <v>{dwID=105828,nFrame=47,szNote="主场·恶人·灭世机甲",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79" spans="1:23">
      <c r="C79">
        <v>105789</v>
      </c>
      <c r="D79">
        <v>47</v>
      </c>
      <c r="I79" t="s">
        <v>1768</v>
      </c>
      <c r="J79" t="s">
        <v>1608</v>
      </c>
      <c r="P79">
        <v>1</v>
      </c>
      <c r="U79" t="s">
        <v>1765</v>
      </c>
      <c r="V79" t="str">
        <f t="shared" si="1"/>
        <v>{dwID=105789,nFrame=47,szNote="主场·恶人·司徒一一（万兽王）烬烟堂",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0" spans="1:23">
      <c r="C80">
        <v>7777</v>
      </c>
      <c r="D80">
        <v>47</v>
      </c>
      <c r="I80" t="s">
        <v>1769</v>
      </c>
      <c r="J80" t="s">
        <v>1608</v>
      </c>
      <c r="P80">
        <v>1</v>
      </c>
      <c r="U80" t="s">
        <v>1765</v>
      </c>
      <c r="V80" t="str">
        <f t="shared" si="1"/>
        <v>{dwID=7777,nFrame=47,szNote="主场·恶人·陶寒亭",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1" spans="3:23">
      <c r="C81">
        <v>16899</v>
      </c>
      <c r="D81">
        <v>47</v>
      </c>
      <c r="I81" t="s">
        <v>1769</v>
      </c>
      <c r="J81" t="s">
        <v>1608</v>
      </c>
      <c r="P81">
        <v>1</v>
      </c>
      <c r="U81" t="s">
        <v>1765</v>
      </c>
      <c r="V81" t="str">
        <f t="shared" si="1"/>
        <v>{dwID=16899,nFrame=47,szNote="主场·恶人·陶寒亭",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2" spans="3:23">
      <c r="C82">
        <v>16905</v>
      </c>
      <c r="D82">
        <v>47</v>
      </c>
      <c r="I82" t="s">
        <v>1770</v>
      </c>
      <c r="J82" t="s">
        <v>1608</v>
      </c>
      <c r="P82">
        <v>1</v>
      </c>
      <c r="U82" t="s">
        <v>1765</v>
      </c>
      <c r="V82" t="str">
        <f t="shared" si="1"/>
        <v>{dwID=16905,nFrame=47,szNote="主场·恶人·王遗风",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3" spans="3:23">
      <c r="C83">
        <v>7783</v>
      </c>
      <c r="D83">
        <v>47</v>
      </c>
      <c r="I83" t="s">
        <v>1771</v>
      </c>
      <c r="J83" t="s">
        <v>1608</v>
      </c>
      <c r="P83">
        <v>1</v>
      </c>
      <c r="U83" t="s">
        <v>1765</v>
      </c>
      <c r="V83" t="str">
        <f t="shared" si="1"/>
        <v>{dwID=7783,nFrame=47,szNote="主场·恶人·肖药儿",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4" spans="3:23">
      <c r="C84">
        <v>16902</v>
      </c>
      <c r="D84">
        <v>47</v>
      </c>
      <c r="I84" t="s">
        <v>1771</v>
      </c>
      <c r="J84" t="s">
        <v>1608</v>
      </c>
      <c r="P84">
        <v>1</v>
      </c>
      <c r="U84" t="s">
        <v>1765</v>
      </c>
      <c r="V84" t="str">
        <f t="shared" si="1"/>
        <v>{dwID=16902,nFrame=47,szNote="主场·恶人·肖药儿",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5" spans="3:23">
      <c r="C85">
        <v>7766</v>
      </c>
      <c r="D85">
        <v>47</v>
      </c>
      <c r="I85" t="s">
        <v>1772</v>
      </c>
      <c r="J85" t="s">
        <v>1608</v>
      </c>
      <c r="P85">
        <v>1</v>
      </c>
      <c r="U85" t="s">
        <v>1765</v>
      </c>
      <c r="V85" t="str">
        <f t="shared" si="1"/>
        <v>{dwID=7766,nFrame=47,szNote="主场·浩气·司空仲平",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6" spans="3:23">
      <c r="C86">
        <v>16893</v>
      </c>
      <c r="D86">
        <v>47</v>
      </c>
      <c r="I86" t="s">
        <v>1772</v>
      </c>
      <c r="J86" t="s">
        <v>1608</v>
      </c>
      <c r="P86">
        <v>1</v>
      </c>
      <c r="U86" t="s">
        <v>1765</v>
      </c>
      <c r="V86" t="str">
        <f t="shared" si="1"/>
        <v>{dwID=16893,nFrame=47,szNote="主场·浩气·司空仲平",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7" spans="3:23">
      <c r="C87">
        <v>105585</v>
      </c>
      <c r="D87">
        <v>47</v>
      </c>
      <c r="I87" t="s">
        <v>1773</v>
      </c>
      <c r="J87" t="s">
        <v>1608</v>
      </c>
      <c r="P87">
        <v>1</v>
      </c>
      <c r="U87" t="s">
        <v>1765</v>
      </c>
      <c r="V87" t="str">
        <f t="shared" si="1"/>
        <v>{dwID=105585,nFrame=47,szNote="主场·浩气·小七（穆玄英）·兰亭书院",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8" spans="3:23">
      <c r="C88">
        <v>7776</v>
      </c>
      <c r="D88">
        <v>47</v>
      </c>
      <c r="I88" t="s">
        <v>1774</v>
      </c>
      <c r="J88" t="s">
        <v>1608</v>
      </c>
      <c r="P88">
        <v>1</v>
      </c>
      <c r="U88" t="s">
        <v>1765</v>
      </c>
      <c r="V88" t="str">
        <f t="shared" si="1"/>
        <v>{dwID=7776,nFrame=47,szNote="主场·浩气·谢渊",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9" spans="3:23">
      <c r="C89">
        <v>106924</v>
      </c>
      <c r="D89">
        <v>47</v>
      </c>
      <c r="I89" t="s">
        <v>1775</v>
      </c>
      <c r="J89" t="s">
        <v>1608</v>
      </c>
      <c r="P89">
        <v>1</v>
      </c>
      <c r="U89" t="s">
        <v>1765</v>
      </c>
      <c r="V89" t="str">
        <f t="shared" si="1"/>
        <v>{dwID=106924,nFrame=47,szNote="主场·浩气·游驹",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0" spans="3:23">
      <c r="C90">
        <v>7770</v>
      </c>
      <c r="D90">
        <v>47</v>
      </c>
      <c r="I90" t="s">
        <v>1776</v>
      </c>
      <c r="J90" t="s">
        <v>1608</v>
      </c>
      <c r="P90">
        <v>1</v>
      </c>
      <c r="U90" t="s">
        <v>1765</v>
      </c>
      <c r="V90" t="str">
        <f t="shared" si="1"/>
        <v>{dwID=7770,nFrame=47,szNote="主场·浩气·月弄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4,nIcon=13,nTime=-1,szName="反弹提示",nRefresh=2,key="反弹提示",},},},</v>
      </c>
      <c r="W90" t="s">
        <v>1777</v>
      </c>
    </row>
    <row r="91" spans="3:23">
      <c r="C91">
        <v>16896</v>
      </c>
      <c r="D91">
        <v>47</v>
      </c>
      <c r="I91" t="s">
        <v>1776</v>
      </c>
      <c r="J91" t="s">
        <v>1608</v>
      </c>
      <c r="P91">
        <v>1</v>
      </c>
      <c r="U91" t="s">
        <v>1765</v>
      </c>
      <c r="V91" t="str">
        <f t="shared" si="1"/>
        <v>{dwID=16896,nFrame=47,szNote="主场·浩气·月弄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4,nIcon=13,nTime=-1,szName="反弹提示",nRefresh=2,key="反弹提示",},},},</v>
      </c>
      <c r="W91" t="s">
        <v>1777</v>
      </c>
    </row>
    <row r="92" spans="3:23">
      <c r="C92">
        <v>7767</v>
      </c>
      <c r="D92">
        <v>47</v>
      </c>
      <c r="I92" t="s">
        <v>1778</v>
      </c>
      <c r="J92" t="s">
        <v>1608</v>
      </c>
      <c r="P92">
        <v>1</v>
      </c>
      <c r="U92" t="s">
        <v>1765</v>
      </c>
      <c r="V92" t="str">
        <f t="shared" si="1"/>
        <v>{dwID=7767,nFrame=47,szNote="主场·浩气·张桎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3" spans="3:23">
      <c r="C93">
        <v>16894</v>
      </c>
      <c r="D93">
        <v>47</v>
      </c>
      <c r="I93" t="s">
        <v>1778</v>
      </c>
      <c r="J93" t="s">
        <v>1608</v>
      </c>
      <c r="P93">
        <v>1</v>
      </c>
      <c r="U93" t="s">
        <v>1765</v>
      </c>
      <c r="V93" t="str">
        <f t="shared" si="1"/>
        <v>{dwID=16894,nFrame=47,szNote="主场·浩气·张桎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4" spans="3:23">
      <c r="C94">
        <v>105770</v>
      </c>
      <c r="D94">
        <v>47</v>
      </c>
      <c r="I94" t="s">
        <v>1779</v>
      </c>
      <c r="J94" t="s">
        <v>1608</v>
      </c>
      <c r="K94" t="s">
        <v>1758</v>
      </c>
      <c r="P94">
        <v>1</v>
      </c>
      <c r="U94" t="s">
        <v>1765</v>
      </c>
      <c r="V94" t="str">
        <f t="shared" si="1"/>
        <v>{dwID=105770,nFrame=47,szNote="奇袭·恶人·毕罗巴（白某）·断肠居",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5" spans="3:23">
      <c r="C95">
        <v>105701</v>
      </c>
      <c r="D95">
        <v>47</v>
      </c>
      <c r="I95" t="s">
        <v>1780</v>
      </c>
      <c r="J95" t="s">
        <v>1608</v>
      </c>
      <c r="K95" t="s">
        <v>1758</v>
      </c>
      <c r="P95">
        <v>1</v>
      </c>
      <c r="U95" t="s">
        <v>1765</v>
      </c>
      <c r="V95" t="str">
        <f t="shared" si="1"/>
        <v>{dwID=105701,nFrame=47,szNote="奇袭·恶人·丁丁",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6" spans="3:23">
      <c r="C96">
        <v>105800</v>
      </c>
      <c r="D96">
        <v>47</v>
      </c>
      <c r="I96" t="s">
        <v>1781</v>
      </c>
      <c r="J96" t="s">
        <v>1608</v>
      </c>
      <c r="K96" t="s">
        <v>1758</v>
      </c>
      <c r="P96">
        <v>1</v>
      </c>
      <c r="U96" t="s">
        <v>1765</v>
      </c>
      <c r="V96" t="str">
        <f t="shared" si="1"/>
        <v>{dwID=105800,nFrame=47,szNote="奇袭·恶人·独孤修",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7" spans="3:24">
      <c r="C97">
        <v>16903</v>
      </c>
      <c r="D97">
        <v>47</v>
      </c>
      <c r="I97" t="s">
        <v>1782</v>
      </c>
      <c r="J97" t="s">
        <v>1608</v>
      </c>
      <c r="K97" t="s">
        <v>1758</v>
      </c>
      <c r="P97">
        <v>1</v>
      </c>
      <c r="U97" t="s">
        <v>1765</v>
      </c>
      <c r="V97" t="str">
        <f t="shared" si="1"/>
        <v>{dwID=16903,nFrame=47,szNote="奇袭·恶人·烟",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8" spans="3:24">
      <c r="C98">
        <v>105673</v>
      </c>
      <c r="D98">
        <v>47</v>
      </c>
      <c r="I98" t="s">
        <v>1783</v>
      </c>
      <c r="J98" t="s">
        <v>1608</v>
      </c>
      <c r="K98" t="s">
        <v>1758</v>
      </c>
      <c r="P98">
        <v>1</v>
      </c>
      <c r="U98" t="s">
        <v>1765</v>
      </c>
      <c r="V98" t="str">
        <f t="shared" si="1"/>
        <v>{dwID=105673,nFrame=47,szNote="奇袭·恶人·伊夜",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4,nIcon=13,nTime=-1,szName="反弹提示",nRefresh=2,key="反弹提示",},},},</v>
      </c>
      <c r="W98" t="s">
        <v>1777</v>
      </c>
    </row>
    <row r="99" spans="3:24">
      <c r="C99">
        <v>105801</v>
      </c>
      <c r="D99">
        <v>47</v>
      </c>
      <c r="I99" t="s">
        <v>1784</v>
      </c>
      <c r="J99" t="s">
        <v>1608</v>
      </c>
      <c r="K99" t="s">
        <v>1758</v>
      </c>
      <c r="P99">
        <v>1</v>
      </c>
      <c r="U99" t="s">
        <v>1765</v>
      </c>
      <c r="V99" t="str">
        <f t="shared" si="1"/>
        <v>{dwID=105801,nFrame=47,szNote="奇袭·恶人·岳琅",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0" spans="3:24">
      <c r="C100">
        <v>105790</v>
      </c>
      <c r="D100">
        <v>47</v>
      </c>
      <c r="I100" t="s">
        <v>1785</v>
      </c>
      <c r="J100" t="s">
        <v>1608</v>
      </c>
      <c r="K100" t="s">
        <v>1758</v>
      </c>
      <c r="P100">
        <v>1</v>
      </c>
      <c r="U100" t="s">
        <v>1765</v>
      </c>
      <c r="V100" t="str">
        <f t="shared" si="1"/>
        <v>{dwID=105790,nFrame=47,szNote="奇袭·浩气·郭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1" spans="3:24">
      <c r="C101">
        <v>105791</v>
      </c>
      <c r="D101">
        <v>47</v>
      </c>
      <c r="I101" t="s">
        <v>1786</v>
      </c>
      <c r="J101" t="s">
        <v>1608</v>
      </c>
      <c r="K101" t="s">
        <v>1758</v>
      </c>
      <c r="P101">
        <v>1</v>
      </c>
      <c r="U101" t="s">
        <v>1765</v>
      </c>
      <c r="V101" t="str">
        <f t="shared" si="1"/>
        <v>{dwID=105791,nFrame=47,szNote="奇袭·浩气·韩非池（小七）落雁城",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4,nIcon=13,nTime=-1,szName="反弹提示",nRefresh=2,key="反弹提示",},},},</v>
      </c>
      <c r="W101" t="s">
        <v>1777</v>
      </c>
    </row>
    <row r="102" spans="3:24">
      <c r="C102">
        <v>105700</v>
      </c>
      <c r="D102">
        <v>47</v>
      </c>
      <c r="I102" t="s">
        <v>1787</v>
      </c>
      <c r="J102" t="s">
        <v>1608</v>
      </c>
      <c r="K102" t="s">
        <v>1758</v>
      </c>
      <c r="P102">
        <v>1</v>
      </c>
      <c r="U102" t="s">
        <v>1765</v>
      </c>
      <c r="V102" t="str">
        <f t="shared" si="1"/>
        <v>{dwID=105700,nFrame=47,szNote="奇袭·浩气·穆玄英（谢铃儿）望影台",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3" spans="3:24">
      <c r="C103">
        <v>105802</v>
      </c>
      <c r="D103">
        <v>47</v>
      </c>
      <c r="I103" t="s">
        <v>1788</v>
      </c>
      <c r="J103" t="s">
        <v>1608</v>
      </c>
      <c r="K103" t="s">
        <v>1758</v>
      </c>
      <c r="P103">
        <v>1</v>
      </c>
      <c r="U103" t="s">
        <v>1765</v>
      </c>
      <c r="V103" t="str">
        <f t="shared" si="1"/>
        <v>{dwID=105802,nFrame=47,szNote="奇袭·浩气·叶镜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4" spans="3:24">
      <c r="C104">
        <v>7775</v>
      </c>
      <c r="D104">
        <v>47</v>
      </c>
      <c r="I104" t="s">
        <v>1789</v>
      </c>
      <c r="J104" t="s">
        <v>1608</v>
      </c>
      <c r="K104" t="s">
        <v>1758</v>
      </c>
      <c r="P104">
        <v>1</v>
      </c>
      <c r="U104" t="s">
        <v>1765</v>
      </c>
      <c r="V104" t="str">
        <f t="shared" si="1"/>
        <v>{dwID=7775,nFrame=47,szNote="奇袭·浩气·影",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5" spans="3:24">
      <c r="C105">
        <v>105627</v>
      </c>
      <c r="D105">
        <v>47</v>
      </c>
      <c r="I105" t="s">
        <v>1790</v>
      </c>
      <c r="J105" t="s">
        <v>1608</v>
      </c>
      <c r="K105" t="s">
        <v>1758</v>
      </c>
      <c r="P105">
        <v>1</v>
      </c>
      <c r="U105" t="s">
        <v>1765</v>
      </c>
      <c r="V105" t="str">
        <f t="shared" si="1"/>
        <v>{dwID=105627,nFrame=47,szNote="奇袭·浩气·赵紫儿",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6" spans="3:24">
      <c r="C106">
        <v>17237</v>
      </c>
      <c r="D106">
        <v>47</v>
      </c>
      <c r="I106" t="s">
        <v>1791</v>
      </c>
      <c r="J106" t="s">
        <v>1608</v>
      </c>
      <c r="P106">
        <v>1</v>
      </c>
      <c r="U106" t="s">
        <v>1765</v>
      </c>
      <c r="V106" t="str">
        <f t="shared" si="1"/>
        <v>{dwID=17237,nFrame=47,szNote="复活·恶人·顾延恶",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06" t="s">
        <v>1792</v>
      </c>
      <c r="X106" t="s">
        <v>1793</v>
      </c>
    </row>
    <row r="107" spans="3:24">
      <c r="C107">
        <v>17238</v>
      </c>
      <c r="D107">
        <v>47</v>
      </c>
      <c r="I107" t="s">
        <v>1794</v>
      </c>
      <c r="J107" t="s">
        <v>1608</v>
      </c>
      <c r="P107">
        <v>1</v>
      </c>
      <c r="U107" t="s">
        <v>1765</v>
      </c>
      <c r="V107" t="str">
        <f t="shared" si="1"/>
        <v>{dwID=17238,nFrame=47,szNote="复活·恶人·吕沛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07" t="s">
        <v>1792</v>
      </c>
      <c r="X107" t="s">
        <v>1793</v>
      </c>
    </row>
    <row r="108" spans="3:24">
      <c r="C108">
        <v>17240</v>
      </c>
      <c r="D108">
        <v>47</v>
      </c>
      <c r="I108" t="s">
        <v>1795</v>
      </c>
      <c r="J108" t="s">
        <v>1608</v>
      </c>
      <c r="P108">
        <v>1</v>
      </c>
      <c r="U108" t="s">
        <v>1765</v>
      </c>
      <c r="V108" t="str">
        <f t="shared" si="1"/>
        <v>{dwID=17240,nFrame=47,szNote="复活·恶人·陶国栋",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08" t="s">
        <v>1792</v>
      </c>
      <c r="X108" t="s">
        <v>1793</v>
      </c>
    </row>
    <row r="109" spans="3:24">
      <c r="C109">
        <v>17239</v>
      </c>
      <c r="D109">
        <v>47</v>
      </c>
      <c r="I109" t="s">
        <v>1796</v>
      </c>
      <c r="J109" t="s">
        <v>1608</v>
      </c>
      <c r="P109">
        <v>1</v>
      </c>
      <c r="U109" t="s">
        <v>1765</v>
      </c>
      <c r="V109" t="str">
        <f t="shared" si="1"/>
        <v>{dwID=17239,nFrame=47,szNote="复活·恶人·张一洋",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09" t="s">
        <v>1792</v>
      </c>
      <c r="X109" t="s">
        <v>1793</v>
      </c>
    </row>
    <row r="110" spans="3:24">
      <c r="C110">
        <v>8954</v>
      </c>
      <c r="D110">
        <v>47</v>
      </c>
      <c r="I110" t="s">
        <v>1797</v>
      </c>
      <c r="J110" t="s">
        <v>1608</v>
      </c>
      <c r="P110">
        <v>1</v>
      </c>
      <c r="U110" t="s">
        <v>1765</v>
      </c>
      <c r="V110" t="str">
        <f t="shared" si="1"/>
        <v>{dwID=8954,nFrame=47,szNote="复活·浩气·陶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10" t="s">
        <v>1792</v>
      </c>
      <c r="X110" t="s">
        <v>1793</v>
      </c>
    </row>
    <row r="111" spans="3:24">
      <c r="C111">
        <v>6230</v>
      </c>
      <c r="D111">
        <v>47</v>
      </c>
      <c r="I111" t="s">
        <v>1798</v>
      </c>
      <c r="J111" t="s">
        <v>1608</v>
      </c>
      <c r="P111">
        <v>1</v>
      </c>
      <c r="U111" t="s">
        <v>1765</v>
      </c>
      <c r="V111" t="str">
        <f t="shared" si="1"/>
        <v>{dwID=6230,nFrame=47,szNote="复活·浩气·谢烟客",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11" t="s">
        <v>1792</v>
      </c>
      <c r="X111" t="s">
        <v>1793</v>
      </c>
    </row>
    <row r="112" spans="3:24">
      <c r="C112">
        <v>8952</v>
      </c>
      <c r="D112">
        <v>47</v>
      </c>
      <c r="I112" t="s">
        <v>1799</v>
      </c>
      <c r="J112" t="s">
        <v>1608</v>
      </c>
      <c r="P112">
        <v>1</v>
      </c>
      <c r="U112" t="s">
        <v>1765</v>
      </c>
      <c r="V112" t="str">
        <f t="shared" si="1"/>
        <v>{dwID=8952,nFrame=47,szNote="复活·浩气·郑鸥",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12" t="s">
        <v>1792</v>
      </c>
      <c r="X112" t="s">
        <v>1793</v>
      </c>
    </row>
    <row r="113" spans="1:24">
      <c r="C113">
        <v>8953</v>
      </c>
      <c r="D113">
        <v>47</v>
      </c>
      <c r="I113" t="s">
        <v>1800</v>
      </c>
      <c r="J113" t="s">
        <v>1608</v>
      </c>
      <c r="P113">
        <v>1</v>
      </c>
      <c r="U113" t="s">
        <v>1765</v>
      </c>
      <c r="V113" t="str">
        <f t="shared" si="1"/>
        <v>{dwID=8953,nFrame=47,szNote="复活·浩气·周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13" t="s">
        <v>1792</v>
      </c>
      <c r="X113" t="s">
        <v>1793</v>
      </c>
    </row>
    <row r="114" spans="1:24">
      <c r="A114" t="s">
        <v>328</v>
      </c>
      <c r="B114">
        <v>27</v>
      </c>
      <c r="V114" t="str">
        <f t="shared" si="1"/>
        <v>},[27]={</v>
      </c>
    </row>
    <row r="115" customFormat="1" spans="1:24">
      <c r="C115">
        <v>36387</v>
      </c>
      <c r="D115">
        <v>47</v>
      </c>
      <c r="I115" t="s">
        <v>1749</v>
      </c>
      <c r="P115">
        <v>1</v>
      </c>
      <c r="U115" t="s">
        <v>1748</v>
      </c>
      <c r="V115" t="str">
        <f t="shared" si="1"/>
        <v>{dwID=36387,nFrame=47,szNote="恶人·据点总管",[3]={bScreenHead=true,},[4]={},aFocus={{dwMapID=-1,nMaxDistance=6,tRelation={bAll=false,bEnemy=false,bAlly=true,},tLife={bEnable=false,szOperator="&gt;",nValue=0,},},},},</v>
      </c>
    </row>
    <row r="116" spans="1:24">
      <c r="C116">
        <v>105586</v>
      </c>
      <c r="D116">
        <v>47</v>
      </c>
      <c r="I116" t="s">
        <v>1764</v>
      </c>
      <c r="J116" t="s">
        <v>1608</v>
      </c>
      <c r="P116">
        <v>1</v>
      </c>
      <c r="U116" t="s">
        <v>1765</v>
      </c>
      <c r="V116" t="str">
        <f t="shared" si="1"/>
        <v>{dwID=105586,nFrame=47,szNote="主场·恶人·白某（莫雨）小少林",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17" spans="1:24">
      <c r="C117">
        <v>7779</v>
      </c>
      <c r="D117">
        <v>47</v>
      </c>
      <c r="I117" t="s">
        <v>1801</v>
      </c>
      <c r="J117" t="s">
        <v>1608</v>
      </c>
      <c r="P117">
        <v>1</v>
      </c>
      <c r="U117" t="s">
        <v>1765</v>
      </c>
      <c r="V117" t="str">
        <f t="shared" si="1"/>
        <v>{dwID=7779,nFrame=47,szNote="主场·恶人·米丽古丽（周日恶人谷）",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18" spans="1:24">
      <c r="C118">
        <v>16900</v>
      </c>
      <c r="D118">
        <v>47</v>
      </c>
      <c r="I118" t="s">
        <v>1766</v>
      </c>
      <c r="J118" t="s">
        <v>1608</v>
      </c>
      <c r="P118">
        <v>1</v>
      </c>
      <c r="U118" t="s">
        <v>1765</v>
      </c>
      <c r="V118" t="str">
        <f t="shared" si="1"/>
        <v>{dwID=16900,nFrame=47,szNote="主场·恶人·米丽古丽",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19" spans="1:24">
      <c r="C119">
        <v>105828</v>
      </c>
      <c r="D119">
        <v>47</v>
      </c>
      <c r="I119" t="s">
        <v>1767</v>
      </c>
      <c r="J119" t="s">
        <v>1608</v>
      </c>
      <c r="P119">
        <v>1</v>
      </c>
      <c r="U119" t="s">
        <v>1765</v>
      </c>
      <c r="V119" t="str">
        <f t="shared" si="1"/>
        <v>{dwID=105828,nFrame=47,szNote="主场·恶人·灭世机甲",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0" spans="1:24">
      <c r="C120">
        <v>105789</v>
      </c>
      <c r="D120">
        <v>47</v>
      </c>
      <c r="I120" t="s">
        <v>1768</v>
      </c>
      <c r="J120" t="s">
        <v>1608</v>
      </c>
      <c r="P120">
        <v>1</v>
      </c>
      <c r="U120" t="s">
        <v>1765</v>
      </c>
      <c r="V120" t="str">
        <f t="shared" si="1"/>
        <v>{dwID=105789,nFrame=47,szNote="主场·恶人·司徒一一（万兽王）烬烟堂",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1" spans="1:24">
      <c r="C121">
        <v>7777</v>
      </c>
      <c r="D121">
        <v>47</v>
      </c>
      <c r="I121" t="s">
        <v>1769</v>
      </c>
      <c r="J121" t="s">
        <v>1608</v>
      </c>
      <c r="P121">
        <v>1</v>
      </c>
      <c r="U121" t="s">
        <v>1765</v>
      </c>
      <c r="V121" t="str">
        <f t="shared" si="1"/>
        <v>{dwID=7777,nFrame=47,szNote="主场·恶人·陶寒亭",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2" spans="1:24">
      <c r="C122">
        <v>16899</v>
      </c>
      <c r="D122">
        <v>47</v>
      </c>
      <c r="I122" t="s">
        <v>1769</v>
      </c>
      <c r="J122" t="s">
        <v>1608</v>
      </c>
      <c r="P122">
        <v>1</v>
      </c>
      <c r="U122" t="s">
        <v>1765</v>
      </c>
      <c r="V122" t="str">
        <f t="shared" si="1"/>
        <v>{dwID=16899,nFrame=47,szNote="主场·恶人·陶寒亭",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3" spans="1:24">
      <c r="C123">
        <v>7783</v>
      </c>
      <c r="D123">
        <v>47</v>
      </c>
      <c r="I123" t="s">
        <v>1771</v>
      </c>
      <c r="J123" t="s">
        <v>1608</v>
      </c>
      <c r="P123">
        <v>1</v>
      </c>
      <c r="U123" t="s">
        <v>1765</v>
      </c>
      <c r="V123" t="str">
        <f t="shared" si="1"/>
        <v>{dwID=7783,nFrame=47,szNote="主场·恶人·肖药儿",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4" spans="1:24">
      <c r="C124">
        <v>16902</v>
      </c>
      <c r="D124">
        <v>47</v>
      </c>
      <c r="I124" t="s">
        <v>1771</v>
      </c>
      <c r="J124" t="s">
        <v>1608</v>
      </c>
      <c r="P124">
        <v>1</v>
      </c>
      <c r="U124" t="s">
        <v>1765</v>
      </c>
      <c r="V124" t="str">
        <f t="shared" si="1"/>
        <v>{dwID=16902,nFrame=47,szNote="主场·恶人·肖药儿",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5" spans="1:24">
      <c r="C125">
        <v>7766</v>
      </c>
      <c r="D125">
        <v>47</v>
      </c>
      <c r="I125" t="s">
        <v>1772</v>
      </c>
      <c r="J125" t="s">
        <v>1608</v>
      </c>
      <c r="P125">
        <v>1</v>
      </c>
      <c r="U125" t="s">
        <v>1765</v>
      </c>
      <c r="V125" t="str">
        <f t="shared" si="1"/>
        <v>{dwID=7766,nFrame=47,szNote="主场·浩气·司空仲平",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6" spans="1:24">
      <c r="C126">
        <v>16893</v>
      </c>
      <c r="D126">
        <v>47</v>
      </c>
      <c r="I126" t="s">
        <v>1772</v>
      </c>
      <c r="J126" t="s">
        <v>1608</v>
      </c>
      <c r="P126">
        <v>1</v>
      </c>
      <c r="U126" t="s">
        <v>1765</v>
      </c>
      <c r="V126" t="str">
        <f t="shared" si="1"/>
        <v>{dwID=16893,nFrame=47,szNote="主场·浩气·司空仲平",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7" spans="1:24">
      <c r="C127">
        <v>7786</v>
      </c>
      <c r="D127">
        <v>47</v>
      </c>
      <c r="I127" t="s">
        <v>1802</v>
      </c>
      <c r="J127" t="s">
        <v>1608</v>
      </c>
      <c r="P127">
        <v>1</v>
      </c>
      <c r="U127" t="s">
        <v>1765</v>
      </c>
      <c r="V127" t="str">
        <f t="shared" si="1"/>
        <v>{dwID=7786,nFrame=47,szNote="主场·浩气·王遗风",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8" spans="1:24">
      <c r="C128">
        <v>105585</v>
      </c>
      <c r="D128">
        <v>47</v>
      </c>
      <c r="I128" t="s">
        <v>1803</v>
      </c>
      <c r="J128" t="s">
        <v>1608</v>
      </c>
      <c r="P128">
        <v>1</v>
      </c>
      <c r="U128" t="s">
        <v>1765</v>
      </c>
      <c r="V128" t="str">
        <f t="shared" si="1"/>
        <v>{dwID=105585,nFrame=47,szNote="主场·浩气·小七（穆玄英）酒池峡",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9" spans="3:23">
      <c r="C129">
        <v>16898</v>
      </c>
      <c r="D129">
        <v>47</v>
      </c>
      <c r="I129" t="s">
        <v>1774</v>
      </c>
      <c r="J129" t="s">
        <v>1608</v>
      </c>
      <c r="P129">
        <v>1</v>
      </c>
      <c r="U129" t="s">
        <v>1765</v>
      </c>
      <c r="V129" t="str">
        <f t="shared" si="1"/>
        <v>{dwID=16898,nFrame=47,szNote="主场·浩气·谢渊",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0" spans="3:23">
      <c r="C130">
        <v>106924</v>
      </c>
      <c r="D130">
        <v>47</v>
      </c>
      <c r="I130" t="s">
        <v>1775</v>
      </c>
      <c r="J130" t="s">
        <v>1608</v>
      </c>
      <c r="P130">
        <v>1</v>
      </c>
      <c r="U130" t="s">
        <v>1765</v>
      </c>
      <c r="V130" t="str">
        <f t="shared" si="1"/>
        <v>{dwID=106924,nFrame=47,szNote="主场·浩气·游驹",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1" spans="3:23">
      <c r="C131">
        <v>7770</v>
      </c>
      <c r="D131">
        <v>47</v>
      </c>
      <c r="I131" t="s">
        <v>1776</v>
      </c>
      <c r="J131" t="s">
        <v>1608</v>
      </c>
      <c r="P131">
        <v>1</v>
      </c>
      <c r="U131" t="s">
        <v>1765</v>
      </c>
      <c r="V131" t="str">
        <f t="shared" ref="V131:V194" si="2">IF(ISBLANK(B131)=FALSE,IF(ISBLANK(B130),"},["&amp;B131&amp;"]={","["&amp;B131&amp;"]={"),IF(AND(ISBLANK(B131),ISBLANK(D131),ISBLANK(C131),OR(ISBLANK(B130)=FALSE,ISBLANK(D130)=FALSE,ISBLANK(C130)=FALSE)),"},},}",IF(ISBLANK(C131),"","{dwID="&amp;C131&amp;","&amp;"nFrame="&amp;D131&amp;","&amp;IF(E131&gt;0,"nCount="&amp;E131&amp;",","")&amp;IF(F131&gt;0,"bAllLeave=true,","")&amp;IF(G131&lt;&gt;"","szName="""&amp;G131&amp;""",","")&amp;IF(H131&lt;&gt;"","tKungFu={"&amp;H131&amp;"},","")&amp;IF(I131&lt;&gt;"","szNote="""&amp;I131&amp;""",","")&amp;IF(J131&lt;&gt;"","col={"&amp;J131&amp;"},","")&amp;"[3]={"&amp;IF(K131&lt;&gt;"","tMark={"&amp;K131&amp;"},","")&amp;IF(L131&lt;&gt;"","szVoice="""&amp;L131&amp;""",","")&amp;IF(M131&gt;0,"bTeamChannel=true,","")&amp;IF(N131&gt;0,"bWhisperChannel=true,","")&amp;IF(O131&gt;0,"bCenterAlarm=true,","")&amp;IF(P131&gt;0,"bScreenHead=true,","")&amp;"},"&amp;"[4]={"&amp;IF(Q131&lt;&gt;"","szVoice="""&amp;Q131&amp;""",","")&amp;IF(R131&gt;0,"bTeamChannel=true,","")&amp;IF(S131&gt;0,"bWhisperChannel=true,","")&amp;IF(T131&gt;0,"bCenterAlarm=true,","")&amp;"},"&amp;IF(U131&lt;&gt;"","aFocus={"&amp;U131&amp;"},","")&amp;IF(W131&lt;&gt;"","tCountdown={"&amp;_xlfn.TEXTJOIN("",TRUE,W131:ZZ131)&amp;"},","")&amp;"},")))</f>
        <v>{dwID=7770,nFrame=47,szNote="主场·浩气·月弄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4,nIcon=13,nTime=-1,szName="反弹提示",nRefresh=2,key="反弹提示",},},},</v>
      </c>
      <c r="W131" t="s">
        <v>1777</v>
      </c>
    </row>
    <row r="132" spans="3:23">
      <c r="C132">
        <v>16896</v>
      </c>
      <c r="D132">
        <v>47</v>
      </c>
      <c r="I132" t="s">
        <v>1776</v>
      </c>
      <c r="J132" t="s">
        <v>1608</v>
      </c>
      <c r="P132">
        <v>1</v>
      </c>
      <c r="U132" t="s">
        <v>1765</v>
      </c>
      <c r="V132" t="str">
        <f t="shared" si="2"/>
        <v>{dwID=16896,nFrame=47,szNote="主场·浩气·月弄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4,nIcon=13,nTime=-1,szName="反弹提示",nRefresh=2,key="反弹提示",},},},</v>
      </c>
      <c r="W132" t="s">
        <v>1777</v>
      </c>
    </row>
    <row r="133" spans="3:23">
      <c r="C133">
        <v>7767</v>
      </c>
      <c r="D133">
        <v>47</v>
      </c>
      <c r="I133" t="s">
        <v>1778</v>
      </c>
      <c r="J133" t="s">
        <v>1608</v>
      </c>
      <c r="P133">
        <v>1</v>
      </c>
      <c r="U133" t="s">
        <v>1765</v>
      </c>
      <c r="V133" t="str">
        <f t="shared" si="2"/>
        <v>{dwID=7767,nFrame=47,szNote="主场·浩气·张桎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4" spans="3:23">
      <c r="C134">
        <v>16894</v>
      </c>
      <c r="D134">
        <v>47</v>
      </c>
      <c r="I134" t="s">
        <v>1778</v>
      </c>
      <c r="J134" t="s">
        <v>1608</v>
      </c>
      <c r="P134">
        <v>1</v>
      </c>
      <c r="U134" t="s">
        <v>1765</v>
      </c>
      <c r="V134" t="str">
        <f t="shared" si="2"/>
        <v>{dwID=16894,nFrame=47,szNote="主场·浩气·张桎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5" spans="3:23">
      <c r="C135">
        <v>105770</v>
      </c>
      <c r="D135">
        <v>47</v>
      </c>
      <c r="I135" t="s">
        <v>1779</v>
      </c>
      <c r="J135" t="s">
        <v>1608</v>
      </c>
      <c r="K135" t="s">
        <v>1758</v>
      </c>
      <c r="P135">
        <v>1</v>
      </c>
      <c r="U135" t="s">
        <v>1765</v>
      </c>
      <c r="V135" t="str">
        <f t="shared" si="2"/>
        <v>{dwID=105770,nFrame=47,szNote="奇袭·恶人·毕罗巴（白某）·断肠居",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6" spans="3:23">
      <c r="C136">
        <v>105701</v>
      </c>
      <c r="D136">
        <v>47</v>
      </c>
      <c r="I136" t="s">
        <v>1780</v>
      </c>
      <c r="J136" t="s">
        <v>1608</v>
      </c>
      <c r="K136" t="s">
        <v>1758</v>
      </c>
      <c r="P136">
        <v>1</v>
      </c>
      <c r="U136" t="s">
        <v>1765</v>
      </c>
      <c r="V136" t="str">
        <f t="shared" si="2"/>
        <v>{dwID=105701,nFrame=47,szNote="奇袭·恶人·丁丁",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7" spans="3:23">
      <c r="C137">
        <v>105800</v>
      </c>
      <c r="D137">
        <v>47</v>
      </c>
      <c r="I137" t="s">
        <v>1781</v>
      </c>
      <c r="J137" t="s">
        <v>1608</v>
      </c>
      <c r="K137" t="s">
        <v>1758</v>
      </c>
      <c r="P137">
        <v>1</v>
      </c>
      <c r="U137" t="s">
        <v>1765</v>
      </c>
      <c r="V137" t="str">
        <f t="shared" si="2"/>
        <v>{dwID=105800,nFrame=47,szNote="奇袭·恶人·独孤修",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8" spans="3:23">
      <c r="C138">
        <v>7784</v>
      </c>
      <c r="D138">
        <v>47</v>
      </c>
      <c r="I138" t="s">
        <v>1782</v>
      </c>
      <c r="J138" t="s">
        <v>1608</v>
      </c>
      <c r="K138" t="s">
        <v>1758</v>
      </c>
      <c r="P138">
        <v>1</v>
      </c>
      <c r="U138" t="s">
        <v>1765</v>
      </c>
      <c r="V138" t="str">
        <f t="shared" si="2"/>
        <v>{dwID=7784,nFrame=47,szNote="奇袭·恶人·烟",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9" spans="3:23">
      <c r="C139">
        <v>105673</v>
      </c>
      <c r="D139">
        <v>47</v>
      </c>
      <c r="I139" t="s">
        <v>1783</v>
      </c>
      <c r="J139" t="s">
        <v>1608</v>
      </c>
      <c r="K139" t="s">
        <v>1758</v>
      </c>
      <c r="P139">
        <v>1</v>
      </c>
      <c r="U139" t="s">
        <v>1765</v>
      </c>
      <c r="V139" t="str">
        <f t="shared" si="2"/>
        <v>{dwID=105673,nFrame=47,szNote="奇袭·恶人·伊夜",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4,nIcon=13,nTime=-1,szName="反弹提示",nRefresh=2,key="反弹提示",},},},</v>
      </c>
      <c r="W139" t="s">
        <v>1777</v>
      </c>
    </row>
    <row r="140" spans="3:23">
      <c r="C140">
        <v>105801</v>
      </c>
      <c r="D140">
        <v>47</v>
      </c>
      <c r="I140" t="s">
        <v>1784</v>
      </c>
      <c r="J140" t="s">
        <v>1608</v>
      </c>
      <c r="K140" t="s">
        <v>1758</v>
      </c>
      <c r="P140">
        <v>1</v>
      </c>
      <c r="U140" t="s">
        <v>1765</v>
      </c>
      <c r="V140" t="str">
        <f t="shared" si="2"/>
        <v>{dwID=105801,nFrame=47,szNote="奇袭·恶人·岳琅",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1" spans="3:23">
      <c r="C141">
        <v>105790</v>
      </c>
      <c r="D141">
        <v>47</v>
      </c>
      <c r="I141" t="s">
        <v>1785</v>
      </c>
      <c r="J141" t="s">
        <v>1608</v>
      </c>
      <c r="K141" t="s">
        <v>1758</v>
      </c>
      <c r="P141">
        <v>1</v>
      </c>
      <c r="U141" t="s">
        <v>1765</v>
      </c>
      <c r="V141" t="str">
        <f t="shared" si="2"/>
        <v>{dwID=105790,nFrame=47,szNote="奇袭·浩气·郭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2" spans="3:23">
      <c r="C142">
        <v>105791</v>
      </c>
      <c r="D142">
        <v>47</v>
      </c>
      <c r="I142" t="s">
        <v>1804</v>
      </c>
      <c r="J142" t="s">
        <v>1608</v>
      </c>
      <c r="K142" t="s">
        <v>1758</v>
      </c>
      <c r="P142">
        <v>1</v>
      </c>
      <c r="U142" t="s">
        <v>1765</v>
      </c>
      <c r="V142" t="str">
        <f t="shared" si="2"/>
        <v>{dwID=105791,nFrame=47,szNote="奇袭·浩气·韩非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4,nIcon=13,nTime=-1,szName="反弹提示",nRefresh=2,key="反弹提示",},},},</v>
      </c>
      <c r="W142" t="s">
        <v>1777</v>
      </c>
    </row>
    <row r="143" spans="3:23">
      <c r="C143">
        <v>105700</v>
      </c>
      <c r="D143">
        <v>47</v>
      </c>
      <c r="I143" t="s">
        <v>1805</v>
      </c>
      <c r="J143" t="s">
        <v>1608</v>
      </c>
      <c r="K143" t="s">
        <v>1758</v>
      </c>
      <c r="P143">
        <v>1</v>
      </c>
      <c r="U143" t="s">
        <v>1765</v>
      </c>
      <c r="V143" t="str">
        <f t="shared" si="2"/>
        <v>{dwID=105700,nFrame=47,szNote="奇袭·浩气·穆玄英",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4" spans="3:23">
      <c r="C144">
        <v>105802</v>
      </c>
      <c r="D144">
        <v>47</v>
      </c>
      <c r="I144" t="s">
        <v>1788</v>
      </c>
      <c r="J144" t="s">
        <v>1608</v>
      </c>
      <c r="K144" t="s">
        <v>1758</v>
      </c>
      <c r="P144">
        <v>1</v>
      </c>
      <c r="U144" t="s">
        <v>1765</v>
      </c>
      <c r="V144" t="str">
        <f t="shared" si="2"/>
        <v>{dwID=105802,nFrame=47,szNote="奇袭·浩气·叶镜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5" spans="1:24">
      <c r="C145">
        <v>16897</v>
      </c>
      <c r="D145">
        <v>47</v>
      </c>
      <c r="I145" t="s">
        <v>1789</v>
      </c>
      <c r="J145" t="s">
        <v>1608</v>
      </c>
      <c r="K145" t="s">
        <v>1758</v>
      </c>
      <c r="P145">
        <v>1</v>
      </c>
      <c r="U145" t="s">
        <v>1765</v>
      </c>
      <c r="V145" t="str">
        <f t="shared" si="2"/>
        <v>{dwID=16897,nFrame=47,szNote="奇袭·浩气·影",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6" spans="1:24">
      <c r="C146">
        <v>105627</v>
      </c>
      <c r="D146">
        <v>47</v>
      </c>
      <c r="I146" t="s">
        <v>1790</v>
      </c>
      <c r="J146" t="s">
        <v>1608</v>
      </c>
      <c r="K146" t="s">
        <v>1758</v>
      </c>
      <c r="P146">
        <v>1</v>
      </c>
      <c r="U146" t="s">
        <v>1765</v>
      </c>
      <c r="V146" t="str">
        <f t="shared" si="2"/>
        <v>{dwID=105627,nFrame=47,szNote="奇袭·浩气·赵紫儿",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7" spans="1:24">
      <c r="C147">
        <v>6233</v>
      </c>
      <c r="D147">
        <v>47</v>
      </c>
      <c r="I147" t="s">
        <v>1791</v>
      </c>
      <c r="J147" t="s">
        <v>1608</v>
      </c>
      <c r="P147">
        <v>1</v>
      </c>
      <c r="U147" t="s">
        <v>1765</v>
      </c>
      <c r="V147" t="str">
        <f t="shared" si="2"/>
        <v>{dwID=6233,nFrame=47,szNote="复活·恶人·顾延恶",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47" t="s">
        <v>1792</v>
      </c>
      <c r="X147" t="s">
        <v>1793</v>
      </c>
    </row>
    <row r="148" spans="1:24">
      <c r="C148">
        <v>8956</v>
      </c>
      <c r="D148">
        <v>47</v>
      </c>
      <c r="I148" t="s">
        <v>1794</v>
      </c>
      <c r="J148" t="s">
        <v>1608</v>
      </c>
      <c r="P148">
        <v>1</v>
      </c>
      <c r="U148" t="s">
        <v>1765</v>
      </c>
      <c r="V148" t="str">
        <f t="shared" si="2"/>
        <v>{dwID=8956,nFrame=47,szNote="复活·恶人·吕沛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48" t="s">
        <v>1792</v>
      </c>
      <c r="X148" t="s">
        <v>1793</v>
      </c>
    </row>
    <row r="149" spans="1:24">
      <c r="C149">
        <v>8955</v>
      </c>
      <c r="D149">
        <v>47</v>
      </c>
      <c r="I149" t="s">
        <v>1795</v>
      </c>
      <c r="J149" t="s">
        <v>1608</v>
      </c>
      <c r="P149">
        <v>1</v>
      </c>
      <c r="U149" t="s">
        <v>1765</v>
      </c>
      <c r="V149" t="str">
        <f t="shared" si="2"/>
        <v>{dwID=8955,nFrame=47,szNote="复活·恶人·陶国栋",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49" t="s">
        <v>1792</v>
      </c>
      <c r="X149" t="s">
        <v>1793</v>
      </c>
    </row>
    <row r="150" spans="1:24">
      <c r="C150">
        <v>8957</v>
      </c>
      <c r="D150">
        <v>47</v>
      </c>
      <c r="I150" t="s">
        <v>1796</v>
      </c>
      <c r="J150" t="s">
        <v>1608</v>
      </c>
      <c r="P150">
        <v>1</v>
      </c>
      <c r="U150" t="s">
        <v>1765</v>
      </c>
      <c r="V150" t="str">
        <f t="shared" si="2"/>
        <v>{dwID=8957,nFrame=47,szNote="复活·恶人·张一洋",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50" t="s">
        <v>1792</v>
      </c>
      <c r="X150" t="s">
        <v>1793</v>
      </c>
    </row>
    <row r="151" spans="1:24">
      <c r="C151">
        <v>17234</v>
      </c>
      <c r="D151">
        <v>47</v>
      </c>
      <c r="I151" t="s">
        <v>1797</v>
      </c>
      <c r="J151" t="s">
        <v>1608</v>
      </c>
      <c r="P151">
        <v>1</v>
      </c>
      <c r="U151" t="s">
        <v>1765</v>
      </c>
      <c r="V151" t="str">
        <f t="shared" si="2"/>
        <v>{dwID=17234,nFrame=47,szNote="复活·浩气·陶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51" t="s">
        <v>1792</v>
      </c>
      <c r="X151" t="s">
        <v>1793</v>
      </c>
    </row>
    <row r="152" spans="1:24">
      <c r="C152">
        <v>17233</v>
      </c>
      <c r="D152">
        <v>47</v>
      </c>
      <c r="I152" t="s">
        <v>1798</v>
      </c>
      <c r="J152" t="s">
        <v>1608</v>
      </c>
      <c r="P152">
        <v>1</v>
      </c>
      <c r="U152" t="s">
        <v>1765</v>
      </c>
      <c r="V152" t="str">
        <f t="shared" si="2"/>
        <v>{dwID=17233,nFrame=47,szNote="复活·浩气·谢烟客",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52" t="s">
        <v>1792</v>
      </c>
      <c r="X152" t="s">
        <v>1793</v>
      </c>
    </row>
    <row r="153" spans="1:24">
      <c r="C153">
        <v>17236</v>
      </c>
      <c r="D153">
        <v>47</v>
      </c>
      <c r="I153" t="s">
        <v>1799</v>
      </c>
      <c r="J153" t="s">
        <v>1608</v>
      </c>
      <c r="P153">
        <v>1</v>
      </c>
      <c r="U153" t="s">
        <v>1765</v>
      </c>
      <c r="V153" t="str">
        <f t="shared" si="2"/>
        <v>{dwID=17236,nFrame=47,szNote="复活·浩气·郑鸥",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53" t="s">
        <v>1792</v>
      </c>
      <c r="X153" t="s">
        <v>1793</v>
      </c>
    </row>
    <row r="154" spans="1:24">
      <c r="C154">
        <v>17235</v>
      </c>
      <c r="D154">
        <v>47</v>
      </c>
      <c r="I154" t="s">
        <v>1800</v>
      </c>
      <c r="J154" t="s">
        <v>1608</v>
      </c>
      <c r="P154">
        <v>1</v>
      </c>
      <c r="U154" t="s">
        <v>1765</v>
      </c>
      <c r="V154" t="str">
        <f t="shared" si="2"/>
        <v>{dwID=17235,nFrame=47,szNote="复活·浩气·周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bFightHold=true,nTime=32.5,szName="屹立不倒·{$receiver}·释放剩余",key="屹立不倒",},{nClass=4,nIcon=13,nTime=-1,szName="屹立不倒",key="屹立不倒",},},},</v>
      </c>
      <c r="W154" t="s">
        <v>1792</v>
      </c>
      <c r="X154" t="s">
        <v>1793</v>
      </c>
    </row>
    <row r="155" spans="1:24">
      <c r="A155" t="s">
        <v>682</v>
      </c>
      <c r="B155">
        <v>22</v>
      </c>
      <c r="V155" t="str">
        <f t="shared" si="2"/>
        <v>},[22]={</v>
      </c>
    </row>
    <row r="156" spans="1:24">
      <c r="C156">
        <v>36413</v>
      </c>
      <c r="D156">
        <v>52</v>
      </c>
      <c r="I156" t="s">
        <v>1806</v>
      </c>
      <c r="J156" t="s">
        <v>1479</v>
      </c>
      <c r="U156" t="s">
        <v>1807</v>
      </c>
      <c r="V156" t="str">
        <f t="shared" si="2"/>
        <v>{dwID=36413,nFrame=52,szNote="大旗·武王城",col={0,255,0,},[3]={},[4]={},aFocus={{dwMapID=-1,szDisplay="大旗·武王城·交互",nMaxDistance=1,tRelation={bAll=true,bEnemy=false,bAlly=false,},tLife={bEnable=false,szOperator="&gt;",nValue=0,},},},tCountdown={{nClass=3,nIcon=3445,nFrame=3,szName="武王城·浩气大旗被夺",nTime=-1,key="武王城·浩气大旗",},{nClass=3,nIcon=3444,nFrame=7,szName="武王城·恶人大旗被夺",nTime=-1,key="武王城·恶人大旗",},},},</v>
      </c>
      <c r="W156" t="s">
        <v>1808</v>
      </c>
      <c r="X156" t="s">
        <v>1809</v>
      </c>
    </row>
    <row r="157" customFormat="1" spans="1:24">
      <c r="C157" s="7">
        <v>30562</v>
      </c>
      <c r="D157">
        <v>47</v>
      </c>
      <c r="I157" t="s">
        <v>1810</v>
      </c>
      <c r="J157" t="s">
        <v>1608</v>
      </c>
      <c r="P157">
        <v>1</v>
      </c>
      <c r="U157" t="s">
        <v>1738</v>
      </c>
      <c r="V157" t="str">
        <f t="shared" si="2"/>
        <v>{dwID=30562,nFrame=47,szNote="据点争夺·据点守将·穆玄英",col={255,255,255,},[3]={bScreenHead=true,},[4]={},aFocus={{dwMapID=-1,nMaxDistance=90,tRelation={bAll=false,bEnemy=true,bAlly=false,},tLife={bEnable=false,szOperator="&gt;",nValue=0,},},{dwMapID=-1,nMaxDistance=60,tRelation={bAll=false,bEnemy=fals,bAlly=true,},tLife={bEnable=true,szOperator="&lt;",nValue=100,},},},},</v>
      </c>
    </row>
    <row r="158" customFormat="1" spans="1:24">
      <c r="C158" s="7">
        <v>59874</v>
      </c>
      <c r="D158">
        <v>47</v>
      </c>
      <c r="I158" t="s">
        <v>1811</v>
      </c>
      <c r="J158" t="s">
        <v>1608</v>
      </c>
      <c r="P158">
        <v>1</v>
      </c>
      <c r="U158" t="s">
        <v>1765</v>
      </c>
      <c r="V158" t="str">
        <f t="shared" si="2"/>
        <v>{dwID=59874,nFrame=47,szNote="据点争夺·增援首领·谢渊",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59" spans="1:24">
      <c r="A159" t="s">
        <v>705</v>
      </c>
      <c r="B159">
        <v>30</v>
      </c>
      <c r="V159" t="str">
        <f t="shared" si="2"/>
        <v>},[30]={</v>
      </c>
    </row>
    <row r="160" spans="1:24">
      <c r="C160">
        <v>36412</v>
      </c>
      <c r="D160">
        <v>52</v>
      </c>
      <c r="I160" t="s">
        <v>1812</v>
      </c>
      <c r="J160" t="s">
        <v>1479</v>
      </c>
      <c r="U160" t="s">
        <v>1813</v>
      </c>
      <c r="V160" t="str">
        <f t="shared" si="2"/>
        <v>{dwID=36412,nFrame=52,szNote="大旗·凛风堡",col={0,255,0,},[3]={},[4]={},aFocus={{dwMapID=-1,szDisplay="大旗·凛风堡·交互",nMaxDistance=1,tRelation={bAll=true,bEnemy=false,bAlly=false,},tLife={bEnable=false,szOperator="&gt;",nValue=0,},},},tCountdown={{nClass=3,nIcon=3445,nFrame=3,szName="凛风堡·浩气大旗被夺",nTime=-1,key="凛风堡·浩气大旗",},{nClass=3,nIcon=3444,nFrame=7,szName="凛风堡·恶人大旗被夺",nTime=-1,key="凛风堡·恶人大旗",},},},</v>
      </c>
      <c r="W160" t="s">
        <v>1814</v>
      </c>
      <c r="X160" t="s">
        <v>1815</v>
      </c>
    </row>
    <row r="161" customFormat="1" spans="1:24">
      <c r="C161">
        <v>30041</v>
      </c>
      <c r="D161">
        <v>52</v>
      </c>
      <c r="I161" t="s">
        <v>1816</v>
      </c>
      <c r="U161" t="s">
        <v>1703</v>
      </c>
      <c r="V161" t="str">
        <f t="shared" si="2"/>
        <v>{dwID=30041,nFrame=52,szNote="城门·昆仑",[3]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161" t="s">
        <v>1704</v>
      </c>
    </row>
    <row r="162" customFormat="1" spans="1:24">
      <c r="C162">
        <v>29801</v>
      </c>
      <c r="D162">
        <v>52</v>
      </c>
      <c r="I162" t="s">
        <v>1817</v>
      </c>
      <c r="U162" t="s">
        <v>1701</v>
      </c>
      <c r="V162" t="str">
        <f t="shared" si="2"/>
        <v>{dwID=29801,nFrame=52,szNote="箭塔·昆仑",[3]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63" customFormat="1" spans="1:24">
      <c r="C163">
        <v>29802</v>
      </c>
      <c r="D163">
        <v>52</v>
      </c>
      <c r="I163" t="s">
        <v>1817</v>
      </c>
      <c r="U163" t="s">
        <v>1701</v>
      </c>
      <c r="V163" t="str">
        <f t="shared" si="2"/>
        <v>{dwID=29802,nFrame=52,szNote="箭塔·昆仑",[3]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64" customFormat="1" spans="1:24">
      <c r="C164">
        <v>29803</v>
      </c>
      <c r="D164">
        <v>52</v>
      </c>
      <c r="I164" t="s">
        <v>1817</v>
      </c>
      <c r="U164" t="s">
        <v>1701</v>
      </c>
      <c r="V164" t="str">
        <f t="shared" si="2"/>
        <v>{dwID=29803,nFrame=52,szNote="箭塔·昆仑",[3]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65" customFormat="1" spans="1:24">
      <c r="C165">
        <v>29804</v>
      </c>
      <c r="D165">
        <v>52</v>
      </c>
      <c r="I165" t="s">
        <v>1817</v>
      </c>
      <c r="U165" t="s">
        <v>1701</v>
      </c>
      <c r="V165" t="str">
        <f t="shared" si="2"/>
        <v>{dwID=29804,nFrame=52,szNote="箭塔·昆仑",[3]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66" customFormat="1" spans="1:24">
      <c r="C166" s="5">
        <v>29601</v>
      </c>
      <c r="D166">
        <v>52</v>
      </c>
      <c r="I166" t="s">
        <v>1818</v>
      </c>
      <c r="U166" t="s">
        <v>1701</v>
      </c>
      <c r="V166" t="str">
        <f t="shared" si="2"/>
        <v>{dwID=29601,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67" customFormat="1" spans="1:24">
      <c r="C167" s="5">
        <v>29602</v>
      </c>
      <c r="D167">
        <v>52</v>
      </c>
      <c r="I167" t="s">
        <v>1818</v>
      </c>
      <c r="U167" t="s">
        <v>1701</v>
      </c>
      <c r="V167" t="str">
        <f t="shared" si="2"/>
        <v>{dwID=29602,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68" customFormat="1" spans="1:24">
      <c r="C168" s="5">
        <v>29603</v>
      </c>
      <c r="D168">
        <v>52</v>
      </c>
      <c r="I168" t="s">
        <v>1818</v>
      </c>
      <c r="U168" t="s">
        <v>1701</v>
      </c>
      <c r="V168" t="str">
        <f t="shared" si="2"/>
        <v>{dwID=29603,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69" customFormat="1" spans="1:24">
      <c r="C169" s="5">
        <v>29604</v>
      </c>
      <c r="D169">
        <v>52</v>
      </c>
      <c r="I169" t="s">
        <v>1818</v>
      </c>
      <c r="U169" t="s">
        <v>1701</v>
      </c>
      <c r="V169" t="str">
        <f t="shared" si="2"/>
        <v>{dwID=29604,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70" customFormat="1" spans="1:24">
      <c r="C170" s="5">
        <v>29605</v>
      </c>
      <c r="D170">
        <v>52</v>
      </c>
      <c r="I170" t="s">
        <v>1818</v>
      </c>
      <c r="U170" t="s">
        <v>1701</v>
      </c>
      <c r="V170" t="str">
        <f t="shared" si="2"/>
        <v>{dwID=29605,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71" customFormat="1" spans="1:24">
      <c r="C171" s="5">
        <v>29701</v>
      </c>
      <c r="D171">
        <v>52</v>
      </c>
      <c r="I171" t="s">
        <v>1818</v>
      </c>
      <c r="U171" t="s">
        <v>1701</v>
      </c>
      <c r="V171" t="str">
        <f t="shared" si="2"/>
        <v>{dwID=29701,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72" customFormat="1" spans="1:24">
      <c r="C172" s="7">
        <v>30519</v>
      </c>
      <c r="D172">
        <v>47</v>
      </c>
      <c r="I172" t="s">
        <v>1819</v>
      </c>
      <c r="J172" t="s">
        <v>1608</v>
      </c>
      <c r="P172">
        <v>1</v>
      </c>
      <c r="U172" t="s">
        <v>1738</v>
      </c>
      <c r="V172" t="str">
        <f t="shared" si="2"/>
        <v>{dwID=30519,nFrame=47,szNote="据点争夺·据点守将·莫雨",col={255,255,255,},[3]={bScreenHead=true,},[4]={},aFocus={{dwMapID=-1,nMaxDistance=90,tRelation={bAll=false,bEnemy=true,bAlly=false,},tLife={bEnable=false,szOperator="&gt;",nValue=0,},},{dwMapID=-1,nMaxDistance=60,tRelation={bAll=false,bEnemy=fals,bAlly=true,},tLife={bEnable=true,szOperator="&lt;",nValue=100,},},},},</v>
      </c>
    </row>
    <row r="173" customFormat="1" spans="1:24">
      <c r="C173" s="7">
        <v>59867</v>
      </c>
      <c r="D173">
        <v>47</v>
      </c>
      <c r="I173" t="s">
        <v>1820</v>
      </c>
      <c r="J173" t="s">
        <v>1608</v>
      </c>
      <c r="P173">
        <v>1</v>
      </c>
      <c r="U173" t="s">
        <v>1765</v>
      </c>
      <c r="V173" t="str">
        <f t="shared" si="2"/>
        <v>{dwID=59867,nFrame=47,szNote="据点争夺·增援首领·王遗风",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74" spans="1:24">
      <c r="A174" t="s">
        <v>679</v>
      </c>
      <c r="B174">
        <v>21</v>
      </c>
      <c r="V174" t="str">
        <f t="shared" si="2"/>
        <v>},[21]={</v>
      </c>
    </row>
    <row r="175" spans="1:24">
      <c r="C175">
        <v>36434</v>
      </c>
      <c r="D175">
        <v>52</v>
      </c>
      <c r="I175" t="s">
        <v>1821</v>
      </c>
      <c r="J175" t="s">
        <v>1479</v>
      </c>
      <c r="U175" t="s">
        <v>1822</v>
      </c>
      <c r="V175" t="str">
        <f t="shared" si="2"/>
        <v>{dwID=36434,nFrame=52,szNote="大旗·盘龙坞",col={0,255,0,},[3]={},[4]={},aFocus={{dwMapID=-1,szDisplay="大旗·盘龙坞·交互",nMaxDistance=1,tRelation={bAll=true,bEnemy=false,bAlly=false,},tLife={bEnable=false,szOperator="&gt;",nValue=0,},},},tCountdown={{nClass=3,nIcon=3445,nFrame=3,szName="盘龙坞·浩气大旗被夺",nTime=-1,key="盘龙坞·浩气大旗",},{nClass=3,nIcon=3444,nFrame=7,szName="盘龙坞·恶人大旗被夺",nTime=-1,key="盘龙坞·恶人大旗",},},},</v>
      </c>
      <c r="W175" t="s">
        <v>1823</v>
      </c>
      <c r="X175" t="s">
        <v>1824</v>
      </c>
    </row>
    <row r="176" spans="1:24">
      <c r="C176">
        <v>36435</v>
      </c>
      <c r="D176">
        <v>52</v>
      </c>
      <c r="I176" t="s">
        <v>1825</v>
      </c>
      <c r="J176" t="s">
        <v>1479</v>
      </c>
      <c r="U176" t="s">
        <v>1826</v>
      </c>
      <c r="V176" t="str">
        <f t="shared" si="2"/>
        <v>{dwID=36435,nFrame=52,szNote="大旗·逐鹿坪",col={0,255,0,},[3]={},[4]={},aFocus={{dwMapID=-1,szDisplay="大旗·逐鹿坪·交互",nMaxDistance=1,tRelation={bAll=true,bEnemy=false,bAlly=false,},tLife={bEnable=false,szOperator="&gt;",nValue=0,},},},tCountdown={{nClass=3,nIcon=3445,nFrame=3,szName="逐鹿坪·浩气大旗被夺",nTime=-1,key="逐鹿坪·浩气大旗",},{nClass=3,nIcon=3444,nFrame=7,szName="逐鹿坪·恶人大旗被夺",nTime=-1,key="逐鹿坪·恶人大旗",},},},</v>
      </c>
      <c r="W176" t="s">
        <v>1827</v>
      </c>
      <c r="X176" t="s">
        <v>1828</v>
      </c>
    </row>
    <row r="177" customFormat="1" spans="1:24">
      <c r="C177" s="7">
        <v>59877</v>
      </c>
      <c r="D177">
        <v>47</v>
      </c>
      <c r="I177" t="s">
        <v>1829</v>
      </c>
      <c r="J177" t="s">
        <v>1608</v>
      </c>
      <c r="P177">
        <v>1</v>
      </c>
      <c r="U177" t="s">
        <v>1765</v>
      </c>
      <c r="V177" t="str">
        <f t="shared" si="2"/>
        <v>{dwID=59877,nFrame=47,szNote="据点争夺·增援首领·张桎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78" customFormat="1" spans="1:24">
      <c r="C178" s="7">
        <v>59878</v>
      </c>
      <c r="D178">
        <v>47</v>
      </c>
      <c r="I178" t="s">
        <v>1830</v>
      </c>
      <c r="J178" t="s">
        <v>1608</v>
      </c>
      <c r="P178">
        <v>1</v>
      </c>
      <c r="U178" t="s">
        <v>1765</v>
      </c>
      <c r="V178" t="str">
        <f t="shared" si="2"/>
        <v>{dwID=59878,nFrame=47,szNote="据点争夺·增援首领·可人",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79" spans="1:24">
      <c r="A179" t="s">
        <v>685</v>
      </c>
      <c r="B179">
        <v>23</v>
      </c>
      <c r="V179" t="str">
        <f t="shared" si="2"/>
        <v>},[23]={</v>
      </c>
    </row>
    <row r="180" spans="1:24">
      <c r="C180">
        <v>36414</v>
      </c>
      <c r="D180">
        <v>52</v>
      </c>
      <c r="I180" t="s">
        <v>1831</v>
      </c>
      <c r="J180" t="s">
        <v>1479</v>
      </c>
      <c r="U180" t="s">
        <v>1832</v>
      </c>
      <c r="V180" t="str">
        <f t="shared" si="2"/>
        <v>{dwID=36414,nFrame=52,szNote="大旗·龙门镇",col={0,255,0,},[3]={},[4]={},aFocus={{dwMapID=-1,szDisplay="大旗·龙门镇·交互",nMaxDistance=1,tRelation={bAll=true,bEnemy=false,bAlly=false,},tLife={bEnable=false,szOperator="&gt;",nValue=0,},},},tCountdown={{nClass=3,nIcon=3445,nFrame=3,szName="龙门镇·浩气大旗被夺",nTime=-1,key="龙门镇·浩气大旗",},{nClass=3,nIcon=3444,nFrame=7,szName="龙门镇·恶人大旗被夺",nTime=-1,key="龙门镇·恶人大旗",},},},</v>
      </c>
      <c r="W180" t="s">
        <v>1833</v>
      </c>
      <c r="X180" t="s">
        <v>1834</v>
      </c>
    </row>
    <row r="181" spans="1:24">
      <c r="C181">
        <v>36415</v>
      </c>
      <c r="D181">
        <v>52</v>
      </c>
      <c r="I181" t="s">
        <v>1835</v>
      </c>
      <c r="J181" t="s">
        <v>1479</v>
      </c>
      <c r="U181" t="s">
        <v>1836</v>
      </c>
      <c r="V181" t="str">
        <f t="shared" si="2"/>
        <v>{dwID=36415,nFrame=52,szNote="大旗·飞沙关",col={0,255,0,},[3]={},[4]={},aFocus={{dwMapID=-1,szDisplay="大旗·飞沙关·交互",nMaxDistance=1,tRelation={bAll=true,bEnemy=false,bAlly=false,},tLife={bEnable=false,szOperator="&gt;",nValue=0,},},},tCountdown={{nClass=3,nIcon=3445,nFrame=3,szName="飞沙关·浩气大旗被夺",nTime=-1,key="飞沙关·浩气大旗",},{nClass=3,nIcon=3444,nFrame=7,szName="飞沙关·恶人大旗被夺",nTime=-1,key="飞沙关·恶人大旗",},},},</v>
      </c>
      <c r="W181" t="s">
        <v>1837</v>
      </c>
      <c r="X181" t="s">
        <v>1838</v>
      </c>
    </row>
    <row r="182" customFormat="1" spans="1:24">
      <c r="C182">
        <v>30021</v>
      </c>
      <c r="D182">
        <v>52</v>
      </c>
      <c r="I182" t="s">
        <v>1839</v>
      </c>
      <c r="U182" t="s">
        <v>1703</v>
      </c>
      <c r="V182" t="str">
        <f t="shared" si="2"/>
        <v>{dwID=30021,nFrame=52,szNote="城门·龙门荒漠",[3]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182" t="s">
        <v>1704</v>
      </c>
    </row>
    <row r="183" customFormat="1" spans="1:24">
      <c r="C183">
        <v>30022</v>
      </c>
      <c r="D183">
        <v>52</v>
      </c>
      <c r="I183" t="s">
        <v>1839</v>
      </c>
      <c r="U183" t="s">
        <v>1703</v>
      </c>
      <c r="V183" t="str">
        <f t="shared" si="2"/>
        <v>{dwID=30022,nFrame=52,szNote="城门·龙门荒漠",[3]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183" t="s">
        <v>1704</v>
      </c>
    </row>
    <row r="184" customFormat="1" spans="1:24">
      <c r="C184">
        <v>30023</v>
      </c>
      <c r="D184">
        <v>52</v>
      </c>
      <c r="I184" t="s">
        <v>1839</v>
      </c>
      <c r="U184" t="s">
        <v>1703</v>
      </c>
      <c r="V184" t="str">
        <f t="shared" si="2"/>
        <v>{dwID=30023,nFrame=52,szNote="城门·龙门荒漠",[3]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184" t="s">
        <v>1704</v>
      </c>
    </row>
    <row r="185" customFormat="1" spans="1:24">
      <c r="C185">
        <v>30024</v>
      </c>
      <c r="D185">
        <v>52</v>
      </c>
      <c r="I185" t="s">
        <v>1839</v>
      </c>
      <c r="U185" t="s">
        <v>1703</v>
      </c>
      <c r="V185" t="str">
        <f t="shared" si="2"/>
        <v>{dwID=30024,nFrame=52,szNote="城门·龙门荒漠",[3]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185" t="s">
        <v>1704</v>
      </c>
    </row>
    <row r="186" customFormat="1" spans="1:24">
      <c r="C186">
        <v>30221</v>
      </c>
      <c r="D186">
        <v>52</v>
      </c>
      <c r="I186" t="s">
        <v>1840</v>
      </c>
      <c r="U186" t="s">
        <v>1698</v>
      </c>
      <c r="V186" t="str">
        <f t="shared" si="2"/>
        <v>{dwID=30221,nFrame=52,szNote="工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87" customFormat="1" spans="1:24">
      <c r="C187">
        <v>30222</v>
      </c>
      <c r="D187">
        <v>52</v>
      </c>
      <c r="I187" t="s">
        <v>1840</v>
      </c>
      <c r="U187" t="s">
        <v>1698</v>
      </c>
      <c r="V187" t="str">
        <f t="shared" si="2"/>
        <v>{dwID=30222,nFrame=52,szNote="工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88" customFormat="1" spans="1:24">
      <c r="C188">
        <v>30231</v>
      </c>
      <c r="D188">
        <v>52</v>
      </c>
      <c r="I188" t="s">
        <v>1840</v>
      </c>
      <c r="U188" t="s">
        <v>1698</v>
      </c>
      <c r="V188" t="str">
        <f t="shared" si="2"/>
        <v>{dwID=30231,nFrame=52,szNote="工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89" customFormat="1" spans="1:24">
      <c r="C189">
        <v>30232</v>
      </c>
      <c r="D189">
        <v>52</v>
      </c>
      <c r="I189" t="s">
        <v>1840</v>
      </c>
      <c r="U189" t="s">
        <v>1698</v>
      </c>
      <c r="V189" t="str">
        <f t="shared" si="2"/>
        <v>{dwID=30232,nFrame=52,szNote="工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90" customFormat="1" spans="1:24">
      <c r="C190">
        <v>30121</v>
      </c>
      <c r="D190">
        <v>52</v>
      </c>
      <c r="I190" t="s">
        <v>1841</v>
      </c>
      <c r="U190" t="s">
        <v>1698</v>
      </c>
      <c r="V190" t="str">
        <f t="shared" si="2"/>
        <v>{dwID=30121,nFrame=52,szNote="粮仓·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91" customFormat="1" spans="1:24">
      <c r="C191">
        <v>30123</v>
      </c>
      <c r="D191">
        <v>52</v>
      </c>
      <c r="I191" t="s">
        <v>1841</v>
      </c>
      <c r="U191" t="s">
        <v>1698</v>
      </c>
      <c r="V191" t="str">
        <f t="shared" si="2"/>
        <v>{dwID=30123,nFrame=52,szNote="粮仓·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92" customFormat="1" spans="1:24">
      <c r="C192">
        <v>30131</v>
      </c>
      <c r="D192">
        <v>52</v>
      </c>
      <c r="I192" t="s">
        <v>1841</v>
      </c>
      <c r="U192" t="s">
        <v>1698</v>
      </c>
      <c r="V192" t="str">
        <f t="shared" si="2"/>
        <v>{dwID=30131,nFrame=52,szNote="粮仓·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93" customFormat="1" spans="1:24">
      <c r="C193">
        <v>29301</v>
      </c>
      <c r="D193">
        <v>52</v>
      </c>
      <c r="I193" t="s">
        <v>1842</v>
      </c>
      <c r="U193" t="s">
        <v>1701</v>
      </c>
      <c r="V193" t="str">
        <f t="shared" si="2"/>
        <v>{dwID=29301,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4" customFormat="1" spans="1:24">
      <c r="C194">
        <v>29302</v>
      </c>
      <c r="D194">
        <v>52</v>
      </c>
      <c r="I194" t="s">
        <v>1842</v>
      </c>
      <c r="U194" t="s">
        <v>1701</v>
      </c>
      <c r="V194" t="str">
        <f t="shared" si="2"/>
        <v>{dwID=29302,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5" customFormat="1" spans="1:24">
      <c r="C195">
        <v>29303</v>
      </c>
      <c r="D195">
        <v>52</v>
      </c>
      <c r="I195" t="s">
        <v>1842</v>
      </c>
      <c r="U195" t="s">
        <v>1701</v>
      </c>
      <c r="V195" t="str">
        <f t="shared" ref="V195:V258" si="3">IF(ISBLANK(B195)=FALSE,IF(ISBLANK(B194),"},["&amp;B195&amp;"]={","["&amp;B195&amp;"]={"),IF(AND(ISBLANK(B195),ISBLANK(D195),ISBLANK(C195),OR(ISBLANK(B194)=FALSE,ISBLANK(D194)=FALSE,ISBLANK(C194)=FALSE)),"},},}",IF(ISBLANK(C195),"","{dwID="&amp;C195&amp;","&amp;"nFrame="&amp;D195&amp;","&amp;IF(E195&gt;0,"nCount="&amp;E195&amp;",","")&amp;IF(F195&gt;0,"bAllLeave=true,","")&amp;IF(G195&lt;&gt;"","szName="""&amp;G195&amp;""",","")&amp;IF(H195&lt;&gt;"","tKungFu={"&amp;H195&amp;"},","")&amp;IF(I195&lt;&gt;"","szNote="""&amp;I195&amp;""",","")&amp;IF(J195&lt;&gt;"","col={"&amp;J195&amp;"},","")&amp;"[3]={"&amp;IF(K195&lt;&gt;"","tMark={"&amp;K195&amp;"},","")&amp;IF(L195&lt;&gt;"","szVoice="""&amp;L195&amp;""",","")&amp;IF(M195&gt;0,"bTeamChannel=true,","")&amp;IF(N195&gt;0,"bWhisperChannel=true,","")&amp;IF(O195&gt;0,"bCenterAlarm=true,","")&amp;IF(P195&gt;0,"bScreenHead=true,","")&amp;"},"&amp;"[4]={"&amp;IF(Q195&lt;&gt;"","szVoice="""&amp;Q195&amp;""",","")&amp;IF(R195&gt;0,"bTeamChannel=true,","")&amp;IF(S195&gt;0,"bWhisperChannel=true,","")&amp;IF(T195&gt;0,"bCenterAlarm=true,","")&amp;"},"&amp;IF(U195&lt;&gt;"","aFocus={"&amp;U195&amp;"},","")&amp;IF(W195&lt;&gt;"","tCountdown={"&amp;_xlfn.TEXTJOIN("",TRUE,W195:ZZ195)&amp;"},","")&amp;"},")))</f>
        <v>{dwID=29303,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6" customFormat="1" spans="1:24">
      <c r="C196">
        <v>29304</v>
      </c>
      <c r="D196">
        <v>52</v>
      </c>
      <c r="I196" t="s">
        <v>1842</v>
      </c>
      <c r="U196" t="s">
        <v>1701</v>
      </c>
      <c r="V196" t="str">
        <f t="shared" si="3"/>
        <v>{dwID=29304,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7" customFormat="1" spans="1:24">
      <c r="C197">
        <v>29305</v>
      </c>
      <c r="D197">
        <v>52</v>
      </c>
      <c r="I197" t="s">
        <v>1842</v>
      </c>
      <c r="U197" t="s">
        <v>1701</v>
      </c>
      <c r="V197" t="str">
        <f t="shared" si="3"/>
        <v>{dwID=29305,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8" customFormat="1" spans="1:24">
      <c r="C198">
        <v>29306</v>
      </c>
      <c r="D198">
        <v>52</v>
      </c>
      <c r="I198" t="s">
        <v>1842</v>
      </c>
      <c r="U198" t="s">
        <v>1701</v>
      </c>
      <c r="V198" t="str">
        <f t="shared" si="3"/>
        <v>{dwID=29306,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9" customFormat="1" spans="1:24">
      <c r="C199">
        <v>29307</v>
      </c>
      <c r="D199">
        <v>52</v>
      </c>
      <c r="I199" t="s">
        <v>1842</v>
      </c>
      <c r="U199" t="s">
        <v>1701</v>
      </c>
      <c r="V199" t="str">
        <f t="shared" si="3"/>
        <v>{dwID=29307,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00" customFormat="1" spans="1:24">
      <c r="C200">
        <v>29308</v>
      </c>
      <c r="D200">
        <v>52</v>
      </c>
      <c r="I200" t="s">
        <v>1842</v>
      </c>
      <c r="U200" t="s">
        <v>1701</v>
      </c>
      <c r="V200" t="str">
        <f t="shared" si="3"/>
        <v>{dwID=29308,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01" customFormat="1" spans="1:24">
      <c r="C201">
        <v>29309</v>
      </c>
      <c r="D201">
        <v>52</v>
      </c>
      <c r="I201" t="s">
        <v>1842</v>
      </c>
      <c r="U201" t="s">
        <v>1701</v>
      </c>
      <c r="V201" t="str">
        <f t="shared" si="3"/>
        <v>{dwID=29309,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02" customFormat="1" spans="1:24">
      <c r="C202">
        <v>29401</v>
      </c>
      <c r="D202">
        <v>52</v>
      </c>
      <c r="I202" t="s">
        <v>1842</v>
      </c>
      <c r="U202" t="s">
        <v>1701</v>
      </c>
      <c r="V202" t="str">
        <f t="shared" si="3"/>
        <v>{dwID=29401,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03" customFormat="1" spans="1:24">
      <c r="C203" s="5">
        <v>29501</v>
      </c>
      <c r="D203">
        <v>52</v>
      </c>
      <c r="I203" t="s">
        <v>1843</v>
      </c>
      <c r="U203" t="s">
        <v>1701</v>
      </c>
      <c r="V203" t="str">
        <f t="shared" si="3"/>
        <v>{dwID=29501,nFrame=52,szNote="箭塔·马嵬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04" customFormat="1" spans="1:24">
      <c r="C204">
        <v>29502</v>
      </c>
      <c r="D204">
        <v>52</v>
      </c>
      <c r="I204" t="s">
        <v>1842</v>
      </c>
      <c r="U204" t="s">
        <v>1701</v>
      </c>
      <c r="V204" t="str">
        <f t="shared" si="3"/>
        <v>{dwID=29502,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05" customFormat="1" spans="1:24">
      <c r="C205" s="7">
        <v>59868</v>
      </c>
      <c r="D205">
        <v>47</v>
      </c>
      <c r="I205" t="s">
        <v>1844</v>
      </c>
      <c r="J205" t="s">
        <v>1608</v>
      </c>
      <c r="P205">
        <v>1</v>
      </c>
      <c r="U205" t="s">
        <v>1765</v>
      </c>
      <c r="V205" t="str">
        <f t="shared" si="3"/>
        <v>{dwID=59868,nFrame=47,szNote="据点争夺·增援首领·米丽古丽",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06" customFormat="1" spans="1:24">
      <c r="C206" s="7">
        <v>59869</v>
      </c>
      <c r="D206">
        <v>47</v>
      </c>
      <c r="I206" t="s">
        <v>1845</v>
      </c>
      <c r="J206" t="s">
        <v>1608</v>
      </c>
      <c r="P206">
        <v>1</v>
      </c>
      <c r="U206" t="s">
        <v>1765</v>
      </c>
      <c r="V206" t="str">
        <f t="shared" si="3"/>
        <v>{dwID=59869,nFrame=47,szNote="据点争夺·增援首领·莫雨",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07" spans="1:24">
      <c r="A207" t="s">
        <v>633</v>
      </c>
      <c r="B207">
        <v>9</v>
      </c>
      <c r="V207" t="str">
        <f t="shared" si="3"/>
        <v>},[9]={</v>
      </c>
    </row>
    <row r="208" spans="1:24">
      <c r="C208">
        <v>36433</v>
      </c>
      <c r="D208">
        <v>52</v>
      </c>
      <c r="I208" t="s">
        <v>1846</v>
      </c>
      <c r="J208" t="s">
        <v>1479</v>
      </c>
      <c r="U208" t="s">
        <v>1847</v>
      </c>
      <c r="V208" t="str">
        <f t="shared" si="3"/>
        <v>{dwID=36433,nFrame=52,szNote="大旗·红莲岗",col={0,255,0,},[3]={},[4]={},aFocus={{dwMapID=-1,szDisplay="大旗·红莲岗·交互",nMaxDistance=1,tRelation={bAll=true,bEnemy=false,bAlly=false,},tLife={bEnable=false,szOperator="&gt;",nValue=0,},},},tCountdown={{nClass=3,nIcon=3445,nFrame=3,szName="红莲岗·浩气大旗被夺",nTime=-1,key="红莲岗·浩气大旗",},{nClass=3,nIcon=3444,nFrame=7,szName="红莲岗·恶人大旗被夺",nTime=-1,key="红莲岗·恶人大旗",},},},</v>
      </c>
      <c r="W208" t="s">
        <v>1848</v>
      </c>
      <c r="X208" t="s">
        <v>1849</v>
      </c>
    </row>
    <row r="209" spans="1:24">
      <c r="C209">
        <v>36432</v>
      </c>
      <c r="D209">
        <v>52</v>
      </c>
      <c r="I209" t="s">
        <v>1850</v>
      </c>
      <c r="J209" t="s">
        <v>1479</v>
      </c>
      <c r="U209" t="s">
        <v>1851</v>
      </c>
      <c r="V209" t="str">
        <f t="shared" si="3"/>
        <v>{dwID=36432,nFrame=52,szNote="大旗·秋雨堡",col={0,255,0,},[3]={},[4]={},aFocus={{dwMapID=-1,szDisplay="大旗·秋雨堡·交互",nMaxDistance=1,tRelation={bAll=true,bEnemy=false,bAlly=false,},tLife={bEnable=false,szOperator="&gt;",nValue=0,},},},tCountdown={{nClass=3,nIcon=3445,nFrame=3,szName="秋雨堡·浩气大旗被夺",nTime=-1,key="秋雨堡·浩气大旗",},{nClass=3,nIcon=3444,nFrame=7,szName="秋雨堡·恶人大旗被夺",nTime=-1,key="秋雨堡·恶人大旗",},},},</v>
      </c>
      <c r="W209" t="s">
        <v>1852</v>
      </c>
      <c r="X209" t="s">
        <v>1853</v>
      </c>
    </row>
    <row r="210" customFormat="1" spans="1:24">
      <c r="C210" s="7">
        <v>59875</v>
      </c>
      <c r="D210">
        <v>47</v>
      </c>
      <c r="I210" t="s">
        <v>1854</v>
      </c>
      <c r="J210" t="s">
        <v>1608</v>
      </c>
      <c r="P210">
        <v>1</v>
      </c>
      <c r="U210" t="s">
        <v>1765</v>
      </c>
      <c r="V210" t="str">
        <f t="shared" si="3"/>
        <v>{dwID=59875,nFrame=47,szNote="据点争夺·增援首领·月弄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11" customFormat="1" spans="1:24">
      <c r="C211" s="7">
        <v>59876</v>
      </c>
      <c r="D211">
        <v>47</v>
      </c>
      <c r="I211" t="s">
        <v>1855</v>
      </c>
      <c r="J211" t="s">
        <v>1608</v>
      </c>
      <c r="P211">
        <v>1</v>
      </c>
      <c r="U211" t="s">
        <v>1765</v>
      </c>
      <c r="V211" t="str">
        <f t="shared" si="3"/>
        <v>{dwID=59876,nFrame=47,szNote="据点争夺·增援首领·影",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12" spans="1:24">
      <c r="A212" t="s">
        <v>651</v>
      </c>
      <c r="B212">
        <v>13</v>
      </c>
      <c r="V212" t="str">
        <f t="shared" si="3"/>
        <v>},[13]={</v>
      </c>
    </row>
    <row r="213" spans="1:24">
      <c r="C213">
        <v>36430</v>
      </c>
      <c r="D213">
        <v>52</v>
      </c>
      <c r="I213" t="s">
        <v>1856</v>
      </c>
      <c r="J213" t="s">
        <v>1479</v>
      </c>
      <c r="U213" t="s">
        <v>1857</v>
      </c>
      <c r="V213" t="str">
        <f t="shared" si="3"/>
        <v>{dwID=36430,nFrame=52,szNote="大旗·金门关",col={0,255,0,},[3]={},[4]={},aFocus={{dwMapID=-1,szDisplay="大旗·金门关·交互",nMaxDistance=1,tRelation={bAll=true,bEnemy=false,bAlly=false,},tLife={bEnable=false,szOperator="&gt;",nValue=0,},},},tCountdown={{nClass=3,nIcon=3445,nFrame=3,szName="金门关·浩气大旗被夺",nTime=-1,key="金门关·浩气大旗",},{nClass=3,nIcon=3444,nFrame=7,szName="金门关·恶人大旗被夺",nTime=-1,key="金门关·恶人大旗",},},},</v>
      </c>
      <c r="W213" t="s">
        <v>1858</v>
      </c>
      <c r="X213" t="s">
        <v>1859</v>
      </c>
    </row>
    <row r="214" spans="1:24">
      <c r="C214">
        <v>36431</v>
      </c>
      <c r="D214">
        <v>52</v>
      </c>
      <c r="I214" t="s">
        <v>1860</v>
      </c>
      <c r="J214" t="s">
        <v>1479</v>
      </c>
      <c r="U214" t="s">
        <v>1861</v>
      </c>
      <c r="V214" t="str">
        <f t="shared" si="3"/>
        <v>{dwID=36431,nFrame=52,szNote="大旗·青云坞",col={0,255,0,},[3]={},[4]={},aFocus={{dwMapID=-1,szDisplay="大旗·青云坞·交互",nMaxDistance=1,tRelation={bAll=true,bEnemy=false,bAlly=false,},tLife={bEnable=false,szOperator="&gt;",nValue=0,},},},tCountdown={{nClass=3,nIcon=3445,nFrame=3,szName="青云坞·浩气大旗被夺",nTime=-1,key="青云坞·浩气大旗",},{nClass=3,nIcon=3444,nFrame=7,szName="青云坞·恶人大旗被夺",nTime=-1,key="青云坞·恶人大旗",},},},</v>
      </c>
      <c r="W214" t="s">
        <v>1862</v>
      </c>
      <c r="X214" t="s">
        <v>1863</v>
      </c>
    </row>
    <row r="215" spans="1:24">
      <c r="A215" t="s">
        <v>720</v>
      </c>
      <c r="B215">
        <v>35</v>
      </c>
      <c r="V215" t="str">
        <f t="shared" si="3"/>
        <v>},[35]={</v>
      </c>
    </row>
    <row r="216" spans="1:24">
      <c r="C216">
        <v>36425</v>
      </c>
      <c r="D216">
        <v>52</v>
      </c>
      <c r="I216" t="s">
        <v>1864</v>
      </c>
      <c r="J216" t="s">
        <v>1479</v>
      </c>
      <c r="U216" t="s">
        <v>1865</v>
      </c>
      <c r="V216" t="str">
        <f t="shared" si="3"/>
        <v>{dwID=36425,nFrame=52,szNote="大旗·激流坞",col={0,255,0,},[3]={},[4]={},aFocus={{dwMapID=-1,szDisplay="大旗·激流坞·交互",nMaxDistance=1,tRelation={bAll=true,bEnemy=false,bAlly=false,},tLife={bEnable=false,szOperator="&gt;",nValue=0,},},},tCountdown={{nClass=3,nIcon=3445,nFrame=3,szName="激流坞·浩气大旗被夺",nTime=-1,key="激流坞·浩气大旗",},{nClass=3,nIcon=3444,nFrame=7,szName="激流坞·恶人大旗被夺",nTime=-1,key="激流坞·恶人大旗",},},},</v>
      </c>
      <c r="W216" t="s">
        <v>1866</v>
      </c>
      <c r="X216" t="s">
        <v>1867</v>
      </c>
    </row>
    <row r="217" spans="1:24">
      <c r="C217">
        <v>36424</v>
      </c>
      <c r="D217">
        <v>52</v>
      </c>
      <c r="I217" t="s">
        <v>1868</v>
      </c>
      <c r="J217" t="s">
        <v>1479</v>
      </c>
      <c r="U217" t="s">
        <v>1869</v>
      </c>
      <c r="V217" t="str">
        <f t="shared" si="3"/>
        <v>{dwID=36424,nFrame=52,szNote="大旗·不空关",col={0,255,0,},[3]={},[4]={},aFocus={{dwMapID=-1,szDisplay="大旗·不空关·交互",nMaxDistance=1,tRelation={bAll=true,bEnemy=false,bAlly=false,},tLife={bEnable=false,szOperator="&gt;",nValue=0,},},},tCountdown={{nClass=3,nIcon=3445,nFrame=3,szName="不空关·浩气大旗被夺",nTime=-1,key="不空关·浩气大旗",},{nClass=3,nIcon=3444,nFrame=7,szName="不空关·恶人大旗被夺",nTime=-1,key="不空关·恶人大旗",},},},</v>
      </c>
      <c r="W217" t="s">
        <v>1870</v>
      </c>
      <c r="X217" t="s">
        <v>1871</v>
      </c>
    </row>
    <row r="218" customFormat="1" spans="1:24">
      <c r="C218" s="5">
        <v>29202</v>
      </c>
      <c r="D218">
        <v>52</v>
      </c>
      <c r="I218" t="s">
        <v>1872</v>
      </c>
      <c r="U218" t="s">
        <v>1701</v>
      </c>
      <c r="V218" t="str">
        <f t="shared" si="3"/>
        <v>{dwID=29202,nFrame=52,szNote="通用箭塔·瞿塘峡·枫华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19" customFormat="1" spans="1:24">
      <c r="C219">
        <v>29203</v>
      </c>
      <c r="D219">
        <v>52</v>
      </c>
      <c r="I219" t="s">
        <v>1873</v>
      </c>
      <c r="U219" t="s">
        <v>1701</v>
      </c>
      <c r="V219" t="str">
        <f t="shared" si="3"/>
        <v>{dwID=29203,nFrame=52,szNote="箭塔·瞿塘峡",[3]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20" customFormat="1" spans="1:24">
      <c r="C220">
        <v>29204</v>
      </c>
      <c r="D220">
        <v>52</v>
      </c>
      <c r="I220" t="s">
        <v>1873</v>
      </c>
      <c r="U220" t="s">
        <v>1701</v>
      </c>
      <c r="V220" t="str">
        <f t="shared" si="3"/>
        <v>{dwID=29204,nFrame=52,szNote="箭塔·瞿塘峡",[3]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21" customFormat="1" spans="1:24">
      <c r="C221">
        <v>29205</v>
      </c>
      <c r="D221">
        <v>52</v>
      </c>
      <c r="I221" t="s">
        <v>1873</v>
      </c>
      <c r="U221" t="s">
        <v>1701</v>
      </c>
      <c r="V221" t="str">
        <f t="shared" si="3"/>
        <v>{dwID=29205,nFrame=52,szNote="箭塔·瞿塘峡",[3]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22" customFormat="1" spans="1:24">
      <c r="C222">
        <v>29206</v>
      </c>
      <c r="D222">
        <v>52</v>
      </c>
      <c r="I222" t="s">
        <v>1873</v>
      </c>
      <c r="U222" t="s">
        <v>1701</v>
      </c>
      <c r="V222" t="str">
        <f t="shared" si="3"/>
        <v>{dwID=29206,nFrame=52,szNote="箭塔·瞿塘峡",[3]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23" spans="1:24">
      <c r="A223" t="s">
        <v>838</v>
      </c>
      <c r="B223">
        <v>100</v>
      </c>
      <c r="V223" t="str">
        <f t="shared" si="3"/>
        <v>},[100]={</v>
      </c>
    </row>
    <row r="224" spans="1:24">
      <c r="C224">
        <v>36427</v>
      </c>
      <c r="D224">
        <v>52</v>
      </c>
      <c r="I224" t="s">
        <v>1874</v>
      </c>
      <c r="J224" t="s">
        <v>1479</v>
      </c>
      <c r="U224" t="s">
        <v>1875</v>
      </c>
      <c r="V224" t="str">
        <f t="shared" si="3"/>
        <v>{dwID=36427,nFrame=52,szNote="大旗·日月崖",col={0,255,0,},[3]={},[4]={},aFocus={{dwMapID=-1,szDisplay="大旗·日月崖·交互",nMaxDistance=1,tRelation={bAll=true,bEnemy=false,bAlly=false,},tLife={bEnable=false,szOperator="&gt;",nValue=0,},},},tCountdown={{nClass=3,nIcon=3445,nFrame=3,szName="日月崖·浩气大旗被夺",nTime=-1,key="日月崖·浩气大旗",},{nClass=3,nIcon=3444,nFrame=7,szName="日月崖·恶人大旗被夺",nTime=-1,key="日月崖·恶人大旗",},},},</v>
      </c>
      <c r="W224" t="s">
        <v>1876</v>
      </c>
      <c r="X224" t="s">
        <v>1877</v>
      </c>
    </row>
    <row r="225" spans="1:24">
      <c r="C225">
        <v>36426</v>
      </c>
      <c r="D225">
        <v>52</v>
      </c>
      <c r="I225" t="s">
        <v>1878</v>
      </c>
      <c r="J225" t="s">
        <v>1479</v>
      </c>
      <c r="U225" t="s">
        <v>1879</v>
      </c>
      <c r="V225" t="str">
        <f t="shared" si="3"/>
        <v>{dwID=36426,nFrame=52,szNote="大旗·卧龙坡",col={0,255,0,},[3]={},[4]={},aFocus={{dwMapID=-1,szDisplay="大旗·卧龙坡·交互",nMaxDistance=1,tRelation={bAll=true,bEnemy=false,bAlly=false,},tLife={bEnable=false,szOperator="&gt;",nValue=0,},},},tCountdown={{nClass=3,nIcon=3445,nFrame=3,szName="卧龙坡·浩气大旗被夺",nTime=-1,key="卧龙坡·浩气大旗",},{nClass=3,nIcon=3444,nFrame=7,szName="卧龙坡·恶人大旗被夺",nTime=-1,key="卧龙坡·恶人大旗",},},},</v>
      </c>
      <c r="W225" t="s">
        <v>1880</v>
      </c>
      <c r="X225" t="s">
        <v>1881</v>
      </c>
    </row>
    <row r="226" spans="1:24">
      <c r="A226" t="s">
        <v>841</v>
      </c>
      <c r="B226">
        <v>101</v>
      </c>
      <c r="V226" t="str">
        <f t="shared" si="3"/>
        <v>},[101]={</v>
      </c>
    </row>
    <row r="227" spans="1:24">
      <c r="C227">
        <v>36428</v>
      </c>
      <c r="D227">
        <v>52</v>
      </c>
      <c r="I227" t="s">
        <v>1882</v>
      </c>
      <c r="J227" t="s">
        <v>1479</v>
      </c>
      <c r="U227" t="s">
        <v>1883</v>
      </c>
      <c r="V227" t="str">
        <f t="shared" si="3"/>
        <v>{dwID=36428,nFrame=52,szNote="大旗·霜戈堡",col={0,255,0,},[3]={},[4]={},aFocus={{dwMapID=-1,szDisplay="大旗·霜戈堡·交互",nMaxDistance=1,tRelation={bAll=true,bEnemy=false,bAlly=false,},tLife={bEnable=false,szOperator="&gt;",nValue=0,},},},tCountdown={{nClass=3,nIcon=3445,nFrame=3,szName="霜戈堡·浩气大旗被夺",nTime=-1,key="霜戈堡·浩气大旗",},{nClass=3,nIcon=3444,nFrame=7,szName="霜戈堡·恶人大旗被夺",nTime=-1,key="霜戈堡·恶人大旗",},},},</v>
      </c>
      <c r="W227" t="s">
        <v>1884</v>
      </c>
      <c r="X227" t="s">
        <v>1885</v>
      </c>
    </row>
    <row r="228" spans="1:24">
      <c r="C228">
        <v>36429</v>
      </c>
      <c r="D228">
        <v>52</v>
      </c>
      <c r="I228" t="s">
        <v>1886</v>
      </c>
      <c r="J228" t="s">
        <v>1479</v>
      </c>
      <c r="U228" t="s">
        <v>1887</v>
      </c>
      <c r="V228" t="str">
        <f t="shared" si="3"/>
        <v>{dwID=36429,nFrame=52,szNote="大旗·澜沧城",col={0,255,0,},[3]={},[4]={},aFocus={{dwMapID=-1,szDisplay="大旗·澜沧城·交互",nMaxDistance=1,tRelation={bAll=true,bEnemy=false,bAlly=false,},tLife={bEnable=false,szOperator="&gt;",nValue=0,},},},tCountdown={{nClass=3,nIcon=3445,nFrame=3,szName="澜沧城·浩气大旗被夺",nTime=-1,key="澜沧城·浩气大旗",},{nClass=3,nIcon=3444,nFrame=7,szName="澜沧城·恶人大旗被夺",nTime=-1,key="澜沧城·恶人大旗",},},},</v>
      </c>
      <c r="W228" t="s">
        <v>1888</v>
      </c>
      <c r="X228" t="s">
        <v>1889</v>
      </c>
    </row>
    <row r="229" customFormat="1" spans="1:24">
      <c r="C229">
        <v>30006</v>
      </c>
      <c r="D229">
        <v>52</v>
      </c>
      <c r="I229" t="s">
        <v>1890</v>
      </c>
      <c r="U229" t="s">
        <v>1703</v>
      </c>
      <c r="V229" t="str">
        <f t="shared" si="3"/>
        <v>{dwID=30006,nFrame=52,szNote="城门·无量山",[3]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29" t="s">
        <v>1704</v>
      </c>
    </row>
    <row r="230" customFormat="1" spans="1:24">
      <c r="C230">
        <v>30007</v>
      </c>
      <c r="D230">
        <v>52</v>
      </c>
      <c r="I230" t="s">
        <v>1890</v>
      </c>
      <c r="U230" t="s">
        <v>1703</v>
      </c>
      <c r="V230" t="str">
        <f t="shared" si="3"/>
        <v>{dwID=30007,nFrame=52,szNote="城门·无量山",[3]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30" t="s">
        <v>1704</v>
      </c>
    </row>
    <row r="231" customFormat="1" spans="1:24">
      <c r="C231">
        <v>30008</v>
      </c>
      <c r="D231">
        <v>52</v>
      </c>
      <c r="I231" t="s">
        <v>1890</v>
      </c>
      <c r="U231" t="s">
        <v>1703</v>
      </c>
      <c r="V231" t="str">
        <f t="shared" si="3"/>
        <v>{dwID=30008,nFrame=52,szNote="城门·无量山",[3]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31" t="s">
        <v>1704</v>
      </c>
    </row>
    <row r="232" customFormat="1" spans="1:24">
      <c r="C232">
        <v>29014</v>
      </c>
      <c r="D232">
        <v>52</v>
      </c>
      <c r="I232" t="s">
        <v>1891</v>
      </c>
      <c r="U232" t="s">
        <v>1701</v>
      </c>
      <c r="V232" t="str">
        <f t="shared" si="3"/>
        <v>{dwID=29014,nFrame=52,szNote="箭塔·无量山",[3]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3" spans="1:24">
      <c r="A233" t="s">
        <v>846</v>
      </c>
      <c r="B233">
        <v>103</v>
      </c>
      <c r="V233" t="str">
        <f t="shared" si="3"/>
        <v>},[103]={</v>
      </c>
    </row>
    <row r="234" spans="1:24">
      <c r="C234">
        <v>36418</v>
      </c>
      <c r="D234">
        <v>52</v>
      </c>
      <c r="I234" t="s">
        <v>1892</v>
      </c>
      <c r="J234" t="s">
        <v>1479</v>
      </c>
      <c r="U234" t="s">
        <v>1893</v>
      </c>
      <c r="V234" t="str">
        <f t="shared" si="3"/>
        <v>{dwID=36418,nFrame=52,szNote="大旗·神池岭",col={0,255,0,},[3]={},[4]={},aFocus={{dwMapID=-1,szDisplay="大旗·神池岭·交互",nMaxDistance=1,tRelation={bAll=true,bEnemy=false,bAlly=false,},tLife={bEnable=false,szOperator="&gt;",nValue=0,},},},tCountdown={{nClass=3,nIcon=3445,nFrame=3,szName="神池岭·浩气大旗被夺",nTime=-1,key="神池岭·浩气大旗",},{nClass=3,nIcon=3444,nFrame=7,szName="神池岭·恶人大旗被夺",nTime=-1,key="神池岭·恶人大旗",},},},</v>
      </c>
      <c r="W234" t="s">
        <v>1894</v>
      </c>
      <c r="X234" t="s">
        <v>1895</v>
      </c>
    </row>
    <row r="235" spans="1:24">
      <c r="C235">
        <v>36419</v>
      </c>
      <c r="D235">
        <v>52</v>
      </c>
      <c r="I235" t="s">
        <v>1896</v>
      </c>
      <c r="J235" t="s">
        <v>1479</v>
      </c>
      <c r="U235" t="s">
        <v>1897</v>
      </c>
      <c r="V235" t="str">
        <f t="shared" si="3"/>
        <v>{dwID=36419,nFrame=52,szNote="大旗·烈日岗",col={0,255,0,},[3]={},[4]={},aFocus={{dwMapID=-1,szDisplay="大旗·烈日岗·交互",nMaxDistance=1,tRelation={bAll=true,bEnemy=false,bAlly=false,},tLife={bEnable=false,szOperator="&gt;",nValue=0,},},},tCountdown={{nClass=3,nIcon=3445,nFrame=3,szName="烈日岗·浩气大旗被夺",nTime=-1,key="烈日岗·浩气大旗",},{nClass=3,nIcon=3444,nFrame=7,szName="烈日岗·恶人大旗被夺",nTime=-1,key="烈日岗·恶人大旗",},},},</v>
      </c>
      <c r="W235" t="s">
        <v>1898</v>
      </c>
      <c r="X235" t="s">
        <v>1899</v>
      </c>
    </row>
    <row r="236" customFormat="1" spans="1:24">
      <c r="C236" s="7">
        <v>59872</v>
      </c>
      <c r="D236">
        <v>47</v>
      </c>
      <c r="I236" t="s">
        <v>1900</v>
      </c>
      <c r="J236" t="s">
        <v>1608</v>
      </c>
      <c r="P236">
        <v>1</v>
      </c>
      <c r="U236" t="s">
        <v>1765</v>
      </c>
      <c r="V236" t="str">
        <f t="shared" si="3"/>
        <v>{dwID=59872,nFrame=47,szNote="据点争夺·增援首领·烟",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37" customFormat="1" spans="1:24">
      <c r="C237" s="7">
        <v>59873</v>
      </c>
      <c r="D237">
        <v>47</v>
      </c>
      <c r="I237" t="s">
        <v>1901</v>
      </c>
      <c r="J237" t="s">
        <v>1608</v>
      </c>
      <c r="P237">
        <v>1</v>
      </c>
      <c r="U237" t="s">
        <v>1765</v>
      </c>
      <c r="V237" t="str">
        <f t="shared" si="3"/>
        <v>{dwID=59873,nFrame=47,szNote="据点争夺·增援首领·顾延恶",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38" spans="1:24">
      <c r="A238" t="s">
        <v>849</v>
      </c>
      <c r="B238">
        <v>104</v>
      </c>
      <c r="V238" t="str">
        <f t="shared" si="3"/>
        <v>},[104]={</v>
      </c>
    </row>
    <row r="239" spans="1:24">
      <c r="C239">
        <v>36421</v>
      </c>
      <c r="D239">
        <v>52</v>
      </c>
      <c r="I239" t="s">
        <v>1902</v>
      </c>
      <c r="J239" t="s">
        <v>1479</v>
      </c>
      <c r="U239" t="s">
        <v>1903</v>
      </c>
      <c r="V239" t="str">
        <f t="shared" si="3"/>
        <v>{dwID=36421,nFrame=52,szNote="大旗·凤鸣堡",col={0,255,0,},[3]={},[4]={},aFocus={{dwMapID=-1,szDisplay="大旗·凤鸣堡·交互",nMaxDistance=1,tRelation={bAll=true,bEnemy=false,bAlly=false,},tLife={bEnable=false,szOperator="&gt;",nValue=0,},},},tCountdown={{nClass=3,nIcon=3445,nFrame=3,szName="凤鸣堡·浩气大旗被夺",nTime=-1,key="凤鸣堡·浩气大旗",},{nClass=3,nIcon=3444,nFrame=7,szName="凤鸣堡·恶人大旗被夺",nTime=-1,key="凤鸣堡·恶人大旗",},},},</v>
      </c>
      <c r="W239" t="s">
        <v>1904</v>
      </c>
      <c r="X239" t="s">
        <v>1905</v>
      </c>
    </row>
    <row r="240" spans="1:24">
      <c r="C240">
        <v>36420</v>
      </c>
      <c r="D240">
        <v>52</v>
      </c>
      <c r="I240" t="s">
        <v>1906</v>
      </c>
      <c r="J240" t="s">
        <v>1479</v>
      </c>
      <c r="U240" t="s">
        <v>1907</v>
      </c>
      <c r="V240" t="str">
        <f t="shared" si="3"/>
        <v>{dwID=36420,nFrame=52,szNote="大旗·惊虬谷",col={0,255,0,},[3]={},[4]={},aFocus={{dwMapID=-1,szDisplay="大旗·惊虬谷·交互",nMaxDistance=1,tRelation={bAll=true,bEnemy=false,bAlly=false,},tLife={bEnable=false,szOperator="&gt;",nValue=0,},},},tCountdown={{nClass=3,nIcon=3445,nFrame=3,szName="惊虬谷·浩气大旗被夺",nTime=-1,key="惊虬谷·浩气大旗",},{nClass=3,nIcon=3444,nFrame=7,szName="惊虬谷·恶人大旗被夺",nTime=-1,key="惊虬谷·恶人大旗",},},},</v>
      </c>
      <c r="W240" t="s">
        <v>1908</v>
      </c>
      <c r="X240" t="s">
        <v>1909</v>
      </c>
    </row>
    <row r="241" spans="1:24">
      <c r="A241" t="s">
        <v>852</v>
      </c>
      <c r="B241">
        <v>105</v>
      </c>
      <c r="V241" t="str">
        <f t="shared" si="3"/>
        <v>},[105]={</v>
      </c>
    </row>
    <row r="242" spans="1:24">
      <c r="C242">
        <v>36436</v>
      </c>
      <c r="D242">
        <v>52</v>
      </c>
      <c r="I242" t="s">
        <v>1910</v>
      </c>
      <c r="J242" t="s">
        <v>1479</v>
      </c>
      <c r="U242" t="s">
        <v>1911</v>
      </c>
      <c r="V242" t="str">
        <f t="shared" si="3"/>
        <v>{dwID=36436,nFrame=52,szNote="大旗·大理山城",col={0,255,0,},[3]={},[4]={},aFocus={{dwMapID=-1,szDisplay="大旗·大理山城·交互",nMaxDistance=1,tRelation={bAll=true,bEnemy=false,bAlly=false,},tLife={bEnable=false,szOperator="&gt;",nValue=0,},},},tCountdown={{nClass=3,nIcon=3445,nFrame=3,szName="大理山城·浩气大旗被夺",nTime=-1,key="大理山城·浩气大旗",},{nClass=3,nIcon=3444,nFrame=7,szName="大理山城·恶人大旗被夺",nTime=-1,key="大理山城·恶人大旗",},},},</v>
      </c>
      <c r="W242" t="s">
        <v>1912</v>
      </c>
      <c r="X242" t="s">
        <v>1913</v>
      </c>
    </row>
    <row r="243" spans="1:24">
      <c r="C243">
        <v>36437</v>
      </c>
      <c r="D243">
        <v>52</v>
      </c>
      <c r="I243" t="s">
        <v>1914</v>
      </c>
      <c r="J243" t="s">
        <v>1479</v>
      </c>
      <c r="U243" t="s">
        <v>1915</v>
      </c>
      <c r="V243" t="str">
        <f t="shared" si="3"/>
        <v>{dwID=36437,nFrame=52,szNote="大旗·千岩关",col={0,255,0,},[3]={},[4]={},aFocus={{dwMapID=-1,szDisplay="大旗·千岩关·交互",nMaxDistance=1,tRelation={bAll=true,bEnemy=false,bAlly=false,},tLife={bEnable=false,szOperator="&gt;",nValue=0,},},},tCountdown={{nClass=3,nIcon=3445,nFrame=3,szName="千岩关·浩气大旗被夺",nTime=-1,key="千岩关·浩气大旗",},{nClass=3,nIcon=3444,nFrame=7,szName="千岩关·恶人大旗被夺",nTime=-1,key="千岩关·恶人大旗",},},},</v>
      </c>
      <c r="W243" t="s">
        <v>1916</v>
      </c>
      <c r="X243" t="s">
        <v>1917</v>
      </c>
    </row>
    <row r="244" customFormat="1" spans="1:24">
      <c r="C244">
        <v>30045</v>
      </c>
      <c r="D244">
        <v>52</v>
      </c>
      <c r="I244" t="s">
        <v>1918</v>
      </c>
      <c r="U244" t="s">
        <v>1703</v>
      </c>
      <c r="V244" t="str">
        <f t="shared" si="3"/>
        <v>{dwID=30045,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44" t="s">
        <v>1704</v>
      </c>
    </row>
    <row r="245" customFormat="1" spans="1:24">
      <c r="C245">
        <v>30044</v>
      </c>
      <c r="D245">
        <v>52</v>
      </c>
      <c r="I245" t="s">
        <v>1918</v>
      </c>
      <c r="U245" t="s">
        <v>1703</v>
      </c>
      <c r="V245" t="str">
        <f t="shared" si="3"/>
        <v>{dwID=30044,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45" t="s">
        <v>1704</v>
      </c>
    </row>
    <row r="246" customFormat="1" spans="1:24">
      <c r="C246">
        <v>30043</v>
      </c>
      <c r="D246">
        <v>52</v>
      </c>
      <c r="I246" t="s">
        <v>1918</v>
      </c>
      <c r="U246" t="s">
        <v>1703</v>
      </c>
      <c r="V246" t="str">
        <f t="shared" si="3"/>
        <v>{dwID=30043,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46" t="s">
        <v>1704</v>
      </c>
    </row>
    <row r="247" customFormat="1" spans="1:24">
      <c r="C247">
        <v>30042</v>
      </c>
      <c r="D247">
        <v>52</v>
      </c>
      <c r="I247" t="s">
        <v>1918</v>
      </c>
      <c r="U247" t="s">
        <v>1703</v>
      </c>
      <c r="V247" t="str">
        <f t="shared" si="3"/>
        <v>{dwID=30042,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47" t="s">
        <v>1704</v>
      </c>
    </row>
    <row r="248" customFormat="1" spans="1:24">
      <c r="C248">
        <v>30041</v>
      </c>
      <c r="D248">
        <v>52</v>
      </c>
      <c r="I248" t="s">
        <v>1918</v>
      </c>
      <c r="U248" t="s">
        <v>1703</v>
      </c>
      <c r="V248" t="str">
        <f t="shared" si="3"/>
        <v>{dwID=30041,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48" t="s">
        <v>1704</v>
      </c>
    </row>
    <row r="249" customFormat="1" spans="1:24">
      <c r="C249">
        <v>30242</v>
      </c>
      <c r="D249">
        <v>52</v>
      </c>
      <c r="I249" t="s">
        <v>1919</v>
      </c>
      <c r="U249" t="s">
        <v>1698</v>
      </c>
      <c r="V249" t="str">
        <f t="shared" si="3"/>
        <v>{dwID=30242,nFrame=52,szNote="工房·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50" customFormat="1" spans="1:24">
      <c r="C250">
        <v>30252</v>
      </c>
      <c r="D250">
        <v>52</v>
      </c>
      <c r="I250" t="s">
        <v>1919</v>
      </c>
      <c r="U250" t="s">
        <v>1698</v>
      </c>
      <c r="V250" t="str">
        <f t="shared" si="3"/>
        <v>{dwID=30252,nFrame=52,szNote="工房·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51" customFormat="1" spans="1:24">
      <c r="C251">
        <v>30142</v>
      </c>
      <c r="D251">
        <v>52</v>
      </c>
      <c r="I251" t="s">
        <v>1920</v>
      </c>
      <c r="U251" t="s">
        <v>1698</v>
      </c>
      <c r="V251" t="str">
        <f t="shared" si="3"/>
        <v>{dwID=30142,nFrame=52,szNote="粮仓·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52" customFormat="1" spans="1:24">
      <c r="C252">
        <v>30152</v>
      </c>
      <c r="D252">
        <v>52</v>
      </c>
      <c r="I252" t="s">
        <v>1920</v>
      </c>
      <c r="U252" t="s">
        <v>1698</v>
      </c>
      <c r="V252" t="str">
        <f t="shared" si="3"/>
        <v>{dwID=30152,nFrame=52,szNote="粮仓·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53" customFormat="1" spans="1:24">
      <c r="C253" s="5">
        <v>29601</v>
      </c>
      <c r="D253">
        <v>52</v>
      </c>
      <c r="I253" t="s">
        <v>1818</v>
      </c>
      <c r="U253" t="s">
        <v>1701</v>
      </c>
      <c r="V253" t="str">
        <f t="shared" si="3"/>
        <v>{dwID=29601,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4" customFormat="1" spans="1:24">
      <c r="C254" s="5">
        <v>29602</v>
      </c>
      <c r="D254">
        <v>52</v>
      </c>
      <c r="I254" t="s">
        <v>1818</v>
      </c>
      <c r="U254" t="s">
        <v>1701</v>
      </c>
      <c r="V254" t="str">
        <f t="shared" si="3"/>
        <v>{dwID=29602,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5" customFormat="1" spans="1:24">
      <c r="C255" s="5">
        <v>29603</v>
      </c>
      <c r="D255">
        <v>52</v>
      </c>
      <c r="I255" t="s">
        <v>1818</v>
      </c>
      <c r="U255" t="s">
        <v>1701</v>
      </c>
      <c r="V255" t="str">
        <f t="shared" si="3"/>
        <v>{dwID=29603,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6" customFormat="1" spans="1:24">
      <c r="C256" s="5">
        <v>29604</v>
      </c>
      <c r="D256">
        <v>52</v>
      </c>
      <c r="I256" t="s">
        <v>1818</v>
      </c>
      <c r="U256" t="s">
        <v>1701</v>
      </c>
      <c r="V256" t="str">
        <f t="shared" si="3"/>
        <v>{dwID=29604,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7" customFormat="1" spans="1:24">
      <c r="C257" s="5">
        <v>29605</v>
      </c>
      <c r="D257">
        <v>52</v>
      </c>
      <c r="I257" t="s">
        <v>1818</v>
      </c>
      <c r="U257" t="s">
        <v>1701</v>
      </c>
      <c r="V257" t="str">
        <f t="shared" si="3"/>
        <v>{dwID=29605,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8" customFormat="1" spans="1:24">
      <c r="C258" s="5">
        <v>29701</v>
      </c>
      <c r="D258">
        <v>52</v>
      </c>
      <c r="I258" t="s">
        <v>1818</v>
      </c>
      <c r="U258" t="s">
        <v>1701</v>
      </c>
      <c r="V258" t="str">
        <f t="shared" si="3"/>
        <v>{dwID=29701,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9" customFormat="1" spans="1:24">
      <c r="C259">
        <v>29606</v>
      </c>
      <c r="D259">
        <v>52</v>
      </c>
      <c r="I259" t="s">
        <v>1921</v>
      </c>
      <c r="U259" t="s">
        <v>1701</v>
      </c>
      <c r="V259" t="str">
        <f t="shared" ref="V259:V322" si="4">IF(ISBLANK(B259)=FALSE,IF(ISBLANK(B258),"},["&amp;B259&amp;"]={","["&amp;B259&amp;"]={"),IF(AND(ISBLANK(B259),ISBLANK(D259),ISBLANK(C259),OR(ISBLANK(B258)=FALSE,ISBLANK(D258)=FALSE,ISBLANK(C258)=FALSE)),"},},}",IF(ISBLANK(C259),"","{dwID="&amp;C259&amp;","&amp;"nFrame="&amp;D259&amp;","&amp;IF(E259&gt;0,"nCount="&amp;E259&amp;",","")&amp;IF(F259&gt;0,"bAllLeave=true,","")&amp;IF(G259&lt;&gt;"","szName="""&amp;G259&amp;""",","")&amp;IF(H259&lt;&gt;"","tKungFu={"&amp;H259&amp;"},","")&amp;IF(I259&lt;&gt;"","szNote="""&amp;I259&amp;""",","")&amp;IF(J259&lt;&gt;"","col={"&amp;J259&amp;"},","")&amp;"[3]={"&amp;IF(K259&lt;&gt;"","tMark={"&amp;K259&amp;"},","")&amp;IF(L259&lt;&gt;"","szVoice="""&amp;L259&amp;""",","")&amp;IF(M259&gt;0,"bTeamChannel=true,","")&amp;IF(N259&gt;0,"bWhisperChannel=true,","")&amp;IF(O259&gt;0,"bCenterAlarm=true,","")&amp;IF(P259&gt;0,"bScreenHead=true,","")&amp;"},"&amp;"[4]={"&amp;IF(Q259&lt;&gt;"","szVoice="""&amp;Q259&amp;""",","")&amp;IF(R259&gt;0,"bTeamChannel=true,","")&amp;IF(S259&gt;0,"bWhisperChannel=true,","")&amp;IF(T259&gt;0,"bCenterAlarm=true,","")&amp;"},"&amp;IF(U259&lt;&gt;"","aFocus={"&amp;U259&amp;"},","")&amp;IF(W259&lt;&gt;"","tCountdown={"&amp;_xlfn.TEXTJOIN("",TRUE,W259:ZZ259)&amp;"},","")&amp;"},")))</f>
        <v>{dwID=29606,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0" customFormat="1" spans="1:24">
      <c r="C260">
        <v>29607</v>
      </c>
      <c r="D260">
        <v>52</v>
      </c>
      <c r="I260" t="s">
        <v>1921</v>
      </c>
      <c r="U260" t="s">
        <v>1701</v>
      </c>
      <c r="V260" t="str">
        <f t="shared" si="4"/>
        <v>{dwID=29607,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1" customFormat="1" spans="1:24">
      <c r="C261">
        <v>29702</v>
      </c>
      <c r="D261">
        <v>52</v>
      </c>
      <c r="I261" t="s">
        <v>1921</v>
      </c>
      <c r="U261" t="s">
        <v>1701</v>
      </c>
      <c r="V261" t="str">
        <f t="shared" si="4"/>
        <v>{dwID=29702,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2" customFormat="1" spans="1:24">
      <c r="C262">
        <v>29703</v>
      </c>
      <c r="D262">
        <v>52</v>
      </c>
      <c r="I262" t="s">
        <v>1921</v>
      </c>
      <c r="U262" t="s">
        <v>1701</v>
      </c>
      <c r="V262" t="str">
        <f t="shared" si="4"/>
        <v>{dwID=29703,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3" customFormat="1" spans="1:24">
      <c r="C263">
        <v>29704</v>
      </c>
      <c r="D263">
        <v>52</v>
      </c>
      <c r="I263" t="s">
        <v>1921</v>
      </c>
      <c r="U263" t="s">
        <v>1701</v>
      </c>
      <c r="V263" t="str">
        <f t="shared" si="4"/>
        <v>{dwID=29704,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4" customFormat="1" spans="1:24">
      <c r="C264">
        <v>29705</v>
      </c>
      <c r="D264">
        <v>52</v>
      </c>
      <c r="I264" t="s">
        <v>1921</v>
      </c>
      <c r="U264" t="s">
        <v>1701</v>
      </c>
      <c r="V264" t="str">
        <f t="shared" si="4"/>
        <v>{dwID=29705,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5" customFormat="1" spans="1:24">
      <c r="C265">
        <v>29706</v>
      </c>
      <c r="D265">
        <v>52</v>
      </c>
      <c r="I265" t="s">
        <v>1921</v>
      </c>
      <c r="U265" t="s">
        <v>1701</v>
      </c>
      <c r="V265" t="str">
        <f t="shared" si="4"/>
        <v>{dwID=29706,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6" customFormat="1" spans="1:24">
      <c r="C266">
        <v>29707</v>
      </c>
      <c r="D266">
        <v>52</v>
      </c>
      <c r="I266" t="s">
        <v>1921</v>
      </c>
      <c r="U266" t="s">
        <v>1701</v>
      </c>
      <c r="V266" t="str">
        <f t="shared" si="4"/>
        <v>{dwID=29707,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7" customFormat="1" spans="1:24">
      <c r="C267" s="7">
        <v>59879</v>
      </c>
      <c r="D267">
        <v>47</v>
      </c>
      <c r="I267" t="s">
        <v>1922</v>
      </c>
      <c r="J267" t="s">
        <v>1608</v>
      </c>
      <c r="P267">
        <v>1</v>
      </c>
      <c r="U267" t="s">
        <v>1765</v>
      </c>
      <c r="V267" t="str">
        <f t="shared" si="4"/>
        <v>{dwID=59879,nFrame=47,szNote="据点争夺·增援首领·司空仲平",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68" customFormat="1" spans="1:24">
      <c r="C268" s="7">
        <v>59880</v>
      </c>
      <c r="D268">
        <v>47</v>
      </c>
      <c r="I268" t="s">
        <v>1923</v>
      </c>
      <c r="J268" t="s">
        <v>1608</v>
      </c>
      <c r="P268">
        <v>1</v>
      </c>
      <c r="U268" t="s">
        <v>1765</v>
      </c>
      <c r="V268" t="str">
        <f t="shared" si="4"/>
        <v>{dwID=59880,nFrame=47,szNote="据点争夺·增援首领·谢烟客",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69" customFormat="1" spans="1:24">
      <c r="A269" t="s">
        <v>947</v>
      </c>
      <c r="B269">
        <v>139</v>
      </c>
      <c r="V269" t="str">
        <f t="shared" si="4"/>
        <v>},[139]={</v>
      </c>
    </row>
    <row r="270" customFormat="1" spans="1:24">
      <c r="C270">
        <v>36423</v>
      </c>
      <c r="D270">
        <v>52</v>
      </c>
      <c r="I270" t="s">
        <v>1924</v>
      </c>
      <c r="J270" t="s">
        <v>1479</v>
      </c>
      <c r="U270" t="s">
        <v>1925</v>
      </c>
      <c r="V270" t="str">
        <f t="shared" si="4"/>
        <v>{dwID=36423,nFrame=52,szNote="大旗·枫湖寨",col={0,255,0,},[3]={},[4]={},aFocus={{dwMapID=-1,szDisplay="大旗·枫湖寨·交互",nMaxDistance=1,tRelation={bAll=true,bEnemy=false,bAlly=false,},tLife={bEnable=false,szOperator="&gt;",nValue=0,},},},tCountdown={{nClass=3,nIcon=3445,nFrame=3,szName="枫湖寨·浩气大旗被夺",nTime=-1,key="枫湖寨·浩气大旗",},{nClass=3,nIcon=3444,nFrame=7,szName="枫湖寨·恶人大旗被夺",nTime=-1,key="枫湖寨·恶人大旗",},},},</v>
      </c>
      <c r="W270" t="s">
        <v>1926</v>
      </c>
      <c r="X270" t="s">
        <v>1927</v>
      </c>
    </row>
    <row r="271" customFormat="1" spans="1:24">
      <c r="C271">
        <v>36422</v>
      </c>
      <c r="D271">
        <v>52</v>
      </c>
      <c r="I271" t="s">
        <v>1928</v>
      </c>
      <c r="J271" t="s">
        <v>1479</v>
      </c>
      <c r="U271" t="s">
        <v>1929</v>
      </c>
      <c r="V271" t="str">
        <f t="shared" si="4"/>
        <v>{dwID=36422,nFrame=52,szNote="大旗·啖杏林",col={0,255,0,},[3]={},[4]={},aFocus={{dwMapID=-1,szDisplay="大旗·啖杏林·交互",nMaxDistance=1,tRelation={bAll=true,bEnemy=false,bAlly=false,},tLife={bEnable=false,szOperator="&gt;",nValue=0,},},},tCountdown={{nClass=3,nIcon=3445,nFrame=3,szName="啖杏林·浩气大旗被夺",nTime=-1,key="啖杏林·浩气大旗",},{nClass=3,nIcon=3444,nFrame=7,szName="啖杏林·恶人大旗被夺",nTime=-1,key="啖杏林·恶人大旗",},},},</v>
      </c>
      <c r="W271" t="s">
        <v>1930</v>
      </c>
      <c r="X271" t="s">
        <v>1931</v>
      </c>
    </row>
    <row r="272" customFormat="1" spans="1:24">
      <c r="C272" s="5">
        <v>29202</v>
      </c>
      <c r="D272">
        <v>52</v>
      </c>
      <c r="I272" t="s">
        <v>1872</v>
      </c>
      <c r="U272" t="s">
        <v>1701</v>
      </c>
      <c r="V272" t="str">
        <f t="shared" si="4"/>
        <v>{dwID=29202,nFrame=52,szNote="通用箭塔·瞿塘峡·枫华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73" spans="1:24">
      <c r="A273" t="s">
        <v>983</v>
      </c>
      <c r="B273">
        <v>153</v>
      </c>
      <c r="V273" t="str">
        <f t="shared" si="4"/>
        <v>},[153]={</v>
      </c>
    </row>
    <row r="274" spans="1:24">
      <c r="C274">
        <v>36417</v>
      </c>
      <c r="D274">
        <v>52</v>
      </c>
      <c r="I274" t="s">
        <v>1932</v>
      </c>
      <c r="J274" t="s">
        <v>1479</v>
      </c>
      <c r="U274" t="s">
        <v>1933</v>
      </c>
      <c r="V274" t="str">
        <f t="shared" si="4"/>
        <v>{dwID=36417,nFrame=52,szNote="大旗·扶风郡",col={0,255,0,},[3]={},[4]={},aFocus={{dwMapID=-1,szDisplay="大旗·扶风郡·交互",nMaxDistance=1,tRelation={bAll=true,bEnemy=false,bAlly=false,},tLife={bEnable=false,szOperator="&gt;",nValue=0,},},},tCountdown={{nClass=3,nIcon=3445,nFrame=3,szName="扶风郡·浩气大旗被夺",nTime=-1,key="扶风郡·浩气大旗",},{nClass=3,nIcon=3444,nFrame=7,szName="扶风郡·恶人大旗被夺",nTime=-1,key="扶风郡·恶人大旗",},},},</v>
      </c>
      <c r="W274" t="s">
        <v>1934</v>
      </c>
      <c r="X274" t="s">
        <v>1935</v>
      </c>
    </row>
    <row r="275" spans="1:24">
      <c r="C275">
        <v>36416</v>
      </c>
      <c r="D275">
        <v>52</v>
      </c>
      <c r="I275" t="s">
        <v>1936</v>
      </c>
      <c r="J275" t="s">
        <v>1479</v>
      </c>
      <c r="U275" t="s">
        <v>1937</v>
      </c>
      <c r="V275" t="str">
        <f t="shared" si="4"/>
        <v>{dwID=36416,nFrame=52,szNote="大旗·世外坡",col={0,255,0,},[3]={},[4]={},aFocus={{dwMapID=-1,szDisplay="大旗·世外坡·交互",nMaxDistance=1,tRelation={bAll=true,bEnemy=false,bAlly=false,},tLife={bEnable=false,szOperator="&gt;",nValue=0,},},},tCountdown={{nClass=3,nIcon=3445,nFrame=3,szName="世外坡·浩气大旗被夺",nTime=-1,key="世外坡·浩气大旗",},{nClass=3,nIcon=3444,nFrame=7,szName="世外坡·恶人大旗被夺",nTime=-1,key="世外坡·恶人大旗",},},},</v>
      </c>
      <c r="W275" t="s">
        <v>1938</v>
      </c>
      <c r="X275" t="s">
        <v>1939</v>
      </c>
    </row>
    <row r="276" customFormat="1" spans="1:24">
      <c r="C276">
        <v>30063</v>
      </c>
      <c r="D276">
        <v>52</v>
      </c>
      <c r="I276" t="s">
        <v>1940</v>
      </c>
      <c r="U276" t="s">
        <v>1703</v>
      </c>
      <c r="V276" t="str">
        <f t="shared" si="4"/>
        <v>{dwID=30063,nFrame=52,szNote="城门·马嵬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76" t="s">
        <v>1704</v>
      </c>
    </row>
    <row r="277" customFormat="1" spans="1:24">
      <c r="C277">
        <v>30062</v>
      </c>
      <c r="D277">
        <v>52</v>
      </c>
      <c r="I277" t="s">
        <v>1940</v>
      </c>
      <c r="U277" t="s">
        <v>1703</v>
      </c>
      <c r="V277" t="str">
        <f t="shared" si="4"/>
        <v>{dwID=30062,nFrame=52,szNote="城门·马嵬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77" t="s">
        <v>1704</v>
      </c>
    </row>
    <row r="278" customFormat="1" spans="1:24">
      <c r="C278">
        <v>30061</v>
      </c>
      <c r="D278">
        <v>52</v>
      </c>
      <c r="I278" t="s">
        <v>1940</v>
      </c>
      <c r="U278" t="s">
        <v>1703</v>
      </c>
      <c r="V278" t="str">
        <f t="shared" si="4"/>
        <v>{dwID=30061,nFrame=52,szNote="城门·马嵬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78" t="s">
        <v>1704</v>
      </c>
    </row>
    <row r="279" customFormat="1" spans="1:24">
      <c r="C279">
        <v>30103</v>
      </c>
      <c r="D279">
        <v>52</v>
      </c>
      <c r="I279" t="s">
        <v>1941</v>
      </c>
      <c r="U279" t="s">
        <v>1698</v>
      </c>
      <c r="V279" t="str">
        <f t="shared" si="4"/>
        <v>{dwID=30103,nFrame=52,szNote="粮仓·马嵬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80" customFormat="1" spans="1:24">
      <c r="C280" s="5">
        <v>29501</v>
      </c>
      <c r="D280">
        <v>52</v>
      </c>
      <c r="I280" t="s">
        <v>1843</v>
      </c>
      <c r="U280" t="s">
        <v>1701</v>
      </c>
      <c r="V280" t="str">
        <f t="shared" si="4"/>
        <v>{dwID=29501,nFrame=52,szNote="箭塔·马嵬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81" customFormat="1" spans="1:24">
      <c r="C281" s="7">
        <v>59870</v>
      </c>
      <c r="D281">
        <v>47</v>
      </c>
      <c r="I281" t="s">
        <v>1942</v>
      </c>
      <c r="J281" t="s">
        <v>1608</v>
      </c>
      <c r="P281">
        <v>1</v>
      </c>
      <c r="U281" t="s">
        <v>1765</v>
      </c>
      <c r="V281" t="str">
        <f t="shared" si="4"/>
        <v>{dwID=59870,nFrame=47,szNote="据点争夺·增援首领·陶寒亭",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82" customFormat="1" spans="1:24">
      <c r="C282" s="7">
        <v>59871</v>
      </c>
      <c r="D282">
        <v>47</v>
      </c>
      <c r="I282" t="s">
        <v>1943</v>
      </c>
      <c r="J282" t="s">
        <v>1608</v>
      </c>
      <c r="P282">
        <v>1</v>
      </c>
      <c r="U282" t="s">
        <v>1765</v>
      </c>
      <c r="V282" t="str">
        <f t="shared" si="4"/>
        <v>{dwID=59871,nFrame=47,szNote="据点争夺·增援首领·肖药儿",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283" spans="1:24">
      <c r="A283" t="s">
        <v>1062</v>
      </c>
      <c r="B283">
        <v>217</v>
      </c>
      <c r="V283" t="str">
        <f t="shared" si="4"/>
        <v>},[217]={</v>
      </c>
    </row>
    <row r="284" spans="1:24">
      <c r="C284">
        <v>101012</v>
      </c>
      <c r="D284">
        <v>47</v>
      </c>
      <c r="I284" t="s">
        <v>1944</v>
      </c>
      <c r="J284" s="9" t="s">
        <v>642</v>
      </c>
      <c r="P284">
        <v>1</v>
      </c>
      <c r="U284" t="s">
        <v>1945</v>
      </c>
      <c r="V284" t="str">
        <f t="shared" si="4"/>
        <v>{dwID=101012,nFrame=47,szNote="烽烟再起·郭戈",col={255,120,31,},[3]={bScreenHead=true,},[4]={},aFocus={{dwMapID=-1,szDisplay="郭戈·烽烟再起",nMaxDistance=10,tRelation={bAll=false,bEnemy=false,bAlly=true,},tLife={bEnable=false,szOperator="&gt;",nValue=0,},},},},</v>
      </c>
    </row>
    <row r="285" spans="1:24">
      <c r="C285">
        <v>101011</v>
      </c>
      <c r="D285">
        <v>47</v>
      </c>
      <c r="I285" t="s">
        <v>1946</v>
      </c>
      <c r="J285" s="10" t="s">
        <v>647</v>
      </c>
      <c r="P285">
        <v>1</v>
      </c>
      <c r="U285" t="s">
        <v>1947</v>
      </c>
      <c r="V285" t="str">
        <f t="shared" si="4"/>
        <v>{dwID=101011,nFrame=47,szNote="烽烟再起·蒋征南",col={31,230,255,},[3]={bScreenHead=true,},[4]={},aFocus={{dwMapID=-1,szDisplay="蒋征南·烽烟再起",nMaxDistance=10,tRelation={bAll=false,bEnemy=false,bAlly=true,},tLife={bEnable=false,szOperator="&gt;",nValue=0,},},},},</v>
      </c>
    </row>
    <row r="286" spans="1:24">
      <c r="A286" t="s">
        <v>1061</v>
      </c>
      <c r="B286">
        <v>216</v>
      </c>
      <c r="V286" t="str">
        <f t="shared" si="4"/>
        <v>},[216]={</v>
      </c>
    </row>
    <row r="287" spans="1:24">
      <c r="C287">
        <v>123840</v>
      </c>
      <c r="D287">
        <v>52</v>
      </c>
      <c r="I287" t="s">
        <v>1948</v>
      </c>
      <c r="J287" t="s">
        <v>1479</v>
      </c>
      <c r="O287">
        <v>1</v>
      </c>
      <c r="P287">
        <v>1</v>
      </c>
      <c r="U287" t="s">
        <v>1949</v>
      </c>
      <c r="V287" t="str">
        <f t="shared" si="4"/>
        <v>{dwID=123840,nFrame=52,szNote="大旗·云台营",col={0,255,0,},[3]={bCenterAlarm=true,bScreenHead=true,},[4]={},aFocus={{dwMapID=-1,szDisplay="大旗·云台营·交互",nMaxDistance=1,tRelation={bAll=true,bEnemy=false,bAlly=false,},tLife={bEnable=false,szOperator="&gt;",nValue=0,},},{dwMapID=-1,szDisplay="大旗·云台营",nMaxDistance=30,tRelation={bAll=true,bEnemy=false,bAlly=false,},tLife={bEnable=false,szOperator="&gt;",nValue=0,},},},tCountdown={{nClass=3,nIcon=3445,nFrame=3,szName="云台营·浩气大旗被夺",nTime=-1,key="云台营·浩气大旗",},{nClass=3,nIcon=3444,nFrame=7,szName="云台营·恶人大旗被夺",nTime=-1,key="云台营·恶人大旗",},},},</v>
      </c>
      <c r="W287" t="s">
        <v>1950</v>
      </c>
      <c r="X287" t="s">
        <v>1951</v>
      </c>
    </row>
    <row r="288" spans="1:24">
      <c r="C288">
        <v>123841</v>
      </c>
      <c r="D288">
        <v>52</v>
      </c>
      <c r="I288" t="s">
        <v>1952</v>
      </c>
      <c r="J288" t="s">
        <v>1479</v>
      </c>
      <c r="O288">
        <v>1</v>
      </c>
      <c r="P288">
        <v>1</v>
      </c>
      <c r="U288" t="s">
        <v>1953</v>
      </c>
      <c r="V288" t="str">
        <f t="shared" si="4"/>
        <v>{dwID=123841,nFrame=52,szNote="大旗·高阳营",col={0,255,0,},[3]={bCenterAlarm=true,bScreenHead=true,},[4]={},aFocus={{dwMapID=-1,szDisplay="大旗·高阳营·交互",nMaxDistance=1,tRelation={bAll=true,bEnemy=false,bAlly=false,},tLife={bEnable=false,szOperator="&gt;",nValue=0,},},{dwMapID=-1,szDisplay="大旗·高阳营",nMaxDistance=30,tRelation={bAll=true,bEnemy=false,bAlly=false,},tLife={bEnable=false,szOperator="&gt;",nValue=0,},},},tCountdown={{nClass=3,nIcon=3445,nFrame=3,szName="高阳营·浩气大旗被夺",nTime=-1,key="高阳营·浩气大旗",},{nClass=3,nIcon=3444,nFrame=7,szName="高阳营·恶人大旗被夺",nTime=-1,key="高阳营·恶人大旗",},},},</v>
      </c>
      <c r="W288" t="s">
        <v>1954</v>
      </c>
      <c r="X288" t="s">
        <v>1955</v>
      </c>
    </row>
    <row r="289" spans="3:23">
      <c r="C289">
        <v>101012</v>
      </c>
      <c r="D289">
        <v>47</v>
      </c>
      <c r="I289" t="s">
        <v>1944</v>
      </c>
      <c r="J289" s="9" t="s">
        <v>642</v>
      </c>
      <c r="P289">
        <v>1</v>
      </c>
      <c r="U289" t="s">
        <v>1945</v>
      </c>
      <c r="V289" t="str">
        <f t="shared" si="4"/>
        <v>{dwID=101012,nFrame=47,szNote="烽烟再起·郭戈",col={255,120,31,},[3]={bScreenHead=true,},[4]={},aFocus={{dwMapID=-1,szDisplay="郭戈·烽烟再起",nMaxDistance=10,tRelation={bAll=false,bEnemy=false,bAlly=true,},tLife={bEnable=false,szOperator="&gt;",nValue=0,},},},},</v>
      </c>
    </row>
    <row r="290" spans="3:23">
      <c r="C290">
        <v>101011</v>
      </c>
      <c r="D290">
        <v>47</v>
      </c>
      <c r="I290" t="s">
        <v>1946</v>
      </c>
      <c r="J290" s="10" t="s">
        <v>647</v>
      </c>
      <c r="P290">
        <v>1</v>
      </c>
      <c r="U290" t="s">
        <v>1947</v>
      </c>
      <c r="V290" t="str">
        <f t="shared" si="4"/>
        <v>{dwID=101011,nFrame=47,szNote="烽烟再起·蒋征南",col={31,230,255,},[3]={bScreenHead=true,},[4]={},aFocus={{dwMapID=-1,szDisplay="蒋征南·烽烟再起",nMaxDistance=10,tRelation={bAll=false,bEnemy=false,bAlly=true,},tLife={bEnable=false,szOperator="&gt;",nValue=0,},},},},</v>
      </c>
    </row>
    <row r="291" spans="3:23">
      <c r="C291">
        <v>56526</v>
      </c>
      <c r="D291">
        <v>52</v>
      </c>
      <c r="I291" t="s">
        <v>1956</v>
      </c>
      <c r="P291">
        <v>1</v>
      </c>
      <c r="U291" t="s">
        <v>1957</v>
      </c>
      <c r="V291" t="str">
        <f t="shared" si="4"/>
        <v>{dwID=56526,nFrame=52,szNote="浩气牛车",[3]={bScreenHead=true,},[4]={},aFocus={{dwMapID=-1,nMaxDistance=40,tRelation={bAll=true,bEnemy=false,bAlly=false,},tLife={bEnable=false,szOperator="&gt;",nValue=0,},},},},</v>
      </c>
    </row>
    <row r="292" spans="3:23">
      <c r="C292">
        <v>56527</v>
      </c>
      <c r="D292">
        <v>52</v>
      </c>
      <c r="I292" t="s">
        <v>1958</v>
      </c>
      <c r="P292">
        <v>1</v>
      </c>
      <c r="U292" t="s">
        <v>1957</v>
      </c>
      <c r="V292" t="str">
        <f t="shared" si="4"/>
        <v>{dwID=56527,nFrame=52,szNote="恶人牛车",[3]={bScreenHead=true,},[4]={},aFocus={{dwMapID=-1,nMaxDistance=40,tRelation={bAll=true,bEnemy=false,bAlly=false,},tLife={bEnable=false,szOperator="&gt;",nValue=0,},},},},</v>
      </c>
    </row>
    <row r="293" spans="3:23">
      <c r="C293">
        <v>123976</v>
      </c>
      <c r="D293">
        <v>47</v>
      </c>
      <c r="I293" t="s">
        <v>1737</v>
      </c>
      <c r="P293">
        <v>1</v>
      </c>
      <c r="U293" t="s">
        <v>1959</v>
      </c>
      <c r="V293" t="str">
        <f t="shared" si="4"/>
        <v>{dwID=123976,nFrame=47,szNote="恶人谷大将",[3]={bScreenHead=true,},[4]={},aFocus={{dwMapID=-1,nMaxDistance=90,tRelation={bAll=false,bEnemy=true,bAlly=false,},tLife={bEnable=false,szOperator="&gt;",nValue=0,},},{dwMapID=-1,nMaxDistance=60,tRelation={bAll=false,bEnemy=false,bAlly=true,},tLife={bEnable=true,szOperator="&lt;",nValue=100,},},},tCountdown={{nClass=12,nFrame=3,nIcon=18830,nTime=10,szName="恶人谷大将·退场",nRefresh=2,key="恶人谷大将",},},},</v>
      </c>
      <c r="W293" t="s">
        <v>1739</v>
      </c>
    </row>
    <row r="294" spans="3:23">
      <c r="C294">
        <v>123975</v>
      </c>
      <c r="D294">
        <v>47</v>
      </c>
      <c r="I294" t="s">
        <v>1740</v>
      </c>
      <c r="P294">
        <v>1</v>
      </c>
      <c r="U294" t="s">
        <v>1959</v>
      </c>
      <c r="V294" t="str">
        <f t="shared" si="4"/>
        <v>{dwID=123975,nFrame=47,szNote="浩气盟大将",[3]={bScreenHead=true,},[4]={},aFocus={{dwMapID=-1,nMaxDistance=90,tRelation={bAll=false,bEnemy=true,bAlly=false,},tLife={bEnable=false,szOperator="&gt;",nValue=0,},},{dwMapID=-1,nMaxDistance=60,tRelation={bAll=false,bEnemy=false,bAlly=true,},tLife={bEnable=true,szOperator="&lt;",nValue=100,},},},tCountdown={{nClass=12,nFrame=7,nIcon=18829,nTime=10,szName="浩气盟大将·退场",nRefresh=2,key="浩气盟大将",},},},</v>
      </c>
      <c r="W294" t="s">
        <v>1741</v>
      </c>
    </row>
    <row r="295" customFormat="1" spans="3:23">
      <c r="C295">
        <v>124104</v>
      </c>
      <c r="D295">
        <v>52</v>
      </c>
      <c r="I295" t="s">
        <v>1960</v>
      </c>
      <c r="U295" t="s">
        <v>1703</v>
      </c>
      <c r="V295" t="str">
        <f t="shared" si="4"/>
        <v>{dwID=124104,nFrame=52,szNote="城门·阴山大草原",[3]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95" t="s">
        <v>1704</v>
      </c>
    </row>
    <row r="296" customFormat="1" spans="3:23">
      <c r="C296">
        <v>124103</v>
      </c>
      <c r="D296">
        <v>52</v>
      </c>
      <c r="I296" t="s">
        <v>1960</v>
      </c>
      <c r="U296" t="s">
        <v>1703</v>
      </c>
      <c r="V296" t="str">
        <f t="shared" si="4"/>
        <v>{dwID=124103,nFrame=52,szNote="城门·阴山大草原",[3]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96" t="s">
        <v>1704</v>
      </c>
    </row>
    <row r="297" customFormat="1" spans="3:23">
      <c r="C297">
        <v>124102</v>
      </c>
      <c r="D297">
        <v>52</v>
      </c>
      <c r="I297" t="s">
        <v>1960</v>
      </c>
      <c r="U297" t="s">
        <v>1703</v>
      </c>
      <c r="V297" t="str">
        <f t="shared" si="4"/>
        <v>{dwID=124102,nFrame=52,szNote="城门·阴山大草原",[3]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97" t="s">
        <v>1704</v>
      </c>
    </row>
    <row r="298" customFormat="1" spans="3:23">
      <c r="C298">
        <v>124101</v>
      </c>
      <c r="D298">
        <v>52</v>
      </c>
      <c r="I298" t="s">
        <v>1960</v>
      </c>
      <c r="U298" t="s">
        <v>1703</v>
      </c>
      <c r="V298" t="str">
        <f t="shared" si="4"/>
        <v>{dwID=124101,nFrame=52,szNote="城门·阴山大草原",[3]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98" t="s">
        <v>1704</v>
      </c>
    </row>
    <row r="299" spans="3:23">
      <c r="C299">
        <v>124280</v>
      </c>
      <c r="D299">
        <v>52</v>
      </c>
      <c r="I299" t="s">
        <v>1961</v>
      </c>
      <c r="U299" t="s">
        <v>1698</v>
      </c>
      <c r="V299" t="str">
        <f t="shared" si="4"/>
        <v>{dwID=124280,nFrame=52,szNote="工坊·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00" spans="3:23">
      <c r="C300">
        <v>124281</v>
      </c>
      <c r="D300">
        <v>52</v>
      </c>
      <c r="I300" t="s">
        <v>1961</v>
      </c>
      <c r="U300" t="s">
        <v>1698</v>
      </c>
      <c r="V300" t="str">
        <f t="shared" si="4"/>
        <v>{dwID=124281,nFrame=52,szNote="工坊·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01" spans="3:23">
      <c r="C301">
        <v>124290</v>
      </c>
      <c r="D301">
        <v>52</v>
      </c>
      <c r="I301" t="s">
        <v>1961</v>
      </c>
      <c r="U301" t="s">
        <v>1698</v>
      </c>
      <c r="V301" t="str">
        <f t="shared" si="4"/>
        <v>{dwID=124290,nFrame=52,szNote="工坊·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02" spans="3:23">
      <c r="C302">
        <v>124291</v>
      </c>
      <c r="D302">
        <v>52</v>
      </c>
      <c r="I302" t="s">
        <v>1961</v>
      </c>
      <c r="U302" t="s">
        <v>1698</v>
      </c>
      <c r="V302" t="str">
        <f t="shared" si="4"/>
        <v>{dwID=124291,nFrame=52,szNote="工坊·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03" spans="3:23">
      <c r="C303">
        <v>124260</v>
      </c>
      <c r="D303">
        <v>52</v>
      </c>
      <c r="I303" t="s">
        <v>1962</v>
      </c>
      <c r="U303" t="s">
        <v>1698</v>
      </c>
      <c r="V303" t="str">
        <f t="shared" si="4"/>
        <v>{dwID=124260,nFrame=52,szNote="粮仓·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04" spans="3:23">
      <c r="C304">
        <v>124261</v>
      </c>
      <c r="D304">
        <v>52</v>
      </c>
      <c r="I304" t="s">
        <v>1962</v>
      </c>
      <c r="U304" t="s">
        <v>1698</v>
      </c>
      <c r="V304" t="str">
        <f t="shared" si="4"/>
        <v>{dwID=124261,nFrame=52,szNote="粮仓·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05" spans="3:22">
      <c r="C305">
        <v>124270</v>
      </c>
      <c r="D305">
        <v>52</v>
      </c>
      <c r="I305" t="s">
        <v>1962</v>
      </c>
      <c r="U305" t="s">
        <v>1698</v>
      </c>
      <c r="V305" t="str">
        <f t="shared" si="4"/>
        <v>{dwID=124270,nFrame=52,szNote="粮仓·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06" spans="3:22">
      <c r="C306">
        <v>124271</v>
      </c>
      <c r="D306">
        <v>52</v>
      </c>
      <c r="I306" t="s">
        <v>1962</v>
      </c>
      <c r="U306" t="s">
        <v>1698</v>
      </c>
      <c r="V306" t="str">
        <f t="shared" si="4"/>
        <v>{dwID=124271,nFrame=52,szNote="粮仓·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07" spans="3:22">
      <c r="C307">
        <v>124124</v>
      </c>
      <c r="D307">
        <v>52</v>
      </c>
      <c r="I307" t="s">
        <v>1963</v>
      </c>
      <c r="U307" t="s">
        <v>1701</v>
      </c>
      <c r="V307" t="str">
        <f t="shared" si="4"/>
        <v>{dwID=124124,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08" spans="3:22">
      <c r="C308">
        <v>124109</v>
      </c>
      <c r="D308">
        <v>52</v>
      </c>
      <c r="I308" t="s">
        <v>1963</v>
      </c>
      <c r="U308" t="s">
        <v>1701</v>
      </c>
      <c r="V308" t="str">
        <f t="shared" si="4"/>
        <v>{dwID=124109,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09" spans="3:22">
      <c r="C309">
        <v>124110</v>
      </c>
      <c r="D309">
        <v>52</v>
      </c>
      <c r="I309" t="s">
        <v>1963</v>
      </c>
      <c r="U309" t="s">
        <v>1701</v>
      </c>
      <c r="V309" t="str">
        <f t="shared" si="4"/>
        <v>{dwID=124110,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0" spans="3:22">
      <c r="C310">
        <v>124111</v>
      </c>
      <c r="D310">
        <v>52</v>
      </c>
      <c r="I310" t="s">
        <v>1963</v>
      </c>
      <c r="U310" t="s">
        <v>1701</v>
      </c>
      <c r="V310" t="str">
        <f t="shared" si="4"/>
        <v>{dwID=124111,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1" spans="3:22">
      <c r="C311">
        <v>124112</v>
      </c>
      <c r="D311">
        <v>52</v>
      </c>
      <c r="I311" t="s">
        <v>1963</v>
      </c>
      <c r="U311" t="s">
        <v>1701</v>
      </c>
      <c r="V311" t="str">
        <f t="shared" si="4"/>
        <v>{dwID=124112,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2" spans="3:22">
      <c r="C312">
        <v>124113</v>
      </c>
      <c r="D312">
        <v>52</v>
      </c>
      <c r="I312" t="s">
        <v>1963</v>
      </c>
      <c r="U312" t="s">
        <v>1701</v>
      </c>
      <c r="V312" t="str">
        <f t="shared" si="4"/>
        <v>{dwID=124113,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3" spans="3:22">
      <c r="C313">
        <v>124114</v>
      </c>
      <c r="D313">
        <v>52</v>
      </c>
      <c r="I313" t="s">
        <v>1963</v>
      </c>
      <c r="U313" t="s">
        <v>1701</v>
      </c>
      <c r="V313" t="str">
        <f t="shared" si="4"/>
        <v>{dwID=124114,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4" spans="3:22">
      <c r="C314">
        <v>124115</v>
      </c>
      <c r="D314">
        <v>52</v>
      </c>
      <c r="I314" t="s">
        <v>1963</v>
      </c>
      <c r="U314" t="s">
        <v>1701</v>
      </c>
      <c r="V314" t="str">
        <f t="shared" si="4"/>
        <v>{dwID=124115,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5" spans="3:22">
      <c r="C315">
        <v>124116</v>
      </c>
      <c r="D315">
        <v>52</v>
      </c>
      <c r="I315" t="s">
        <v>1963</v>
      </c>
      <c r="U315" t="s">
        <v>1701</v>
      </c>
      <c r="V315" t="str">
        <f t="shared" si="4"/>
        <v>{dwID=124116,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6" spans="3:22">
      <c r="C316">
        <v>124117</v>
      </c>
      <c r="D316">
        <v>52</v>
      </c>
      <c r="I316" t="s">
        <v>1963</v>
      </c>
      <c r="U316" t="s">
        <v>1701</v>
      </c>
      <c r="V316" t="str">
        <f t="shared" si="4"/>
        <v>{dwID=124117,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7" spans="3:22">
      <c r="C317">
        <v>124118</v>
      </c>
      <c r="D317">
        <v>52</v>
      </c>
      <c r="I317" t="s">
        <v>1963</v>
      </c>
      <c r="U317" t="s">
        <v>1701</v>
      </c>
      <c r="V317" t="str">
        <f t="shared" si="4"/>
        <v>{dwID=124118,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8" spans="3:22">
      <c r="C318">
        <v>124119</v>
      </c>
      <c r="D318">
        <v>52</v>
      </c>
      <c r="I318" t="s">
        <v>1963</v>
      </c>
      <c r="U318" t="s">
        <v>1701</v>
      </c>
      <c r="V318" t="str">
        <f t="shared" si="4"/>
        <v>{dwID=124119,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9" spans="3:22">
      <c r="C319">
        <v>124120</v>
      </c>
      <c r="D319">
        <v>52</v>
      </c>
      <c r="I319" t="s">
        <v>1963</v>
      </c>
      <c r="U319" t="s">
        <v>1701</v>
      </c>
      <c r="V319" t="str">
        <f t="shared" si="4"/>
        <v>{dwID=124120,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20" spans="3:22">
      <c r="C320">
        <v>124121</v>
      </c>
      <c r="D320">
        <v>52</v>
      </c>
      <c r="I320" t="s">
        <v>1963</v>
      </c>
      <c r="U320" t="s">
        <v>1701</v>
      </c>
      <c r="V320" t="str">
        <f t="shared" si="4"/>
        <v>{dwID=124121,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21" spans="1:23">
      <c r="C321">
        <v>124122</v>
      </c>
      <c r="D321">
        <v>52</v>
      </c>
      <c r="I321" t="s">
        <v>1963</v>
      </c>
      <c r="U321" t="s">
        <v>1701</v>
      </c>
      <c r="V321" t="str">
        <f t="shared" si="4"/>
        <v>{dwID=124122,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22" spans="1:23">
      <c r="C322">
        <v>124123</v>
      </c>
      <c r="D322">
        <v>52</v>
      </c>
      <c r="I322" t="s">
        <v>1963</v>
      </c>
      <c r="U322" t="s">
        <v>1701</v>
      </c>
      <c r="V322" t="str">
        <f t="shared" si="4"/>
        <v>{dwID=124123,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23" spans="1:23">
      <c r="C323">
        <v>123871</v>
      </c>
      <c r="D323">
        <v>47</v>
      </c>
      <c r="I323" t="s">
        <v>1692</v>
      </c>
      <c r="U323" t="s">
        <v>1964</v>
      </c>
      <c r="V323" t="str">
        <f t="shared" ref="V323:V370" si="5">IF(ISBLANK(B323)=FALSE,IF(ISBLANK(B322),"},["&amp;B323&amp;"]={","["&amp;B323&amp;"]={"),IF(AND(ISBLANK(B323),ISBLANK(D323),ISBLANK(C323),OR(ISBLANK(B322)=FALSE,ISBLANK(D322)=FALSE,ISBLANK(C322)=FALSE)),"},},}",IF(ISBLANK(C323),"","{dwID="&amp;C323&amp;","&amp;"nFrame="&amp;D323&amp;","&amp;IF(E323&gt;0,"nCount="&amp;E323&amp;",","")&amp;IF(F323&gt;0,"bAllLeave=true,","")&amp;IF(G323&lt;&gt;"","szName="""&amp;G323&amp;""",","")&amp;IF(H323&lt;&gt;"","tKungFu={"&amp;H323&amp;"},","")&amp;IF(I323&lt;&gt;"","szNote="""&amp;I323&amp;""",","")&amp;IF(J323&lt;&gt;"","col={"&amp;J323&amp;"},","")&amp;"[3]={"&amp;IF(K323&lt;&gt;"","tMark={"&amp;K323&amp;"},","")&amp;IF(L323&lt;&gt;"","szVoice="""&amp;L323&amp;""",","")&amp;IF(M323&gt;0,"bTeamChannel=true,","")&amp;IF(N323&gt;0,"bWhisperChannel=true,","")&amp;IF(O323&gt;0,"bCenterAlarm=true,","")&amp;IF(P323&gt;0,"bScreenHead=true,","")&amp;"},"&amp;"[4]={"&amp;IF(Q323&lt;&gt;"","szVoice="""&amp;Q323&amp;""",","")&amp;IF(R323&gt;0,"bTeamChannel=true,","")&amp;IF(S323&gt;0,"bWhisperChannel=true,","")&amp;IF(T323&gt;0,"bCenterAlarm=true,","")&amp;"},"&amp;IF(U323&lt;&gt;"","aFocus={"&amp;U323&amp;"},","")&amp;IF(W323&lt;&gt;"","tCountdown={"&amp;_xlfn.TEXTJOIN("",TRUE,W323:ZZ323)&amp;"},","")&amp;"},")))</f>
        <v>{dwID=123871,nFrame=47,szNote="小珍",[3]={},[4]={},aFocus={{dwMapID=-1,szDisplay="分线·传送",nMaxDistance=12,tRelation={bAll=false,bEnemy=false,bAlly=true,},tLife={bEnable=false,szOperator="&gt;",nValue=0,},},},},</v>
      </c>
    </row>
    <row r="324" spans="1:23">
      <c r="C324">
        <v>123867</v>
      </c>
      <c r="D324">
        <v>47</v>
      </c>
      <c r="I324" t="s">
        <v>1694</v>
      </c>
      <c r="U324" t="s">
        <v>1964</v>
      </c>
      <c r="V324" t="str">
        <f t="shared" si="5"/>
        <v>{dwID=123867,nFrame=47,szNote="小曾",[3]={},[4]={},aFocus={{dwMapID=-1,szDisplay="分线·传送",nMaxDistance=12,tRelation={bAll=false,bEnemy=false,bAlly=true,},tLife={bEnable=false,szOperator="&gt;",nValue=0,},},},},</v>
      </c>
    </row>
    <row r="325" customFormat="1" spans="1:23">
      <c r="C325" s="5">
        <v>66809</v>
      </c>
      <c r="D325">
        <v>57</v>
      </c>
      <c r="G325" t="s">
        <v>1705</v>
      </c>
      <c r="I325" t="s">
        <v>1706</v>
      </c>
      <c r="O325">
        <v>1</v>
      </c>
      <c r="U325" t="s">
        <v>1707</v>
      </c>
      <c r="V325" t="str">
        <f t="shared" si="5"/>
        <v>{dwID=66809,nFrame=57,szName="火圈",szNote="减疗火圈",[3]={bCenterAlarm=true,},[4]={},aFocus={{dwMapID=-1,szDisplay="火圈·减疗",nMaxDistance=8,tRelation={bAll=true,bEnemy=true,bAlly=true,},tLife={bEnable=false,szOperator="&gt;",nValue=0,},},},},</v>
      </c>
    </row>
    <row r="326" customFormat="1" spans="1:23">
      <c r="C326" s="5">
        <v>36396</v>
      </c>
      <c r="D326">
        <v>52</v>
      </c>
      <c r="G326" t="s">
        <v>1729</v>
      </c>
      <c r="I326" t="s">
        <v>1730</v>
      </c>
      <c r="O326">
        <v>1</v>
      </c>
      <c r="P326">
        <v>1</v>
      </c>
      <c r="U326" t="s">
        <v>1731</v>
      </c>
      <c r="V326" t="str">
        <f t="shared" si="5"/>
        <v>{dwID=36396,nFrame=52,szName="神机台·有人",szNote="神机台·有人状态",[3]={bCenterAlarm=true,bScreenHead=true,},[4]={},aFocus={{dwMapID=-1,szDisplay="神机台·敌方",nMaxDistance=60,tRelation={bAll=false,bEnemy=true,bAlly=false,},tLife={bEnable=false,szOperator="&gt;",nValue=0,},},{dwMapID=-1,szDisplay="神机台·有人",nMaxDistance=60,tRelation={bAll=false,bEnemy=false,bAlly=true,},tLife={bEnable=false,szOperator="&gt;",nValue=0,},},},tCountdown={{nClass=12,nFrame=1,nIcon=361,nTime=10,szName="神机台·已摧毁",},},},</v>
      </c>
      <c r="W326" t="s">
        <v>1732</v>
      </c>
    </row>
    <row r="327" customFormat="1" spans="1:23">
      <c r="C327" s="5">
        <v>36005</v>
      </c>
      <c r="D327">
        <v>52</v>
      </c>
      <c r="I327" t="s">
        <v>1733</v>
      </c>
      <c r="P327">
        <v>1</v>
      </c>
      <c r="U327" t="s">
        <v>1734</v>
      </c>
      <c r="V327" t="str">
        <f t="shared" si="5"/>
        <v>{dwID=36005,nFrame=52,szNote="神机台·没人状态",[3]={bScreenHead=true,},[4]={},aFocus={{dwMapID=-1,nMaxDistance=-1,tRelation={bAll=true,bEnemy=true,bAlly=true,},tLife={bEnable=true,szOperator="&lt;",nValue=10,},},},},</v>
      </c>
    </row>
    <row r="328" customFormat="1" spans="1:23">
      <c r="C328" s="5">
        <v>100133</v>
      </c>
      <c r="D328">
        <v>57</v>
      </c>
      <c r="I328" t="s">
        <v>1735</v>
      </c>
      <c r="P328">
        <v>1</v>
      </c>
      <c r="U328" t="s">
        <v>1736</v>
      </c>
      <c r="V328" t="str">
        <f t="shared" si="5"/>
        <v>{dwID=100133,nFrame=57,szNote="狼牙先锋首领",[3]={bScreenHead=true,},[4]={},aFocus={{dwMapID=-1,nMaxDistance=90,tRelation={bAll=false,bEnemy=true,bAlly=false,},tLife={bEnable=false,szOperator="&gt;",nValue=0,},},},},</v>
      </c>
    </row>
    <row r="329" customFormat="1" spans="1:23">
      <c r="C329" s="5">
        <v>30537</v>
      </c>
      <c r="D329">
        <v>47</v>
      </c>
      <c r="I329" t="s">
        <v>1744</v>
      </c>
      <c r="J329" t="s">
        <v>1745</v>
      </c>
      <c r="P329">
        <v>1</v>
      </c>
      <c r="U329" t="s">
        <v>1746</v>
      </c>
      <c r="V329" t="str">
        <f t="shared" si="5"/>
        <v>{dwID=30537,nFrame=47,szNote="据点伙计",col={100,255,100,},[3]={bScreenHead=true,},[4]={},aFocus={{dwMapID=-1,nMaxDistance=10,tRelation={bAll=false,bEnemy=false,bAlly=true,},tLife={bEnable=false,szOperator="&gt;",nValue=0,},},},},</v>
      </c>
    </row>
    <row r="330" spans="1:23">
      <c r="A330" t="s">
        <v>1414</v>
      </c>
      <c r="B330">
        <v>656</v>
      </c>
      <c r="V330" t="str">
        <f t="shared" si="5"/>
        <v>},[656]={</v>
      </c>
    </row>
    <row r="331" spans="1:23">
      <c r="C331">
        <v>123840</v>
      </c>
      <c r="D331">
        <v>52</v>
      </c>
      <c r="I331" t="s">
        <v>1948</v>
      </c>
      <c r="J331" t="s">
        <v>1479</v>
      </c>
      <c r="O331">
        <v>1</v>
      </c>
      <c r="P331">
        <v>1</v>
      </c>
      <c r="U331" t="s">
        <v>1949</v>
      </c>
      <c r="V331" t="str">
        <f t="shared" si="5"/>
        <v>{dwID=123840,nFrame=52,szNote="大旗·云台营",col={0,255,0,},[3]={bCenterAlarm=true,bScreenHead=true,},[4]={},aFocus={{dwMapID=-1,szDisplay="大旗·云台营·交互",nMaxDistance=1,tRelation={bAll=true,bEnemy=false,bAlly=false,},tLife={bEnable=false,szOperator="&gt;",nValue=0,},},{dwMapID=-1,szDisplay="大旗·云台营",nMaxDistance=30,tRelation={bAll=true,bEnemy=false,bAlly=false,},tLife={bEnable=false,szOperator="&gt;",nValue=0,},},},},</v>
      </c>
    </row>
    <row r="332" spans="1:23">
      <c r="C332">
        <v>123841</v>
      </c>
      <c r="D332">
        <v>52</v>
      </c>
      <c r="I332" t="s">
        <v>1952</v>
      </c>
      <c r="J332" t="s">
        <v>1479</v>
      </c>
      <c r="O332">
        <v>1</v>
      </c>
      <c r="P332">
        <v>1</v>
      </c>
      <c r="U332" t="s">
        <v>1953</v>
      </c>
      <c r="V332" t="str">
        <f t="shared" si="5"/>
        <v>{dwID=123841,nFrame=52,szNote="大旗·高阳营",col={0,255,0,},[3]={bCenterAlarm=true,bScreenHead=true,},[4]={},aFocus={{dwMapID=-1,szDisplay="大旗·高阳营·交互",nMaxDistance=1,tRelation={bAll=true,bEnemy=false,bAlly=false,},tLife={bEnable=false,szOperator="&gt;",nValue=0,},},{dwMapID=-1,szDisplay="大旗·高阳营",nMaxDistance=30,tRelation={bAll=true,bEnemy=false,bAlly=false,},tLife={bEnable=false,szOperator="&gt;",nValue=0,},},},},</v>
      </c>
    </row>
    <row r="333" spans="1:23">
      <c r="C333">
        <v>123976</v>
      </c>
      <c r="D333">
        <v>47</v>
      </c>
      <c r="I333" t="s">
        <v>1737</v>
      </c>
      <c r="P333">
        <v>1</v>
      </c>
      <c r="U333" t="s">
        <v>1959</v>
      </c>
      <c r="V333" t="str">
        <f t="shared" si="5"/>
        <v>{dwID=123976,nFrame=47,szNote="恶人谷大将",[3]={bScreenHead=true,},[4]={},aFocus={{dwMapID=-1,nMaxDistance=90,tRelation={bAll=false,bEnemy=true,bAlly=false,},tLife={bEnable=false,szOperator="&gt;",nValue=0,},},{dwMapID=-1,nMaxDistance=60,tRelation={bAll=false,bEnemy=false,bAlly=true,},tLife={bEnable=true,szOperator="&lt;",nValue=100,},},},tCountdown={{nClass=12,nFrame=3,nIcon=18830,nTime=10,szName="恶人谷大将·退场",nRefresh=2,key="恶人谷大将",},},},</v>
      </c>
      <c r="W333" t="s">
        <v>1739</v>
      </c>
    </row>
    <row r="334" spans="1:23">
      <c r="C334">
        <v>123975</v>
      </c>
      <c r="D334">
        <v>47</v>
      </c>
      <c r="I334" t="s">
        <v>1740</v>
      </c>
      <c r="P334">
        <v>1</v>
      </c>
      <c r="U334" t="s">
        <v>1959</v>
      </c>
      <c r="V334" t="str">
        <f t="shared" si="5"/>
        <v>{dwID=123975,nFrame=47,szNote="浩气盟大将",[3]={bScreenHead=true,},[4]={},aFocus={{dwMapID=-1,nMaxDistance=90,tRelation={bAll=false,bEnemy=true,bAlly=false,},tLife={bEnable=false,szOperator="&gt;",nValue=0,},},{dwMapID=-1,nMaxDistance=60,tRelation={bAll=false,bEnemy=false,bAlly=true,},tLife={bEnable=true,szOperator="&lt;",nValue=100,},},},tCountdown={{nClass=12,nFrame=7,nIcon=18829,nTime=10,szName="浩气盟大将·退场",nRefresh=2,key="浩气盟大将",},},},</v>
      </c>
      <c r="W334" t="s">
        <v>1741</v>
      </c>
    </row>
    <row r="335" customFormat="1" spans="1:23">
      <c r="C335">
        <v>124104</v>
      </c>
      <c r="D335">
        <v>52</v>
      </c>
      <c r="I335" t="s">
        <v>1965</v>
      </c>
      <c r="U335" t="s">
        <v>1703</v>
      </c>
      <c r="V335" t="str">
        <f t="shared" si="5"/>
        <v>{dwID=124104,nFrame=52,szNote="城门·阴山大草原·分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35" t="s">
        <v>1704</v>
      </c>
    </row>
    <row r="336" customFormat="1" spans="1:23">
      <c r="C336">
        <v>124103</v>
      </c>
      <c r="D336">
        <v>52</v>
      </c>
      <c r="I336" t="s">
        <v>1965</v>
      </c>
      <c r="U336" t="s">
        <v>1703</v>
      </c>
      <c r="V336" t="str">
        <f t="shared" si="5"/>
        <v>{dwID=124103,nFrame=52,szNote="城门·阴山大草原·分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36" t="s">
        <v>1704</v>
      </c>
    </row>
    <row r="337" customFormat="1" spans="3:23">
      <c r="C337">
        <v>124102</v>
      </c>
      <c r="D337">
        <v>52</v>
      </c>
      <c r="I337" t="s">
        <v>1965</v>
      </c>
      <c r="U337" t="s">
        <v>1703</v>
      </c>
      <c r="V337" t="str">
        <f t="shared" si="5"/>
        <v>{dwID=124102,nFrame=52,szNote="城门·阴山大草原·分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37" t="s">
        <v>1704</v>
      </c>
    </row>
    <row r="338" customFormat="1" spans="3:23">
      <c r="C338">
        <v>124101</v>
      </c>
      <c r="D338">
        <v>52</v>
      </c>
      <c r="I338" t="s">
        <v>1965</v>
      </c>
      <c r="U338" t="s">
        <v>1703</v>
      </c>
      <c r="V338" t="str">
        <f t="shared" si="5"/>
        <v>{dwID=124101,nFrame=52,szNote="城门·阴山大草原·分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38" t="s">
        <v>1704</v>
      </c>
    </row>
    <row r="339" spans="3:23">
      <c r="C339">
        <v>124280</v>
      </c>
      <c r="D339">
        <v>52</v>
      </c>
      <c r="I339" t="s">
        <v>1966</v>
      </c>
      <c r="U339" t="s">
        <v>1698</v>
      </c>
      <c r="V339" t="str">
        <f t="shared" si="5"/>
        <v>{dwID=124280,nFrame=52,szNote="工坊·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0" spans="3:23">
      <c r="C340">
        <v>124281</v>
      </c>
      <c r="D340">
        <v>52</v>
      </c>
      <c r="I340" t="s">
        <v>1966</v>
      </c>
      <c r="U340" t="s">
        <v>1698</v>
      </c>
      <c r="V340" t="str">
        <f t="shared" si="5"/>
        <v>{dwID=124281,nFrame=52,szNote="工坊·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1" spans="3:23">
      <c r="C341">
        <v>124290</v>
      </c>
      <c r="D341">
        <v>52</v>
      </c>
      <c r="I341" t="s">
        <v>1966</v>
      </c>
      <c r="U341" t="s">
        <v>1698</v>
      </c>
      <c r="V341" t="str">
        <f t="shared" si="5"/>
        <v>{dwID=124290,nFrame=52,szNote="工坊·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2" spans="3:23">
      <c r="C342">
        <v>124291</v>
      </c>
      <c r="D342">
        <v>52</v>
      </c>
      <c r="I342" t="s">
        <v>1966</v>
      </c>
      <c r="U342" t="s">
        <v>1698</v>
      </c>
      <c r="V342" t="str">
        <f t="shared" si="5"/>
        <v>{dwID=124291,nFrame=52,szNote="工坊·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3" spans="3:23">
      <c r="C343">
        <v>124260</v>
      </c>
      <c r="D343">
        <v>52</v>
      </c>
      <c r="I343" t="s">
        <v>1967</v>
      </c>
      <c r="U343" t="s">
        <v>1698</v>
      </c>
      <c r="V343" t="str">
        <f t="shared" si="5"/>
        <v>{dwID=124260,nFrame=52,szNote="粮仓·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4" spans="3:23">
      <c r="C344">
        <v>124261</v>
      </c>
      <c r="D344">
        <v>52</v>
      </c>
      <c r="I344" t="s">
        <v>1967</v>
      </c>
      <c r="U344" t="s">
        <v>1698</v>
      </c>
      <c r="V344" t="str">
        <f t="shared" si="5"/>
        <v>{dwID=124261,nFrame=52,szNote="粮仓·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5" spans="3:23">
      <c r="C345">
        <v>124270</v>
      </c>
      <c r="D345">
        <v>52</v>
      </c>
      <c r="I345" t="s">
        <v>1967</v>
      </c>
      <c r="U345" t="s">
        <v>1698</v>
      </c>
      <c r="V345" t="str">
        <f t="shared" si="5"/>
        <v>{dwID=124270,nFrame=52,szNote="粮仓·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6" spans="3:23">
      <c r="C346">
        <v>124271</v>
      </c>
      <c r="D346">
        <v>52</v>
      </c>
      <c r="I346" t="s">
        <v>1967</v>
      </c>
      <c r="U346" t="s">
        <v>1698</v>
      </c>
      <c r="V346" t="str">
        <f t="shared" si="5"/>
        <v>{dwID=124271,nFrame=52,szNote="粮仓·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7" spans="3:23">
      <c r="C347">
        <v>124109</v>
      </c>
      <c r="D347">
        <v>52</v>
      </c>
      <c r="I347" t="s">
        <v>1968</v>
      </c>
      <c r="U347" t="s">
        <v>1701</v>
      </c>
      <c r="V347" t="str">
        <f t="shared" si="5"/>
        <v>{dwID=124109,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48" spans="3:23">
      <c r="C348">
        <v>124110</v>
      </c>
      <c r="D348">
        <v>52</v>
      </c>
      <c r="I348" t="s">
        <v>1968</v>
      </c>
      <c r="U348" t="s">
        <v>1701</v>
      </c>
      <c r="V348" t="str">
        <f t="shared" si="5"/>
        <v>{dwID=124110,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49" spans="3:23">
      <c r="C349">
        <v>124111</v>
      </c>
      <c r="D349">
        <v>52</v>
      </c>
      <c r="I349" t="s">
        <v>1968</v>
      </c>
      <c r="U349" t="s">
        <v>1701</v>
      </c>
      <c r="V349" t="str">
        <f t="shared" si="5"/>
        <v>{dwID=124111,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0" spans="3:23">
      <c r="C350">
        <v>124112</v>
      </c>
      <c r="D350">
        <v>52</v>
      </c>
      <c r="I350" t="s">
        <v>1968</v>
      </c>
      <c r="U350" t="s">
        <v>1701</v>
      </c>
      <c r="V350" t="str">
        <f t="shared" si="5"/>
        <v>{dwID=124112,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1" spans="3:23">
      <c r="C351">
        <v>124113</v>
      </c>
      <c r="D351">
        <v>52</v>
      </c>
      <c r="I351" t="s">
        <v>1968</v>
      </c>
      <c r="U351" t="s">
        <v>1701</v>
      </c>
      <c r="V351" t="str">
        <f t="shared" si="5"/>
        <v>{dwID=124113,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2" spans="3:23">
      <c r="C352">
        <v>124114</v>
      </c>
      <c r="D352">
        <v>52</v>
      </c>
      <c r="I352" t="s">
        <v>1968</v>
      </c>
      <c r="U352" t="s">
        <v>1701</v>
      </c>
      <c r="V352" t="str">
        <f t="shared" si="5"/>
        <v>{dwID=124114,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3" spans="3:23">
      <c r="C353">
        <v>124115</v>
      </c>
      <c r="D353">
        <v>52</v>
      </c>
      <c r="I353" t="s">
        <v>1968</v>
      </c>
      <c r="U353" t="s">
        <v>1701</v>
      </c>
      <c r="V353" t="str">
        <f t="shared" si="5"/>
        <v>{dwID=124115,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4" spans="3:23">
      <c r="C354">
        <v>124116</v>
      </c>
      <c r="D354">
        <v>52</v>
      </c>
      <c r="I354" t="s">
        <v>1968</v>
      </c>
      <c r="U354" t="s">
        <v>1701</v>
      </c>
      <c r="V354" t="str">
        <f t="shared" si="5"/>
        <v>{dwID=124116,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5" spans="3:23">
      <c r="C355">
        <v>124117</v>
      </c>
      <c r="D355">
        <v>52</v>
      </c>
      <c r="I355" t="s">
        <v>1968</v>
      </c>
      <c r="U355" t="s">
        <v>1701</v>
      </c>
      <c r="V355" t="str">
        <f t="shared" si="5"/>
        <v>{dwID=124117,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6" spans="3:23">
      <c r="C356">
        <v>124118</v>
      </c>
      <c r="D356">
        <v>52</v>
      </c>
      <c r="I356" t="s">
        <v>1968</v>
      </c>
      <c r="U356" t="s">
        <v>1701</v>
      </c>
      <c r="V356" t="str">
        <f t="shared" si="5"/>
        <v>{dwID=124118,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7" spans="3:23">
      <c r="C357">
        <v>124119</v>
      </c>
      <c r="D357">
        <v>52</v>
      </c>
      <c r="I357" t="s">
        <v>1968</v>
      </c>
      <c r="U357" t="s">
        <v>1701</v>
      </c>
      <c r="V357" t="str">
        <f t="shared" si="5"/>
        <v>{dwID=124119,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8" spans="3:23">
      <c r="C358">
        <v>124120</v>
      </c>
      <c r="D358">
        <v>52</v>
      </c>
      <c r="I358" t="s">
        <v>1968</v>
      </c>
      <c r="U358" t="s">
        <v>1701</v>
      </c>
      <c r="V358" t="str">
        <f t="shared" si="5"/>
        <v>{dwID=124120,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9" spans="3:23">
      <c r="C359">
        <v>124121</v>
      </c>
      <c r="D359">
        <v>52</v>
      </c>
      <c r="I359" t="s">
        <v>1968</v>
      </c>
      <c r="U359" t="s">
        <v>1701</v>
      </c>
      <c r="V359" t="str">
        <f t="shared" si="5"/>
        <v>{dwID=124121,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0" spans="3:23">
      <c r="C360">
        <v>124122</v>
      </c>
      <c r="D360">
        <v>52</v>
      </c>
      <c r="I360" t="s">
        <v>1968</v>
      </c>
      <c r="U360" t="s">
        <v>1701</v>
      </c>
      <c r="V360" t="str">
        <f t="shared" si="5"/>
        <v>{dwID=124122,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1" spans="3:23">
      <c r="C361">
        <v>124123</v>
      </c>
      <c r="D361">
        <v>52</v>
      </c>
      <c r="I361" t="s">
        <v>1968</v>
      </c>
      <c r="U361" t="s">
        <v>1701</v>
      </c>
      <c r="V361" t="str">
        <f t="shared" si="5"/>
        <v>{dwID=124123,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2" spans="3:23">
      <c r="C362">
        <v>124124</v>
      </c>
      <c r="D362">
        <v>52</v>
      </c>
      <c r="I362" t="s">
        <v>1968</v>
      </c>
      <c r="U362" t="s">
        <v>1701</v>
      </c>
      <c r="V362" t="str">
        <f t="shared" si="5"/>
        <v>{dwID=124124,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3" spans="3:23">
      <c r="C363">
        <v>123871</v>
      </c>
      <c r="D363">
        <v>47</v>
      </c>
      <c r="I363" t="s">
        <v>1692</v>
      </c>
      <c r="U363" t="s">
        <v>1964</v>
      </c>
      <c r="V363" t="str">
        <f t="shared" si="5"/>
        <v>{dwID=123871,nFrame=47,szNote="小珍",[3]={},[4]={},aFocus={{dwMapID=-1,szDisplay="分线·传送",nMaxDistance=12,tRelation={bAll=false,bEnemy=false,bAlly=true,},tLife={bEnable=false,szOperator="&gt;",nValue=0,},},},},</v>
      </c>
    </row>
    <row r="364" spans="3:23">
      <c r="C364">
        <v>123867</v>
      </c>
      <c r="D364">
        <v>47</v>
      </c>
      <c r="I364" t="s">
        <v>1694</v>
      </c>
      <c r="U364" t="s">
        <v>1964</v>
      </c>
      <c r="V364" t="str">
        <f t="shared" si="5"/>
        <v>{dwID=123867,nFrame=47,szNote="小曾",[3]={},[4]={},aFocus={{dwMapID=-1,szDisplay="分线·传送",nMaxDistance=12,tRelation={bAll=false,bEnemy=false,bAlly=true,},tLife={bEnable=false,szOperator="&gt;",nValue=0,},},},},</v>
      </c>
    </row>
    <row r="365" customFormat="1" spans="3:23">
      <c r="C365" s="5">
        <v>66809</v>
      </c>
      <c r="D365">
        <v>57</v>
      </c>
      <c r="G365" t="s">
        <v>1705</v>
      </c>
      <c r="I365" t="s">
        <v>1706</v>
      </c>
      <c r="O365">
        <v>1</v>
      </c>
      <c r="U365" t="s">
        <v>1707</v>
      </c>
      <c r="V365" t="str">
        <f t="shared" si="5"/>
        <v>{dwID=66809,nFrame=57,szName="火圈",szNote="减疗火圈",[3]={bCenterAlarm=true,},[4]={},aFocus={{dwMapID=-1,szDisplay="火圈·减疗",nMaxDistance=8,tRelation={bAll=true,bEnemy=true,bAlly=true,},tLife={bEnable=false,szOperator="&gt;",nValue=0,},},},},</v>
      </c>
    </row>
    <row r="366" customFormat="1" spans="3:23">
      <c r="C366" s="5">
        <v>36396</v>
      </c>
      <c r="D366">
        <v>52</v>
      </c>
      <c r="G366" t="s">
        <v>1729</v>
      </c>
      <c r="I366" t="s">
        <v>1730</v>
      </c>
      <c r="O366">
        <v>1</v>
      </c>
      <c r="P366">
        <v>1</v>
      </c>
      <c r="U366" t="s">
        <v>1731</v>
      </c>
      <c r="V366" t="str">
        <f t="shared" si="5"/>
        <v>{dwID=36396,nFrame=52,szName="神机台·有人",szNote="神机台·有人状态",[3]={bCenterAlarm=true,bScreenHead=true,},[4]={},aFocus={{dwMapID=-1,szDisplay="神机台·敌方",nMaxDistance=60,tRelation={bAll=false,bEnemy=true,bAlly=false,},tLife={bEnable=false,szOperator="&gt;",nValue=0,},},{dwMapID=-1,szDisplay="神机台·有人",nMaxDistance=60,tRelation={bAll=false,bEnemy=false,bAlly=true,},tLife={bEnable=false,szOperator="&gt;",nValue=0,},},},tCountdown={{nClass=12,nFrame=1,nIcon=361,nTime=10,szName="神机台·已摧毁",},},},</v>
      </c>
      <c r="W366" t="s">
        <v>1732</v>
      </c>
    </row>
    <row r="367" customFormat="1" spans="3:23">
      <c r="C367" s="5">
        <v>36005</v>
      </c>
      <c r="D367">
        <v>52</v>
      </c>
      <c r="I367" t="s">
        <v>1733</v>
      </c>
      <c r="P367">
        <v>1</v>
      </c>
      <c r="U367" t="s">
        <v>1734</v>
      </c>
      <c r="V367" t="str">
        <f t="shared" si="5"/>
        <v>{dwID=36005,nFrame=52,szNote="神机台·没人状态",[3]={bScreenHead=true,},[4]={},aFocus={{dwMapID=-1,nMaxDistance=-1,tRelation={bAll=true,bEnemy=true,bAlly=true,},tLife={bEnable=true,szOperator="&lt;",nValue=10,},},},},</v>
      </c>
    </row>
    <row r="368" customFormat="1" spans="3:23">
      <c r="C368" s="5">
        <v>100133</v>
      </c>
      <c r="D368">
        <v>57</v>
      </c>
      <c r="I368" t="s">
        <v>1735</v>
      </c>
      <c r="P368">
        <v>1</v>
      </c>
      <c r="U368" t="s">
        <v>1736</v>
      </c>
      <c r="V368" t="str">
        <f t="shared" si="5"/>
        <v>{dwID=100133,nFrame=57,szNote="狼牙先锋首领",[3]={bScreenHead=true,},[4]={},aFocus={{dwMapID=-1,nMaxDistance=90,tRelation={bAll=false,bEnemy=true,bAlly=false,},tLife={bEnable=false,szOperator="&gt;",nValue=0,},},},},</v>
      </c>
    </row>
    <row r="369" customFormat="1" spans="3:22">
      <c r="C369" s="5">
        <v>30537</v>
      </c>
      <c r="D369">
        <v>47</v>
      </c>
      <c r="I369" t="s">
        <v>1744</v>
      </c>
      <c r="J369" t="s">
        <v>1745</v>
      </c>
      <c r="P369">
        <v>1</v>
      </c>
      <c r="U369" t="s">
        <v>1746</v>
      </c>
      <c r="V369" t="str">
        <f t="shared" si="5"/>
        <v>{dwID=30537,nFrame=47,szNote="据点伙计",col={100,255,100,},[3]={bScreenHead=true,},[4]={},aFocus={{dwMapID=-1,nMaxDistance=10,tRelation={bAll=false,bEnemy=false,bAlly=true,},tLife={bEnable=false,szOperator="&gt;",nValue=0,},},},},</v>
      </c>
    </row>
    <row r="370" spans="3:22">
      <c r="V370" t="str">
        <f t="shared" si="5"/>
        <v>},},}</v>
      </c>
    </row>
  </sheetData>
  <autoFilter xmlns:etc="http://www.wps.cn/officeDocument/2017/etCustomData" ref="A1:X370" etc:filterBottomFollowUsedRange="0">
    <filterColumn colId="8">
      <colorFilter dxfId="0"/>
      <extLst>
        <colorFilter dxfId="0"/>
        <colorFilter dxfId="1"/>
        <dxfs count="2">
          <dxf>
            <fill>
              <patternFill patternType="none"/>
            </fill>
          </dxf>
          <dxf>
            <fill>
              <patternFill patternType="solid">
                <fgColor rgb="FF92D050"/>
                <bgColor rgb="FF92D050"/>
              </patternFill>
            </fill>
          </dxf>
        </dxfs>
      </extLst>
    </filterColumn>
    <extLst/>
  </autoFilter>
  <sortState ref="A151:X158">
    <sortCondition ref="I151:I158"/>
    <sortCondition ref="C151:C158"/>
  </sortState>
  <pageMargins left="0.7" right="0.7" top="0.75" bottom="0.75" header="0.3" footer="0.3"/>
  <pageSetup paperSize="9" orientation="portrait" horizontalDpi="1200" verticalDpi="12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9"/>
  <sheetViews>
    <sheetView workbookViewId="0">
      <selection activeCell="U5" sqref="U5"/>
    </sheetView>
  </sheetViews>
  <sheetFormatPr defaultColWidth="9" defaultRowHeight="13.5"/>
  <cols>
    <col min="8" max="8" width="17.875" customWidth="1"/>
    <col min="9" max="9" width="13.25" customWidth="1"/>
  </cols>
  <sheetData>
    <row r="1" spans="1:22">
      <c r="A1" t="s">
        <v>1422</v>
      </c>
      <c r="B1" t="s">
        <v>1423</v>
      </c>
      <c r="C1" t="s">
        <v>57</v>
      </c>
      <c r="D1" t="s">
        <v>1678</v>
      </c>
      <c r="E1" t="s">
        <v>1679</v>
      </c>
      <c r="F1" t="s">
        <v>1426</v>
      </c>
      <c r="G1" t="s">
        <v>1429</v>
      </c>
      <c r="H1" t="s">
        <v>44</v>
      </c>
      <c r="I1" t="s">
        <v>1430</v>
      </c>
      <c r="J1" t="s">
        <v>1969</v>
      </c>
      <c r="K1" t="s">
        <v>1970</v>
      </c>
      <c r="L1" t="s">
        <v>1971</v>
      </c>
      <c r="M1" t="s">
        <v>1972</v>
      </c>
      <c r="N1" t="s">
        <v>1973</v>
      </c>
      <c r="O1" t="s">
        <v>1974</v>
      </c>
      <c r="P1" t="s">
        <v>1975</v>
      </c>
      <c r="Q1" t="s">
        <v>1976</v>
      </c>
      <c r="R1" t="s">
        <v>1977</v>
      </c>
      <c r="S1" t="s">
        <v>1978</v>
      </c>
      <c r="T1" t="s">
        <v>239</v>
      </c>
      <c r="U1" t="s">
        <v>1979</v>
      </c>
      <c r="V1" t="s">
        <v>258</v>
      </c>
    </row>
    <row r="2" spans="1:22">
      <c r="A2" t="s">
        <v>1980</v>
      </c>
      <c r="B2">
        <v>-19</v>
      </c>
      <c r="U2" t="str">
        <f>IF(ISBLANK(B2)=FALSE,IF(ISBLANK(B1),"},["&amp;B2&amp;"]={","["&amp;B2&amp;"]={"),IF(AND(ISBLANK(B2),ISBLANK(C2),OR(ISBLANK(B1)=FALSE,ISBLANK(C1)=FALSE)),"},},}",IF(ISBLANK(C2),"","{dwID="&amp;C2&amp;","&amp;IF(D2&gt;0,"nCount="&amp;D2&amp;",","")&amp;IF(E2&gt;0,"bAllLeave=true,","")&amp;IF(F2&lt;&gt;"","szName="""&amp;F2&amp;""",","")&amp;IF(G2&lt;&gt;"","tKungFu={"&amp;G2&amp;"},","")&amp;IF(H2&lt;&gt;"","szNote="""&amp;H2&amp;""",","")&amp;IF(I2&lt;&gt;"","col={"&amp;I2&amp;"},","")&amp;"[17]={"&amp;IF(J2&lt;&gt;"","szVoice="""&amp;J2&amp;""",","")&amp;IF(K2&gt;0,"bTeamChannel=true,","")&amp;IF(L2&gt;0,"bWhisperChannel=true,","")&amp;IF(M2&gt;0,"bCenterAlarm=true,","")&amp;IF(N2&gt;0,"bScreenHead=true,","")&amp;IF(O2&gt;0,"bFullScreen=true,","")&amp;"},"&amp;"[18]={"&amp;IF(P2&lt;&gt;"","szVoice="""&amp;P2&amp;""",","")&amp;IF(Q2&gt;0,"bTeamChannel=true,","")&amp;IF(R2&gt;0,"bWhisperChannel=true,","")&amp;IF(S2&gt;0,"bCenterAlarm=true,","")&amp;"},"&amp;IF(T2&lt;&gt;"","aFocus={"&amp;T2&amp;"},","")&amp;IF(V2&lt;&gt;"","tCountdown={"&amp;_xlfn.TEXTJOIN("",TRUE,V2:AAA2)&amp;"},","")&amp;"},")))</f>
        <v>[-19]={</v>
      </c>
    </row>
    <row r="3" spans="1:22">
      <c r="C3">
        <v>5693</v>
      </c>
      <c r="F3" t="s">
        <v>1981</v>
      </c>
      <c r="I3" t="s">
        <v>1745</v>
      </c>
      <c r="N3">
        <v>1</v>
      </c>
      <c r="T3" t="s">
        <v>1982</v>
      </c>
      <c r="U3" t="str">
        <f t="shared" ref="U3:U18" si="0">IF(ISBLANK(B3)=FALSE,IF(ISBLANK(B2),"},["&amp;B3&amp;"]={","["&amp;B3&amp;"]={"),IF(AND(ISBLANK(B3),ISBLANK(C3),OR(ISBLANK(B2)=FALSE,ISBLANK(C2)=FALSE)),"},},}",IF(ISBLANK(C3),"","{dwID="&amp;C3&amp;","&amp;IF(D3&gt;0,"nCount="&amp;D3&amp;",","")&amp;IF(E3&gt;0,"bAllLeave=true,","")&amp;IF(F3&lt;&gt;"","szName="""&amp;F3&amp;""",","")&amp;IF(G3&lt;&gt;"","tKungFu={"&amp;G3&amp;"},","")&amp;IF(H3&lt;&gt;"","szNote="""&amp;H3&amp;""",","")&amp;IF(I3&lt;&gt;"","col={"&amp;I3&amp;"},","")&amp;"[17]={"&amp;IF(J3&lt;&gt;"","szVoice="""&amp;J3&amp;""",","")&amp;IF(K3&gt;0,"bTeamChannel=true,","")&amp;IF(L3&gt;0,"bWhisperChannel=true,","")&amp;IF(M3&gt;0,"bCenterAlarm=true,","")&amp;IF(N3&gt;0,"bScreenHead=true,","")&amp;IF(O3&gt;0,"bFullScreen=true,","")&amp;"},"&amp;"[18]={"&amp;IF(P3&lt;&gt;"","szVoice="""&amp;P3&amp;""",","")&amp;IF(Q3&gt;0,"bTeamChannel=true,","")&amp;IF(R3&gt;0,"bWhisperChannel=true,","")&amp;IF(S3&gt;0,"bCenterAlarm=true,","")&amp;"},"&amp;IF(T3&lt;&gt;"","aFocus={"&amp;T3&amp;"},","")&amp;IF(V3&lt;&gt;"","tCountdown={"&amp;_xlfn.TEXTJOIN("",TRUE,V3:AAA3)&amp;"},","")&amp;"},")))</f>
        <v>{dwID=5693,szName="物资堆·物资车",col={100,255,100,},[17]={bScreenHead=true,},[18]={},aFocus={{dwMapID=-1,szDisplay="物资堆·物资车",nMaxDistance=60,tRelation={bAll=true,bEnemy=false,bAlly=false,},tLife={bEnable=false,szOperator="&gt;",nValue=0,},},},},</v>
      </c>
    </row>
    <row r="4" spans="1:22">
      <c r="C4">
        <v>5625</v>
      </c>
      <c r="F4" t="s">
        <v>1983</v>
      </c>
      <c r="I4" t="s">
        <v>1745</v>
      </c>
      <c r="N4">
        <v>1</v>
      </c>
      <c r="T4" t="s">
        <v>1984</v>
      </c>
      <c r="U4" t="str">
        <f t="shared" si="0"/>
        <v>{dwID=5625,szName="物资箱·复活点",col={100,255,100,},[17]={bScreenHead=true,},[18]={},aFocus={{dwMapID=-1,szDisplay="物资箱·复活点",nMaxDistance=30,tRelation={bAll=true,bEnemy=false,bAlly=false,},tLife={bEnable=false,szOperator="&gt;",nValue=0,},},},},</v>
      </c>
    </row>
    <row r="5" spans="1:22">
      <c r="C5">
        <v>7518</v>
      </c>
      <c r="F5" t="s">
        <v>1985</v>
      </c>
      <c r="I5" t="s">
        <v>1745</v>
      </c>
      <c r="M5">
        <v>1</v>
      </c>
      <c r="N5">
        <v>1</v>
      </c>
      <c r="T5" t="s">
        <v>1986</v>
      </c>
      <c r="U5" t="str">
        <f t="shared" si="0"/>
        <v>{dwID=7518,szName="物资堆·助战掉落",col={100,255,100,},[17]={bCenterAlarm=true,bScreenHead=true,},[18]={},aFocus={{dwMapID=-1,szDisplay="物资堆·助战掉落",nMaxDistance=0,tRelation={bAll=true,bEnemy=false,bAlly=false,},tLife={bEnable=false,szOperator="&gt;",nValue=0,},},},},</v>
      </c>
    </row>
    <row r="6" spans="1:22">
      <c r="C6">
        <v>5626</v>
      </c>
      <c r="F6" t="s">
        <v>1987</v>
      </c>
      <c r="I6" t="s">
        <v>1745</v>
      </c>
      <c r="M6">
        <v>1</v>
      </c>
      <c r="N6">
        <v>1</v>
      </c>
      <c r="T6" t="s">
        <v>1988</v>
      </c>
      <c r="U6" t="str">
        <f t="shared" si="0"/>
        <v>{dwID=5626,szName="物资堆·首领掉落",col={100,255,100,},[17]={bCenterAlarm=true,bScreenHead=true,},[18]={},aFocus={{dwMapID=-1,szDisplay="物资堆·首领掉落",nMaxDistance=0,tRelation={bAll=true,bEnemy=false,bAlly=false,},tLife={bEnable=false,szOperator="&gt;",nValue=0,},},},},</v>
      </c>
    </row>
    <row r="7" spans="1:22">
      <c r="A7" t="s">
        <v>1480</v>
      </c>
      <c r="B7">
        <v>-20</v>
      </c>
      <c r="U7" t="str">
        <f t="shared" si="0"/>
        <v>},[-20]={</v>
      </c>
    </row>
    <row r="8" spans="1:22">
      <c r="C8">
        <v>7011</v>
      </c>
      <c r="H8" t="s">
        <v>1989</v>
      </c>
      <c r="I8" s="9" t="s">
        <v>642</v>
      </c>
      <c r="N8">
        <v>1</v>
      </c>
      <c r="T8" t="s">
        <v>1990</v>
      </c>
      <c r="U8" t="str">
        <f t="shared" si="0"/>
        <v>{dwID=7011,szNote="祭天护送恶人宝箱",col={255,120,31,},[17]={bScreenHead=true,},[18]={},aFocus={{dwMapID=-1,nMaxDistance=60,tRelation={bAll=true,bEnemy=false,bAlly=false,},tLife={bEnable=false,szOperator="&gt;",nValue=0,},},},},</v>
      </c>
    </row>
    <row r="9" spans="1:22">
      <c r="C9">
        <v>7010</v>
      </c>
      <c r="H9" t="s">
        <v>1991</v>
      </c>
      <c r="I9" s="10" t="s">
        <v>647</v>
      </c>
      <c r="N9">
        <v>1</v>
      </c>
      <c r="T9" t="s">
        <v>1990</v>
      </c>
      <c r="U9" t="str">
        <f t="shared" si="0"/>
        <v>{dwID=7010,szNote="祭天护送浩气宝箱",col={31,230,255,},[17]={bScreenHead=true,},[18]={},aFocus={{dwMapID=-1,nMaxDistance=60,tRelation={bAll=true,bEnemy=false,bAlly=false,},tLife={bEnable=false,szOperator="&gt;",nValue=0,},},},},</v>
      </c>
    </row>
    <row r="10" spans="1:22">
      <c r="C10">
        <v>8418</v>
      </c>
      <c r="F10" t="s">
        <v>1992</v>
      </c>
      <c r="I10" t="s">
        <v>1745</v>
      </c>
      <c r="M10">
        <v>1</v>
      </c>
      <c r="N10">
        <v>1</v>
      </c>
      <c r="T10" t="s">
        <v>1993</v>
      </c>
      <c r="U10" t="str">
        <f t="shared" si="0"/>
        <v>{dwID=8418,szName="狼牙先锋首领掉落",col={100,255,100,},[17]={bCenterAlarm=true,bScreenHead=true,},[18]={},aFocus={{dwMapID=-1,szDisplay="狼牙先锋首领·掉落",nMaxDistance=0,tRelation={bAll=true,bEnemy=false,bAlly=false,},tLife={bEnable=false,szOperator="&gt;",nValue=0,},},},},</v>
      </c>
    </row>
    <row r="11" spans="1:22">
      <c r="C11">
        <v>6971</v>
      </c>
      <c r="F11" t="s">
        <v>1994</v>
      </c>
      <c r="I11" t="s">
        <v>1745</v>
      </c>
      <c r="M11">
        <v>1</v>
      </c>
      <c r="N11">
        <v>1</v>
      </c>
      <c r="T11" t="s">
        <v>1995</v>
      </c>
      <c r="U11" t="str">
        <f t="shared" si="0"/>
        <v>{dwID=6971,szName="粮仓宝堆",col={100,255,100,},[17]={bCenterAlarm=true,bScreenHead=true,},[18]={},aFocus={{dwMapID=-1,szDisplay="粮仓宝堆",nMaxDistance=0,tRelation={bAll=true,bEnemy=false,bAlly=false,},tLife={bEnable=false,szOperator="&gt;",nValue=0,},},},},</v>
      </c>
    </row>
    <row r="12" spans="1:22">
      <c r="A12" t="s">
        <v>1061</v>
      </c>
      <c r="B12">
        <v>216</v>
      </c>
      <c r="U12" t="str">
        <f t="shared" si="0"/>
        <v>},[216]={</v>
      </c>
    </row>
    <row r="13" spans="1:22">
      <c r="C13" s="5">
        <v>8418</v>
      </c>
      <c r="F13" t="s">
        <v>1992</v>
      </c>
      <c r="I13" t="s">
        <v>1745</v>
      </c>
      <c r="M13">
        <v>1</v>
      </c>
      <c r="N13">
        <v>1</v>
      </c>
      <c r="T13" t="s">
        <v>1993</v>
      </c>
      <c r="U13" t="str">
        <f t="shared" si="0"/>
        <v>{dwID=8418,szName="狼牙先锋首领掉落",col={100,255,100,},[17]={bCenterAlarm=true,bScreenHead=true,},[18]={},aFocus={{dwMapID=-1,szDisplay="狼牙先锋首领·掉落",nMaxDistance=0,tRelation={bAll=true,bEnemy=false,bAlly=false,},tLife={bEnable=false,szOperator="&gt;",nValue=0,},},},},</v>
      </c>
    </row>
    <row r="14" spans="1:22">
      <c r="C14" s="5">
        <v>6971</v>
      </c>
      <c r="F14" t="s">
        <v>1994</v>
      </c>
      <c r="I14" t="s">
        <v>1745</v>
      </c>
      <c r="M14">
        <v>1</v>
      </c>
      <c r="N14">
        <v>1</v>
      </c>
      <c r="T14" t="s">
        <v>1995</v>
      </c>
      <c r="U14" t="str">
        <f t="shared" si="0"/>
        <v>{dwID=6971,szName="粮仓宝堆",col={100,255,100,},[17]={bCenterAlarm=true,bScreenHead=true,},[18]={},aFocus={{dwMapID=-1,szDisplay="粮仓宝堆",nMaxDistance=0,tRelation={bAll=true,bEnemy=false,bAlly=false,},tLife={bEnable=false,szOperator="&gt;",nValue=0,},},},},</v>
      </c>
    </row>
    <row r="15" spans="1:22">
      <c r="A15" t="s">
        <v>1414</v>
      </c>
      <c r="B15">
        <v>656</v>
      </c>
      <c r="U15" t="str">
        <f t="shared" si="0"/>
        <v>},[656]={</v>
      </c>
    </row>
    <row r="16" spans="1:22">
      <c r="C16" s="5">
        <v>8418</v>
      </c>
      <c r="F16" t="s">
        <v>1992</v>
      </c>
      <c r="I16" t="s">
        <v>1745</v>
      </c>
      <c r="M16">
        <v>1</v>
      </c>
      <c r="N16">
        <v>1</v>
      </c>
      <c r="T16" t="s">
        <v>1993</v>
      </c>
      <c r="U16" t="str">
        <f t="shared" si="0"/>
        <v>{dwID=8418,szName="狼牙先锋首领掉落",col={100,255,100,},[17]={bCenterAlarm=true,bScreenHead=true,},[18]={},aFocus={{dwMapID=-1,szDisplay="狼牙先锋首领·掉落",nMaxDistance=0,tRelation={bAll=true,bEnemy=false,bAlly=false,},tLife={bEnable=false,szOperator="&gt;",nValue=0,},},},},</v>
      </c>
    </row>
    <row r="17" spans="3:21">
      <c r="C17" s="5">
        <v>6971</v>
      </c>
      <c r="F17" t="s">
        <v>1994</v>
      </c>
      <c r="I17" t="s">
        <v>1745</v>
      </c>
      <c r="M17">
        <v>1</v>
      </c>
      <c r="N17">
        <v>1</v>
      </c>
      <c r="T17" t="s">
        <v>1995</v>
      </c>
      <c r="U17" t="str">
        <f t="shared" si="0"/>
        <v>{dwID=6971,szName="粮仓宝堆",col={100,255,100,},[17]={bCenterAlarm=true,bScreenHead=true,},[18]={},aFocus={{dwMapID=-1,szDisplay="粮仓宝堆",nMaxDistance=0,tRelation={bAll=true,bEnemy=false,bAlly=false,},tLife={bEnable=false,szOperator="&gt;",nValue=0,},},},},</v>
      </c>
    </row>
    <row r="18" customFormat="1" spans="3:21">
      <c r="U18" t="str">
        <f t="shared" si="0"/>
        <v>},},}</v>
      </c>
    </row>
    <row r="39" spans="21:21">
      <c r="U39" t="str">
        <f>IF(ISBLANK(B39)=FALSE,IF(ISBLANK(B38),"},["&amp;B39&amp;"]={","["&amp;B39&amp;"]={"),IF(AND(ISBLANK(B39),ISBLANK(C39),OR(ISBLANK(B38)=FALSE,ISBLANK(C38)=FALSE)),"},},}",IF(ISBLANK(C39),"","{dwID="&amp;C39&amp;","&amp;IF(D39&gt;0,"nCount="&amp;D39&amp;",","")&amp;IF(E39&gt;0,"bAllLeave=true,","")&amp;IF(F39&lt;&gt;"","szName="""&amp;F39&amp;""",","")&amp;IF(G39&lt;&gt;"","tKungFu={"&amp;G39&amp;"},","")&amp;IF(H39&lt;&gt;"","szNote="""&amp;H39&amp;""",","")&amp;IF(I39&lt;&gt;"","col={"&amp;I39&amp;"},","")&amp;"[17]={"&amp;IF(J39&lt;&gt;"","szVoice="""&amp;J39&amp;""",","")&amp;IF(K39&gt;0,"bTeamChannel=true,","")&amp;IF(L39&gt;0,"bWhisperChannel=true,","")&amp;IF(M39&gt;0,"bCenterAlarm=true,","")&amp;IF(N39&gt;0,"bScreenHead=true,","")&amp;IF(O39&gt;0,"bFullScreen=true,","")&amp;"},"&amp;"[18]={"&amp;IF(P39&lt;&gt;"","szVoice="""&amp;P39&amp;""",","")&amp;IF(Q39&gt;0,"bTeamChannel=true,","")&amp;IF(R39&gt;0,"bWhisperChannel=true,","")&amp;IF(S39&gt;0,"bCenterAlarm=true,","")&amp;"},"&amp;IF(T39&lt;&gt;"","aFocus={"&amp;T39&amp;"},","")&amp;IF(V39&lt;&gt;"","tCountdown={"&amp;_xlfn.TEXTJOIN("",TRUE,V39:AAA39)&amp;"},","")&amp;"},")))</f>
        <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97"/>
  <sheetViews>
    <sheetView zoomScale="80" zoomScaleNormal="80" workbookViewId="0">
      <pane ySplit="1" topLeftCell="A70" activePane="bottomLeft" state="frozen"/>
      <selection/>
      <selection pane="bottomLeft" activeCell="H92" sqref="H92:H101"/>
    </sheetView>
  </sheetViews>
  <sheetFormatPr defaultColWidth="9" defaultRowHeight="13.5"/>
  <cols>
    <col min="4" max="4" width="52.125" customWidth="1"/>
    <col min="5" max="5" width="50" customWidth="1"/>
    <col min="6" max="12" width="10.625" customWidth="1"/>
    <col min="13" max="14" width="9" customWidth="1"/>
    <col min="15" max="15" width="8.625" customWidth="1"/>
    <col min="16" max="16" width="9" customWidth="1"/>
    <col min="17" max="17" width="11.25" customWidth="1"/>
    <col min="18" max="18" width="9" customWidth="1"/>
    <col min="19" max="19" width="7.25" customWidth="1"/>
    <col min="20" max="20" width="9.5" customWidth="1"/>
    <col min="21" max="21" width="7.875" customWidth="1"/>
    <col min="22" max="22" width="26.125" customWidth="1"/>
    <col min="23" max="23" width="109.75" customWidth="1"/>
    <col min="24" max="24" width="106.25" customWidth="1"/>
    <col min="25" max="25" width="119.125" customWidth="1"/>
    <col min="26" max="26" width="92.875" customWidth="1"/>
    <col min="27" max="27" width="104.691666666667" customWidth="1"/>
  </cols>
  <sheetData>
    <row r="1" spans="1:28">
      <c r="A1" t="s">
        <v>1422</v>
      </c>
      <c r="B1" t="s">
        <v>1423</v>
      </c>
      <c r="C1" t="s">
        <v>105</v>
      </c>
      <c r="D1" t="s">
        <v>1996</v>
      </c>
      <c r="E1" t="s">
        <v>44</v>
      </c>
      <c r="F1" t="s">
        <v>1997</v>
      </c>
      <c r="G1" t="s">
        <v>1998</v>
      </c>
      <c r="H1" t="s">
        <v>1999</v>
      </c>
      <c r="I1" t="s">
        <v>2000</v>
      </c>
      <c r="J1" t="s">
        <v>2001</v>
      </c>
      <c r="K1" t="s">
        <v>2002</v>
      </c>
      <c r="L1" t="s">
        <v>2003</v>
      </c>
      <c r="M1" t="s">
        <v>1430</v>
      </c>
      <c r="N1" t="s">
        <v>2004</v>
      </c>
      <c r="O1" t="s">
        <v>2005</v>
      </c>
      <c r="P1" t="s">
        <v>2006</v>
      </c>
      <c r="Q1" t="s">
        <v>2007</v>
      </c>
      <c r="R1" t="s">
        <v>2008</v>
      </c>
      <c r="S1" t="s">
        <v>2009</v>
      </c>
      <c r="T1" t="s">
        <v>2010</v>
      </c>
      <c r="U1" t="s">
        <v>2011</v>
      </c>
      <c r="V1" t="s">
        <v>2012</v>
      </c>
      <c r="W1" t="s">
        <v>258</v>
      </c>
    </row>
    <row r="2" customFormat="1" spans="1:28">
      <c r="A2" t="s">
        <v>1464</v>
      </c>
      <c r="B2">
        <v>-19</v>
      </c>
      <c r="V2" t="str">
        <f>IF(ISBLANK(B2)=FALSE,IF(ISBLANK(B1),"},["&amp;B2&amp;"]={","["&amp;B2&amp;"]={"),IF(AND(ISBLANK(B2),ISBLANK(D2),ISBLANK(N2),ISBLANK(O2),OR(ISBLANK(B1)=FALSE,ISBLANK(D1)=FALSE,ISBLANK(N1)=FALSE,ISBLANK(O1)=FALSE)),"},},}",IF(ISBLANK(D2),"","{szContent="""&amp;D2&amp;""","&amp;IF(C2&lt;&gt;"","szTarget="""&amp;C2&amp;""",","")&amp;IF(E2&lt;&gt;"","szNote="""&amp;E2&amp;""",","")&amp;IF(M2&lt;&gt;"","col={"&amp;M2&amp;"},","")&amp;IF(N2&gt;0,"bSearch=true,","")&amp;IF(O2&gt;0,"bReg=true,","")&amp;"[14]={"&amp;IF(P2&gt;0,"szVoice="""&amp;P2&amp;""",","")&amp;IF(Q2&gt;0,"bTeamChannel=true,","")&amp;IF(R2&gt;0,"bWhisperChannel=true,","")&amp;IF(S2&gt;0,"bCenterAlarm=true,","")&amp;IF(T2&gt;0,"bScreenHead=true,","")&amp;IF(U2&gt;0,"bFullScreen=true,","")&amp;"},"&amp;IF(W2&lt;&gt;"","tCountdown={"&amp;_xlfn.TEXTJOIN("",TRUE,W2:AAH2)&amp;"},","")&amp;"},")))</f>
        <v>[-19]={</v>
      </c>
    </row>
    <row r="3" customFormat="1" spans="1:28">
      <c r="D3" t="s">
        <v>2013</v>
      </c>
      <c r="E3" t="s">
        <v>2014</v>
      </c>
      <c r="V3" t="str">
        <f t="shared" ref="V3:V34" si="0">IF(ISBLANK(B3)=FALSE,IF(ISBLANK(B2),"},["&amp;B3&amp;"]={","["&amp;B3&amp;"]={"),IF(AND(ISBLANK(B3),ISBLANK(D3),ISBLANK(N3),ISBLANK(O3),OR(ISBLANK(B2)=FALSE,ISBLANK(D2)=FALSE,ISBLANK(N2)=FALSE,ISBLANK(O2)=FALSE)),"},},}",IF(ISBLANK(D3),"","{szContent="""&amp;D3&amp;""","&amp;IF(C3&lt;&gt;"","szTarget="""&amp;C3&amp;""",","")&amp;IF(E3&lt;&gt;"","szNote="""&amp;E3&amp;""",","")&amp;IF(M3&lt;&gt;"","col={"&amp;M3&amp;"},","")&amp;IF(N3&gt;0,"bSearch=true,","")&amp;IF(O3&gt;0,"bReg=true,","")&amp;"[14]={"&amp;IF(P3&gt;0,"szVoice="""&amp;P3&amp;""",","")&amp;IF(Q3&gt;0,"bTeamChannel=true,","")&amp;IF(R3&gt;0,"bWhisperChannel=true,","")&amp;IF(S3&gt;0,"bCenterAlarm=true,","")&amp;IF(T3&gt;0,"bScreenHead=true,","")&amp;IF(U3&gt;0,"bFullScreen=true,","")&amp;"},"&amp;IF(W3&lt;&gt;"","tCountdown={"&amp;_xlfn.TEXTJOIN("",TRUE,W3:AAH3)&amp;"},","")&amp;"},")))</f>
        <v>{szContent="你获得了100点威名、100点战阶。受到了鼓舞，气力值消耗减少一段时间。",szNote="堆堆·牛车奖励",[14]={},tCountdown={{nClass=14,nIcon=3556,nFrame=1,szName="拾取间隔",nTime="300,物资车·拾取物资·间隔剩余;310,物资车·可以拾取物资了",nRefresh=1,key="牛车拾取间隔",},},},</v>
      </c>
      <c r="W3" t="s">
        <v>2015</v>
      </c>
    </row>
    <row r="4" customFormat="1" spans="1:28">
      <c r="D4" t="s">
        <v>2016</v>
      </c>
      <c r="E4" t="s">
        <v>2014</v>
      </c>
      <c r="V4" t="str">
        <f t="shared" si="0"/>
        <v>{szContent="你获得了100点威名、100点战阶。受到了鼓舞，气力值增加500点。",szNote="堆堆·牛车奖励",[14]={},tCountdown={{nClass=14,nIcon=3556,nFrame=1,szName="拾取间隔",nTime="300,物资车·拾取物资·间隔剩余;310,物资车·可以拾取物资了",nRefresh=1,key="牛车拾取间隔",},},},</v>
      </c>
      <c r="W4" t="s">
        <v>2015</v>
      </c>
    </row>
    <row r="5" customFormat="1" spans="1:28">
      <c r="D5" t="s">
        <v>2017</v>
      </c>
      <c r="E5" t="s">
        <v>2018</v>
      </c>
      <c r="V5" t="str">
        <f t="shared" si="0"/>
        <v>{szContent="你获得了100点威名、100点战阶。",szNote="堆堆·助战首领",[14]={},tCountdown={{nClass=14,nIcon=13564,nFrame=1,szName="拾取间隔",nTime="300,助战堆·拾取物资·间隔剩余;310,助战堆·可以拾取物资了",nRefresh=1,key="首领拾取间隔",},},},</v>
      </c>
      <c r="W5" t="s">
        <v>2019</v>
      </c>
    </row>
    <row r="6" customFormat="1" spans="1:28">
      <c r="D6" t="s">
        <v>2020</v>
      </c>
      <c r="E6" t="s">
        <v>2021</v>
      </c>
      <c r="V6" t="str">
        <f t="shared" si="0"/>
        <v>{szContent="你获得了200点威名、200点战阶。受到了鼓舞，气力值消耗减少一段时间。",szNote="堆堆·驻场首领",[14]={},},</v>
      </c>
      <c r="AB6" s="7"/>
    </row>
    <row r="7" customFormat="1" spans="1:28">
      <c r="C7" t="s">
        <v>2022</v>
      </c>
      <c r="D7" s="8" t="s">
        <v>2023</v>
      </c>
      <c r="E7" t="s">
        <v>2024</v>
      </c>
      <c r="M7" t="s">
        <v>2025</v>
      </c>
      <c r="V7" t="str">
        <f t="shared" si="0"/>
        <v>{szContent="军情速递！恶人谷物资车已从复活点出发，物资车内装有大量物资，望恶人侠士们前来护送，以防不法之徒前来抢夺。",szTarget="%",szNote="恶人·物资车·出发",col={255,100,100,},[14]={},tCountdown={{nClass=14,nIcon=3103,nFrame=3,szName="恶人谷·物资车·正在出发",nTime=10,nRefresh=1,key="恶人·物资车·护送",},},},</v>
      </c>
      <c r="W7" t="s">
        <v>2026</v>
      </c>
      <c r="AB7" s="7"/>
    </row>
    <row r="8" customFormat="1" spans="1:28">
      <c r="C8" t="s">
        <v>2022</v>
      </c>
      <c r="D8" s="8" t="s">
        <v>2027</v>
      </c>
      <c r="E8" t="s">
        <v>2028</v>
      </c>
      <c r="M8" t="s">
        <v>2029</v>
      </c>
      <c r="V8" t="str">
        <f t="shared" si="0"/>
        <v>{szContent="军情速递！浩气盟物资车已从复活点出发，物资车内装有大量物资，望浩气侠士们前来护送，以防不法之徒前来抢夺。",szTarget="%",szNote="浩气·物资车·出发",col={100,100,255,},[14]={},tCountdown={{nClass=14,nIcon=3101,nFrame=7,szName="浩气盟·物资车·正在出发",nTime=10,nRefresh=1,key="浩气·物资车·护送",},},},</v>
      </c>
      <c r="W8" t="s">
        <v>2030</v>
      </c>
      <c r="AB8" s="7"/>
    </row>
    <row r="9" customFormat="1" spans="1:28">
      <c r="C9" t="s">
        <v>2022</v>
      </c>
      <c r="D9" s="8" t="s">
        <v>2031</v>
      </c>
      <c r="E9" t="s">
        <v>2032</v>
      </c>
      <c r="M9" t="s">
        <v>2033</v>
      </c>
      <c r="V9" t="str">
        <f t="shared" si="0"/>
        <v>{szContent="奇袭场战阶达到4000后，战阶换算贡献比例降低为10:1",szTarget="%",szNote="奇袭·贡献值·限速90%",col={255,255,100,},[14]={},tCountdown={{nClass=14,nIcon=13,szName="首领拾取间隔",nTime=-1,nRefresh=7200,key="首领拾取间隔",},},},</v>
      </c>
      <c r="W9" t="s">
        <v>2034</v>
      </c>
      <c r="AB9" s="7"/>
    </row>
    <row r="10" spans="1:28">
      <c r="C10" t="s">
        <v>2022</v>
      </c>
      <c r="D10" s="8" t="s">
        <v>2035</v>
      </c>
      <c r="E10" t="s">
        <v>2036</v>
      </c>
      <c r="M10" t="s">
        <v>2033</v>
      </c>
      <c r="V10" t="str">
        <f t="shared" si="0"/>
        <v>{szContent="奇袭场战阶达到2000后，战阶换算贡献比例降低为2:1",szTarget="%",szNote="奇袭·贡献值·限速50%",col={255,255,100,},[14]={},tCountdown={{nClass=14,nIcon=13,szName="首领拾取间隔",nTime=-1,nRefresh=7200,key="首领拾取间隔",},},},</v>
      </c>
      <c r="W10" t="s">
        <v>2034</v>
      </c>
      <c r="AB10" s="7"/>
    </row>
    <row r="11" spans="1:28">
      <c r="C11" t="s">
        <v>2022</v>
      </c>
      <c r="D11" s="8" t="s">
        <v>2037</v>
      </c>
      <c r="E11" t="s">
        <v>2038</v>
      </c>
      <c r="M11" t="s">
        <v>2025</v>
      </c>
      <c r="N11">
        <v>1</v>
      </c>
      <c r="V11" t="str">
        <f t="shared" si="0"/>
        <v>{szContent="恶人谷物资车已被拦截，车内装大量物资，望侠士们前来拾取，切莫错过。",szTarget="%",szNote="恶人·物资车·被截",col={255,100,100,},bSearch=true,[14]={},tCountdown={{nClass=14,nIcon=4561,nFrame=7,szName="浩气·截车奖励",nTime=10,nRefresh=1,key="恶人·物资车·护送",},},},</v>
      </c>
      <c r="W11" t="s">
        <v>2039</v>
      </c>
    </row>
    <row r="12" spans="1:28">
      <c r="C12" t="s">
        <v>2022</v>
      </c>
      <c r="D12" s="8" t="s">
        <v>2040</v>
      </c>
      <c r="E12" t="s">
        <v>2041</v>
      </c>
      <c r="M12" t="s">
        <v>2029</v>
      </c>
      <c r="N12">
        <v>1</v>
      </c>
      <c r="V12" t="str">
        <f t="shared" si="0"/>
        <v>{szContent="浩气盟物资车已被拦截，车内装大量物资，望侠士们前来拾取，切莫错过。",szTarget="%",szNote="浩气·物资车·被截",col={100,100,255,},bSearch=true,[14]={},tCountdown={{nClass=14,nIcon=4562,nFrame=3,szName="恶人·截车奖励",nTime=10,nRefresh=1,key="浩气·物资车·护送",},},},</v>
      </c>
      <c r="W12" t="s">
        <v>2042</v>
      </c>
    </row>
    <row r="13" customFormat="1" spans="1:28">
      <c r="C13" t="s">
        <v>2043</v>
      </c>
      <c r="D13" t="s">
        <v>2044</v>
      </c>
      <c r="E13" t="s">
        <v>2045</v>
      </c>
      <c r="F13" t="s">
        <v>2043</v>
      </c>
      <c r="G13" t="s">
        <v>2046</v>
      </c>
      <c r="I13" t="s">
        <v>2047</v>
      </c>
      <c r="J13" t="s">
        <v>2048</v>
      </c>
      <c r="K13" t="s">
        <v>2049</v>
      </c>
      <c r="L13" t="s">
        <v>2050</v>
      </c>
      <c r="M13" t="s">
        <v>2029</v>
      </c>
      <c r="Q13">
        <v>1</v>
      </c>
      <c r="S13">
        <v>1</v>
      </c>
      <c r="V13" t="str">
        <f t="shared" si="0"/>
        <v>{szContent="司空仲平已经尽力，请暂且退回疗伤。",szTarget="谢渊",szNote="浩气·司空仲平·败退",col={100,100,255,},[14]={bTeamChannel=true,bCenterAlarm=true,},tCountdown={{nClass=14,nIcon=13,nFrame=0,szName="恶人·速战速决·达成",nTime=10,nRefresh=99999,key="速战速决",},{nClass=14,nIcon=13,szName="谢渊·司空仲平·减伤",nTime=-2,key="谢渊·司空仲平·减伤",},{nClass=14,nIcon=13,szName="王遗风·肖药儿·减伤",nTime=-2,key="王遗风·肖药儿·减伤",},{nClass=14,nIcon=18829,nFrame=7,szName="浩气·司空仲平·退场·易伤30%",nTime=10,nRefresh=5,key="谢渊·司空仲平·减伤",},{nClass=14,nIcon=2992,nFrame=3,szName="王遗风·肖药儿·减伤",nTime="300,恶人·肖药儿·减伤3层;600,恶人·肖药儿·减伤2层;900,恶人·肖药儿·减伤1层;910,恶人·肖药儿·减伤消失",nRefresh=5,key="王遗风·肖药儿·减伤",},},},</v>
      </c>
      <c r="W13" t="s">
        <v>2051</v>
      </c>
      <c r="X13" t="str">
        <f t="shared" ref="X13:X22" si="1">"{nClass=14,nIcon=13,szName="""&amp;F13&amp;"·"&amp;L13&amp;"·减伤"&amp;""",nTime=-2,key="""&amp;F13&amp;"·"&amp;L13&amp;"·减伤"&amp;""",},"</f>
        <v>{nClass=14,nIcon=13,szName="谢渊·司空仲平·减伤",nTime=-2,key="谢渊·司空仲平·减伤",},</v>
      </c>
      <c r="Y13" t="str">
        <f t="shared" ref="Y13:Y22" si="2">"{nClass=14,nIcon=13,szName="""&amp;G13&amp;"·"&amp;J13&amp;"·减伤"&amp;""",nTime=-2,key="""&amp;G13&amp;"·"&amp;J13&amp;"·减伤"&amp;""",},"</f>
        <v>{nClass=14,nIcon=13,szName="王遗风·肖药儿·减伤",nTime=-2,key="王遗风·肖药儿·减伤",},</v>
      </c>
      <c r="Z13" t="str">
        <f>"{nClass=14,nIcon=18829,nFrame=7,szName="""&amp;K13&amp;"·"&amp;L13&amp;"·退场·易伤30%"&amp;""",nTime=10,nRefresh=5,key="""&amp;F13&amp;"·"&amp;L13&amp;"·减伤"&amp;""",},"</f>
        <v>{nClass=14,nIcon=18829,nFrame=7,szName="浩气·司空仲平·退场·易伤30%",nTime=10,nRefresh=5,key="谢渊·司空仲平·减伤",},</v>
      </c>
      <c r="AA13" t="str">
        <f>"{nClass=14,nIcon=2992,nFrame=3,szName="""&amp;G13&amp;"·"&amp;""&amp;J13&amp;""&amp;"·减伤"""&amp;",nTime="&amp;"""300,"&amp;""&amp;I13&amp;"·"&amp;J13&amp;"·减伤3层;600,"&amp;""&amp;I13&amp;"·"&amp;J13&amp;"·减伤2层;900,"&amp;""&amp;I13&amp;"·"&amp;J13&amp;"·减伤1层;910,"&amp;""&amp;I13&amp;"·"&amp;J13&amp;"·减伤消失"""&amp;",nRefresh=5,key="""&amp;G13&amp;"·"&amp;J13&amp;"·减伤"&amp;""",},"</f>
        <v>{nClass=14,nIcon=2992,nFrame=3,szName="王遗风·肖药儿·减伤",nTime="300,恶人·肖药儿·减伤3层;600,恶人·肖药儿·减伤2层;900,恶人·肖药儿·减伤1层;910,恶人·肖药儿·减伤消失",nRefresh=5,key="王遗风·肖药儿·减伤",},</v>
      </c>
      <c r="AB13" s="7"/>
    </row>
    <row r="14" spans="1:28">
      <c r="C14" t="s">
        <v>2043</v>
      </c>
      <c r="D14" t="s">
        <v>2052</v>
      </c>
      <c r="E14" t="s">
        <v>2053</v>
      </c>
      <c r="F14" t="s">
        <v>2043</v>
      </c>
      <c r="G14" t="s">
        <v>2046</v>
      </c>
      <c r="I14" t="s">
        <v>2047</v>
      </c>
      <c r="J14" t="s">
        <v>2054</v>
      </c>
      <c r="K14" t="s">
        <v>2049</v>
      </c>
      <c r="L14" t="s">
        <v>2055</v>
      </c>
      <c r="M14" t="s">
        <v>2029</v>
      </c>
      <c r="Q14">
        <v>1</v>
      </c>
      <c r="S14">
        <v>1</v>
      </c>
      <c r="V14" t="str">
        <f t="shared" si="0"/>
        <v>{szContent="月弄痕已经尽力，请暂且退回疗伤。",szTarget="谢渊",szNote="浩气·月弄痕·败退",col={100,100,255,},[14]={bTeamChannel=true,bCenterAlarm=true,},tCountdown={{nClass=14,nIcon=13,nFrame=0,szName="恶人·速战速决·达成",nTime=10,nRefresh=99999,key="速战速决",},{nClass=14,nIcon=13,szName="谢渊·月弄痕·减伤",nTime=-2,key="谢渊·月弄痕·减伤",},{nClass=14,nIcon=13,szName="王遗风·万兽王·减伤",nTime=-2,key="王遗风·万兽王·减伤",},{nClass=14,nIcon=18829,nFrame=7,szName="浩气·月弄痕·退场·易伤30%",nTime=10,nRefresh=5,key="谢渊·月弄痕·减伤",},{nClass=14,nIcon=2992,nFrame=3,szName="王遗风·万兽王·减伤",nTime="300,恶人·万兽王·减伤3层;600,恶人·万兽王·减伤2层;900,恶人·万兽王·减伤1层;910,恶人·万兽王·减伤消失",nRefresh=5,key="王遗风·万兽王·减伤",},},},</v>
      </c>
      <c r="W14" t="s">
        <v>2051</v>
      </c>
      <c r="X14" t="str">
        <f t="shared" si="1"/>
        <v>{nClass=14,nIcon=13,szName="谢渊·月弄痕·减伤",nTime=-2,key="谢渊·月弄痕·减伤",},</v>
      </c>
      <c r="Y14" t="str">
        <f t="shared" si="2"/>
        <v>{nClass=14,nIcon=13,szName="王遗风·万兽王·减伤",nTime=-2,key="王遗风·万兽王·减伤",},</v>
      </c>
      <c r="Z14" t="str">
        <f>"{nClass=14,nIcon=18829,nFrame=7,szName="""&amp;K14&amp;"·"&amp;L14&amp;"·退场·易伤30%"&amp;""",nTime=10,nRefresh=5,key="""&amp;F14&amp;"·"&amp;L14&amp;"·减伤"&amp;""",},"</f>
        <v>{nClass=14,nIcon=18829,nFrame=7,szName="浩气·月弄痕·退场·易伤30%",nTime=10,nRefresh=5,key="谢渊·月弄痕·减伤",},</v>
      </c>
      <c r="AA14" t="str">
        <f>"{nClass=14,nIcon=2992,nFrame=3,szName="""&amp;G14&amp;"·"&amp;""&amp;J14&amp;""&amp;"·减伤"""&amp;",nTime="&amp;"""300,"&amp;""&amp;I14&amp;"·"&amp;J14&amp;"·减伤3层;600,"&amp;""&amp;I14&amp;"·"&amp;J14&amp;"·减伤2层;900,"&amp;""&amp;I14&amp;"·"&amp;J14&amp;"·减伤1层;910,"&amp;""&amp;I14&amp;"·"&amp;J14&amp;"·减伤消失"""&amp;",nRefresh=5,key="""&amp;G14&amp;"·"&amp;J14&amp;"·减伤"&amp;""",},"</f>
        <v>{nClass=14,nIcon=2992,nFrame=3,szName="王遗风·万兽王·减伤",nTime="300,恶人·万兽王·减伤3层;600,恶人·万兽王·减伤2层;900,恶人·万兽王·减伤1层;910,恶人·万兽王·减伤消失",nRefresh=5,key="王遗风·万兽王·减伤",},</v>
      </c>
      <c r="AB14" s="7"/>
    </row>
    <row r="15" customFormat="1" spans="1:28">
      <c r="C15" t="s">
        <v>2043</v>
      </c>
      <c r="D15" t="s">
        <v>2056</v>
      </c>
      <c r="E15" t="s">
        <v>2057</v>
      </c>
      <c r="F15" t="s">
        <v>2043</v>
      </c>
      <c r="G15" t="s">
        <v>2046</v>
      </c>
      <c r="I15" t="s">
        <v>2047</v>
      </c>
      <c r="J15" t="s">
        <v>2058</v>
      </c>
      <c r="K15" t="s">
        <v>2049</v>
      </c>
      <c r="L15" t="s">
        <v>2059</v>
      </c>
      <c r="M15" t="s">
        <v>2029</v>
      </c>
      <c r="Q15">
        <v>1</v>
      </c>
      <c r="S15">
        <v>1</v>
      </c>
      <c r="V15" t="str">
        <f t="shared" si="0"/>
        <v>{szContent="张桎辕已经尽力，请暂且退回疗伤。",szTarget="谢渊",szNote="浩气·张桎辕·败退",col={100,100,255,},[14]={bTeamChannel=true,bCenterAlarm=true,},tCountdown={{nClass=14,nIcon=13,nFrame=0,szName="恶人·速战速决·达成",nTime=10,nRefresh=99999,key="速战速决",},{nClass=14,nIcon=13,szName="谢渊·张桎辕·减伤",nTime=-2,key="谢渊·张桎辕·减伤",},{nClass=14,nIcon=13,szName="王遗风·陶寒亭·减伤",nTime=-2,key="王遗风·陶寒亭·减伤",},{nClass=14,nIcon=18829,nFrame=7,szName="浩气·张桎辕·退场·易伤30%",nTime=10,nRefresh=5,key="谢渊·张桎辕·减伤",},{nClass=14,nIcon=2992,nFrame=3,szName="王遗风·陶寒亭·减伤",nTime="300,恶人·陶寒亭·减伤3层;600,恶人·陶寒亭·减伤2层;900,恶人·陶寒亭·减伤1层;910,恶人·陶寒亭·减伤消失",nRefresh=5,key="王遗风·陶寒亭·减伤",},},},</v>
      </c>
      <c r="W15" t="s">
        <v>2051</v>
      </c>
      <c r="X15" t="str">
        <f t="shared" si="1"/>
        <v>{nClass=14,nIcon=13,szName="谢渊·张桎辕·减伤",nTime=-2,key="谢渊·张桎辕·减伤",},</v>
      </c>
      <c r="Y15" t="str">
        <f t="shared" si="2"/>
        <v>{nClass=14,nIcon=13,szName="王遗风·陶寒亭·减伤",nTime=-2,key="王遗风·陶寒亭·减伤",},</v>
      </c>
      <c r="Z15" t="str">
        <f>"{nClass=14,nIcon=18829,nFrame=7,szName="""&amp;K15&amp;"·"&amp;L15&amp;"·退场·易伤30%"&amp;""",nTime=10,nRefresh=5,key="""&amp;F15&amp;"·"&amp;L15&amp;"·减伤"&amp;""",},"</f>
        <v>{nClass=14,nIcon=18829,nFrame=7,szName="浩气·张桎辕·退场·易伤30%",nTime=10,nRefresh=5,key="谢渊·张桎辕·减伤",},</v>
      </c>
      <c r="AA15" t="str">
        <f>"{nClass=14,nIcon=2992,nFrame=3,szName="""&amp;G15&amp;"·"&amp;""&amp;J15&amp;""&amp;"·减伤"""&amp;",nTime="&amp;"""300,"&amp;""&amp;I15&amp;"·"&amp;J15&amp;"·减伤3层;600,"&amp;""&amp;I15&amp;"·"&amp;J15&amp;"·减伤2层;900,"&amp;""&amp;I15&amp;"·"&amp;J15&amp;"·减伤1层;910,"&amp;""&amp;I15&amp;"·"&amp;J15&amp;"·减伤消失"""&amp;",nRefresh=5,key="""&amp;G15&amp;"·"&amp;J15&amp;"·减伤"&amp;""",},"</f>
        <v>{nClass=14,nIcon=2992,nFrame=3,szName="王遗风·陶寒亭·减伤",nTime="300,恶人·陶寒亭·减伤3层;600,恶人·陶寒亭·减伤2层;900,恶人·陶寒亭·减伤1层;910,恶人·陶寒亭·减伤消失",nRefresh=5,key="王遗风·陶寒亭·减伤",},</v>
      </c>
      <c r="AB15" s="7"/>
    </row>
    <row r="16" spans="1:28">
      <c r="C16" t="s">
        <v>2043</v>
      </c>
      <c r="D16" t="s">
        <v>2060</v>
      </c>
      <c r="E16" t="s">
        <v>2061</v>
      </c>
      <c r="F16" t="s">
        <v>2043</v>
      </c>
      <c r="G16" t="s">
        <v>2046</v>
      </c>
      <c r="I16" t="s">
        <v>2047</v>
      </c>
      <c r="J16" t="s">
        <v>2062</v>
      </c>
      <c r="K16" t="s">
        <v>2049</v>
      </c>
      <c r="L16" t="s">
        <v>2063</v>
      </c>
      <c r="M16" t="s">
        <v>2029</v>
      </c>
      <c r="Q16">
        <v>1</v>
      </c>
      <c r="S16">
        <v>1</v>
      </c>
      <c r="V16" t="str">
        <f t="shared" si="0"/>
        <v>{szContent="游驹已经尽力，请暂且退回疗伤。",szTarget="谢渊",szNote="浩气·游驹·败退",col={100,100,255,},[14]={bTeamChannel=true,bCenterAlarm=true,},tCountdown={{nClass=14,nIcon=13,nFrame=0,szName="恶人·速战速决·达成",nTime=10,nRefresh=99999,key="速战速决",},{nClass=14,nIcon=13,szName="谢渊·游驹·减伤",nTime=-2,key="谢渊·游驹·减伤",},{nClass=14,nIcon=13,szName="王遗风·莫雨·减伤",nTime=-2,key="王遗风·莫雨·减伤",},{nClass=14,nIcon=18829,nFrame=7,szName="浩气·游驹·退场·易伤30%",nTime=10,nRefresh=5,key="谢渊·游驹·减伤",},{nClass=14,nIcon=2992,nFrame=3,szName="王遗风·莫雨·减伤",nTime="300,恶人·莫雨·减伤3层;600,恶人·莫雨·减伤2层;900,恶人·莫雨·减伤1层;910,恶人·莫雨·减伤消失",nRefresh=5,key="王遗风·莫雨·减伤",},},},</v>
      </c>
      <c r="W16" t="s">
        <v>2051</v>
      </c>
      <c r="X16" t="str">
        <f t="shared" si="1"/>
        <v>{nClass=14,nIcon=13,szName="谢渊·游驹·减伤",nTime=-2,key="谢渊·游驹·减伤",},</v>
      </c>
      <c r="Y16" t="str">
        <f t="shared" si="2"/>
        <v>{nClass=14,nIcon=13,szName="王遗风·莫雨·减伤",nTime=-2,key="王遗风·莫雨·减伤",},</v>
      </c>
      <c r="Z16" t="str">
        <f>"{nClass=14,nIcon=18829,nFrame=7,szName="""&amp;K16&amp;"·"&amp;L16&amp;"·退场·易伤30%"&amp;""",nTime=10,nRefresh=5,key="""&amp;F16&amp;"·"&amp;L16&amp;"·减伤"&amp;""",},"</f>
        <v>{nClass=14,nIcon=18829,nFrame=7,szName="浩气·游驹·退场·易伤30%",nTime=10,nRefresh=5,key="谢渊·游驹·减伤",},</v>
      </c>
      <c r="AA16" t="str">
        <f>"{nClass=14,nIcon=2992,nFrame=3,szName="""&amp;G16&amp;"·"&amp;""&amp;J16&amp;""&amp;"·减伤"""&amp;",nTime="&amp;"""300,"&amp;""&amp;I16&amp;"·"&amp;J16&amp;"·减伤3层;600,"&amp;""&amp;I16&amp;"·"&amp;J16&amp;"·减伤2层;900,"&amp;""&amp;I16&amp;"·"&amp;J16&amp;"·减伤1层;910,"&amp;""&amp;I16&amp;"·"&amp;J16&amp;"·减伤消失"""&amp;",nRefresh=5,key="""&amp;G16&amp;"·"&amp;J16&amp;"·减伤"&amp;""",},"</f>
        <v>{nClass=14,nIcon=2992,nFrame=3,szName="王遗风·莫雨·减伤",nTime="300,恶人·莫雨·减伤3层;600,恶人·莫雨·减伤2层;900,恶人·莫雨·减伤1层;910,恶人·莫雨·减伤消失",nRefresh=5,key="王遗风·莫雨·减伤",},</v>
      </c>
      <c r="AB16" s="7"/>
    </row>
    <row r="17" s="7" customFormat="1" spans="1:28">
      <c r="A17"/>
      <c r="B17"/>
      <c r="C17" t="s">
        <v>2043</v>
      </c>
      <c r="D17" s="7" t="s">
        <v>2064</v>
      </c>
      <c r="E17" t="s">
        <v>2065</v>
      </c>
      <c r="F17" t="s">
        <v>2043</v>
      </c>
      <c r="G17" t="s">
        <v>2046</v>
      </c>
      <c r="H17"/>
      <c r="I17" t="s">
        <v>2047</v>
      </c>
      <c r="J17" t="s">
        <v>2066</v>
      </c>
      <c r="K17" t="s">
        <v>2049</v>
      </c>
      <c r="L17" t="s">
        <v>2067</v>
      </c>
      <c r="M17" t="s">
        <v>2029</v>
      </c>
      <c r="N17"/>
      <c r="O17"/>
      <c r="P17"/>
      <c r="Q17">
        <v>1</v>
      </c>
      <c r="R17"/>
      <c r="S17">
        <v>1</v>
      </c>
      <c r="T17"/>
      <c r="U17"/>
      <c r="V17" t="str">
        <f t="shared" si="0"/>
        <v>{szContent="穆玄英已经尽力，请暂且退回疗伤。",szTarget="谢渊",szNote="浩气·穆玄英·败退",col={100,100,255,},[14]={bTeamChannel=true,bCenterAlarm=true,},tCountdown={{nClass=14,nIcon=13,nFrame=0,szName="恶人·速战速决·达成",nTime=10,nRefresh=99999,key="速战速决",},{nClass=14,nIcon=13,szName="谢渊·穆玄英·减伤",nTime=-2,key="谢渊·穆玄英·减伤",},{nClass=14,nIcon=13,szName="王遗风·米丽古丽·减伤",nTime=-2,key="王遗风·米丽古丽·减伤",},{nClass=14,nIcon=18829,nFrame=7,szName="浩气·穆玄英·退场·易伤30%",nTime=10,nRefresh=5,key="谢渊·穆玄英·减伤",},{nClass=14,nIcon=2992,nFrame=3,szName="王遗风·米丽古丽·减伤",nTime="300,恶人·米丽古丽·减伤3层;600,恶人·米丽古丽·减伤2层;900,恶人·米丽古丽·减伤1层;910,恶人·米丽古丽·减伤消失",nRefresh=5,key="王遗风·米丽古丽·减伤",},},},</v>
      </c>
      <c r="W17" t="s">
        <v>2051</v>
      </c>
      <c r="X17" t="str">
        <f t="shared" si="1"/>
        <v>{nClass=14,nIcon=13,szName="谢渊·穆玄英·减伤",nTime=-2,key="谢渊·穆玄英·减伤",},</v>
      </c>
      <c r="Y17" t="str">
        <f t="shared" si="2"/>
        <v>{nClass=14,nIcon=13,szName="王遗风·米丽古丽·减伤",nTime=-2,key="王遗风·米丽古丽·减伤",},</v>
      </c>
      <c r="Z17" t="str">
        <f>"{nClass=14,nIcon=18829,nFrame=7,szName="""&amp;K17&amp;"·"&amp;L17&amp;"·退场·易伤30%"&amp;""",nTime=10,nRefresh=5,key="""&amp;F17&amp;"·"&amp;L17&amp;"·减伤"&amp;""",},"</f>
        <v>{nClass=14,nIcon=18829,nFrame=7,szName="浩气·穆玄英·退场·易伤30%",nTime=10,nRefresh=5,key="谢渊·穆玄英·减伤",},</v>
      </c>
      <c r="AA17" t="str">
        <f>"{nClass=14,nIcon=2992,nFrame=3,szName="""&amp;G17&amp;"·"&amp;""&amp;J17&amp;""&amp;"·减伤"""&amp;",nTime="&amp;"""300,"&amp;""&amp;I17&amp;"·"&amp;J17&amp;"·减伤3层;600,"&amp;""&amp;I17&amp;"·"&amp;J17&amp;"·减伤2层;900,"&amp;""&amp;I17&amp;"·"&amp;J17&amp;"·减伤1层;910,"&amp;""&amp;I17&amp;"·"&amp;J17&amp;"·减伤消失"""&amp;",nRefresh=5,key="""&amp;G17&amp;"·"&amp;J17&amp;"·减伤"&amp;""",},"</f>
        <v>{nClass=14,nIcon=2992,nFrame=3,szName="王遗风·米丽古丽·减伤",nTime="300,恶人·米丽古丽·减伤3层;600,恶人·米丽古丽·减伤2层;900,恶人·米丽古丽·减伤1层;910,恶人·米丽古丽·减伤消失",nRefresh=5,key="王遗风·米丽古丽·减伤",},</v>
      </c>
    </row>
    <row r="18" s="7" customFormat="1" spans="1:28">
      <c r="A18"/>
      <c r="B18"/>
      <c r="C18" t="s">
        <v>2046</v>
      </c>
      <c r="D18" t="s">
        <v>2068</v>
      </c>
      <c r="E18" t="s">
        <v>2069</v>
      </c>
      <c r="F18" t="s">
        <v>2046</v>
      </c>
      <c r="G18" t="s">
        <v>2043</v>
      </c>
      <c r="H18"/>
      <c r="I18" t="s">
        <v>2049</v>
      </c>
      <c r="J18" t="s">
        <v>2050</v>
      </c>
      <c r="K18" t="s">
        <v>2047</v>
      </c>
      <c r="L18" t="s">
        <v>2048</v>
      </c>
      <c r="M18" t="s">
        <v>2025</v>
      </c>
      <c r="N18"/>
      <c r="O18"/>
      <c r="P18"/>
      <c r="Q18">
        <v>1</v>
      </c>
      <c r="R18"/>
      <c r="S18">
        <v>1</v>
      </c>
      <c r="T18"/>
      <c r="U18"/>
      <c r="V18" t="str">
        <f t="shared" si="0"/>
        <v>{szContent="肖药儿已经尽力，请暂且退回疗伤。",szTarget="王遗风",szNote="恶人·肖药儿·败退",col={255,100,100,},[14]={bTeamChannel=true,bCenterAlarm=true,},tCountdown={{nClass=14,nIcon=13,nFrame=0,szName="浩气·速战速决·达成",nTime=10,nRefresh=99999,key="速战速决",},{nClass=14,nIcon=13,szName="王遗风·肖药儿·减伤",nTime=-2,key="王遗风·肖药儿·减伤",},{nClass=14,nIcon=13,szName="谢渊·司空仲平·减伤",nTime=-2,key="谢渊·司空仲平·减伤",},{nClass=14,nIcon=18830,nFrame=3,szName="恶人·肖药儿·退场·易伤30%",nTime=10,nRefresh=5,key="王遗风·肖药儿·减伤",},{nClass=14,nIcon=2939,nFrame=7,szName="谢渊·司空仲平·减伤",nTime="300,浩气·司空仲平·减伤3层;600,浩气·司空仲平·减伤2层;900,浩气·司空仲平·减伤1层;910,浩气·司空仲平·减伤消失",nRefresh=5,key="谢渊·司空仲平·减伤",},},},</v>
      </c>
      <c r="W18" t="s">
        <v>2070</v>
      </c>
      <c r="X18" t="str">
        <f t="shared" si="1"/>
        <v>{nClass=14,nIcon=13,szName="王遗风·肖药儿·减伤",nTime=-2,key="王遗风·肖药儿·减伤",},</v>
      </c>
      <c r="Y18" t="str">
        <f t="shared" si="2"/>
        <v>{nClass=14,nIcon=13,szName="谢渊·司空仲平·减伤",nTime=-2,key="谢渊·司空仲平·减伤",},</v>
      </c>
      <c r="Z18" t="str">
        <f>"{nClass=14,nIcon=18830,nFrame=3,szName="""&amp;K18&amp;"·"&amp;L18&amp;"·退场·易伤30%"&amp;""",nTime=10,nRefresh=5,key="""&amp;F18&amp;"·"&amp;L18&amp;"·减伤"&amp;""",},"</f>
        <v>{nClass=14,nIcon=18830,nFrame=3,szName="恶人·肖药儿·退场·易伤30%",nTime=10,nRefresh=5,key="王遗风·肖药儿·减伤",},</v>
      </c>
      <c r="AA18" t="str">
        <f>"{nClass=14,nIcon=2939,nFrame=7,szName="""&amp;G18&amp;"·"&amp;""&amp;J18&amp;""&amp;"·减伤"""&amp;",nTime="&amp;"""300,"&amp;""&amp;I18&amp;"·"&amp;J18&amp;"·减伤3层;600,"&amp;""&amp;I18&amp;"·"&amp;J18&amp;"·减伤2层;900,"&amp;""&amp;I18&amp;"·"&amp;J18&amp;"·减伤1层;910,"&amp;""&amp;I18&amp;"·"&amp;J18&amp;"·减伤消失"""&amp;",nRefresh=5,key="""&amp;G18&amp;"·"&amp;J18&amp;"·减伤"&amp;""",},"</f>
        <v>{nClass=14,nIcon=2939,nFrame=7,szName="谢渊·司空仲平·减伤",nTime="300,浩气·司空仲平·减伤3层;600,浩气·司空仲平·减伤2层;900,浩气·司空仲平·减伤1层;910,浩气·司空仲平·减伤消失",nRefresh=5,key="谢渊·司空仲平·减伤",},</v>
      </c>
    </row>
    <row r="19" s="7" customFormat="1" spans="1:28">
      <c r="A19"/>
      <c r="B19"/>
      <c r="C19" t="s">
        <v>2046</v>
      </c>
      <c r="D19" s="7" t="s">
        <v>2071</v>
      </c>
      <c r="E19" t="s">
        <v>2072</v>
      </c>
      <c r="F19" t="s">
        <v>2046</v>
      </c>
      <c r="G19" t="s">
        <v>2043</v>
      </c>
      <c r="H19"/>
      <c r="I19" t="s">
        <v>2049</v>
      </c>
      <c r="J19" t="s">
        <v>2055</v>
      </c>
      <c r="K19" t="s">
        <v>2047</v>
      </c>
      <c r="L19" t="s">
        <v>2054</v>
      </c>
      <c r="M19" t="s">
        <v>2025</v>
      </c>
      <c r="N19"/>
      <c r="O19"/>
      <c r="P19"/>
      <c r="Q19">
        <v>1</v>
      </c>
      <c r="R19"/>
      <c r="S19">
        <v>1</v>
      </c>
      <c r="T19"/>
      <c r="U19"/>
      <c r="V19" t="str">
        <f t="shared" si="0"/>
        <v>{szContent="万兽王已经尽力，请暂且退回疗伤。",szTarget="王遗风",szNote="恶人·万兽王·败退",col={255,100,100,},[14]={bTeamChannel=true,bCenterAlarm=true,},tCountdown={{nClass=14,nIcon=13,nFrame=0,szName="浩气·速战速决·达成",nTime=10,nRefresh=99999,key="速战速决",},{nClass=14,nIcon=13,szName="王遗风·万兽王·减伤",nTime=-2,key="王遗风·万兽王·减伤",},{nClass=14,nIcon=13,szName="谢渊·月弄痕·减伤",nTime=-2,key="谢渊·月弄痕·减伤",},{nClass=14,nIcon=18830,nFrame=3,szName="恶人·万兽王·退场·易伤30%",nTime=10,nRefresh=5,key="王遗风·万兽王·减伤",},{nClass=14,nIcon=2939,nFrame=7,szName="谢渊·月弄痕·减伤",nTime="300,浩气·月弄痕·减伤3层;600,浩气·月弄痕·减伤2层;900,浩气·月弄痕·减伤1层;910,浩气·月弄痕·减伤消失",nRefresh=5,key="谢渊·月弄痕·减伤",},},},</v>
      </c>
      <c r="W19" t="s">
        <v>2070</v>
      </c>
      <c r="X19" t="str">
        <f t="shared" si="1"/>
        <v>{nClass=14,nIcon=13,szName="王遗风·万兽王·减伤",nTime=-2,key="王遗风·万兽王·减伤",},</v>
      </c>
      <c r="Y19" t="str">
        <f t="shared" si="2"/>
        <v>{nClass=14,nIcon=13,szName="谢渊·月弄痕·减伤",nTime=-2,key="谢渊·月弄痕·减伤",},</v>
      </c>
      <c r="Z19" t="str">
        <f>"{nClass=14,nIcon=18830,nFrame=3,szName="""&amp;K19&amp;"·"&amp;L19&amp;"·退场·易伤30%"&amp;""",nTime=10,nRefresh=5,key="""&amp;F19&amp;"·"&amp;L19&amp;"·减伤"&amp;""",},"</f>
        <v>{nClass=14,nIcon=18830,nFrame=3,szName="恶人·万兽王·退场·易伤30%",nTime=10,nRefresh=5,key="王遗风·万兽王·减伤",},</v>
      </c>
      <c r="AA19" t="str">
        <f>"{nClass=14,nIcon=2939,nFrame=7,szName="""&amp;G19&amp;"·"&amp;""&amp;J19&amp;""&amp;"·减伤"""&amp;",nTime="&amp;"""300,"&amp;""&amp;I19&amp;"·"&amp;J19&amp;"·减伤3层;600,"&amp;""&amp;I19&amp;"·"&amp;J19&amp;"·减伤2层;900,"&amp;""&amp;I19&amp;"·"&amp;J19&amp;"·减伤1层;910,"&amp;""&amp;I19&amp;"·"&amp;J19&amp;"·减伤消失"""&amp;",nRefresh=5,key="""&amp;G19&amp;"·"&amp;J19&amp;"·减伤"&amp;""",},"</f>
        <v>{nClass=14,nIcon=2939,nFrame=7,szName="谢渊·月弄痕·减伤",nTime="300,浩气·月弄痕·减伤3层;600,浩气·月弄痕·减伤2层;900,浩气·月弄痕·减伤1层;910,浩气·月弄痕·减伤消失",nRefresh=5,key="谢渊·月弄痕·减伤",},</v>
      </c>
    </row>
    <row r="20" s="7" customFormat="1" spans="1:28">
      <c r="A20"/>
      <c r="B20"/>
      <c r="C20" t="s">
        <v>2046</v>
      </c>
      <c r="D20" t="s">
        <v>2073</v>
      </c>
      <c r="E20" t="s">
        <v>2074</v>
      </c>
      <c r="F20" t="s">
        <v>2046</v>
      </c>
      <c r="G20" t="s">
        <v>2043</v>
      </c>
      <c r="H20"/>
      <c r="I20" t="s">
        <v>2049</v>
      </c>
      <c r="J20" t="s">
        <v>2059</v>
      </c>
      <c r="K20" t="s">
        <v>2047</v>
      </c>
      <c r="L20" t="s">
        <v>2058</v>
      </c>
      <c r="M20" t="s">
        <v>2025</v>
      </c>
      <c r="N20"/>
      <c r="O20"/>
      <c r="P20"/>
      <c r="Q20">
        <v>1</v>
      </c>
      <c r="R20"/>
      <c r="S20">
        <v>1</v>
      </c>
      <c r="T20"/>
      <c r="U20"/>
      <c r="V20" t="str">
        <f t="shared" si="0"/>
        <v>{szContent="陶寒亭已经尽力，请暂且退回疗伤。",szTarget="王遗风",szNote="恶人·陶寒亭·败退",col={255,100,100,},[14]={bTeamChannel=true,bCenterAlarm=true,},tCountdown={{nClass=14,nIcon=13,nFrame=0,szName="浩气·速战速决·达成",nTime=10,nRefresh=99999,key="速战速决",},{nClass=14,nIcon=13,szName="王遗风·陶寒亭·减伤",nTime=-2,key="王遗风·陶寒亭·减伤",},{nClass=14,nIcon=13,szName="谢渊·张桎辕·减伤",nTime=-2,key="谢渊·张桎辕·减伤",},{nClass=14,nIcon=18830,nFrame=3,szName="恶人·陶寒亭·退场·易伤30%",nTime=10,nRefresh=5,key="王遗风·陶寒亭·减伤",},{nClass=14,nIcon=2939,nFrame=7,szName="谢渊·张桎辕·减伤",nTime="300,浩气·张桎辕·减伤3层;600,浩气·张桎辕·减伤2层;900,浩气·张桎辕·减伤1层;910,浩气·张桎辕·减伤消失",nRefresh=5,key="谢渊·张桎辕·减伤",},},},</v>
      </c>
      <c r="W20" t="s">
        <v>2070</v>
      </c>
      <c r="X20" t="str">
        <f t="shared" si="1"/>
        <v>{nClass=14,nIcon=13,szName="王遗风·陶寒亭·减伤",nTime=-2,key="王遗风·陶寒亭·减伤",},</v>
      </c>
      <c r="Y20" t="str">
        <f t="shared" si="2"/>
        <v>{nClass=14,nIcon=13,szName="谢渊·张桎辕·减伤",nTime=-2,key="谢渊·张桎辕·减伤",},</v>
      </c>
      <c r="Z20" t="str">
        <f>"{nClass=14,nIcon=18830,nFrame=3,szName="""&amp;K20&amp;"·"&amp;L20&amp;"·退场·易伤30%"&amp;""",nTime=10,nRefresh=5,key="""&amp;F20&amp;"·"&amp;L20&amp;"·减伤"&amp;""",},"</f>
        <v>{nClass=14,nIcon=18830,nFrame=3,szName="恶人·陶寒亭·退场·易伤30%",nTime=10,nRefresh=5,key="王遗风·陶寒亭·减伤",},</v>
      </c>
      <c r="AA20" t="str">
        <f>"{nClass=14,nIcon=2939,nFrame=7,szName="""&amp;G20&amp;"·"&amp;""&amp;J20&amp;""&amp;"·减伤"""&amp;",nTime="&amp;"""300,"&amp;""&amp;I20&amp;"·"&amp;J20&amp;"·减伤3层;600,"&amp;""&amp;I20&amp;"·"&amp;J20&amp;"·减伤2层;900,"&amp;""&amp;I20&amp;"·"&amp;J20&amp;"·减伤1层;910,"&amp;""&amp;I20&amp;"·"&amp;J20&amp;"·减伤消失"""&amp;",nRefresh=5,key="""&amp;G20&amp;"·"&amp;J20&amp;"·减伤"&amp;""",},"</f>
        <v>{nClass=14,nIcon=2939,nFrame=7,szName="谢渊·张桎辕·减伤",nTime="300,浩气·张桎辕·减伤3层;600,浩气·张桎辕·减伤2层;900,浩气·张桎辕·减伤1层;910,浩气·张桎辕·减伤消失",nRefresh=5,key="谢渊·张桎辕·减伤",},</v>
      </c>
    </row>
    <row r="21" s="7" customFormat="1" spans="1:28">
      <c r="A21"/>
      <c r="B21"/>
      <c r="C21" t="s">
        <v>2046</v>
      </c>
      <c r="D21" s="7" t="s">
        <v>2075</v>
      </c>
      <c r="E21" t="s">
        <v>2076</v>
      </c>
      <c r="F21" t="s">
        <v>2046</v>
      </c>
      <c r="G21" t="s">
        <v>2043</v>
      </c>
      <c r="H21"/>
      <c r="I21" t="s">
        <v>2049</v>
      </c>
      <c r="J21" t="s">
        <v>2063</v>
      </c>
      <c r="K21" t="s">
        <v>2047</v>
      </c>
      <c r="L21" t="s">
        <v>2062</v>
      </c>
      <c r="M21" t="s">
        <v>2025</v>
      </c>
      <c r="N21"/>
      <c r="O21"/>
      <c r="P21"/>
      <c r="Q21">
        <v>1</v>
      </c>
      <c r="R21"/>
      <c r="S21">
        <v>1</v>
      </c>
      <c r="T21"/>
      <c r="U21"/>
      <c r="V21" t="str">
        <f t="shared" si="0"/>
        <v>{szContent="莫雨已经尽力，请暂且退回疗伤。",szTarget="王遗风",szNote="恶人·莫雨·败退",col={255,100,100,},[14]={bTeamChannel=true,bCenterAlarm=true,},tCountdown={{nClass=14,nIcon=13,nFrame=0,szName="浩气·速战速决·达成",nTime=10,nRefresh=99999,key="速战速决",},{nClass=14,nIcon=13,szName="王遗风·莫雨·减伤",nTime=-2,key="王遗风·莫雨·减伤",},{nClass=14,nIcon=13,szName="谢渊·游驹·减伤",nTime=-2,key="谢渊·游驹·减伤",},{nClass=14,nIcon=18830,nFrame=3,szName="恶人·莫雨·退场·易伤30%",nTime=10,nRefresh=5,key="王遗风·莫雨·减伤",},{nClass=14,nIcon=2939,nFrame=7,szName="谢渊·游驹·减伤",nTime="300,浩气·游驹·减伤3层;600,浩气·游驹·减伤2层;900,浩气·游驹·减伤1层;910,浩气·游驹·减伤消失",nRefresh=5,key="谢渊·游驹·减伤",},},},</v>
      </c>
      <c r="W21" t="s">
        <v>2070</v>
      </c>
      <c r="X21" t="str">
        <f t="shared" si="1"/>
        <v>{nClass=14,nIcon=13,szName="王遗风·莫雨·减伤",nTime=-2,key="王遗风·莫雨·减伤",},</v>
      </c>
      <c r="Y21" t="str">
        <f t="shared" si="2"/>
        <v>{nClass=14,nIcon=13,szName="谢渊·游驹·减伤",nTime=-2,key="谢渊·游驹·减伤",},</v>
      </c>
      <c r="Z21" t="str">
        <f>"{nClass=14,nIcon=18830,nFrame=3,szName="""&amp;K21&amp;"·"&amp;L21&amp;"·退场·易伤30%"&amp;""",nTime=10,nRefresh=5,key="""&amp;F21&amp;"·"&amp;L21&amp;"·减伤"&amp;""",},"</f>
        <v>{nClass=14,nIcon=18830,nFrame=3,szName="恶人·莫雨·退场·易伤30%",nTime=10,nRefresh=5,key="王遗风·莫雨·减伤",},</v>
      </c>
      <c r="AA21" t="str">
        <f>"{nClass=14,nIcon=2939,nFrame=7,szName="""&amp;G21&amp;"·"&amp;""&amp;J21&amp;""&amp;"·减伤"""&amp;",nTime="&amp;"""300,"&amp;""&amp;I21&amp;"·"&amp;J21&amp;"·减伤3层;600,"&amp;""&amp;I21&amp;"·"&amp;J21&amp;"·减伤2层;900,"&amp;""&amp;I21&amp;"·"&amp;J21&amp;"·减伤1层;910,"&amp;""&amp;I21&amp;"·"&amp;J21&amp;"·减伤消失"""&amp;",nRefresh=5,key="""&amp;G21&amp;"·"&amp;J21&amp;"·减伤"&amp;""",},"</f>
        <v>{nClass=14,nIcon=2939,nFrame=7,szName="谢渊·游驹·减伤",nTime="300,浩气·游驹·减伤3层;600,浩气·游驹·减伤2层;900,浩气·游驹·减伤1层;910,浩气·游驹·减伤消失",nRefresh=5,key="谢渊·游驹·减伤",},</v>
      </c>
    </row>
    <row r="22" s="7" customFormat="1" spans="1:28">
      <c r="A22"/>
      <c r="B22"/>
      <c r="C22" t="s">
        <v>2046</v>
      </c>
      <c r="D22" t="s">
        <v>2077</v>
      </c>
      <c r="E22" t="s">
        <v>2078</v>
      </c>
      <c r="F22" t="s">
        <v>2046</v>
      </c>
      <c r="G22" t="s">
        <v>2043</v>
      </c>
      <c r="H22"/>
      <c r="I22" t="s">
        <v>2049</v>
      </c>
      <c r="J22" t="s">
        <v>2067</v>
      </c>
      <c r="K22" t="s">
        <v>2047</v>
      </c>
      <c r="L22" t="s">
        <v>2066</v>
      </c>
      <c r="M22" t="s">
        <v>2025</v>
      </c>
      <c r="N22"/>
      <c r="O22"/>
      <c r="P22"/>
      <c r="Q22">
        <v>1</v>
      </c>
      <c r="R22"/>
      <c r="S22">
        <v>1</v>
      </c>
      <c r="T22"/>
      <c r="U22"/>
      <c r="V22" t="str">
        <f t="shared" si="0"/>
        <v>{szContent="米丽古丽已经尽力，请暂且退回疗伤。",szTarget="王遗风",szNote="恶人·米丽古丽·败退",col={255,100,100,},[14]={bTeamChannel=true,bCenterAlarm=true,},tCountdown={{nClass=14,nIcon=13,nFrame=0,szName="浩气·速战速决·达成",nTime=10,nRefresh=99999,key="速战速决",},{nClass=14,nIcon=13,szName="王遗风·米丽古丽·减伤",nTime=-2,key="王遗风·米丽古丽·减伤",},{nClass=14,nIcon=13,szName="谢渊·穆玄英·减伤",nTime=-2,key="谢渊·穆玄英·减伤",},{nClass=14,nIcon=18830,nFrame=3,szName="恶人·米丽古丽·退场·易伤30%",nTime=10,nRefresh=5,key="王遗风·米丽古丽·减伤",},{nClass=14,nIcon=2939,nFrame=7,szName="谢渊·穆玄英·减伤",nTime="300,浩气·穆玄英·减伤3层;600,浩气·穆玄英·减伤2层;900,浩气·穆玄英·减伤1层;910,浩气·穆玄英·减伤消失",nRefresh=5,key="谢渊·穆玄英·减伤",},},},</v>
      </c>
      <c r="W22" t="s">
        <v>2070</v>
      </c>
      <c r="X22" t="str">
        <f t="shared" si="1"/>
        <v>{nClass=14,nIcon=13,szName="王遗风·米丽古丽·减伤",nTime=-2,key="王遗风·米丽古丽·减伤",},</v>
      </c>
      <c r="Y22" t="str">
        <f t="shared" si="2"/>
        <v>{nClass=14,nIcon=13,szName="谢渊·穆玄英·减伤",nTime=-2,key="谢渊·穆玄英·减伤",},</v>
      </c>
      <c r="Z22" t="str">
        <f>"{nClass=14,nIcon=18830,nFrame=3,szName="""&amp;K22&amp;"·"&amp;L22&amp;"·退场·易伤30%"&amp;""",nTime=10,nRefresh=5,key="""&amp;F22&amp;"·"&amp;L22&amp;"·减伤"&amp;""",},"</f>
        <v>{nClass=14,nIcon=18830,nFrame=3,szName="恶人·米丽古丽·退场·易伤30%",nTime=10,nRefresh=5,key="王遗风·米丽古丽·减伤",},</v>
      </c>
      <c r="AA22" t="str">
        <f>"{nClass=14,nIcon=2939,nFrame=7,szName="""&amp;G22&amp;"·"&amp;""&amp;J22&amp;""&amp;"·减伤"""&amp;",nTime="&amp;"""300,"&amp;""&amp;I22&amp;"·"&amp;J22&amp;"·减伤3层;600,"&amp;""&amp;I22&amp;"·"&amp;J22&amp;"·减伤2层;900,"&amp;""&amp;I22&amp;"·"&amp;J22&amp;"·减伤1层;910,"&amp;""&amp;I22&amp;"·"&amp;J22&amp;"·减伤消失"""&amp;",nRefresh=5,key="""&amp;G22&amp;"·"&amp;J22&amp;"·减伤"&amp;""",},"</f>
        <v>{nClass=14,nIcon=2939,nFrame=7,szName="谢渊·穆玄英·减伤",nTime="300,浩气·穆玄英·减伤3层;600,浩气·穆玄英·减伤2层;900,浩气·穆玄英·减伤1层;910,浩气·穆玄英·减伤消失",nRefresh=5,key="谢渊·穆玄英·减伤",},</v>
      </c>
    </row>
    <row r="23" s="7" customFormat="1" spans="1:28">
      <c r="A23"/>
      <c r="C23" s="4" t="str">
        <f t="shared" ref="C23:C36" si="3">L23</f>
        <v>白某</v>
      </c>
      <c r="D23" s="4" t="s">
        <v>2079</v>
      </c>
      <c r="E23" s="7" t="str">
        <f t="shared" ref="E23:E36" si="4">K23&amp;"·"&amp;L23&amp;"·败退"</f>
        <v>恶人·白某·败退</v>
      </c>
      <c r="F23" s="7" t="s">
        <v>2046</v>
      </c>
      <c r="G23" s="7" t="s">
        <v>2043</v>
      </c>
      <c r="I23" s="7" t="s">
        <v>2049</v>
      </c>
      <c r="J23" s="7" t="s">
        <v>2080</v>
      </c>
      <c r="K23" s="7" t="s">
        <v>2047</v>
      </c>
      <c r="L23" s="7" t="s">
        <v>2081</v>
      </c>
      <c r="M23" s="7" t="s">
        <v>2025</v>
      </c>
      <c r="N23" s="7">
        <v>1</v>
      </c>
      <c r="S23" s="7">
        <v>1</v>
      </c>
      <c r="T23"/>
      <c r="V23" t="str">
        <f t="shared" si="0"/>
        <v>{szContent="罢了，青山不改，绿水长流，后会有期！",szTarget="白某",szNote="恶人·白某·败退",col={255,100,100,},bSearch=true,[14]={bCenterAlarm=true,},tCountdown={{nClass=14,nIcon=13,szName="王遗风·白某·减伤",nTime=-2,key="王遗风·白某·减伤",},{nClass=14,nIcon=13,szName="谢渊·郭珠·减伤",nTime=-2,key="谢渊·郭珠·减伤",},{nClass=14,nIcon=18830,nFrame=3,szName="恶人·白某·退场·易伤30%",nTime=10,nRefresh=5,key="王遗风·白某·减伤",},{nClass=14,nIcon=2939,nFrame=7,szName="谢渊·郭珠·减伤",nTime="300,浩气·郭珠·减伤3层;600,浩气·郭珠·减伤2层;900,浩气·郭珠·减伤1层;910,浩气·郭珠·减伤消失",nRefresh=5,key="谢渊·郭珠·减伤",},},},</v>
      </c>
      <c r="W23" s="7" t="str">
        <f t="shared" ref="W23:W36" si="5">"{nClass=14,nIcon=13,szName="""&amp;F23&amp;"·"&amp;L23&amp;"·减伤"""&amp;",nTime=-2,key="""&amp;F23&amp;"·"&amp;L23&amp;"·减伤"""&amp;",},"</f>
        <v>{nClass=14,nIcon=13,szName="王遗风·白某·减伤",nTime=-2,key="王遗风·白某·减伤",},</v>
      </c>
      <c r="X23" s="7" t="str">
        <f t="shared" ref="X23:X36" si="6">"{nClass=14,nIcon=13,szName="""&amp;""&amp;G23&amp;"·"&amp;""&amp;J23&amp;"·减伤"""&amp;",nTime=-2,key="""&amp;""&amp;G23&amp;"·"&amp;""&amp;J23&amp;"·减伤"""&amp;",},"</f>
        <v>{nClass=14,nIcon=13,szName="谢渊·郭珠·减伤",nTime=-2,key="谢渊·郭珠·减伤",},</v>
      </c>
      <c r="Y23" s="7" t="str">
        <f t="shared" ref="Y23:Y28" si="7">"{nClass=14,nIcon=18830,nFrame=3,szName="""&amp;""&amp;K23&amp;"·"&amp;L23&amp;"·退场·易伤30%"",nTime=10,nRefresh=5,key="""&amp;""&amp;F23&amp;"·"&amp;L23&amp;"·减伤"""&amp;",},"</f>
        <v>{nClass=14,nIcon=18830,nFrame=3,szName="恶人·白某·退场·易伤30%",nTime=10,nRefresh=5,key="王遗风·白某·减伤",},</v>
      </c>
      <c r="Z23" s="7" t="str">
        <f t="shared" ref="Z23:Z28" si="8">"{nClass=14,nIcon=2939,nFrame=7,szName="""&amp;G23&amp;"·"&amp;""&amp;J23&amp;"·减伤"""&amp;",nTime="""&amp;"300,"&amp;I23&amp;"·"&amp;J23&amp;"·减伤3层;600,"&amp;I23&amp;"·"&amp;J23&amp;"·减伤2层;900,"&amp;I23&amp;"·"&amp;J23&amp;"·减伤1层;910,"&amp;I23&amp;"·"&amp;J23&amp;"·减伤消失"""&amp;",nRefresh=5,key="""&amp;""&amp;G23&amp;"·"&amp;""&amp;J23&amp;"·减伤"""&amp;",},"</f>
        <v>{nClass=14,nIcon=2939,nFrame=7,szName="谢渊·郭珠·减伤",nTime="300,浩气·郭珠·减伤3层;600,浩气·郭珠·减伤2层;900,浩气·郭珠·减伤1层;910,浩气·郭珠·减伤消失",nRefresh=5,key="谢渊·郭珠·减伤",},</v>
      </c>
    </row>
    <row r="24" s="7" customFormat="1" spans="1:28">
      <c r="A24"/>
      <c r="C24" s="4" t="str">
        <f t="shared" si="3"/>
        <v>烟</v>
      </c>
      <c r="D24" s="4" t="s">
        <v>2079</v>
      </c>
      <c r="E24" s="7" t="str">
        <f t="shared" si="4"/>
        <v>恶人·烟·败退</v>
      </c>
      <c r="F24" s="7" t="s">
        <v>2046</v>
      </c>
      <c r="G24" s="7" t="s">
        <v>2043</v>
      </c>
      <c r="I24" s="7" t="s">
        <v>2049</v>
      </c>
      <c r="J24" s="7" t="s">
        <v>2082</v>
      </c>
      <c r="K24" s="7" t="s">
        <v>2047</v>
      </c>
      <c r="L24" s="7" t="s">
        <v>2083</v>
      </c>
      <c r="M24" s="7" t="s">
        <v>2025</v>
      </c>
      <c r="N24" s="7">
        <v>1</v>
      </c>
      <c r="S24" s="7">
        <v>1</v>
      </c>
      <c r="T24"/>
      <c r="V24" t="str">
        <f t="shared" si="0"/>
        <v>{szContent="罢了，青山不改，绿水长流，后会有期！",szTarget="烟",szNote="恶人·烟·败退",col={255,100,100,},bSearch=true,[14]={bCenterAlarm=true,},tCountdown={{nClass=14,nIcon=13,szName="王遗风·烟·减伤",nTime=-2,key="王遗风·烟·减伤",},{nClass=14,nIcon=13,szName="谢渊·谢铃儿·减伤",nTime=-2,key="谢渊·谢铃儿·减伤",},{nClass=14,nIcon=18830,nFrame=3,szName="恶人·烟·退场·易伤30%",nTime=10,nRefresh=5,key="王遗风·烟·减伤",},{nClass=14,nIcon=2939,nFrame=7,szName="谢渊·谢铃儿·减伤",nTime="300,浩气·谢铃儿·减伤3层;600,浩气·谢铃儿·减伤2层;900,浩气·谢铃儿·减伤1层;910,浩气·谢铃儿·减伤消失",nRefresh=5,key="谢渊·谢铃儿·减伤",},},},</v>
      </c>
      <c r="W24" s="7" t="str">
        <f t="shared" si="5"/>
        <v>{nClass=14,nIcon=13,szName="王遗风·烟·减伤",nTime=-2,key="王遗风·烟·减伤",},</v>
      </c>
      <c r="X24" s="7" t="str">
        <f t="shared" si="6"/>
        <v>{nClass=14,nIcon=13,szName="谢渊·谢铃儿·减伤",nTime=-2,key="谢渊·谢铃儿·减伤",},</v>
      </c>
      <c r="Y24" s="7" t="str">
        <f t="shared" si="7"/>
        <v>{nClass=14,nIcon=18830,nFrame=3,szName="恶人·烟·退场·易伤30%",nTime=10,nRefresh=5,key="王遗风·烟·减伤",},</v>
      </c>
      <c r="Z24" s="7" t="str">
        <f t="shared" si="8"/>
        <v>{nClass=14,nIcon=2939,nFrame=7,szName="谢渊·谢铃儿·减伤",nTime="300,浩气·谢铃儿·减伤3层;600,浩气·谢铃儿·减伤2层;900,浩气·谢铃儿·减伤1层;910,浩气·谢铃儿·减伤消失",nRefresh=5,key="谢渊·谢铃儿·减伤",},</v>
      </c>
    </row>
    <row r="25" s="7" customFormat="1" spans="1:28">
      <c r="A25"/>
      <c r="C25" s="4" t="str">
        <f t="shared" si="3"/>
        <v>岳琅</v>
      </c>
      <c r="D25" s="4" t="s">
        <v>2079</v>
      </c>
      <c r="E25" s="7" t="str">
        <f t="shared" si="4"/>
        <v>恶人·岳琅·败退</v>
      </c>
      <c r="F25" s="7" t="s">
        <v>2046</v>
      </c>
      <c r="G25" s="7" t="s">
        <v>2043</v>
      </c>
      <c r="I25" s="7" t="s">
        <v>2049</v>
      </c>
      <c r="J25" s="7" t="s">
        <v>2084</v>
      </c>
      <c r="K25" s="7" t="s">
        <v>2047</v>
      </c>
      <c r="L25" s="7" t="s">
        <v>2085</v>
      </c>
      <c r="M25" s="7" t="s">
        <v>2025</v>
      </c>
      <c r="N25" s="7">
        <v>1</v>
      </c>
      <c r="S25" s="7">
        <v>1</v>
      </c>
      <c r="T25"/>
      <c r="V25" t="str">
        <f t="shared" si="0"/>
        <v>{szContent="罢了，青山不改，绿水长流，后会有期！",szTarget="岳琅",szNote="恶人·岳琅·败退",col={255,100,100,},bSearch=true,[14]={bCenterAlarm=true,},tCountdown={{nClass=14,nIcon=13,szName="王遗风·岳琅·减伤",nTime=-2,key="王遗风·岳琅·减伤",},{nClass=14,nIcon=13,szName="谢渊·叶镜池·减伤",nTime=-2,key="谢渊·叶镜池·减伤",},{nClass=14,nIcon=18830,nFrame=3,szName="恶人·岳琅·退场·易伤30%",nTime=10,nRefresh=5,key="王遗风·岳琅·减伤",},{nClass=14,nIcon=2939,nFrame=7,szName="谢渊·叶镜池·减伤",nTime="300,浩气·叶镜池·减伤3层;600,浩气·叶镜池·减伤2层;900,浩气·叶镜池·减伤1层;910,浩气·叶镜池·减伤消失",nRefresh=5,key="谢渊·叶镜池·减伤",},},},</v>
      </c>
      <c r="W25" s="7" t="str">
        <f t="shared" si="5"/>
        <v>{nClass=14,nIcon=13,szName="王遗风·岳琅·减伤",nTime=-2,key="王遗风·岳琅·减伤",},</v>
      </c>
      <c r="X25" s="7" t="str">
        <f t="shared" si="6"/>
        <v>{nClass=14,nIcon=13,szName="谢渊·叶镜池·减伤",nTime=-2,key="谢渊·叶镜池·减伤",},</v>
      </c>
      <c r="Y25" s="7" t="str">
        <f t="shared" si="7"/>
        <v>{nClass=14,nIcon=18830,nFrame=3,szName="恶人·岳琅·退场·易伤30%",nTime=10,nRefresh=5,key="王遗风·岳琅·减伤",},</v>
      </c>
      <c r="Z25" s="7" t="str">
        <f t="shared" si="8"/>
        <v>{nClass=14,nIcon=2939,nFrame=7,szName="谢渊·叶镜池·减伤",nTime="300,浩气·叶镜池·减伤3层;600,浩气·叶镜池·减伤2层;900,浩气·叶镜池·减伤1层;910,浩气·叶镜池·减伤消失",nRefresh=5,key="谢渊·叶镜池·减伤",},</v>
      </c>
    </row>
    <row r="26" s="7" customFormat="1" spans="1:28">
      <c r="A26"/>
      <c r="C26" s="4" t="str">
        <f t="shared" si="3"/>
        <v>独孤修</v>
      </c>
      <c r="D26" s="4" t="s">
        <v>2079</v>
      </c>
      <c r="E26" s="7" t="str">
        <f t="shared" si="4"/>
        <v>恶人·独孤修·败退</v>
      </c>
      <c r="F26" s="7" t="s">
        <v>2046</v>
      </c>
      <c r="G26" s="7" t="s">
        <v>2043</v>
      </c>
      <c r="I26" s="7" t="s">
        <v>2049</v>
      </c>
      <c r="J26" s="7" t="s">
        <v>2086</v>
      </c>
      <c r="K26" s="7" t="s">
        <v>2047</v>
      </c>
      <c r="L26" s="7" t="s">
        <v>2087</v>
      </c>
      <c r="M26" s="7" t="s">
        <v>2025</v>
      </c>
      <c r="N26" s="7">
        <v>1</v>
      </c>
      <c r="S26" s="7">
        <v>1</v>
      </c>
      <c r="T26"/>
      <c r="V26" t="str">
        <f t="shared" si="0"/>
        <v>{szContent="罢了，青山不改，绿水长流，后会有期！",szTarget="独孤修",szNote="恶人·独孤修·败退",col={255,100,100,},bSearch=true,[14]={bCenterAlarm=true,},tCountdown={{nClass=14,nIcon=13,szName="王遗风·独孤修·减伤",nTime=-2,key="王遗风·独孤修·减伤",},{nClass=14,nIcon=13,szName="谢渊·影·减伤",nTime=-2,key="谢渊·影·减伤",},{nClass=14,nIcon=18830,nFrame=3,szName="恶人·独孤修·退场·易伤30%",nTime=10,nRefresh=5,key="王遗风·独孤修·减伤",},{nClass=14,nIcon=2939,nFrame=7,szName="谢渊·影·减伤",nTime="300,浩气·影·减伤3层;600,浩气·影·减伤2层;900,浩气·影·减伤1层;910,浩气·影·减伤消失",nRefresh=5,key="谢渊·影·减伤",},},},</v>
      </c>
      <c r="W26" s="7" t="str">
        <f t="shared" si="5"/>
        <v>{nClass=14,nIcon=13,szName="王遗风·独孤修·减伤",nTime=-2,key="王遗风·独孤修·减伤",},</v>
      </c>
      <c r="X26" s="7" t="str">
        <f t="shared" si="6"/>
        <v>{nClass=14,nIcon=13,szName="谢渊·影·减伤",nTime=-2,key="谢渊·影·减伤",},</v>
      </c>
      <c r="Y26" s="7" t="str">
        <f t="shared" si="7"/>
        <v>{nClass=14,nIcon=18830,nFrame=3,szName="恶人·独孤修·退场·易伤30%",nTime=10,nRefresh=5,key="王遗风·独孤修·减伤",},</v>
      </c>
      <c r="Z26" s="7" t="str">
        <f t="shared" si="8"/>
        <v>{nClass=14,nIcon=2939,nFrame=7,szName="谢渊·影·减伤",nTime="300,浩气·影·减伤3层;600,浩气·影·减伤2层;900,浩气·影·减伤1层;910,浩气·影·减伤消失",nRefresh=5,key="谢渊·影·减伤",},</v>
      </c>
    </row>
    <row r="27" s="7" customFormat="1" spans="1:28">
      <c r="A27"/>
      <c r="C27" s="4" t="str">
        <f t="shared" si="3"/>
        <v>丁丁</v>
      </c>
      <c r="D27" s="4" t="s">
        <v>2079</v>
      </c>
      <c r="E27" s="7" t="str">
        <f t="shared" si="4"/>
        <v>恶人·丁丁·败退</v>
      </c>
      <c r="F27" s="7" t="s">
        <v>2046</v>
      </c>
      <c r="G27" s="7" t="s">
        <v>2043</v>
      </c>
      <c r="I27" s="7" t="s">
        <v>2049</v>
      </c>
      <c r="J27" s="7" t="s">
        <v>2088</v>
      </c>
      <c r="K27" s="7" t="s">
        <v>2047</v>
      </c>
      <c r="L27" s="7" t="s">
        <v>2089</v>
      </c>
      <c r="M27" s="7" t="s">
        <v>2025</v>
      </c>
      <c r="N27" s="7">
        <v>1</v>
      </c>
      <c r="S27" s="7">
        <v>1</v>
      </c>
      <c r="T27"/>
      <c r="V27" t="str">
        <f t="shared" si="0"/>
        <v>{szContent="罢了，青山不改，绿水长流，后会有期！",szTarget="丁丁",szNote="恶人·丁丁·败退",col={255,100,100,},bSearch=true,[14]={bCenterAlarm=true,},tCountdown={{nClass=14,nIcon=13,szName="王遗风·丁丁·减伤",nTime=-2,key="王遗风·丁丁·减伤",},{nClass=14,nIcon=13,szName="谢渊·赵紫儿·减伤",nTime=-2,key="谢渊·赵紫儿·减伤",},{nClass=14,nIcon=18830,nFrame=3,szName="恶人·丁丁·退场·易伤30%",nTime=10,nRefresh=5,key="王遗风·丁丁·减伤",},{nClass=14,nIcon=2939,nFrame=7,szName="谢渊·赵紫儿·减伤",nTime="300,浩气·赵紫儿·减伤3层;600,浩气·赵紫儿·减伤2层;900,浩气·赵紫儿·减伤1层;910,浩气·赵紫儿·减伤消失",nRefresh=5,key="谢渊·赵紫儿·减伤",},},},</v>
      </c>
      <c r="W27" s="7" t="str">
        <f t="shared" si="5"/>
        <v>{nClass=14,nIcon=13,szName="王遗风·丁丁·减伤",nTime=-2,key="王遗风·丁丁·减伤",},</v>
      </c>
      <c r="X27" s="7" t="str">
        <f t="shared" si="6"/>
        <v>{nClass=14,nIcon=13,szName="谢渊·赵紫儿·减伤",nTime=-2,key="谢渊·赵紫儿·减伤",},</v>
      </c>
      <c r="Y27" s="7" t="str">
        <f t="shared" si="7"/>
        <v>{nClass=14,nIcon=18830,nFrame=3,szName="恶人·丁丁·退场·易伤30%",nTime=10,nRefresh=5,key="王遗风·丁丁·减伤",},</v>
      </c>
      <c r="Z27" s="7" t="str">
        <f t="shared" si="8"/>
        <v>{nClass=14,nIcon=2939,nFrame=7,szName="谢渊·赵紫儿·减伤",nTime="300,浩气·赵紫儿·减伤3层;600,浩气·赵紫儿·减伤2层;900,浩气·赵紫儿·减伤1层;910,浩气·赵紫儿·减伤消失",nRefresh=5,key="谢渊·赵紫儿·减伤",},</v>
      </c>
    </row>
    <row r="28" s="7" customFormat="1" spans="1:28">
      <c r="A28"/>
      <c r="C28" s="4" t="str">
        <f t="shared" si="3"/>
        <v>伊夜</v>
      </c>
      <c r="D28" s="4" t="s">
        <v>2079</v>
      </c>
      <c r="E28" s="7" t="str">
        <f t="shared" si="4"/>
        <v>恶人·伊夜·败退</v>
      </c>
      <c r="F28" s="7" t="s">
        <v>2046</v>
      </c>
      <c r="G28" s="7" t="s">
        <v>2043</v>
      </c>
      <c r="I28" s="7" t="s">
        <v>2049</v>
      </c>
      <c r="J28" s="7" t="s">
        <v>2090</v>
      </c>
      <c r="K28" s="7" t="s">
        <v>2047</v>
      </c>
      <c r="L28" s="7" t="s">
        <v>2091</v>
      </c>
      <c r="M28" s="7" t="s">
        <v>2025</v>
      </c>
      <c r="N28" s="7">
        <v>1</v>
      </c>
      <c r="S28" s="7">
        <v>1</v>
      </c>
      <c r="T28"/>
      <c r="V28" t="str">
        <f t="shared" si="0"/>
        <v>{szContent="罢了，青山不改，绿水长流，后会有期！",szTarget="伊夜",szNote="恶人·伊夜·败退",col={255,100,100,},bSearch=true,[14]={bCenterAlarm=true,},tCountdown={{nClass=14,nIcon=13,szName="王遗风·伊夜·减伤",nTime=-2,key="王遗风·伊夜·减伤",},{nClass=14,nIcon=13,szName="谢渊·小七·减伤",nTime=-2,key="谢渊·小七·减伤",},{nClass=14,nIcon=18830,nFrame=3,szName="恶人·伊夜·退场·易伤30%",nTime=10,nRefresh=5,key="王遗风·伊夜·减伤",},{nClass=14,nIcon=2939,nFrame=7,szName="谢渊·小七·减伤",nTime="300,浩气·小七·减伤3层;600,浩气·小七·减伤2层;900,浩气·小七·减伤1层;910,浩气·小七·减伤消失",nRefresh=5,key="谢渊·小七·减伤",},},},</v>
      </c>
      <c r="W28" s="7" t="str">
        <f t="shared" si="5"/>
        <v>{nClass=14,nIcon=13,szName="王遗风·伊夜·减伤",nTime=-2,key="王遗风·伊夜·减伤",},</v>
      </c>
      <c r="X28" s="7" t="str">
        <f t="shared" si="6"/>
        <v>{nClass=14,nIcon=13,szName="谢渊·小七·减伤",nTime=-2,key="谢渊·小七·减伤",},</v>
      </c>
      <c r="Y28" s="7" t="str">
        <f t="shared" si="7"/>
        <v>{nClass=14,nIcon=18830,nFrame=3,szName="恶人·伊夜·退场·易伤30%",nTime=10,nRefresh=5,key="王遗风·伊夜·减伤",},</v>
      </c>
      <c r="Z28" s="7" t="str">
        <f t="shared" si="8"/>
        <v>{nClass=14,nIcon=2939,nFrame=7,szName="谢渊·小七·减伤",nTime="300,浩气·小七·减伤3层;600,浩气·小七·减伤2层;900,浩气·小七·减伤1层;910,浩气·小七·减伤消失",nRefresh=5,key="谢渊·小七·减伤",},</v>
      </c>
    </row>
    <row r="29" s="7" customFormat="1" spans="1:28">
      <c r="A29"/>
      <c r="C29" s="4" t="str">
        <f t="shared" si="3"/>
        <v>郭珠</v>
      </c>
      <c r="D29" s="4" t="s">
        <v>2079</v>
      </c>
      <c r="E29" s="7" t="str">
        <f t="shared" si="4"/>
        <v>浩气·郭珠·败退</v>
      </c>
      <c r="F29" s="7" t="s">
        <v>2043</v>
      </c>
      <c r="G29" s="7" t="s">
        <v>2046</v>
      </c>
      <c r="I29" s="7" t="s">
        <v>2047</v>
      </c>
      <c r="J29" s="7" t="s">
        <v>2081</v>
      </c>
      <c r="K29" s="7" t="s">
        <v>2049</v>
      </c>
      <c r="L29" s="7" t="s">
        <v>2080</v>
      </c>
      <c r="M29" s="7" t="s">
        <v>2029</v>
      </c>
      <c r="N29" s="7">
        <v>1</v>
      </c>
      <c r="S29" s="7">
        <v>1</v>
      </c>
      <c r="T29"/>
      <c r="V29" t="str">
        <f t="shared" si="0"/>
        <v>{szContent="罢了，青山不改，绿水长流，后会有期！",szTarget="郭珠",szNote="浩气·郭珠·败退",col={100,100,255,},bSearch=true,[14]={bCenterAlarm=true,},tCountdown={{nClass=14,nIcon=13,szName="谢渊·郭珠·减伤",nTime=-2,key="谢渊·郭珠·减伤",},{nClass=14,nIcon=13,szName="王遗风·白某·减伤",nTime=-2,key="王遗风·白某·减伤",},{nClass=14,nIcon=18829,nFrame=7,szName="浩气·郭珠·退场·易伤30%",nTime=10,nRefresh=5,key="谢渊·郭珠·减伤",},{nClass=14,nIcon=2992,nFrame=3,szName="王遗风·白某·减伤",nTime="300,恶人·白某·减伤3层;600,恶人·白某·减伤2层;900,恶人·白某·减伤1层;910,恶人·白某·减伤消失",nRefresh=5,key="王遗风·白某·减伤",},},},</v>
      </c>
      <c r="W29" s="7" t="str">
        <f t="shared" si="5"/>
        <v>{nClass=14,nIcon=13,szName="谢渊·郭珠·减伤",nTime=-2,key="谢渊·郭珠·减伤",},</v>
      </c>
      <c r="X29" s="7" t="str">
        <f t="shared" si="6"/>
        <v>{nClass=14,nIcon=13,szName="王遗风·白某·减伤",nTime=-2,key="王遗风·白某·减伤",},</v>
      </c>
      <c r="Y29" s="7" t="str">
        <f t="shared" ref="Y29:Y34" si="9">"{nClass=14,nIcon=18829,nFrame=7,szName="""&amp;""&amp;K29&amp;"·"&amp;L29&amp;"·退场·易伤30%"",nTime=10,nRefresh=5,key="""&amp;""&amp;F29&amp;"·"&amp;L29&amp;"·减伤"""&amp;",},"</f>
        <v>{nClass=14,nIcon=18829,nFrame=7,szName="浩气·郭珠·退场·易伤30%",nTime=10,nRefresh=5,key="谢渊·郭珠·减伤",},</v>
      </c>
      <c r="Z29" s="7" t="str">
        <f t="shared" ref="Z29:Z34" si="10">"{nClass=14,nIcon=2992,nFrame=3,szName="""&amp;G29&amp;"·"&amp;""&amp;J29&amp;"·减伤"""&amp;",nTime="""&amp;"300,"&amp;I29&amp;"·"&amp;J29&amp;"·减伤3层;600,"&amp;I29&amp;"·"&amp;J29&amp;"·减伤2层;900,"&amp;I29&amp;"·"&amp;J29&amp;"·减伤1层;910,"&amp;I29&amp;"·"&amp;J29&amp;"·减伤消失"""&amp;",nRefresh=5,key="""&amp;""&amp;G29&amp;"·"&amp;""&amp;J29&amp;"·减伤"""&amp;",},"</f>
        <v>{nClass=14,nIcon=2992,nFrame=3,szName="王遗风·白某·减伤",nTime="300,恶人·白某·减伤3层;600,恶人·白某·减伤2层;900,恶人·白某·减伤1层;910,恶人·白某·减伤消失",nRefresh=5,key="王遗风·白某·减伤",},</v>
      </c>
    </row>
    <row r="30" s="7" customFormat="1" spans="1:28">
      <c r="A30"/>
      <c r="C30" s="4" t="str">
        <f t="shared" si="3"/>
        <v>谢铃儿</v>
      </c>
      <c r="D30" s="4" t="s">
        <v>2079</v>
      </c>
      <c r="E30" s="7" t="str">
        <f t="shared" si="4"/>
        <v>浩气·谢铃儿·败退</v>
      </c>
      <c r="F30" s="7" t="s">
        <v>2043</v>
      </c>
      <c r="G30" s="7" t="s">
        <v>2046</v>
      </c>
      <c r="I30" s="7" t="s">
        <v>2047</v>
      </c>
      <c r="J30" s="7" t="s">
        <v>2083</v>
      </c>
      <c r="K30" s="7" t="s">
        <v>2049</v>
      </c>
      <c r="L30" s="7" t="s">
        <v>2082</v>
      </c>
      <c r="M30" s="7" t="s">
        <v>2029</v>
      </c>
      <c r="N30" s="7">
        <v>1</v>
      </c>
      <c r="S30" s="7">
        <v>1</v>
      </c>
      <c r="T30"/>
      <c r="V30" t="str">
        <f t="shared" si="0"/>
        <v>{szContent="罢了，青山不改，绿水长流，后会有期！",szTarget="谢铃儿",szNote="浩气·谢铃儿·败退",col={100,100,255,},bSearch=true,[14]={bCenterAlarm=true,},tCountdown={{nClass=14,nIcon=13,szName="谢渊·谢铃儿·减伤",nTime=-2,key="谢渊·谢铃儿·减伤",},{nClass=14,nIcon=13,szName="王遗风·烟·减伤",nTime=-2,key="王遗风·烟·减伤",},{nClass=14,nIcon=18829,nFrame=7,szName="浩气·谢铃儿·退场·易伤30%",nTime=10,nRefresh=5,key="谢渊·谢铃儿·减伤",},{nClass=14,nIcon=2992,nFrame=3,szName="王遗风·烟·减伤",nTime="300,恶人·烟·减伤3层;600,恶人·烟·减伤2层;900,恶人·烟·减伤1层;910,恶人·烟·减伤消失",nRefresh=5,key="王遗风·烟·减伤",},},},</v>
      </c>
      <c r="W30" s="7" t="str">
        <f t="shared" si="5"/>
        <v>{nClass=14,nIcon=13,szName="谢渊·谢铃儿·减伤",nTime=-2,key="谢渊·谢铃儿·减伤",},</v>
      </c>
      <c r="X30" s="7" t="str">
        <f t="shared" si="6"/>
        <v>{nClass=14,nIcon=13,szName="王遗风·烟·减伤",nTime=-2,key="王遗风·烟·减伤",},</v>
      </c>
      <c r="Y30" s="7" t="str">
        <f t="shared" si="9"/>
        <v>{nClass=14,nIcon=18829,nFrame=7,szName="浩气·谢铃儿·退场·易伤30%",nTime=10,nRefresh=5,key="谢渊·谢铃儿·减伤",},</v>
      </c>
      <c r="Z30" s="7" t="str">
        <f t="shared" si="10"/>
        <v>{nClass=14,nIcon=2992,nFrame=3,szName="王遗风·烟·减伤",nTime="300,恶人·烟·减伤3层;600,恶人·烟·减伤2层;900,恶人·烟·减伤1层;910,恶人·烟·减伤消失",nRefresh=5,key="王遗风·烟·减伤",},</v>
      </c>
    </row>
    <row r="31" customFormat="1" spans="1:28">
      <c r="B31" s="7"/>
      <c r="C31" s="4" t="str">
        <f t="shared" si="3"/>
        <v>叶镜池</v>
      </c>
      <c r="D31" s="4" t="s">
        <v>2079</v>
      </c>
      <c r="E31" s="7" t="str">
        <f t="shared" si="4"/>
        <v>浩气·叶镜池·败退</v>
      </c>
      <c r="F31" s="7" t="s">
        <v>2043</v>
      </c>
      <c r="G31" s="7" t="s">
        <v>2046</v>
      </c>
      <c r="H31" s="7"/>
      <c r="I31" s="7" t="s">
        <v>2047</v>
      </c>
      <c r="J31" s="7" t="s">
        <v>2085</v>
      </c>
      <c r="K31" s="7" t="s">
        <v>2049</v>
      </c>
      <c r="L31" s="7" t="s">
        <v>2084</v>
      </c>
      <c r="M31" s="7" t="s">
        <v>2029</v>
      </c>
      <c r="N31" s="7">
        <v>1</v>
      </c>
      <c r="O31" s="7"/>
      <c r="P31" s="7"/>
      <c r="Q31" s="7"/>
      <c r="R31" s="7"/>
      <c r="S31" s="7">
        <v>1</v>
      </c>
      <c r="U31" s="7"/>
      <c r="V31" t="str">
        <f t="shared" si="0"/>
        <v>{szContent="罢了，青山不改，绿水长流，后会有期！",szTarget="叶镜池",szNote="浩气·叶镜池·败退",col={100,100,255,},bSearch=true,[14]={bCenterAlarm=true,},tCountdown={{nClass=14,nIcon=13,szName="谢渊·叶镜池·减伤",nTime=-2,key="谢渊·叶镜池·减伤",},{nClass=14,nIcon=13,szName="王遗风·岳琅·减伤",nTime=-2,key="王遗风·岳琅·减伤",},{nClass=14,nIcon=18829,nFrame=7,szName="浩气·叶镜池·退场·易伤30%",nTime=10,nRefresh=5,key="谢渊·叶镜池·减伤",},{nClass=14,nIcon=2992,nFrame=3,szName="王遗风·岳琅·减伤",nTime="300,恶人·岳琅·减伤3层;600,恶人·岳琅·减伤2层;900,恶人·岳琅·减伤1层;910,恶人·岳琅·减伤消失",nRefresh=5,key="王遗风·岳琅·减伤",},},},</v>
      </c>
      <c r="W31" s="7" t="str">
        <f t="shared" si="5"/>
        <v>{nClass=14,nIcon=13,szName="谢渊·叶镜池·减伤",nTime=-2,key="谢渊·叶镜池·减伤",},</v>
      </c>
      <c r="X31" s="7" t="str">
        <f t="shared" si="6"/>
        <v>{nClass=14,nIcon=13,szName="王遗风·岳琅·减伤",nTime=-2,key="王遗风·岳琅·减伤",},</v>
      </c>
      <c r="Y31" s="7" t="str">
        <f t="shared" si="9"/>
        <v>{nClass=14,nIcon=18829,nFrame=7,szName="浩气·叶镜池·退场·易伤30%",nTime=10,nRefresh=5,key="谢渊·叶镜池·减伤",},</v>
      </c>
      <c r="Z31" s="7" t="str">
        <f t="shared" si="10"/>
        <v>{nClass=14,nIcon=2992,nFrame=3,szName="王遗风·岳琅·减伤",nTime="300,恶人·岳琅·减伤3层;600,恶人·岳琅·减伤2层;900,恶人·岳琅·减伤1层;910,恶人·岳琅·减伤消失",nRefresh=5,key="王遗风·岳琅·减伤",},</v>
      </c>
      <c r="AA31" s="7"/>
      <c r="AB31" s="7"/>
    </row>
    <row r="32" customFormat="1" spans="1:28">
      <c r="B32" s="7"/>
      <c r="C32" s="4" t="str">
        <f t="shared" si="3"/>
        <v>影</v>
      </c>
      <c r="D32" s="4" t="s">
        <v>2079</v>
      </c>
      <c r="E32" s="7" t="str">
        <f t="shared" si="4"/>
        <v>浩气·影·败退</v>
      </c>
      <c r="F32" s="7" t="s">
        <v>2043</v>
      </c>
      <c r="G32" s="7" t="s">
        <v>2046</v>
      </c>
      <c r="H32" s="7"/>
      <c r="I32" s="7" t="s">
        <v>2047</v>
      </c>
      <c r="J32" s="7" t="s">
        <v>2087</v>
      </c>
      <c r="K32" s="7" t="s">
        <v>2049</v>
      </c>
      <c r="L32" s="7" t="s">
        <v>2086</v>
      </c>
      <c r="M32" s="7" t="s">
        <v>2029</v>
      </c>
      <c r="N32" s="7">
        <v>1</v>
      </c>
      <c r="O32" s="7"/>
      <c r="P32" s="7"/>
      <c r="Q32" s="7"/>
      <c r="R32" s="7"/>
      <c r="S32" s="7">
        <v>1</v>
      </c>
      <c r="U32" s="7"/>
      <c r="V32" t="str">
        <f t="shared" si="0"/>
        <v>{szContent="罢了，青山不改，绿水长流，后会有期！",szTarget="影",szNote="浩气·影·败退",col={100,100,255,},bSearch=true,[14]={bCenterAlarm=true,},tCountdown={{nClass=14,nIcon=13,szName="谢渊·影·减伤",nTime=-2,key="谢渊·影·减伤",},{nClass=14,nIcon=13,szName="王遗风·独孤修·减伤",nTime=-2,key="王遗风·独孤修·减伤",},{nClass=14,nIcon=18829,nFrame=7,szName="浩气·影·退场·易伤30%",nTime=10,nRefresh=5,key="谢渊·影·减伤",},{nClass=14,nIcon=2992,nFrame=3,szName="王遗风·独孤修·减伤",nTime="300,恶人·独孤修·减伤3层;600,恶人·独孤修·减伤2层;900,恶人·独孤修·减伤1层;910,恶人·独孤修·减伤消失",nRefresh=5,key="王遗风·独孤修·减伤",},},},</v>
      </c>
      <c r="W32" s="7" t="str">
        <f t="shared" si="5"/>
        <v>{nClass=14,nIcon=13,szName="谢渊·影·减伤",nTime=-2,key="谢渊·影·减伤",},</v>
      </c>
      <c r="X32" s="7" t="str">
        <f t="shared" si="6"/>
        <v>{nClass=14,nIcon=13,szName="王遗风·独孤修·减伤",nTime=-2,key="王遗风·独孤修·减伤",},</v>
      </c>
      <c r="Y32" s="7" t="str">
        <f t="shared" si="9"/>
        <v>{nClass=14,nIcon=18829,nFrame=7,szName="浩气·影·退场·易伤30%",nTime=10,nRefresh=5,key="谢渊·影·减伤",},</v>
      </c>
      <c r="Z32" s="7" t="str">
        <f t="shared" si="10"/>
        <v>{nClass=14,nIcon=2992,nFrame=3,szName="王遗风·独孤修·减伤",nTime="300,恶人·独孤修·减伤3层;600,恶人·独孤修·减伤2层;900,恶人·独孤修·减伤1层;910,恶人·独孤修·减伤消失",nRefresh=5,key="王遗风·独孤修·减伤",},</v>
      </c>
      <c r="AA32" s="7"/>
      <c r="AB32" s="7"/>
    </row>
    <row r="33" customFormat="1" spans="2:33">
      <c r="B33" s="7"/>
      <c r="C33" s="4" t="str">
        <f t="shared" si="3"/>
        <v>赵紫儿</v>
      </c>
      <c r="D33" s="4" t="s">
        <v>2079</v>
      </c>
      <c r="E33" s="7" t="str">
        <f t="shared" si="4"/>
        <v>浩气·赵紫儿·败退</v>
      </c>
      <c r="F33" s="7" t="s">
        <v>2043</v>
      </c>
      <c r="G33" s="7" t="s">
        <v>2046</v>
      </c>
      <c r="H33" s="7"/>
      <c r="I33" s="7" t="s">
        <v>2047</v>
      </c>
      <c r="J33" s="7" t="s">
        <v>2089</v>
      </c>
      <c r="K33" s="7" t="s">
        <v>2049</v>
      </c>
      <c r="L33" s="7" t="s">
        <v>2088</v>
      </c>
      <c r="M33" s="7" t="s">
        <v>2029</v>
      </c>
      <c r="N33" s="7">
        <v>1</v>
      </c>
      <c r="O33" s="7"/>
      <c r="P33" s="7"/>
      <c r="Q33" s="7"/>
      <c r="R33" s="7"/>
      <c r="S33" s="7">
        <v>1</v>
      </c>
      <c r="U33" s="7"/>
      <c r="V33" t="str">
        <f t="shared" si="0"/>
        <v>{szContent="罢了，青山不改，绿水长流，后会有期！",szTarget="赵紫儿",szNote="浩气·赵紫儿·败退",col={100,100,255,},bSearch=true,[14]={bCenterAlarm=true,},tCountdown={{nClass=14,nIcon=13,szName="谢渊·赵紫儿·减伤",nTime=-2,key="谢渊·赵紫儿·减伤",},{nClass=14,nIcon=13,szName="王遗风·丁丁·减伤",nTime=-2,key="王遗风·丁丁·减伤",},{nClass=14,nIcon=18829,nFrame=7,szName="浩气·赵紫儿·退场·易伤30%",nTime=10,nRefresh=5,key="谢渊·赵紫儿·减伤",},{nClass=14,nIcon=2992,nFrame=3,szName="王遗风·丁丁·减伤",nTime="300,恶人·丁丁·减伤3层;600,恶人·丁丁·减伤2层;900,恶人·丁丁·减伤1层;910,恶人·丁丁·减伤消失",nRefresh=5,key="王遗风·丁丁·减伤",},},},</v>
      </c>
      <c r="W33" s="7" t="str">
        <f t="shared" si="5"/>
        <v>{nClass=14,nIcon=13,szName="谢渊·赵紫儿·减伤",nTime=-2,key="谢渊·赵紫儿·减伤",},</v>
      </c>
      <c r="X33" s="7" t="str">
        <f t="shared" si="6"/>
        <v>{nClass=14,nIcon=13,szName="王遗风·丁丁·减伤",nTime=-2,key="王遗风·丁丁·减伤",},</v>
      </c>
      <c r="Y33" s="7" t="str">
        <f t="shared" si="9"/>
        <v>{nClass=14,nIcon=18829,nFrame=7,szName="浩气·赵紫儿·退场·易伤30%",nTime=10,nRefresh=5,key="谢渊·赵紫儿·减伤",},</v>
      </c>
      <c r="Z33" s="7" t="str">
        <f t="shared" si="10"/>
        <v>{nClass=14,nIcon=2992,nFrame=3,szName="王遗风·丁丁·减伤",nTime="300,恶人·丁丁·减伤3层;600,恶人·丁丁·减伤2层;900,恶人·丁丁·减伤1层;910,恶人·丁丁·减伤消失",nRefresh=5,key="王遗风·丁丁·减伤",},</v>
      </c>
      <c r="AA33" s="7"/>
      <c r="AB33" s="7"/>
    </row>
    <row r="34" customFormat="1" spans="2:33">
      <c r="B34" s="7"/>
      <c r="C34" s="4" t="str">
        <f t="shared" si="3"/>
        <v>小七</v>
      </c>
      <c r="D34" s="4" t="s">
        <v>2079</v>
      </c>
      <c r="E34" s="7" t="str">
        <f t="shared" si="4"/>
        <v>浩气·小七·败退</v>
      </c>
      <c r="F34" s="7" t="s">
        <v>2043</v>
      </c>
      <c r="G34" s="7" t="s">
        <v>2046</v>
      </c>
      <c r="H34" s="7"/>
      <c r="I34" s="7" t="s">
        <v>2047</v>
      </c>
      <c r="J34" s="7" t="s">
        <v>2091</v>
      </c>
      <c r="K34" s="7" t="s">
        <v>2049</v>
      </c>
      <c r="L34" s="7" t="s">
        <v>2090</v>
      </c>
      <c r="M34" s="7" t="s">
        <v>2029</v>
      </c>
      <c r="N34" s="7">
        <v>1</v>
      </c>
      <c r="O34" s="7"/>
      <c r="P34" s="7"/>
      <c r="Q34" s="7"/>
      <c r="R34" s="7"/>
      <c r="S34" s="7">
        <v>1</v>
      </c>
      <c r="U34" s="7"/>
      <c r="V34" t="str">
        <f t="shared" si="0"/>
        <v>{szContent="罢了，青山不改，绿水长流，后会有期！",szTarget="小七",szNote="浩气·小七·败退",col={100,100,255,},bSearch=true,[14]={bCenterAlarm=true,},tCountdown={{nClass=14,nIcon=13,szName="谢渊·小七·减伤",nTime=-2,key="谢渊·小七·减伤",},{nClass=14,nIcon=13,szName="王遗风·伊夜·减伤",nTime=-2,key="王遗风·伊夜·减伤",},{nClass=14,nIcon=18829,nFrame=7,szName="浩气·小七·退场·易伤30%",nTime=10,nRefresh=5,key="谢渊·小七·减伤",},{nClass=14,nIcon=2992,nFrame=3,szName="王遗风·伊夜·减伤",nTime="300,恶人·伊夜·减伤3层;600,恶人·伊夜·减伤2层;900,恶人·伊夜·减伤1层;910,恶人·伊夜·减伤消失",nRefresh=5,key="王遗风·伊夜·减伤",},},},</v>
      </c>
      <c r="W34" s="7" t="str">
        <f t="shared" si="5"/>
        <v>{nClass=14,nIcon=13,szName="谢渊·小七·减伤",nTime=-2,key="谢渊·小七·减伤",},</v>
      </c>
      <c r="X34" s="7" t="str">
        <f t="shared" si="6"/>
        <v>{nClass=14,nIcon=13,szName="王遗风·伊夜·减伤",nTime=-2,key="王遗风·伊夜·减伤",},</v>
      </c>
      <c r="Y34" s="7" t="str">
        <f t="shared" si="9"/>
        <v>{nClass=14,nIcon=18829,nFrame=7,szName="浩气·小七·退场·易伤30%",nTime=10,nRefresh=5,key="谢渊·小七·减伤",},</v>
      </c>
      <c r="Z34" s="7" t="str">
        <f t="shared" si="10"/>
        <v>{nClass=14,nIcon=2992,nFrame=3,szName="王遗风·伊夜·减伤",nTime="300,恶人·伊夜·减伤3层;600,恶人·伊夜·减伤2层;900,恶人·伊夜·减伤1层;910,恶人·伊夜·减伤消失",nRefresh=5,key="王遗风·伊夜·减伤",},</v>
      </c>
      <c r="AA34" s="7"/>
      <c r="AB34" s="7"/>
    </row>
    <row r="35" customFormat="1" spans="2:33">
      <c r="B35" s="7"/>
      <c r="C35" s="4" t="str">
        <f t="shared" si="3"/>
        <v>王遗风</v>
      </c>
      <c r="D35" s="4" t="s">
        <v>2079</v>
      </c>
      <c r="E35" s="7" t="str">
        <f t="shared" si="4"/>
        <v>恶人·王遗风·败退</v>
      </c>
      <c r="F35" s="7" t="s">
        <v>2046</v>
      </c>
      <c r="G35" s="7" t="s">
        <v>2043</v>
      </c>
      <c r="H35" s="7"/>
      <c r="I35" s="7" t="s">
        <v>2049</v>
      </c>
      <c r="J35" s="7" t="s">
        <v>2043</v>
      </c>
      <c r="K35" s="7" t="s">
        <v>2047</v>
      </c>
      <c r="L35" s="7" t="s">
        <v>2046</v>
      </c>
      <c r="M35" s="7" t="s">
        <v>2025</v>
      </c>
      <c r="N35" s="7">
        <v>1</v>
      </c>
      <c r="O35" s="7"/>
      <c r="P35" s="7"/>
      <c r="Q35" s="7"/>
      <c r="R35" s="7"/>
      <c r="S35" s="7">
        <v>1</v>
      </c>
      <c r="U35" s="7"/>
      <c r="V35" t="str">
        <f t="shared" ref="V35:V66" si="11">IF(ISBLANK(B35)=FALSE,IF(ISBLANK(B34),"},["&amp;B35&amp;"]={","["&amp;B35&amp;"]={"),IF(AND(ISBLANK(B35),ISBLANK(D35),ISBLANK(N35),ISBLANK(O35),OR(ISBLANK(B34)=FALSE,ISBLANK(D34)=FALSE,ISBLANK(N34)=FALSE,ISBLANK(O34)=FALSE)),"},},}",IF(ISBLANK(D35),"","{szContent="""&amp;D35&amp;""","&amp;IF(C35&lt;&gt;"","szTarget="""&amp;C35&amp;""",","")&amp;IF(E35&lt;&gt;"","szNote="""&amp;E35&amp;""",","")&amp;IF(M35&lt;&gt;"","col={"&amp;M35&amp;"},","")&amp;IF(N35&gt;0,"bSearch=true,","")&amp;IF(O35&gt;0,"bReg=true,","")&amp;"[14]={"&amp;IF(P35&gt;0,"szVoice="""&amp;P35&amp;""",","")&amp;IF(Q35&gt;0,"bTeamChannel=true,","")&amp;IF(R35&gt;0,"bWhisperChannel=true,","")&amp;IF(S35&gt;0,"bCenterAlarm=true,","")&amp;IF(T35&gt;0,"bScreenHead=true,","")&amp;IF(U35&gt;0,"bFullScreen=true,","")&amp;"},"&amp;IF(W35&lt;&gt;"","tCountdown={"&amp;_xlfn.TEXTJOIN("",TRUE,W35:AAH35)&amp;"},","")&amp;"},")))</f>
        <v>{szContent="罢了，青山不改，绿水长流，后会有期！",szTarget="王遗风",szNote="恶人·王遗风·败退",col={255,100,100,},bSearch=true,[14]={bCenterAlarm=true,},tCountdown={{nClass=14,nIcon=13,szName="王遗风·王遗风·减伤",nTime=-2,key="王遗风·王遗风·减伤",},{nClass=14,nIcon=13,szName="谢渊·谢渊·减伤",nTime=-2,key="谢渊·谢渊·减伤",},{nClass=14,nIcon=18830,nFrame=3,szName="恶人·王遗风·退场·易伤30%",nTime=10,nRefresh=5,key="王遗风·王遗风·减伤",},{nClass=14,nIcon=2939,nFrame=7,szName="谢渊·谢渊·减伤",nTime="300,浩气·谢渊·减伤3层;600,浩气·谢渊·减伤2层;900,浩气·谢渊·减伤1层;910,浩气·谢渊·减伤消失",nRefresh=5,key="谢渊·谢渊·减伤",},},},</v>
      </c>
      <c r="W35" s="7" t="str">
        <f t="shared" si="5"/>
        <v>{nClass=14,nIcon=13,szName="王遗风·王遗风·减伤",nTime=-2,key="王遗风·王遗风·减伤",},</v>
      </c>
      <c r="X35" s="7" t="str">
        <f t="shared" si="6"/>
        <v>{nClass=14,nIcon=13,szName="谢渊·谢渊·减伤",nTime=-2,key="谢渊·谢渊·减伤",},</v>
      </c>
      <c r="Y35" s="7" t="str">
        <f>"{nClass=14,nIcon=18830,nFrame=3,szName="""&amp;""&amp;K35&amp;"·"&amp;L35&amp;"·退场·易伤30%"",nTime=10,nRefresh=5,key="""&amp;""&amp;F35&amp;"·"&amp;L35&amp;"·减伤"""&amp;",},"</f>
        <v>{nClass=14,nIcon=18830,nFrame=3,szName="恶人·王遗风·退场·易伤30%",nTime=10,nRefresh=5,key="王遗风·王遗风·减伤",},</v>
      </c>
      <c r="Z35" s="7" t="str">
        <f>"{nClass=14,nIcon=2939,nFrame=7,szName="""&amp;G35&amp;"·"&amp;""&amp;J35&amp;"·减伤"""&amp;",nTime="""&amp;"300,"&amp;I35&amp;"·"&amp;J35&amp;"·减伤3层;600,"&amp;I35&amp;"·"&amp;J35&amp;"·减伤2层;900,"&amp;I35&amp;"·"&amp;J35&amp;"·减伤1层;910,"&amp;I35&amp;"·"&amp;J35&amp;"·减伤消失"""&amp;",nRefresh=5,key="""&amp;""&amp;G35&amp;"·"&amp;""&amp;J35&amp;"·减伤"""&amp;",},"</f>
        <v>{nClass=14,nIcon=2939,nFrame=7,szName="谢渊·谢渊·减伤",nTime="300,浩气·谢渊·减伤3层;600,浩气·谢渊·减伤2层;900,浩气·谢渊·减伤1层;910,浩气·谢渊·减伤消失",nRefresh=5,key="谢渊·谢渊·减伤",},</v>
      </c>
      <c r="AA35" s="7"/>
      <c r="AB35" s="7"/>
    </row>
    <row r="36" customFormat="1" spans="2:33">
      <c r="B36" s="7"/>
      <c r="C36" s="4" t="str">
        <f t="shared" si="3"/>
        <v>谢渊</v>
      </c>
      <c r="D36" s="4" t="s">
        <v>2079</v>
      </c>
      <c r="E36" s="7" t="str">
        <f t="shared" si="4"/>
        <v>浩气·谢渊·败退</v>
      </c>
      <c r="F36" s="7" t="s">
        <v>2043</v>
      </c>
      <c r="G36" s="7" t="s">
        <v>2046</v>
      </c>
      <c r="H36" s="7"/>
      <c r="I36" s="7" t="s">
        <v>2047</v>
      </c>
      <c r="J36" s="7" t="s">
        <v>2046</v>
      </c>
      <c r="K36" s="7" t="s">
        <v>2049</v>
      </c>
      <c r="L36" s="7" t="s">
        <v>2043</v>
      </c>
      <c r="M36" s="7" t="s">
        <v>2029</v>
      </c>
      <c r="N36" s="7">
        <v>1</v>
      </c>
      <c r="O36" s="7"/>
      <c r="P36" s="7"/>
      <c r="Q36" s="7"/>
      <c r="R36" s="7"/>
      <c r="S36" s="7">
        <v>1</v>
      </c>
      <c r="U36" s="7"/>
      <c r="V36" t="str">
        <f t="shared" si="11"/>
        <v>{szContent="罢了，青山不改，绿水长流，后会有期！",szTarget="谢渊",szNote="浩气·谢渊·败退",col={100,100,255,},bSearch=true,[14]={bCenterAlarm=true,},tCountdown={{nClass=14,nIcon=13,szName="谢渊·谢渊·减伤",nTime=-2,key="谢渊·谢渊·减伤",},{nClass=14,nIcon=13,szName="王遗风·王遗风·减伤",nTime=-2,key="王遗风·王遗风·减伤",},{nClass=14,nIcon=18829,nFrame=7,szName="浩气·谢渊·退场·易伤30%",nTime=10,nRefresh=5,key="谢渊·谢渊·减伤",},{nClass=14,nIcon=2992,nFrame=3,szName="王遗风·王遗风·减伤",nTime="300,恶人·王遗风·减伤3层;600,恶人·王遗风·减伤2层;900,恶人·王遗风·减伤1层;910,恶人·王遗风·减伤消失",nRefresh=5,key="王遗风·王遗风·减伤",},},},</v>
      </c>
      <c r="W36" s="7" t="str">
        <f t="shared" si="5"/>
        <v>{nClass=14,nIcon=13,szName="谢渊·谢渊·减伤",nTime=-2,key="谢渊·谢渊·减伤",},</v>
      </c>
      <c r="X36" s="7" t="str">
        <f t="shared" si="6"/>
        <v>{nClass=14,nIcon=13,szName="王遗风·王遗风·减伤",nTime=-2,key="王遗风·王遗风·减伤",},</v>
      </c>
      <c r="Y36" s="7" t="str">
        <f>"{nClass=14,nIcon=18829,nFrame=7,szName="""&amp;""&amp;K36&amp;"·"&amp;L36&amp;"·退场·易伤30%"",nTime=10,nRefresh=5,key="""&amp;""&amp;F36&amp;"·"&amp;L36&amp;"·减伤"""&amp;",},"</f>
        <v>{nClass=14,nIcon=18829,nFrame=7,szName="浩气·谢渊·退场·易伤30%",nTime=10,nRefresh=5,key="谢渊·谢渊·减伤",},</v>
      </c>
      <c r="Z36" s="7" t="str">
        <f>"{nClass=14,nIcon=2992,nFrame=3,szName="""&amp;G36&amp;"·"&amp;""&amp;J36&amp;"·减伤"""&amp;",nTime="""&amp;"300,"&amp;I36&amp;"·"&amp;J36&amp;"·减伤3层;600,"&amp;I36&amp;"·"&amp;J36&amp;"·减伤2层;900,"&amp;I36&amp;"·"&amp;J36&amp;"·减伤1层;910,"&amp;I36&amp;"·"&amp;J36&amp;"·减伤消失"""&amp;",nRefresh=5,key="""&amp;""&amp;G36&amp;"·"&amp;""&amp;J36&amp;"·减伤"""&amp;",},"</f>
        <v>{nClass=14,nIcon=2992,nFrame=3,szName="王遗风·王遗风·减伤",nTime="300,恶人·王遗风·减伤3层;600,恶人·王遗风·减伤2层;900,恶人·王遗风·减伤1层;910,恶人·王遗风·减伤消失",nRefresh=5,key="王遗风·王遗风·减伤",},</v>
      </c>
      <c r="AA36" s="7"/>
      <c r="AB36" s="7"/>
    </row>
    <row r="37" customFormat="1" spans="2:33">
      <c r="C37" t="s">
        <v>2022</v>
      </c>
      <c r="D37" t="s">
        <v>2079</v>
      </c>
      <c r="E37" t="s">
        <v>2092</v>
      </c>
      <c r="F37"/>
      <c r="G37"/>
      <c r="M37" t="s">
        <v>2033</v>
      </c>
      <c r="N37">
        <v>1</v>
      </c>
      <c r="S37">
        <v>1</v>
      </c>
      <c r="V37" t="str">
        <f t="shared" si="11"/>
        <v>{szContent="罢了，青山不改，绿水长流，后会有期！",szTarget="%",szNote="{$sender}·败退",col={255,255,100,},bSearch=true,[14]={bCenterAlarm=true,},tCountdown={{nClass=14,nIcon=13,szName="谢渊·{$sender}·减伤",nTime=-2,key="谢渊·{$sender}·减伤",},{nClass=14,nIcon=13,szName="王遗风·{$sender}·减伤",nTime=-2,key="王遗风·{$sender}·减伤",},},},</v>
      </c>
      <c r="W37" t="s">
        <v>2093</v>
      </c>
      <c r="X37" t="s">
        <v>2094</v>
      </c>
    </row>
    <row r="38" customFormat="1" spans="2:33">
      <c r="C38" t="s">
        <v>2022</v>
      </c>
      <c r="D38" t="s">
        <v>2095</v>
      </c>
      <c r="E38" t="s">
        <v>2096</v>
      </c>
      <c r="F38"/>
      <c r="G38"/>
      <c r="M38" t="s">
        <v>2033</v>
      </c>
      <c r="V38" t="str">
        <f t="shared" si="11"/>
        <v>{szContent="兄弟们，辛苦了，在此谢过。",szTarget="%",szNote="{$sender}·撤退",col={255,255,100,},[14]={},tCountdown={{nClass=14,nIcon=13,szName="谢渊·{$sender}·减伤",nTime=-1,key="谢渊·{$sender}·减伤",},{nClass=14,nIcon=13,szName="王遗风·{$sender}·减伤",nTime=-1,key="王遗风·{$sender}·减伤",},{nClass=14,nIcon=13,nTime=-1,szName="屹立不倒",nRefresh=14400,key="屹立不倒",},},},</v>
      </c>
      <c r="W38" t="s">
        <v>2097</v>
      </c>
      <c r="X38" t="s">
        <v>2098</v>
      </c>
      <c r="Y38" t="s">
        <v>2099</v>
      </c>
    </row>
    <row r="39" customFormat="1" spans="2:33">
      <c r="C39" t="s">
        <v>2022</v>
      </c>
      <c r="D39" t="s">
        <v>2100</v>
      </c>
      <c r="E39" t="s">
        <v>2101</v>
      </c>
      <c r="F39"/>
      <c r="G39"/>
      <c r="M39" t="s">
        <v>2033</v>
      </c>
      <c r="O39">
        <v>1</v>
      </c>
      <c r="Q39">
        <v>1</v>
      </c>
      <c r="S39">
        <v>1</v>
      </c>
      <c r="V39" t="str">
        <f t="shared" si="11"/>
        <v>{szContent="(.-)已经尽力，请暂且退回疗伤。",szTarget="%",szNote="{$1}·败退",col={255,255,100,},bReg=true,[14]={bTeamChannel=true,bCenterAlarm=true,},tCountdown={{nClass=14,nIcon=13,nFrame=7,szName="谢渊·{$1}·减伤",nTime=-1,nRefresh=2,key="谢渊·{$1}·减伤",},{nClass=14,nIcon=13,nFrame=3,szName="王遗风·{$1}·减伤",nTime=-1,nRefresh=2,key="王遗风·{$1}·减伤",},{nClass=14,nIcon=13,nFrame=-1,szName="{$sender}·{$1}·减伤",nTime=-2,key="{$sender}·{$1}·减伤",},{nClass=14,nIcon=18829,nFrame=7,szName="浩气·{$1}·败退·易伤30%",nTime=10,nRefresh=5,key="谢渊·{$1}·减伤",},{nClass=14,nIcon=18830,nFrame=3,szName="恶人·{$1}·败退·易伤30%",nTime=10,nRefresh=5,key="王遗风·{$1}·减伤",},},},</v>
      </c>
      <c r="W39" t="s">
        <v>2102</v>
      </c>
      <c r="X39" t="s">
        <v>2103</v>
      </c>
      <c r="Y39" t="s">
        <v>2104</v>
      </c>
      <c r="Z39" t="s">
        <v>2105</v>
      </c>
      <c r="AA39" t="s">
        <v>2106</v>
      </c>
    </row>
    <row r="40" customFormat="1" spans="2:33">
      <c r="C40" t="s">
        <v>2022</v>
      </c>
      <c r="D40" t="s">
        <v>2107</v>
      </c>
      <c r="E40" t="s">
        <v>2108</v>
      </c>
      <c r="F40"/>
      <c r="G40"/>
      <c r="M40" t="s">
        <v>2033</v>
      </c>
      <c r="O40">
        <v>1</v>
      </c>
      <c r="V40" t="str">
        <f t="shared" si="11"/>
        <v>{szContent="(.-)出手协助众人酣战一场，回到驻守之地。",szTarget="%",szNote="{$1}·助战结束·回营",col={255,255,100,},bReg=true,[14]={},tCountdown={{nClass=14,nIcon=13,nFrame=7,szName="浩气·{$1}·助战",nTime=0,key="浩气·{$1}·助战",},{nClass=14,nIcon=13,nFrame=3,szName="恶人·{$1}·助战",nTime=0,key="恶人·{$1}·助战",},{nClass=14,nIcon=16834,nFrame=8,szName="{$1}·助战结束·易伤30%",nTime=10,key="{$1}·助战",},},},</v>
      </c>
      <c r="W40" t="s">
        <v>2109</v>
      </c>
      <c r="X40" t="s">
        <v>2110</v>
      </c>
      <c r="Y40" t="s">
        <v>2111</v>
      </c>
    </row>
    <row r="41" customFormat="1" spans="2:33">
      <c r="C41" t="s">
        <v>2022</v>
      </c>
      <c r="D41" t="s">
        <v>2112</v>
      </c>
      <c r="E41" t="s">
        <v>2113</v>
      </c>
      <c r="M41" t="s">
        <v>2033</v>
      </c>
      <c r="N41"/>
      <c r="O41">
        <v>1</v>
      </c>
      <c r="V41" t="str">
        <f t="shared" si="11"/>
        <v>{szContent="(.-)出手协助众人酣战一场，其力有所不支，暂且从前线撤回。",szTarget="%",szNote="{$1}·助战失利·回营",col={255,255,100,},bReg=true,[14]={},tCountdown={{nClass=14,nIcon=13,nFrame=7,szName="浩气·{$1}·助战",nTime=0,key="浩气·{$1}·助战",},{nClass=14,nIcon=13,nFrame=3,szName="恶人·{$1}·助战",nTime=0,key="恶人·{$1}·助战",},{nClass=14,nIcon=16834,nFrame=8,szName="{$1}·助战失利·易伤30%",nTime=10,key="{$1}·助战",},},},</v>
      </c>
      <c r="W41" t="s">
        <v>2109</v>
      </c>
      <c r="X41" t="s">
        <v>2110</v>
      </c>
      <c r="Y41" t="s">
        <v>2114</v>
      </c>
    </row>
    <row r="42" customFormat="1" spans="2:33">
      <c r="C42" t="s">
        <v>2022</v>
      </c>
      <c r="D42" t="s">
        <v>2115</v>
      </c>
      <c r="E42" t="s">
        <v>2116</v>
      </c>
      <c r="M42" t="s">
        <v>2033</v>
      </c>
      <c r="N42"/>
      <c r="O42">
        <v>1</v>
      </c>
      <c r="V42" t="str">
        <f t="shared" si="11"/>
        <v>{szContent="(.-)误入埋伏，防守不利，暂时败退。请(.-)暂且撤回驻守之地，务必小心防守。",szTarget="%",szNote="{$1}·败退|{$2}·回防",col={255,255,100,},bReg=true,[14]={},tCountdown={{nClass=14,nIcon=13,nFrame=7,szName="浩气·{$2}·助战",nTime=0,key="浩气·{$2}·助战",},{nClass=14,nIcon=13,nFrame=3,szName="恶人·{$2}·助战",nTime=0,key="恶人·{$2}·助战",},{nClass=14,nIcon=16834,nFrame=8,szName="{$2}·助战退场·易伤30%",nTime=10,key="{$2}·助战",},},},</v>
      </c>
      <c r="W42" t="s">
        <v>2117</v>
      </c>
      <c r="X42" t="s">
        <v>2118</v>
      </c>
      <c r="Y42" t="s">
        <v>2119</v>
      </c>
    </row>
    <row r="43" customFormat="1" spans="2:33">
      <c r="C43" t="s">
        <v>2022</v>
      </c>
      <c r="D43" t="s">
        <v>2120</v>
      </c>
      <c r="E43" t="s">
        <v>2121</v>
      </c>
      <c r="M43" t="s">
        <v>2033</v>
      </c>
      <c r="O43">
        <v>1</v>
      </c>
      <c r="V43" t="str">
        <f t="shared" si="11"/>
        <v>{szContent="(.-)力不能敌，暂时败退。(.-)进攻顺利，此战有功，请即刻回营，准备下一步战略。",szTarget="%",szNote="{$1}·败退|{$2}·回营",col={255,255,100,},bReg=true,[14]={},tCountdown={{nClass=14,nIcon=13,nFrame=7,szName="浩气·{$2}·助战",nTime=0,key="浩气·{$2}·助战",},{nClass=14,nIcon=13,nFrame=3,szName="恶人·{$2}·助战",nTime=0,key="恶人·{$2}·助战",},{nClass=14,nIcon=16834,nFrame=8,szName="{$2}·助战胜利·已回营",nTime=10,key="{$2}·助战",},},},</v>
      </c>
      <c r="W43" t="s">
        <v>2117</v>
      </c>
      <c r="X43" t="s">
        <v>2118</v>
      </c>
      <c r="Y43" t="s">
        <v>2122</v>
      </c>
    </row>
    <row r="44" customFormat="1" spans="2:33">
      <c r="C44" t="s">
        <v>2022</v>
      </c>
      <c r="D44" t="s">
        <v>2123</v>
      </c>
      <c r="E44" t="s">
        <v>2124</v>
      </c>
      <c r="M44" t="s">
        <v>2033</v>
      </c>
      <c r="O44">
        <v>1</v>
      </c>
      <c r="V44" t="str">
        <f t="shared" si="11"/>
        <v>{szContent="([浩气恶人]-)前线战况焦灼，(.-)，有劳你速速前往支援！",szTarget="%",szNote="{$1}·{$2}·即将到达",col={255,255,100,},bReg=true,[14]={},tCountdown={{nClass=14,nIcon=13,szName="谢渊·月弄痕·减伤",nTime=-2,key="谢渊·月弄痕·减伤",},{nClass=14,nIcon=13,szName="谢渊·游驹·减伤",nTime=-2,key="谢渊·游驹·减伤",},{nClass=14,nIcon=13,szName="谢渊·穆玄英·减伤",nTime=-2,key="谢渊·穆玄英·减伤",},{nClass=14,nIcon=13,szName="谢渊·张桎辕·减伤",nTime=-2,key="谢渊·张桎辕·减伤",},{nClass=14,nIcon=13,szName="谢渊·司空仲平·减伤",nTime=-2,key="谢渊·司空仲平·减伤",},{nClass=14,nIcon=13,szName="王遗风·万兽王·减伤",nTime=-2,key="王遗风·万兽王·减伤",},{nClass=14,nIcon=13,szName="王遗风·莫雨·减伤",nTime=-2,key="王遗风·莫雨·减伤",},{nClass=14,nIcon=13,szName="王遗风·米丽古丽·减伤",nTime=-2,key="王遗风·米丽古丽·减伤",},{nClass=14,nIcon=13,szName="王遗风·陶寒亭·减伤",nTime=-2,key="王遗风·陶寒亭·减伤",},{nClass=14,nIcon=13,szName="王遗风·肖药儿·减伤",nTime=-2,key="王遗风·肖药儿·减伤",},},},</v>
      </c>
      <c r="W44" s="6" t="s">
        <v>2125</v>
      </c>
    </row>
    <row r="45" customFormat="1" spans="2:33">
      <c r="C45" t="s">
        <v>2022</v>
      </c>
      <c r="D45" s="8" t="s">
        <v>2126</v>
      </c>
      <c r="E45" t="s">
        <v>2127</v>
      </c>
      <c r="M45" t="s">
        <v>2033</v>
      </c>
      <c r="S45">
        <v>1</v>
      </c>
      <c r="V45" t="str">
        <f t="shared" si="11"/>
        <v>{szContent="本周累计从奇袭场奖励堆获得战阶：20000/20000",szTarget="%",szNote="奇袭场·奖励堆·战阶已上限",col={255,255,100,},[14]={bCenterAlarm=true,},},</v>
      </c>
    </row>
    <row r="46" customFormat="1" spans="2:33">
      <c r="C46" t="s">
        <v>2022</v>
      </c>
      <c r="D46" s="8" t="s">
        <v>2128</v>
      </c>
      <c r="E46" t="s">
        <v>2129</v>
      </c>
      <c r="M46" t="s">
        <v>2033</v>
      </c>
      <c r="O46">
        <v>1</v>
      </c>
      <c r="S46">
        <v>1</v>
      </c>
      <c r="V46" t="str">
        <f t="shared" si="11"/>
        <v>{szContent="^本周累计从(.-)奖励堆获得战阶：(%d-)/(%d+)",szTarget="%",szNote="{$1}·累计奖励堆·[{$2}/{$3}]",col={255,255,100,},bReg=true,[14]={bCenterAlarm=true,},},</v>
      </c>
    </row>
    <row r="47" customFormat="1" spans="2:33">
      <c r="C47" t="s">
        <v>2022</v>
      </c>
      <c r="D47" s="8" t="s">
        <v>2130</v>
      </c>
      <c r="E47" t="s">
        <v>2131</v>
      </c>
      <c r="M47" t="s">
        <v>2033</v>
      </c>
      <c r="O47">
        <v>1</v>
      </c>
      <c r="S47">
        <v>1</v>
      </c>
      <c r="V47" t="str">
        <f t="shared" si="11"/>
        <v>{szContent="^本场攻防“(.-)”“(.-)·(.-)”已结束，(.-)存活首领及拥有据点数为(%d-)，获得(%d-)分；(.-)存活首领及拥有据点数为(%d-)，获得(%d-)分。请再接再厉！",szTarget="%",szNote="{$2}·{$3}·[{$4}{$5}·{$6}]:[{$7}{$8}·{$9}]",col={255,255,100,},bReg=true,[14]={bCenterAlarm=true,},tCountdown={{nClass=14,nIcon=2401,nFrame=-1,nTime=0,szName="阵营活动",key="阵营活动",},{nClass=14,nIcon=2397,nFrame=-1,nTime=-1,szName="破阵点将·一",nRefresh=2,key="破阵点将·一",},{nClass=14,nIcon=2398,nFrame=-1,nTime=-1,szName="破阵点将·二",nRefresh=2,key="破阵点将·二",},{nClass=14,nIcon=2396,nFrame=-1,nTime=-2,szName="{$2}·{$3}",key="{$2}·{$3}",},{nClass=14,nIcon=7674,nFrame=-1,nTime="2700,{$5}{$4}{$6}·{$8}{$7}{$9};4500,{$5}{$4}{$6}·{$8}{$7}{$9}",szName="{$4}{$5}·{$6}分·{$7}{$8}·{$9}分",nRefresh=0,key="破阵点将·一·常驻",},{nClass=14,nIcon=7676,nFrame=-1,nTime="1800.1,{$5}{$4}{$6}·{$8}{$7}{$9}",szName="{$4}{$5}·{$6}分·{$7}{$8}·{$9}分",nRefresh=0,key="破阵点将·二·常驻",},{nClass=14,nIcon=13,szName="破阵点将·{$3}",nTime=-2,nRefresh=99999,key="破阵点将·{$3}·常驻",},{nClass=14,nIcon=1465,nFrame=-1,szName=" ",nTime=0.001,key="破阵点将·一·常驻",},{nClass=14,nIcon=1465,nFrame=-1,szName=" ",nTime=0.001,key="破阵点将·二·常驻",},{nClass=14,nIcon=2401,nFrame=-1,nTime="60,{$4}{$5}·{$6}分·{$7}{$8}·{$9}分;840,阶段·物资车2·出发剩余;850,阶段·物资车2·正在出发;900,阶段·首领出战·助战剩余;905,阶段·首领出战·助战结束;2699,阶段·破阵点将2·结算剩余;2705,阶段·破阵点将2·正在结算;2710,阶段·物资车3·正在出发;4500,阶段·本场攻防·结束剩余;4505,阶段·本场攻防·正在结算;4510,阶段·本场攻防·已经结束",szName="{$4}{$5}·{$6}分·{$7}{$8}·{$9}分",nRefresh=1,key="破阵点将·一",},{nClass=14,nIcon=2401,nFrame=-1,nTime="60,{$4}{$5}·{$6}分·{$7}{$8}·{$9}分;1800.15,阶段·本场攻防·结束剩余;1805,阶段·本场攻防·正在结算;1810,阶段·本场攻防·已经结束",szName="{$4}{$5}·{$6}分·{$7}{$8}·{$9}分",nRefresh=1,key="破阵点将·二",},},},</v>
      </c>
      <c r="W47" t="s">
        <v>2132</v>
      </c>
      <c r="X47" t="s">
        <v>2133</v>
      </c>
      <c r="Y47" t="s">
        <v>2134</v>
      </c>
      <c r="Z47" t="s">
        <v>2135</v>
      </c>
      <c r="AA47" t="s">
        <v>2136</v>
      </c>
      <c r="AB47" t="s">
        <v>2137</v>
      </c>
      <c r="AC47" t="s">
        <v>2138</v>
      </c>
      <c r="AD47" t="s">
        <v>2139</v>
      </c>
      <c r="AE47" t="s">
        <v>2140</v>
      </c>
      <c r="AF47" t="s">
        <v>2141</v>
      </c>
      <c r="AG47" t="s">
        <v>2142</v>
      </c>
    </row>
    <row r="48" customFormat="1" spans="2:33">
      <c r="D48" t="s">
        <v>2143</v>
      </c>
      <c r="E48" t="s">
        <v>2144</v>
      </c>
      <c r="M48" t="s">
        <v>2033</v>
      </c>
      <c r="V48" t="str">
        <f t="shared" si="11"/>
        <v>{szContent="五分钟内只可拾取一次对立阵营首领仓皇撤退留下的物资。",szNote="主场·助战首领堆·拾取间隔",col={255,255,100,},[14]={},tCountdown={{nClass=14,nIcon=13,szName="首领拾取间隔",nTime=-2,key="首领拾取间隔",},},},</v>
      </c>
      <c r="W48" t="s">
        <v>2145</v>
      </c>
    </row>
    <row r="49" spans="1:28">
      <c r="D49" t="s">
        <v>2146</v>
      </c>
      <c r="E49" t="s">
        <v>2147</v>
      </c>
      <c r="M49" t="s">
        <v>2033</v>
      </c>
      <c r="O49">
        <v>1</v>
      </c>
      <c r="V49" t="str">
        <f t="shared" si="11"/>
        <v>{szContent="放置一辆摧城车，本日本阵营还可放置(%d-)辆摧城车。",szNote="放置·摧城车",col={255,255,100,},bReg=true,[14]={},tCountdown={{nClass=14,nIcon=6158,nFrame=1,szName="摧城车·本日剩余·{$1}辆",nTime=10,key="摧城车",},},},</v>
      </c>
      <c r="W49" t="s">
        <v>2148</v>
      </c>
    </row>
    <row r="50" spans="1:28">
      <c r="D50" t="s">
        <v>2149</v>
      </c>
      <c r="E50" t="s">
        <v>2150</v>
      </c>
      <c r="M50" t="s">
        <v>2033</v>
      </c>
      <c r="V50" t="str">
        <f t="shared" si="11"/>
        <v>{szContent="当前分线即将关闭，请离场景内所有侠士。",szNote="分线关闭·请离侠士",col={255,255,100,},[14]={},},</v>
      </c>
    </row>
    <row r="51" customFormat="1" spans="1:28">
      <c r="C51" t="s">
        <v>2022</v>
      </c>
      <c r="D51" t="s">
        <v>2151</v>
      </c>
      <c r="E51" t="s">
        <v>2152</v>
      </c>
      <c r="M51" t="s">
        <v>2033</v>
      </c>
      <c r="V51" t="str">
        <f t="shared" si="11"/>
        <v>{szContent="攻防之战在即，为公平起见，侠士将在30秒后被传出本图，攻防排队将在12点30分或18点30分开始，请做好准备。",szTarget="%",szNote="阵营攻防·场景清图",col={255,255,100,},[14]={},tCountdown={{nClass=14,nIcon=13,nFrame=4,szName="攻防清图·出图剩余",nTime="30,攻防清图·出图剩余;32,阵营攻防·清图传出",nRefresh=1,key="挂机检测",},},},</v>
      </c>
      <c r="W51" t="s">
        <v>2153</v>
      </c>
    </row>
    <row r="52" customFormat="1" spans="1:28">
      <c r="D52" t="s">
        <v>2154</v>
      </c>
      <c r="E52" t="s">
        <v>2155</v>
      </c>
      <c r="M52" t="s">
        <v>2033</v>
      </c>
      <c r="V52" t="str">
        <f t="shared" si="11"/>
        <v>{szContent="阵营业务繁忙，中立侠士只能停留30分钟，您将在5分钟后传出场景",szNote="中立侠士·请离场景",col={255,255,100,},[14]={},tCountdown={{nClass=14,nIcon=13,nFrame=4,szName="中立侠士·传出剩余",nTime=300,key="阵营业务",},},},</v>
      </c>
      <c r="W52" t="s">
        <v>2156</v>
      </c>
    </row>
    <row r="53" customFormat="1" spans="1:28">
      <c r="D53" t="s">
        <v>2157</v>
      </c>
      <c r="E53" t="s">
        <v>2155</v>
      </c>
      <c r="M53" t="s">
        <v>2033</v>
      </c>
      <c r="V53" t="str">
        <f t="shared" si="11"/>
        <v>{szContent="阵营业务繁忙，中立侠士只能停留30分钟，您将在4分钟后传出场景",szNote="中立侠士·请离场景",col={255,255,100,},[14]={},tCountdown={{nClass=14,nIcon=13,nFrame=4,szName="中立侠士·传出剩余",nTime=240,key="阵营业务",},},},</v>
      </c>
      <c r="W53" t="s">
        <v>2158</v>
      </c>
    </row>
    <row r="54" customFormat="1" spans="1:28">
      <c r="D54" t="s">
        <v>2159</v>
      </c>
      <c r="E54" t="s">
        <v>2155</v>
      </c>
      <c r="M54" t="s">
        <v>2033</v>
      </c>
      <c r="V54" t="str">
        <f t="shared" si="11"/>
        <v>{szContent="阵营业务繁忙，中立侠士只能停留30分钟，您将在3分钟后传出场景",szNote="中立侠士·请离场景",col={255,255,100,},[14]={},tCountdown={{nClass=14,nIcon=13,nFrame=4,szName="中立侠士·传出剩余",nTime=180,key="阵营业务",},},},</v>
      </c>
      <c r="W54" t="s">
        <v>2160</v>
      </c>
    </row>
    <row r="55" customFormat="1" spans="1:28">
      <c r="D55" t="s">
        <v>2161</v>
      </c>
      <c r="E55" t="s">
        <v>2155</v>
      </c>
      <c r="M55" t="s">
        <v>2033</v>
      </c>
      <c r="V55" t="str">
        <f t="shared" si="11"/>
        <v>{szContent="阵营业务繁忙，中立侠士只能停留30分钟，您将在2分钟后传出场景",szNote="中立侠士·请离场景",col={255,255,100,},[14]={},tCountdown={{nClass=14,nIcon=13,nFrame=4,szName="中立侠士·传出剩余",nTime=120,key="阵营业务",},},},</v>
      </c>
      <c r="W55" t="s">
        <v>2162</v>
      </c>
    </row>
    <row r="56" customFormat="1" spans="1:28">
      <c r="D56" t="s">
        <v>2163</v>
      </c>
      <c r="E56" t="s">
        <v>2155</v>
      </c>
      <c r="M56" t="s">
        <v>2033</v>
      </c>
      <c r="V56" t="str">
        <f t="shared" si="11"/>
        <v>{szContent="阵营业务繁忙，中立侠士只能停留30分钟，您将在1分钟后传出场景",szNote="中立侠士·请离场景",col={255,255,100,},[14]={},tCountdown={{nClass=14,nIcon=13,nFrame=4,szName="中立侠士·传出剩余",nTime=60,key="阵营业务",},},},</v>
      </c>
      <c r="W56" t="s">
        <v>2164</v>
      </c>
    </row>
    <row r="57" customFormat="1" spans="1:28">
      <c r="D57" t="s">
        <v>2165</v>
      </c>
      <c r="E57" t="s">
        <v>2166</v>
      </c>
      <c r="M57" t="s">
        <v>2033</v>
      </c>
      <c r="V57" t="str">
        <f t="shared" si="11"/>
        <v>{szContent="阵营业务繁忙，中立侠士只能停留30分钟，您将传出场景",szNote="中立侠士·传出场景",col={255,255,100,},[14]={},tCountdown={{nClass=14,nIcon=13,nFrame=4,szName="中立侠士·传出场景",nTime=5,key="阵营业务",},},},</v>
      </c>
      <c r="W57" t="s">
        <v>2167</v>
      </c>
    </row>
    <row r="58" spans="1:28">
      <c r="A58" t="s">
        <v>311</v>
      </c>
      <c r="B58">
        <v>25</v>
      </c>
      <c r="V58" t="str">
        <f t="shared" si="11"/>
        <v>},[25]={</v>
      </c>
    </row>
    <row r="59" customFormat="1" spans="1:28">
      <c r="C59" t="s">
        <v>2022</v>
      </c>
      <c r="D59" s="8" t="s">
        <v>2168</v>
      </c>
      <c r="E59" t="s">
        <v>2169</v>
      </c>
      <c r="F59"/>
      <c r="G59"/>
      <c r="H59"/>
      <c r="I59"/>
      <c r="J59"/>
      <c r="K59"/>
      <c r="L59"/>
      <c r="M59" t="s">
        <v>2029</v>
      </c>
      <c r="N59"/>
      <c r="V59" t="str">
        <f t="shared" si="11"/>
        <v>{szContent="军情速递！浩气盟物资车已运达，车内装有大量物资，望侠士们前来拾取，切莫错过。",szTarget="%",szNote="浩气盟·物资车·已运达",col={100,100,255,},[14]={},tCountdown={{nClass=14,nIcon=10449,nFrame=4,szName="浩气盟·内城物资·已刷新",nTime="10,浩气盟·内城物资·已刷新;300,浩气盟·内城物资·拾取剩余;305,浩气盟·内城物资·已消失",nRefresh=0,key="浩气·物资车·运达",},},},</v>
      </c>
      <c r="W59" t="s">
        <v>2170</v>
      </c>
      <c r="X59"/>
      <c r="Y59"/>
      <c r="Z59"/>
      <c r="AA59" s="7"/>
    </row>
    <row r="60" customFormat="1" spans="1:28">
      <c r="C60" t="s">
        <v>2022</v>
      </c>
      <c r="D60" s="8" t="s">
        <v>2171</v>
      </c>
      <c r="E60" t="s">
        <v>2172</v>
      </c>
      <c r="F60"/>
      <c r="G60"/>
      <c r="H60"/>
      <c r="I60"/>
      <c r="J60"/>
      <c r="K60"/>
      <c r="L60"/>
      <c r="M60" t="s">
        <v>2025</v>
      </c>
      <c r="N60"/>
      <c r="V60" t="str">
        <f t="shared" si="11"/>
        <v>{szContent="军情速递！恶人谷物资车已运达，车内装有大量物资，望侠士们前来拾取，切莫错过。",szTarget="%",szNote="恶人谷·物资车·已运达",col={255,100,100,},[14]={},tCountdown={{nClass=14,nIcon=10450,nFrame=4,szName="恶人谷·营地物资·已刷新",nTime="10,恶人谷·营地物资·已刷新;300,恶人谷·营地物资·拾取剩余;305,恶人谷·营地物资·已消失",nRefresh=0,key="恶人·物资车·运达",},},},</v>
      </c>
      <c r="W60" t="s">
        <v>2173</v>
      </c>
      <c r="X60"/>
      <c r="Y60"/>
      <c r="Z60"/>
      <c r="AA60" s="7"/>
    </row>
    <row r="61" customFormat="1" spans="1:28">
      <c r="C61" t="s">
        <v>2022</v>
      </c>
      <c r="D61" s="8" t="s">
        <v>2174</v>
      </c>
      <c r="E61" t="s">
        <v>2175</v>
      </c>
      <c r="F61"/>
      <c r="G61"/>
      <c r="H61"/>
      <c r="I61"/>
      <c r="J61"/>
      <c r="K61"/>
      <c r="L61"/>
      <c r="M61" t="s">
        <v>2029</v>
      </c>
      <c r="N61"/>
      <c r="V61" t="str">
        <f t="shared" si="11"/>
        <v>{szContent="军情速递！浩气盟物资官传来消息，现有一批新物资运至各复活点，望浩气侠士们前来领取，以便增强战斗实力。",szTarget="%",szNote="复活点·物资箱·已刷新",col={100,100,255,},[14]={},tCountdown={{nClass=14,nIcon=13,nFrame=0,szName="进攻方·速战速决·未达成",nTime=10,nRefresh=99999,key="速战速决",},{nClass=14,nIcon=3557,nFrame=6,szName="复活点·物资箱·已经刷新",nTime=10,nRefresh=5,key="复活点·物资箱",},},},</v>
      </c>
      <c r="W61" t="s">
        <v>2176</v>
      </c>
      <c r="X61" t="s">
        <v>2177</v>
      </c>
      <c r="Y61"/>
      <c r="Z61"/>
      <c r="AA61" s="7"/>
    </row>
    <row r="62" customFormat="1" spans="1:28">
      <c r="C62" t="s">
        <v>2043</v>
      </c>
      <c r="D62" t="s">
        <v>2044</v>
      </c>
      <c r="E62" t="s">
        <v>2045</v>
      </c>
      <c r="F62" t="s">
        <v>2043</v>
      </c>
      <c r="G62" t="s">
        <v>2046</v>
      </c>
      <c r="H62" t="s">
        <v>2178</v>
      </c>
      <c r="I62" t="s">
        <v>2047</v>
      </c>
      <c r="J62" t="s">
        <v>2048</v>
      </c>
      <c r="K62" t="s">
        <v>2049</v>
      </c>
      <c r="L62" t="s">
        <v>2050</v>
      </c>
      <c r="M62" t="s">
        <v>2029</v>
      </c>
      <c r="Q62">
        <v>1</v>
      </c>
      <c r="S62">
        <v>1</v>
      </c>
      <c r="V62" t="str">
        <f t="shared" si="11"/>
        <v>{szContent="司空仲平已经尽力，请暂且退回疗伤。",szTarget="谢渊",szNote="浩气·司空仲平·败退",col={100,100,255,},[14]={bTeamChannel=true,bCenterAlarm=true,},tCountdown={{nClass=14,nIcon=13,nFrame=0,szName="恶人·速战速决·达成",nTime=10,nRefresh=99999,key="速战速决",},{nClass=14,nIcon=13,szName="谢渊·司空仲平·减伤",nTime=-2,key="谢渊·司空仲平·减伤",},{nClass=14,nIcon=13,szName="王遗风·肖药儿·减伤",nTime=-2,key="王遗风·肖药儿·减伤",},{nClass=14,nIcon=18829,nFrame=7,szName="浩气·司空仲平·退场·易伤30%",nTime=10,nRefresh=5,key="谢渊·司空仲平·减伤",},{nClass=14,nIcon=2992,nFrame=3,szName="王遗风·肖药儿·减伤",nTime="300,肖药儿·博望山·减伤3层;600,肖药儿·博望山·减伤2层;900,肖药儿·博望山·减伤1层;910,肖药儿·博望山·减伤消失",nRefresh=5,key="王遗风·肖药儿·减伤",},},},</v>
      </c>
      <c r="W62" t="s">
        <v>2051</v>
      </c>
      <c r="X62" t="str">
        <f t="shared" ref="X62:X71" si="12">"{nClass=14,nIcon=13,szName="""&amp;F62&amp;"·"&amp;L62&amp;"·减伤"&amp;""",nTime=-2,key="""&amp;F62&amp;"·"&amp;L62&amp;"·减伤"&amp;""",},"</f>
        <v>{nClass=14,nIcon=13,szName="谢渊·司空仲平·减伤",nTime=-2,key="谢渊·司空仲平·减伤",},</v>
      </c>
      <c r="Y62" t="str">
        <f t="shared" ref="Y62:Y71" si="13">"{nClass=14,nIcon=13,szName="""&amp;G62&amp;"·"&amp;J62&amp;"·减伤"&amp;""",nTime=-2,key="""&amp;G62&amp;"·"&amp;J62&amp;"·减伤"&amp;""",},"</f>
        <v>{nClass=14,nIcon=13,szName="王遗风·肖药儿·减伤",nTime=-2,key="王遗风·肖药儿·减伤",},</v>
      </c>
      <c r="Z62" t="str">
        <f t="shared" ref="Z62:Z66" si="14">"{nClass=14,nIcon=18829,nFrame=7,szName="""&amp;K62&amp;"·"&amp;L62&amp;"·退场·易伤30%"&amp;""",nTime=10,nRefresh=5,key="""&amp;F62&amp;"·"&amp;L62&amp;"·减伤"&amp;""",},"</f>
        <v>{nClass=14,nIcon=18829,nFrame=7,szName="浩气·司空仲平·退场·易伤30%",nTime=10,nRefresh=5,key="谢渊·司空仲平·减伤",},</v>
      </c>
      <c r="AA62" t="str">
        <f>"{nClass=14,nIcon=2992,nFrame=3,szName="""&amp;G62&amp;"·"&amp;""&amp;J62&amp;""&amp;"·减伤"""&amp;",nTime="&amp;"""300,"&amp;""&amp;J62&amp;"·"&amp;H62&amp;"·减伤3层;600,"&amp;""&amp;J62&amp;"·"&amp;H62&amp;"·减伤2层;900,"&amp;""&amp;J62&amp;"·"&amp;H62&amp;"·减伤1层;910,"&amp;""&amp;J62&amp;"·"&amp;H62&amp;"·减伤消失"""&amp;",nRefresh=5,key="""&amp;G62&amp;"·"&amp;J62&amp;"·减伤"&amp;""",},"</f>
        <v>{nClass=14,nIcon=2992,nFrame=3,szName="王遗风·肖药儿·减伤",nTime="300,肖药儿·博望山·减伤3层;600,肖药儿·博望山·减伤2层;900,肖药儿·博望山·减伤1层;910,肖药儿·博望山·减伤消失",nRefresh=5,key="王遗风·肖药儿·减伤",},</v>
      </c>
      <c r="AB62" s="7"/>
    </row>
    <row r="63" customFormat="1" spans="1:28">
      <c r="C63" t="s">
        <v>2043</v>
      </c>
      <c r="D63" t="s">
        <v>2052</v>
      </c>
      <c r="E63" t="s">
        <v>2053</v>
      </c>
      <c r="F63" t="s">
        <v>2043</v>
      </c>
      <c r="G63" t="s">
        <v>2046</v>
      </c>
      <c r="H63" t="s">
        <v>2179</v>
      </c>
      <c r="I63" t="s">
        <v>2047</v>
      </c>
      <c r="J63" t="s">
        <v>2054</v>
      </c>
      <c r="K63" t="s">
        <v>2049</v>
      </c>
      <c r="L63" t="s">
        <v>2055</v>
      </c>
      <c r="M63" t="s">
        <v>2029</v>
      </c>
      <c r="Q63">
        <v>1</v>
      </c>
      <c r="S63">
        <v>1</v>
      </c>
      <c r="V63" t="str">
        <f t="shared" si="11"/>
        <v>{szContent="月弄痕已经尽力，请暂且退回疗伤。",szTarget="谢渊",szNote="浩气·月弄痕·败退",col={100,100,255,},[14]={bTeamChannel=true,bCenterAlarm=true,},tCountdown={{nClass=14,nIcon=13,nFrame=0,szName="恶人·速战速决·达成",nTime=10,nRefresh=99999,key="速战速决",},{nClass=14,nIcon=13,szName="谢渊·月弄痕·减伤",nTime=-2,key="谢渊·月弄痕·减伤",},{nClass=14,nIcon=13,szName="王遗风·万兽王·减伤",nTime=-2,key="王遗风·万兽王·减伤",},{nClass=14,nIcon=18829,nFrame=7,szName="浩气·月弄痕·退场·易伤30%",nTime=10,nRefresh=5,key="谢渊·月弄痕·减伤",},{nClass=14,nIcon=2992,nFrame=3,szName="王遗风·万兽王·减伤",nTime="300,万兽王·七星阵·减伤3层;600,万兽王·七星阵·减伤2层;900,万兽王·七星阵·减伤1层;910,万兽王·七星阵·减伤消失",nRefresh=5,key="王遗风·万兽王·减伤",},},},</v>
      </c>
      <c r="W63" t="s">
        <v>2051</v>
      </c>
      <c r="X63" t="str">
        <f t="shared" si="12"/>
        <v>{nClass=14,nIcon=13,szName="谢渊·月弄痕·减伤",nTime=-2,key="谢渊·月弄痕·减伤",},</v>
      </c>
      <c r="Y63" t="str">
        <f t="shared" si="13"/>
        <v>{nClass=14,nIcon=13,szName="王遗风·万兽王·减伤",nTime=-2,key="王遗风·万兽王·减伤",},</v>
      </c>
      <c r="Z63" t="str">
        <f t="shared" si="14"/>
        <v>{nClass=14,nIcon=18829,nFrame=7,szName="浩气·月弄痕·退场·易伤30%",nTime=10,nRefresh=5,key="谢渊·月弄痕·减伤",},</v>
      </c>
      <c r="AA63" t="str">
        <f>"{nClass=14,nIcon=2992,nFrame=3,szName="""&amp;G63&amp;"·"&amp;""&amp;J63&amp;""&amp;"·减伤"""&amp;",nTime="&amp;"""300,"&amp;""&amp;J63&amp;"·"&amp;H63&amp;"·减伤3层;600,"&amp;""&amp;J63&amp;"·"&amp;H63&amp;"·减伤2层;900,"&amp;""&amp;J63&amp;"·"&amp;H63&amp;"·减伤1层;910,"&amp;""&amp;J63&amp;"·"&amp;H63&amp;"·减伤消失"""&amp;",nRefresh=5,key="""&amp;G63&amp;"·"&amp;J63&amp;"·减伤"&amp;""",},"</f>
        <v>{nClass=14,nIcon=2992,nFrame=3,szName="王遗风·万兽王·减伤",nTime="300,万兽王·七星阵·减伤3层;600,万兽王·七星阵·减伤2层;900,万兽王·七星阵·减伤1层;910,万兽王·七星阵·减伤消失",nRefresh=5,key="王遗风·万兽王·减伤",},</v>
      </c>
      <c r="AB63" s="7"/>
    </row>
    <row r="64" customFormat="1" spans="1:28">
      <c r="C64" t="s">
        <v>2043</v>
      </c>
      <c r="D64" t="s">
        <v>2056</v>
      </c>
      <c r="E64" t="s">
        <v>2057</v>
      </c>
      <c r="F64" t="s">
        <v>2043</v>
      </c>
      <c r="G64" t="s">
        <v>2046</v>
      </c>
      <c r="H64" t="s">
        <v>2180</v>
      </c>
      <c r="I64" t="s">
        <v>2047</v>
      </c>
      <c r="J64" t="s">
        <v>2058</v>
      </c>
      <c r="K64" t="s">
        <v>2049</v>
      </c>
      <c r="L64" t="s">
        <v>2059</v>
      </c>
      <c r="M64" t="s">
        <v>2029</v>
      </c>
      <c r="Q64">
        <v>1</v>
      </c>
      <c r="S64">
        <v>1</v>
      </c>
      <c r="V64" t="str">
        <f t="shared" si="11"/>
        <v>{szContent="张桎辕已经尽力，请暂且退回疗伤。",szTarget="谢渊",szNote="浩气·张桎辕·败退",col={100,100,255,},[14]={bTeamChannel=true,bCenterAlarm=true,},tCountdown={{nClass=14,nIcon=13,nFrame=0,szName="恶人·速战速决·达成",nTime=10,nRefresh=99999,key="速战速决",},{nClass=14,nIcon=13,szName="谢渊·张桎辕·减伤",nTime=-2,key="谢渊·张桎辕·减伤",},{nClass=14,nIcon=13,szName="王遗风·陶寒亭·减伤",nTime=-2,key="王遗风·陶寒亭·减伤",},{nClass=14,nIcon=18829,nFrame=7,szName="浩气·张桎辕·退场·易伤30%",nTime=10,nRefresh=5,key="谢渊·张桎辕·减伤",},{nClass=14,nIcon=2992,nFrame=3,szName="王遗风·陶寒亭·减伤",nTime="300,陶寒亭·漓水河岸·减伤3层;600,陶寒亭·漓水河岸·减伤2层;900,陶寒亭·漓水河岸·减伤1层;910,陶寒亭·漓水河岸·减伤消失",nRefresh=5,key="王遗风·陶寒亭·减伤",},},},</v>
      </c>
      <c r="W64" t="s">
        <v>2051</v>
      </c>
      <c r="X64" t="str">
        <f t="shared" si="12"/>
        <v>{nClass=14,nIcon=13,szName="谢渊·张桎辕·减伤",nTime=-2,key="谢渊·张桎辕·减伤",},</v>
      </c>
      <c r="Y64" t="str">
        <f t="shared" si="13"/>
        <v>{nClass=14,nIcon=13,szName="王遗风·陶寒亭·减伤",nTime=-2,key="王遗风·陶寒亭·减伤",},</v>
      </c>
      <c r="Z64" t="str">
        <f t="shared" si="14"/>
        <v>{nClass=14,nIcon=18829,nFrame=7,szName="浩气·张桎辕·退场·易伤30%",nTime=10,nRefresh=5,key="谢渊·张桎辕·减伤",},</v>
      </c>
      <c r="AA64" t="str">
        <f>"{nClass=14,nIcon=2992,nFrame=3,szName="""&amp;G64&amp;"·"&amp;""&amp;J64&amp;""&amp;"·减伤"""&amp;",nTime="&amp;"""300,"&amp;""&amp;J64&amp;"·"&amp;H64&amp;"·减伤3层;600,"&amp;""&amp;J64&amp;"·"&amp;H64&amp;"·减伤2层;900,"&amp;""&amp;J64&amp;"·"&amp;H64&amp;"·减伤1层;910,"&amp;""&amp;J64&amp;"·"&amp;H64&amp;"·减伤消失"""&amp;",nRefresh=5,key="""&amp;G64&amp;"·"&amp;J64&amp;"·减伤"&amp;""",},"</f>
        <v>{nClass=14,nIcon=2992,nFrame=3,szName="王遗风·陶寒亭·减伤",nTime="300,陶寒亭·漓水河岸·减伤3层;600,陶寒亭·漓水河岸·减伤2层;900,陶寒亭·漓水河岸·减伤1层;910,陶寒亭·漓水河岸·减伤消失",nRefresh=5,key="王遗风·陶寒亭·减伤",},</v>
      </c>
      <c r="AB64" s="7"/>
    </row>
    <row r="65" customFormat="1" spans="1:28">
      <c r="C65" t="s">
        <v>2043</v>
      </c>
      <c r="D65" t="s">
        <v>2060</v>
      </c>
      <c r="E65" t="s">
        <v>2061</v>
      </c>
      <c r="F65" t="s">
        <v>2043</v>
      </c>
      <c r="G65" t="s">
        <v>2046</v>
      </c>
      <c r="H65" t="s">
        <v>2181</v>
      </c>
      <c r="I65" t="s">
        <v>2047</v>
      </c>
      <c r="J65" t="s">
        <v>2062</v>
      </c>
      <c r="K65" t="s">
        <v>2049</v>
      </c>
      <c r="L65" t="s">
        <v>2063</v>
      </c>
      <c r="M65" t="s">
        <v>2029</v>
      </c>
      <c r="Q65">
        <v>1</v>
      </c>
      <c r="S65">
        <v>1</v>
      </c>
      <c r="V65" t="str">
        <f t="shared" si="11"/>
        <v>{szContent="游驹已经尽力，请暂且退回疗伤。",szTarget="谢渊",szNote="浩气·游驹·败退",col={100,100,255,},[14]={bTeamChannel=true,bCenterAlarm=true,},tCountdown={{nClass=14,nIcon=13,nFrame=0,szName="恶人·速战速决·达成",nTime=10,nRefresh=99999,key="速战速决",},{nClass=14,nIcon=13,szName="谢渊·游驹·减伤",nTime=-2,key="谢渊·游驹·减伤",},{nClass=14,nIcon=13,szName="王遗风·莫雨·减伤",nTime=-2,key="王遗风·莫雨·减伤",},{nClass=14,nIcon=18829,nFrame=7,szName="浩气·游驹·退场·易伤30%",nTime=10,nRefresh=5,key="谢渊·游驹·减伤",},{nClass=14,nIcon=2992,nFrame=3,szName="王遗风·莫雨·减伤",nTime="300,莫雨·望影台·减伤3层;600,莫雨·望影台·减伤2层;900,莫雨·望影台·减伤1层;910,莫雨·望影台·减伤消失",nRefresh=5,key="王遗风·莫雨·减伤",},},},</v>
      </c>
      <c r="W65" t="s">
        <v>2051</v>
      </c>
      <c r="X65" t="str">
        <f t="shared" si="12"/>
        <v>{nClass=14,nIcon=13,szName="谢渊·游驹·减伤",nTime=-2,key="谢渊·游驹·减伤",},</v>
      </c>
      <c r="Y65" t="str">
        <f t="shared" si="13"/>
        <v>{nClass=14,nIcon=13,szName="王遗风·莫雨·减伤",nTime=-2,key="王遗风·莫雨·减伤",},</v>
      </c>
      <c r="Z65" t="str">
        <f t="shared" si="14"/>
        <v>{nClass=14,nIcon=18829,nFrame=7,szName="浩气·游驹·退场·易伤30%",nTime=10,nRefresh=5,key="谢渊·游驹·减伤",},</v>
      </c>
      <c r="AA65" t="str">
        <f>"{nClass=14,nIcon=2992,nFrame=3,szName="""&amp;G65&amp;"·"&amp;""&amp;J65&amp;""&amp;"·减伤"""&amp;",nTime="&amp;"""300,"&amp;""&amp;J65&amp;"·"&amp;H65&amp;"·减伤3层;600,"&amp;""&amp;J65&amp;"·"&amp;H65&amp;"·减伤2层;900,"&amp;""&amp;J65&amp;"·"&amp;H65&amp;"·减伤1层;910,"&amp;""&amp;J65&amp;"·"&amp;H65&amp;"·减伤消失"""&amp;",nRefresh=5,key="""&amp;G65&amp;"·"&amp;J65&amp;"·减伤"&amp;""",},"</f>
        <v>{nClass=14,nIcon=2992,nFrame=3,szName="王遗风·莫雨·减伤",nTime="300,莫雨·望影台·减伤3层;600,莫雨·望影台·减伤2层;900,莫雨·望影台·减伤1层;910,莫雨·望影台·减伤消失",nRefresh=5,key="王遗风·莫雨·减伤",},</v>
      </c>
      <c r="AB65" s="7"/>
    </row>
    <row r="66" s="7" customFormat="1" spans="1:28">
      <c r="A66"/>
      <c r="B66"/>
      <c r="C66" t="s">
        <v>2043</v>
      </c>
      <c r="D66" s="7" t="s">
        <v>2064</v>
      </c>
      <c r="E66" t="s">
        <v>2065</v>
      </c>
      <c r="F66" t="s">
        <v>2043</v>
      </c>
      <c r="G66" t="s">
        <v>2046</v>
      </c>
      <c r="H66" t="s">
        <v>2182</v>
      </c>
      <c r="I66" t="s">
        <v>2047</v>
      </c>
      <c r="J66" t="s">
        <v>2066</v>
      </c>
      <c r="K66" t="s">
        <v>2049</v>
      </c>
      <c r="L66" t="s">
        <v>2067</v>
      </c>
      <c r="M66" t="s">
        <v>2029</v>
      </c>
      <c r="N66"/>
      <c r="O66"/>
      <c r="P66"/>
      <c r="Q66">
        <v>1</v>
      </c>
      <c r="R66"/>
      <c r="S66">
        <v>1</v>
      </c>
      <c r="T66"/>
      <c r="U66"/>
      <c r="V66" t="str">
        <f t="shared" si="11"/>
        <v>{szContent="穆玄英已经尽力，请暂且退回疗伤。",szTarget="谢渊",szNote="浩气·穆玄英·败退",col={100,100,255,},[14]={bTeamChannel=true,bCenterAlarm=true,},tCountdown={{nClass=14,nIcon=13,nFrame=0,szName="恶人·速战速决·达成",nTime=10,nRefresh=99999,key="速战速决",},{nClass=14,nIcon=13,szName="谢渊·穆玄英·减伤",nTime=-2,key="谢渊·穆玄英·减伤",},{nClass=14,nIcon=13,szName="王遗风·米丽古丽·减伤",nTime=-2,key="王遗风·米丽古丽·减伤",},{nClass=14,nIcon=18829,nFrame=7,szName="浩气·穆玄英·退场·易伤30%",nTime=10,nRefresh=5,key="谢渊·穆玄英·减伤",},{nClass=14,nIcon=2992,nFrame=3,szName="王遗风·米丽古丽·减伤",nTime="300,米丽古丽·兰亭书院·减伤3层;600,米丽古丽·兰亭书院·减伤2层;900,米丽古丽·兰亭书院·减伤1层;910,米丽古丽·兰亭书院·减伤消失",nRefresh=5,key="王遗风·米丽古丽·减伤",},},},</v>
      </c>
      <c r="W66" t="s">
        <v>2051</v>
      </c>
      <c r="X66" t="str">
        <f t="shared" si="12"/>
        <v>{nClass=14,nIcon=13,szName="谢渊·穆玄英·减伤",nTime=-2,key="谢渊·穆玄英·减伤",},</v>
      </c>
      <c r="Y66" t="str">
        <f t="shared" si="13"/>
        <v>{nClass=14,nIcon=13,szName="王遗风·米丽古丽·减伤",nTime=-2,key="王遗风·米丽古丽·减伤",},</v>
      </c>
      <c r="Z66" t="str">
        <f t="shared" si="14"/>
        <v>{nClass=14,nIcon=18829,nFrame=7,szName="浩气·穆玄英·退场·易伤30%",nTime=10,nRefresh=5,key="谢渊·穆玄英·减伤",},</v>
      </c>
      <c r="AA66" t="str">
        <f>"{nClass=14,nIcon=2992,nFrame=3,szName="""&amp;G66&amp;"·"&amp;""&amp;J66&amp;""&amp;"·减伤"""&amp;",nTime="&amp;"""300,"&amp;""&amp;J66&amp;"·"&amp;H66&amp;"·减伤3层;600,"&amp;""&amp;J66&amp;"·"&amp;H66&amp;"·减伤2层;900,"&amp;""&amp;J66&amp;"·"&amp;H66&amp;"·减伤1层;910,"&amp;""&amp;J66&amp;"·"&amp;H66&amp;"·减伤消失"""&amp;",nRefresh=5,key="""&amp;G66&amp;"·"&amp;J66&amp;"·减伤"&amp;""",},"</f>
        <v>{nClass=14,nIcon=2992,nFrame=3,szName="王遗风·米丽古丽·减伤",nTime="300,米丽古丽·兰亭书院·减伤3层;600,米丽古丽·兰亭书院·减伤2层;900,米丽古丽·兰亭书院·减伤1层;910,米丽古丽·兰亭书院·减伤消失",nRefresh=5,key="王遗风·米丽古丽·减伤",},</v>
      </c>
    </row>
    <row r="67" s="7" customFormat="1" spans="1:28">
      <c r="A67"/>
      <c r="B67"/>
      <c r="C67" t="s">
        <v>2046</v>
      </c>
      <c r="D67" t="s">
        <v>2068</v>
      </c>
      <c r="E67" t="s">
        <v>2069</v>
      </c>
      <c r="F67" t="s">
        <v>2046</v>
      </c>
      <c r="G67" t="s">
        <v>2043</v>
      </c>
      <c r="H67" t="s">
        <v>2178</v>
      </c>
      <c r="I67" t="s">
        <v>2049</v>
      </c>
      <c r="J67" t="s">
        <v>2050</v>
      </c>
      <c r="K67" t="s">
        <v>2047</v>
      </c>
      <c r="L67" t="s">
        <v>2048</v>
      </c>
      <c r="M67" t="s">
        <v>2025</v>
      </c>
      <c r="N67"/>
      <c r="O67"/>
      <c r="P67"/>
      <c r="Q67">
        <v>1</v>
      </c>
      <c r="R67"/>
      <c r="S67">
        <v>1</v>
      </c>
      <c r="T67"/>
      <c r="U67"/>
      <c r="V67" t="str">
        <f t="shared" ref="V67:V98" si="15">IF(ISBLANK(B67)=FALSE,IF(ISBLANK(B66),"},["&amp;B67&amp;"]={","["&amp;B67&amp;"]={"),IF(AND(ISBLANK(B67),ISBLANK(D67),ISBLANK(N67),ISBLANK(O67),OR(ISBLANK(B66)=FALSE,ISBLANK(D66)=FALSE,ISBLANK(N66)=FALSE,ISBLANK(O66)=FALSE)),"},},}",IF(ISBLANK(D67),"","{szContent="""&amp;D67&amp;""","&amp;IF(C67&lt;&gt;"","szTarget="""&amp;C67&amp;""",","")&amp;IF(E67&lt;&gt;"","szNote="""&amp;E67&amp;""",","")&amp;IF(M67&lt;&gt;"","col={"&amp;M67&amp;"},","")&amp;IF(N67&gt;0,"bSearch=true,","")&amp;IF(O67&gt;0,"bReg=true,","")&amp;"[14]={"&amp;IF(P67&gt;0,"szVoice="""&amp;P67&amp;""",","")&amp;IF(Q67&gt;0,"bTeamChannel=true,","")&amp;IF(R67&gt;0,"bWhisperChannel=true,","")&amp;IF(S67&gt;0,"bCenterAlarm=true,","")&amp;IF(T67&gt;0,"bScreenHead=true,","")&amp;IF(U67&gt;0,"bFullScreen=true,","")&amp;"},"&amp;IF(W67&lt;&gt;"","tCountdown={"&amp;_xlfn.TEXTJOIN("",TRUE,W67:AAH67)&amp;"},","")&amp;"},")))</f>
        <v>{szContent="肖药儿已经尽力，请暂且退回疗伤。",szTarget="王遗风",szNote="恶人·肖药儿·败退",col={255,100,100,},[14]={bTeamChannel=true,bCenterAlarm=true,},tCountdown={{nClass=14,nIcon=13,nFrame=0,szName="浩气·速战速决·达成",nTime=10,nRefresh=99999,key="速战速决",},{nClass=14,nIcon=13,szName="王遗风·肖药儿·减伤",nTime=-2,key="王遗风·肖药儿·减伤",},{nClass=14,nIcon=13,szName="谢渊·司空仲平·减伤",nTime=-2,key="谢渊·司空仲平·减伤",},{nClass=14,nIcon=18830,nFrame=3,szName="恶人·肖药儿·退场·易伤30%",nTime=10,nRefresh=5,key="王遗风·肖药儿·减伤",},{nClass=14,nIcon=2939,nFrame=7,szName="谢渊·司空仲平·减伤",nTime="300,司空仲平·博望山·减伤3层;600,司空仲平·博望山·减伤2层;900,司空仲平·博望山·减伤1层;910,司空仲平·博望山·减伤消失",nRefresh=5,key="谢渊·司空仲平·减伤",},},},</v>
      </c>
      <c r="W67" t="s">
        <v>2070</v>
      </c>
      <c r="X67" t="str">
        <f t="shared" si="12"/>
        <v>{nClass=14,nIcon=13,szName="王遗风·肖药儿·减伤",nTime=-2,key="王遗风·肖药儿·减伤",},</v>
      </c>
      <c r="Y67" t="str">
        <f t="shared" si="13"/>
        <v>{nClass=14,nIcon=13,szName="谢渊·司空仲平·减伤",nTime=-2,key="谢渊·司空仲平·减伤",},</v>
      </c>
      <c r="Z67" t="str">
        <f t="shared" ref="Z67:Z71" si="16">"{nClass=14,nIcon=18830,nFrame=3,szName="""&amp;K67&amp;"·"&amp;L67&amp;"·退场·易伤30%"&amp;""",nTime=10,nRefresh=5,key="""&amp;F67&amp;"·"&amp;L67&amp;"·减伤"&amp;""",},"</f>
        <v>{nClass=14,nIcon=18830,nFrame=3,szName="恶人·肖药儿·退场·易伤30%",nTime=10,nRefresh=5,key="王遗风·肖药儿·减伤",},</v>
      </c>
      <c r="AA67" t="str">
        <f>"{nClass=14,nIcon=2939,nFrame=7,szName="""&amp;G67&amp;"·"&amp;""&amp;J67&amp;""&amp;"·减伤"""&amp;",nTime="&amp;"""300,"&amp;""&amp;J67&amp;"·"&amp;H67&amp;"·减伤3层;600,"&amp;""&amp;J67&amp;"·"&amp;H67&amp;"·减伤2层;900,"&amp;""&amp;J67&amp;"·"&amp;H67&amp;"·减伤1层;910,"&amp;""&amp;J67&amp;"·"&amp;H67&amp;"·减伤消失"""&amp;",nRefresh=5,key="""&amp;G67&amp;"·"&amp;J67&amp;"·减伤"&amp;""",},"</f>
        <v>{nClass=14,nIcon=2939,nFrame=7,szName="谢渊·司空仲平·减伤",nTime="300,司空仲平·博望山·减伤3层;600,司空仲平·博望山·减伤2层;900,司空仲平·博望山·减伤1层;910,司空仲平·博望山·减伤消失",nRefresh=5,key="谢渊·司空仲平·减伤",},</v>
      </c>
    </row>
    <row r="68" s="7" customFormat="1" spans="1:28">
      <c r="A68"/>
      <c r="B68"/>
      <c r="C68" t="s">
        <v>2046</v>
      </c>
      <c r="D68" s="7" t="s">
        <v>2071</v>
      </c>
      <c r="E68" t="s">
        <v>2072</v>
      </c>
      <c r="F68" t="s">
        <v>2046</v>
      </c>
      <c r="G68" t="s">
        <v>2043</v>
      </c>
      <c r="H68" t="s">
        <v>2179</v>
      </c>
      <c r="I68" t="s">
        <v>2049</v>
      </c>
      <c r="J68" t="s">
        <v>2055</v>
      </c>
      <c r="K68" t="s">
        <v>2047</v>
      </c>
      <c r="L68" t="s">
        <v>2054</v>
      </c>
      <c r="M68" t="s">
        <v>2025</v>
      </c>
      <c r="N68"/>
      <c r="O68"/>
      <c r="P68"/>
      <c r="Q68">
        <v>1</v>
      </c>
      <c r="R68"/>
      <c r="S68">
        <v>1</v>
      </c>
      <c r="T68"/>
      <c r="U68"/>
      <c r="V68" t="str">
        <f t="shared" si="15"/>
        <v>{szContent="万兽王已经尽力，请暂且退回疗伤。",szTarget="王遗风",szNote="恶人·万兽王·败退",col={255,100,100,},[14]={bTeamChannel=true,bCenterAlarm=true,},tCountdown={{nClass=14,nIcon=13,nFrame=0,szName="浩气·速战速决·达成",nTime=10,nRefresh=99999,key="速战速决",},{nClass=14,nIcon=13,szName="王遗风·万兽王·减伤",nTime=-2,key="王遗风·万兽王·减伤",},{nClass=14,nIcon=13,szName="谢渊·月弄痕·减伤",nTime=-2,key="谢渊·月弄痕·减伤",},{nClass=14,nIcon=18830,nFrame=3,szName="恶人·万兽王·退场·易伤30%",nTime=10,nRefresh=5,key="王遗风·万兽王·减伤",},{nClass=14,nIcon=2939,nFrame=7,szName="谢渊·月弄痕·减伤",nTime="300,月弄痕·七星阵·减伤3层;600,月弄痕·七星阵·减伤2层;900,月弄痕·七星阵·减伤1层;910,月弄痕·七星阵·减伤消失",nRefresh=5,key="谢渊·月弄痕·减伤",},},},</v>
      </c>
      <c r="W68" t="s">
        <v>2070</v>
      </c>
      <c r="X68" t="str">
        <f t="shared" si="12"/>
        <v>{nClass=14,nIcon=13,szName="王遗风·万兽王·减伤",nTime=-2,key="王遗风·万兽王·减伤",},</v>
      </c>
      <c r="Y68" t="str">
        <f t="shared" si="13"/>
        <v>{nClass=14,nIcon=13,szName="谢渊·月弄痕·减伤",nTime=-2,key="谢渊·月弄痕·减伤",},</v>
      </c>
      <c r="Z68" t="str">
        <f t="shared" si="16"/>
        <v>{nClass=14,nIcon=18830,nFrame=3,szName="恶人·万兽王·退场·易伤30%",nTime=10,nRefresh=5,key="王遗风·万兽王·减伤",},</v>
      </c>
      <c r="AA68" t="str">
        <f>"{nClass=14,nIcon=2939,nFrame=7,szName="""&amp;G68&amp;"·"&amp;""&amp;J68&amp;""&amp;"·减伤"""&amp;",nTime="&amp;"""300,"&amp;""&amp;J68&amp;"·"&amp;H68&amp;"·减伤3层;600,"&amp;""&amp;J68&amp;"·"&amp;H68&amp;"·减伤2层;900,"&amp;""&amp;J68&amp;"·"&amp;H68&amp;"·减伤1层;910,"&amp;""&amp;J68&amp;"·"&amp;H68&amp;"·减伤消失"""&amp;",nRefresh=5,key="""&amp;G68&amp;"·"&amp;J68&amp;"·减伤"&amp;""",},"</f>
        <v>{nClass=14,nIcon=2939,nFrame=7,szName="谢渊·月弄痕·减伤",nTime="300,月弄痕·七星阵·减伤3层;600,月弄痕·七星阵·减伤2层;900,月弄痕·七星阵·减伤1层;910,月弄痕·七星阵·减伤消失",nRefresh=5,key="谢渊·月弄痕·减伤",},</v>
      </c>
    </row>
    <row r="69" s="7" customFormat="1" spans="1:28">
      <c r="A69"/>
      <c r="B69"/>
      <c r="C69" t="s">
        <v>2046</v>
      </c>
      <c r="D69" t="s">
        <v>2073</v>
      </c>
      <c r="E69" t="s">
        <v>2074</v>
      </c>
      <c r="F69" t="s">
        <v>2046</v>
      </c>
      <c r="G69" t="s">
        <v>2043</v>
      </c>
      <c r="H69" t="s">
        <v>2180</v>
      </c>
      <c r="I69" t="s">
        <v>2049</v>
      </c>
      <c r="J69" t="s">
        <v>2059</v>
      </c>
      <c r="K69" t="s">
        <v>2047</v>
      </c>
      <c r="L69" t="s">
        <v>2058</v>
      </c>
      <c r="M69" t="s">
        <v>2025</v>
      </c>
      <c r="N69"/>
      <c r="O69"/>
      <c r="P69"/>
      <c r="Q69">
        <v>1</v>
      </c>
      <c r="R69"/>
      <c r="S69">
        <v>1</v>
      </c>
      <c r="T69"/>
      <c r="U69"/>
      <c r="V69" t="str">
        <f t="shared" si="15"/>
        <v>{szContent="陶寒亭已经尽力，请暂且退回疗伤。",szTarget="王遗风",szNote="恶人·陶寒亭·败退",col={255,100,100,},[14]={bTeamChannel=true,bCenterAlarm=true,},tCountdown={{nClass=14,nIcon=13,nFrame=0,szName="浩气·速战速决·达成",nTime=10,nRefresh=99999,key="速战速决",},{nClass=14,nIcon=13,szName="王遗风·陶寒亭·减伤",nTime=-2,key="王遗风·陶寒亭·减伤",},{nClass=14,nIcon=13,szName="谢渊·张桎辕·减伤",nTime=-2,key="谢渊·张桎辕·减伤",},{nClass=14,nIcon=18830,nFrame=3,szName="恶人·陶寒亭·退场·易伤30%",nTime=10,nRefresh=5,key="王遗风·陶寒亭·减伤",},{nClass=14,nIcon=2939,nFrame=7,szName="谢渊·张桎辕·减伤",nTime="300,张桎辕·漓水河岸·减伤3层;600,张桎辕·漓水河岸·减伤2层;900,张桎辕·漓水河岸·减伤1层;910,张桎辕·漓水河岸·减伤消失",nRefresh=5,key="谢渊·张桎辕·减伤",},},},</v>
      </c>
      <c r="W69" t="s">
        <v>2070</v>
      </c>
      <c r="X69" t="str">
        <f t="shared" si="12"/>
        <v>{nClass=14,nIcon=13,szName="王遗风·陶寒亭·减伤",nTime=-2,key="王遗风·陶寒亭·减伤",},</v>
      </c>
      <c r="Y69" t="str">
        <f t="shared" si="13"/>
        <v>{nClass=14,nIcon=13,szName="谢渊·张桎辕·减伤",nTime=-2,key="谢渊·张桎辕·减伤",},</v>
      </c>
      <c r="Z69" t="str">
        <f t="shared" si="16"/>
        <v>{nClass=14,nIcon=18830,nFrame=3,szName="恶人·陶寒亭·退场·易伤30%",nTime=10,nRefresh=5,key="王遗风·陶寒亭·减伤",},</v>
      </c>
      <c r="AA69" t="str">
        <f>"{nClass=14,nIcon=2939,nFrame=7,szName="""&amp;G69&amp;"·"&amp;""&amp;J69&amp;""&amp;"·减伤"""&amp;",nTime="&amp;"""300,"&amp;""&amp;J69&amp;"·"&amp;H69&amp;"·减伤3层;600,"&amp;""&amp;J69&amp;"·"&amp;H69&amp;"·减伤2层;900,"&amp;""&amp;J69&amp;"·"&amp;H69&amp;"·减伤1层;910,"&amp;""&amp;J69&amp;"·"&amp;H69&amp;"·减伤消失"""&amp;",nRefresh=5,key="""&amp;G69&amp;"·"&amp;J69&amp;"·减伤"&amp;""",},"</f>
        <v>{nClass=14,nIcon=2939,nFrame=7,szName="谢渊·张桎辕·减伤",nTime="300,张桎辕·漓水河岸·减伤3层;600,张桎辕·漓水河岸·减伤2层;900,张桎辕·漓水河岸·减伤1层;910,张桎辕·漓水河岸·减伤消失",nRefresh=5,key="谢渊·张桎辕·减伤",},</v>
      </c>
    </row>
    <row r="70" s="7" customFormat="1" spans="1:28">
      <c r="A70"/>
      <c r="B70"/>
      <c r="C70" t="s">
        <v>2046</v>
      </c>
      <c r="D70" s="7" t="s">
        <v>2075</v>
      </c>
      <c r="E70" t="s">
        <v>2076</v>
      </c>
      <c r="F70" t="s">
        <v>2046</v>
      </c>
      <c r="G70" t="s">
        <v>2043</v>
      </c>
      <c r="H70" t="s">
        <v>2181</v>
      </c>
      <c r="I70" t="s">
        <v>2049</v>
      </c>
      <c r="J70" t="s">
        <v>2063</v>
      </c>
      <c r="K70" t="s">
        <v>2047</v>
      </c>
      <c r="L70" t="s">
        <v>2062</v>
      </c>
      <c r="M70" t="s">
        <v>2025</v>
      </c>
      <c r="N70"/>
      <c r="O70"/>
      <c r="P70"/>
      <c r="Q70">
        <v>1</v>
      </c>
      <c r="R70"/>
      <c r="S70">
        <v>1</v>
      </c>
      <c r="T70"/>
      <c r="U70"/>
      <c r="V70" t="str">
        <f t="shared" si="15"/>
        <v>{szContent="莫雨已经尽力，请暂且退回疗伤。",szTarget="王遗风",szNote="恶人·莫雨·败退",col={255,100,100,},[14]={bTeamChannel=true,bCenterAlarm=true,},tCountdown={{nClass=14,nIcon=13,nFrame=0,szName="浩气·速战速决·达成",nTime=10,nRefresh=99999,key="速战速决",},{nClass=14,nIcon=13,szName="王遗风·莫雨·减伤",nTime=-2,key="王遗风·莫雨·减伤",},{nClass=14,nIcon=13,szName="谢渊·游驹·减伤",nTime=-2,key="谢渊·游驹·减伤",},{nClass=14,nIcon=18830,nFrame=3,szName="恶人·莫雨·退场·易伤30%",nTime=10,nRefresh=5,key="王遗风·莫雨·减伤",},{nClass=14,nIcon=2939,nFrame=7,szName="谢渊·游驹·减伤",nTime="300,游驹·望影台·减伤3层;600,游驹·望影台·减伤2层;900,游驹·望影台·减伤1层;910,游驹·望影台·减伤消失",nRefresh=5,key="谢渊·游驹·减伤",},},},</v>
      </c>
      <c r="W70" t="s">
        <v>2070</v>
      </c>
      <c r="X70" t="str">
        <f t="shared" si="12"/>
        <v>{nClass=14,nIcon=13,szName="王遗风·莫雨·减伤",nTime=-2,key="王遗风·莫雨·减伤",},</v>
      </c>
      <c r="Y70" t="str">
        <f t="shared" si="13"/>
        <v>{nClass=14,nIcon=13,szName="谢渊·游驹·减伤",nTime=-2,key="谢渊·游驹·减伤",},</v>
      </c>
      <c r="Z70" t="str">
        <f t="shared" si="16"/>
        <v>{nClass=14,nIcon=18830,nFrame=3,szName="恶人·莫雨·退场·易伤30%",nTime=10,nRefresh=5,key="王遗风·莫雨·减伤",},</v>
      </c>
      <c r="AA70" t="str">
        <f>"{nClass=14,nIcon=2939,nFrame=7,szName="""&amp;G70&amp;"·"&amp;""&amp;J70&amp;""&amp;"·减伤"""&amp;",nTime="&amp;"""300,"&amp;""&amp;J70&amp;"·"&amp;H70&amp;"·减伤3层;600,"&amp;""&amp;J70&amp;"·"&amp;H70&amp;"·减伤2层;900,"&amp;""&amp;J70&amp;"·"&amp;H70&amp;"·减伤1层;910,"&amp;""&amp;J70&amp;"·"&amp;H70&amp;"·减伤消失"""&amp;",nRefresh=5,key="""&amp;G70&amp;"·"&amp;J70&amp;"·减伤"&amp;""",},"</f>
        <v>{nClass=14,nIcon=2939,nFrame=7,szName="谢渊·游驹·减伤",nTime="300,游驹·望影台·减伤3层;600,游驹·望影台·减伤2层;900,游驹·望影台·减伤1层;910,游驹·望影台·减伤消失",nRefresh=5,key="谢渊·游驹·减伤",},</v>
      </c>
    </row>
    <row r="71" s="7" customFormat="1" spans="1:28">
      <c r="A71"/>
      <c r="B71"/>
      <c r="C71" t="s">
        <v>2046</v>
      </c>
      <c r="D71" t="s">
        <v>2077</v>
      </c>
      <c r="E71" t="s">
        <v>2078</v>
      </c>
      <c r="F71" t="s">
        <v>2046</v>
      </c>
      <c r="G71" t="s">
        <v>2043</v>
      </c>
      <c r="H71" t="s">
        <v>2182</v>
      </c>
      <c r="I71" t="s">
        <v>2049</v>
      </c>
      <c r="J71" t="s">
        <v>2067</v>
      </c>
      <c r="K71" t="s">
        <v>2047</v>
      </c>
      <c r="L71" t="s">
        <v>2066</v>
      </c>
      <c r="M71" t="s">
        <v>2025</v>
      </c>
      <c r="N71"/>
      <c r="O71"/>
      <c r="P71"/>
      <c r="Q71">
        <v>1</v>
      </c>
      <c r="R71"/>
      <c r="S71">
        <v>1</v>
      </c>
      <c r="T71"/>
      <c r="U71"/>
      <c r="V71" t="str">
        <f t="shared" si="15"/>
        <v>{szContent="米丽古丽已经尽力，请暂且退回疗伤。",szTarget="王遗风",szNote="恶人·米丽古丽·败退",col={255,100,100,},[14]={bTeamChannel=true,bCenterAlarm=true,},tCountdown={{nClass=14,nIcon=13,nFrame=0,szName="浩气·速战速决·达成",nTime=10,nRefresh=99999,key="速战速决",},{nClass=14,nIcon=13,szName="王遗风·米丽古丽·减伤",nTime=-2,key="王遗风·米丽古丽·减伤",},{nClass=14,nIcon=13,szName="谢渊·穆玄英·减伤",nTime=-2,key="谢渊·穆玄英·减伤",},{nClass=14,nIcon=18830,nFrame=3,szName="恶人·米丽古丽·退场·易伤30%",nTime=10,nRefresh=5,key="王遗风·米丽古丽·减伤",},{nClass=14,nIcon=2939,nFrame=7,szName="谢渊·穆玄英·减伤",nTime="300,穆玄英·兰亭书院·减伤3层;600,穆玄英·兰亭书院·减伤2层;900,穆玄英·兰亭书院·减伤1层;910,穆玄英·兰亭书院·减伤消失",nRefresh=5,key="谢渊·穆玄英·减伤",},},},</v>
      </c>
      <c r="W71" t="s">
        <v>2070</v>
      </c>
      <c r="X71" t="str">
        <f t="shared" si="12"/>
        <v>{nClass=14,nIcon=13,szName="王遗风·米丽古丽·减伤",nTime=-2,key="王遗风·米丽古丽·减伤",},</v>
      </c>
      <c r="Y71" t="str">
        <f t="shared" si="13"/>
        <v>{nClass=14,nIcon=13,szName="谢渊·穆玄英·减伤",nTime=-2,key="谢渊·穆玄英·减伤",},</v>
      </c>
      <c r="Z71" t="str">
        <f t="shared" si="16"/>
        <v>{nClass=14,nIcon=18830,nFrame=3,szName="恶人·米丽古丽·退场·易伤30%",nTime=10,nRefresh=5,key="王遗风·米丽古丽·减伤",},</v>
      </c>
      <c r="AA71" t="str">
        <f>"{nClass=14,nIcon=2939,nFrame=7,szName="""&amp;G71&amp;"·"&amp;""&amp;J71&amp;""&amp;"·减伤"""&amp;",nTime="&amp;"""300,"&amp;""&amp;J71&amp;"·"&amp;H71&amp;"·减伤3层;600,"&amp;""&amp;J71&amp;"·"&amp;H71&amp;"·减伤2层;900,"&amp;""&amp;J71&amp;"·"&amp;H71&amp;"·减伤1层;910,"&amp;""&amp;J71&amp;"·"&amp;H71&amp;"·减伤消失"""&amp;",nRefresh=5,key="""&amp;G71&amp;"·"&amp;J71&amp;"·减伤"&amp;""",},"</f>
        <v>{nClass=14,nIcon=2939,nFrame=7,szName="谢渊·穆玄英·减伤",nTime="300,穆玄英·兰亭书院·减伤3层;600,穆玄英·兰亭书院·减伤2层;900,穆玄英·兰亭书院·减伤1层;910,穆玄英·兰亭书院·减伤消失",nRefresh=5,key="谢渊·穆玄英·减伤",},</v>
      </c>
    </row>
    <row r="72" customFormat="1" spans="1:28">
      <c r="C72" t="s">
        <v>2043</v>
      </c>
      <c r="D72" t="s">
        <v>2183</v>
      </c>
      <c r="E72" t="str">
        <f t="shared" ref="E72:E87" si="17">K72&amp;"·"&amp;L72&amp;"·"&amp;H72&amp;"·"&amp;"败退"</f>
        <v>浩气·周峰·龙隐山·败退</v>
      </c>
      <c r="F72" t="s">
        <v>2043</v>
      </c>
      <c r="G72" t="s">
        <v>2046</v>
      </c>
      <c r="H72" t="s">
        <v>2184</v>
      </c>
      <c r="I72" t="s">
        <v>2047</v>
      </c>
      <c r="J72" t="s">
        <v>2185</v>
      </c>
      <c r="K72" t="s">
        <v>2049</v>
      </c>
      <c r="L72" t="s">
        <v>2186</v>
      </c>
      <c r="M72" t="s">
        <v>2029</v>
      </c>
      <c r="N72"/>
      <c r="Q72">
        <v>1</v>
      </c>
      <c r="S72">
        <v>1</v>
      </c>
      <c r="V72" t="str">
        <f t="shared" si="15"/>
        <v>{szContent="周峰已经尽力，请暂且退回疗伤。",szTarget="谢渊",szNote="浩气·周峰·龙隐山·败退",col={100,100,255,},[14]={bTeamChannel=true,bCenterAlarm=true,},tCountdown={{nClass=14,nIcon=13,szName="谢渊·周峰·减伤",nTime=-2,key="谢渊·周峰·减伤",},{nClass=14,nIcon=13,szName="王遗风·张一洋·减伤",nTime=-2,key="王遗风·张一洋·减伤",},{nClass=14,nIcon=18829,nFrame=7,szName="浩气·周峰·退场·易伤30%",nTime=10,nRefresh=5,key="谢渊·周峰·减伤",},{nClass=14,nIcon=3445,nFrame=3,szName="王遗风·张一洋·减伤",nTime="300,张一洋·龙隐山·减伤3层;600,张一洋·龙隐山·减伤2层;900,张一洋·龙隐山·减伤1层;910,张一洋·龙隐山·减伤消失",nRefresh=5,key="王遗风·张一洋·减伤"},},},</v>
      </c>
      <c r="W72" t="str">
        <f t="shared" ref="W72:W87" si="18">"{nClass=14,nIcon=13,szName="""&amp;F72&amp;"·"&amp;L72&amp;"·减伤"""&amp;",nTime=-2,key="""&amp;F72&amp;"·"&amp;L72&amp;"·减伤"""&amp;",},"</f>
        <v>{nClass=14,nIcon=13,szName="谢渊·周峰·减伤",nTime=-2,key="谢渊·周峰·减伤",},</v>
      </c>
      <c r="X72" t="str">
        <f t="shared" ref="X72:X87" si="19">"{nClass=14,nIcon=13,szName="""&amp;""&amp;G72&amp;"·"&amp;""&amp;J72&amp;"·减伤"""&amp;",nTime=-2,key="""&amp;""&amp;G72&amp;"·"&amp;""&amp;J72&amp;"·减伤"""&amp;",},"</f>
        <v>{nClass=14,nIcon=13,szName="王遗风·张一洋·减伤",nTime=-2,key="王遗风·张一洋·减伤",},</v>
      </c>
      <c r="Y72" t="str">
        <f>"{nClass=14,nIcon=18829,nFrame=7,szName="""&amp;K72&amp;"·"&amp;""&amp;""&amp;L72&amp;"·退场·易伤30%"",nTime=10,nRefresh=5,key="""&amp;F72&amp;"·"&amp;L72&amp;""&amp;"·减伤"""&amp;",},"</f>
        <v>{nClass=14,nIcon=18829,nFrame=7,szName="浩气·周峰·退场·易伤30%",nTime=10,nRefresh=5,key="谢渊·周峰·减伤",},</v>
      </c>
      <c r="Z72" t="str">
        <f>"{nClass=14,nIcon=3445,nFrame=3,szName="""&amp;G72&amp;"·"&amp;""&amp;J72&amp;""&amp;"·减伤"""&amp;",nTime="""&amp;"300,"&amp;""&amp;J72&amp;"·"&amp;H72&amp;"·减伤3层;600,"&amp;""&amp;J72&amp;"·"&amp;H72&amp;"·减伤2层;900,"&amp;""&amp;J72&amp;"·"&amp;H72&amp;"·减伤1层;910,"&amp;""&amp;J72&amp;"·"&amp;H72&amp;"·减伤消失"""&amp;",nRefresh=5,key="""&amp;G72&amp;"·"&amp;""&amp;J72&amp;""&amp;"·减伤"""&amp;"},"</f>
        <v>{nClass=14,nIcon=3445,nFrame=3,szName="王遗风·张一洋·减伤",nTime="300,张一洋·龙隐山·减伤3层;600,张一洋·龙隐山·减伤2层;900,张一洋·龙隐山·减伤1层;910,张一洋·龙隐山·减伤消失",nRefresh=5,key="王遗风·张一洋·减伤"},</v>
      </c>
      <c r="AA72" s="7"/>
    </row>
    <row r="73" customFormat="1" spans="1:28">
      <c r="C73" t="s">
        <v>2043</v>
      </c>
      <c r="D73" t="s">
        <v>2187</v>
      </c>
      <c r="E73" t="str">
        <f t="shared" si="17"/>
        <v>浩气·郑鸥·栖霞幻境·败退</v>
      </c>
      <c r="F73" t="s">
        <v>2043</v>
      </c>
      <c r="G73" t="s">
        <v>2046</v>
      </c>
      <c r="H73" t="s">
        <v>2188</v>
      </c>
      <c r="I73" t="s">
        <v>2047</v>
      </c>
      <c r="J73" t="s">
        <v>2189</v>
      </c>
      <c r="K73" t="s">
        <v>2049</v>
      </c>
      <c r="L73" t="s">
        <v>2190</v>
      </c>
      <c r="M73" t="s">
        <v>2029</v>
      </c>
      <c r="N73"/>
      <c r="Q73">
        <v>1</v>
      </c>
      <c r="S73">
        <v>1</v>
      </c>
      <c r="V73" t="str">
        <f t="shared" si="15"/>
        <v>{szContent="郑鸥已经尽力，请暂且退回疗伤。",szTarget="谢渊",szNote="浩气·郑鸥·栖霞幻境·败退",col={100,100,255,},[14]={bTeamChannel=true,bCenterAlarm=true,},tCountdown={{nClass=14,nIcon=13,szName="谢渊·郑鸥·减伤",nTime=-2,key="谢渊·郑鸥·减伤",},{nClass=14,nIcon=13,szName="王遗风·陶国栋·减伤",nTime=-2,key="王遗风·陶国栋·减伤",},{nClass=14,nIcon=18829,nFrame=7,szName="浩气·郑鸥·退场·易伤30%",nTime=10,nRefresh=5,key="谢渊·郑鸥·减伤",},{nClass=14,nIcon=3445,nFrame=3,szName="王遗风·陶国栋·减伤",nTime="300,陶国栋·栖霞幻境·减伤3层;600,陶国栋·栖霞幻境·减伤2层;900,陶国栋·栖霞幻境·减伤1层;910,陶国栋·栖霞幻境·减伤消失",nRefresh=5,key="王遗风·陶国栋·减伤"},},},</v>
      </c>
      <c r="W73" t="str">
        <f t="shared" si="18"/>
        <v>{nClass=14,nIcon=13,szName="谢渊·郑鸥·减伤",nTime=-2,key="谢渊·郑鸥·减伤",},</v>
      </c>
      <c r="X73" t="str">
        <f t="shared" si="19"/>
        <v>{nClass=14,nIcon=13,szName="王遗风·陶国栋·减伤",nTime=-2,key="王遗风·陶国栋·减伤",},</v>
      </c>
      <c r="Y73" t="str">
        <f>"{nClass=14,nIcon=18829,nFrame=7,szName="""&amp;K73&amp;"·"&amp;""&amp;""&amp;L73&amp;"·退场·易伤30%"",nTime=10,nRefresh=5,key="""&amp;F73&amp;"·"&amp;L73&amp;""&amp;"·减伤"""&amp;",},"</f>
        <v>{nClass=14,nIcon=18829,nFrame=7,szName="浩气·郑鸥·退场·易伤30%",nTime=10,nRefresh=5,key="谢渊·郑鸥·减伤",},</v>
      </c>
      <c r="Z73" t="str">
        <f>"{nClass=14,nIcon=3445,nFrame=3,szName="""&amp;G73&amp;"·"&amp;""&amp;J73&amp;""&amp;"·减伤"""&amp;",nTime="""&amp;"300,"&amp;""&amp;J73&amp;"·"&amp;H73&amp;"·减伤3层;600,"&amp;""&amp;J73&amp;"·"&amp;H73&amp;"·减伤2层;900,"&amp;""&amp;J73&amp;"·"&amp;H73&amp;"·减伤1层;910,"&amp;""&amp;J73&amp;"·"&amp;H73&amp;"·减伤消失"""&amp;",nRefresh=5,key="""&amp;G73&amp;"·"&amp;""&amp;J73&amp;""&amp;"·减伤"""&amp;"},"</f>
        <v>{nClass=14,nIcon=3445,nFrame=3,szName="王遗风·陶国栋·减伤",nTime="300,陶国栋·栖霞幻境·减伤3层;600,陶国栋·栖霞幻境·减伤2层;900,陶国栋·栖霞幻境·减伤1层;910,陶国栋·栖霞幻境·减伤消失",nRefresh=5,key="王遗风·陶国栋·减伤"},</v>
      </c>
      <c r="AA73" s="7"/>
    </row>
    <row r="74" customFormat="1" spans="1:28">
      <c r="C74" t="s">
        <v>2043</v>
      </c>
      <c r="D74" t="s">
        <v>2191</v>
      </c>
      <c r="E74" t="str">
        <f t="shared" si="17"/>
        <v>浩气·陶杰·七星岩·败退</v>
      </c>
      <c r="F74" t="s">
        <v>2043</v>
      </c>
      <c r="G74" t="s">
        <v>2046</v>
      </c>
      <c r="H74" t="s">
        <v>2192</v>
      </c>
      <c r="I74" t="s">
        <v>2047</v>
      </c>
      <c r="J74" t="s">
        <v>2193</v>
      </c>
      <c r="K74" t="s">
        <v>2049</v>
      </c>
      <c r="L74" t="s">
        <v>2194</v>
      </c>
      <c r="M74" t="s">
        <v>2029</v>
      </c>
      <c r="N74"/>
      <c r="Q74">
        <v>1</v>
      </c>
      <c r="S74">
        <v>1</v>
      </c>
      <c r="V74" t="str">
        <f t="shared" si="15"/>
        <v>{szContent="陶杰已经尽力，请暂且退回疗伤。",szTarget="谢渊",szNote="浩气·陶杰·七星岩·败退",col={100,100,255,},[14]={bTeamChannel=true,bCenterAlarm=true,},tCountdown={{nClass=14,nIcon=13,szName="谢渊·陶杰·减伤",nTime=-2,key="谢渊·陶杰·减伤",},{nClass=14,nIcon=13,szName="王遗风·吕沛杰·减伤",nTime=-2,key="王遗风·吕沛杰·减伤",},{nClass=14,nIcon=18829,nFrame=7,szName="浩气·陶杰·退场·易伤30%",nTime=10,nRefresh=5,key="谢渊·陶杰·减伤",},{nClass=14,nIcon=3445,nFrame=3,szName="王遗风·吕沛杰·减伤",nTime="300,吕沛杰·七星岩·减伤3层;600,吕沛杰·七星岩·减伤2层;900,吕沛杰·七星岩·减伤1层;910,吕沛杰·七星岩·减伤消失",nRefresh=5,key="王遗风·吕沛杰·减伤"},},},</v>
      </c>
      <c r="W74" t="str">
        <f t="shared" si="18"/>
        <v>{nClass=14,nIcon=13,szName="谢渊·陶杰·减伤",nTime=-2,key="谢渊·陶杰·减伤",},</v>
      </c>
      <c r="X74" t="str">
        <f t="shared" si="19"/>
        <v>{nClass=14,nIcon=13,szName="王遗风·吕沛杰·减伤",nTime=-2,key="王遗风·吕沛杰·减伤",},</v>
      </c>
      <c r="Y74" t="str">
        <f>"{nClass=14,nIcon=18829,nFrame=7,szName="""&amp;K74&amp;"·"&amp;""&amp;""&amp;L74&amp;"·退场·易伤30%"",nTime=10,nRefresh=5,key="""&amp;F74&amp;"·"&amp;L74&amp;""&amp;"·减伤"""&amp;",},"</f>
        <v>{nClass=14,nIcon=18829,nFrame=7,szName="浩气·陶杰·退场·易伤30%",nTime=10,nRefresh=5,key="谢渊·陶杰·减伤",},</v>
      </c>
      <c r="Z74" t="str">
        <f>"{nClass=14,nIcon=3445,nFrame=3,szName="""&amp;G74&amp;"·"&amp;""&amp;J74&amp;""&amp;"·减伤"""&amp;",nTime="""&amp;"300,"&amp;""&amp;J74&amp;"·"&amp;H74&amp;"·减伤3层;600,"&amp;""&amp;J74&amp;"·"&amp;H74&amp;"·减伤2层;900,"&amp;""&amp;J74&amp;"·"&amp;H74&amp;"·减伤1层;910,"&amp;""&amp;J74&amp;"·"&amp;H74&amp;"·减伤消失"""&amp;",nRefresh=5,key="""&amp;G74&amp;"·"&amp;""&amp;J74&amp;""&amp;"·减伤"""&amp;"},"</f>
        <v>{nClass=14,nIcon=3445,nFrame=3,szName="王遗风·吕沛杰·减伤",nTime="300,吕沛杰·七星岩·减伤3层;600,吕沛杰·七星岩·减伤2层;900,吕沛杰·七星岩·减伤1层;910,吕沛杰·七星岩·减伤消失",nRefresh=5,key="王遗风·吕沛杰·减伤"},</v>
      </c>
      <c r="AA74" s="7"/>
    </row>
    <row r="75" customFormat="1" spans="1:28">
      <c r="C75" t="s">
        <v>2043</v>
      </c>
      <c r="D75" t="s">
        <v>2195</v>
      </c>
      <c r="E75" t="str">
        <f t="shared" si="17"/>
        <v>浩气·谢烟客·烟雨居舍·败退</v>
      </c>
      <c r="F75" t="s">
        <v>2043</v>
      </c>
      <c r="G75" t="s">
        <v>2046</v>
      </c>
      <c r="H75" t="s">
        <v>2196</v>
      </c>
      <c r="I75" t="s">
        <v>2049</v>
      </c>
      <c r="J75" t="s">
        <v>2197</v>
      </c>
      <c r="K75" t="s">
        <v>2049</v>
      </c>
      <c r="L75" t="s">
        <v>2198</v>
      </c>
      <c r="M75" t="s">
        <v>2029</v>
      </c>
      <c r="N75"/>
      <c r="Q75">
        <v>1</v>
      </c>
      <c r="S75">
        <v>1</v>
      </c>
      <c r="V75" t="str">
        <f t="shared" si="15"/>
        <v>{szContent="谢烟客已经尽力，请暂且退回疗伤。",szTarget="谢渊",szNote="浩气·谢烟客·烟雨居舍·败退",col={100,100,255,},[14]={bTeamChannel=true,bCenterAlarm=true,},tCountdown={{nClass=14,nIcon=13,szName="谢渊·谢烟客·减伤",nTime=-2,key="谢渊·谢烟客·减伤",},{nClass=14,nIcon=13,szName="王遗风·顾延恶·减伤",nTime=-2,key="王遗风·顾延恶·减伤",},{nClass=14,nIcon=18829,nFrame=7,szName="浩气·谢烟客·退场·易伤30%",nTime=10,nRefresh=5,key="谢渊·谢烟客·减伤",},{nClass=14,nIcon=3445,nFrame=3,szName="王遗风·顾延恶·减伤",nTime="300,顾延恶·烟雨居舍·减伤3层;600,顾延恶·烟雨居舍·减伤2层;900,顾延恶·烟雨居舍·减伤1层;910,顾延恶·烟雨居舍·减伤消失",nRefresh=5,key="王遗风·顾延恶·减伤"},},},</v>
      </c>
      <c r="W75" t="str">
        <f t="shared" si="18"/>
        <v>{nClass=14,nIcon=13,szName="谢渊·谢烟客·减伤",nTime=-2,key="谢渊·谢烟客·减伤",},</v>
      </c>
      <c r="X75" t="str">
        <f t="shared" si="19"/>
        <v>{nClass=14,nIcon=13,szName="王遗风·顾延恶·减伤",nTime=-2,key="王遗风·顾延恶·减伤",},</v>
      </c>
      <c r="Y75" t="str">
        <f>"{nClass=14,nIcon=18829,nFrame=7,szName="""&amp;K75&amp;"·"&amp;""&amp;""&amp;L75&amp;"·退场·易伤30%"",nTime=10,nRefresh=5,key="""&amp;F75&amp;"·"&amp;L75&amp;""&amp;"·减伤"""&amp;",},"</f>
        <v>{nClass=14,nIcon=18829,nFrame=7,szName="浩气·谢烟客·退场·易伤30%",nTime=10,nRefresh=5,key="谢渊·谢烟客·减伤",},</v>
      </c>
      <c r="Z75" t="str">
        <f>"{nClass=14,nIcon=3445,nFrame=3,szName="""&amp;G75&amp;"·"&amp;""&amp;J75&amp;""&amp;"·减伤"""&amp;",nTime="""&amp;"300,"&amp;""&amp;J75&amp;"·"&amp;H75&amp;"·减伤3层;600,"&amp;""&amp;J75&amp;"·"&amp;H75&amp;"·减伤2层;900,"&amp;""&amp;J75&amp;"·"&amp;H75&amp;"·减伤1层;910,"&amp;""&amp;J75&amp;"·"&amp;H75&amp;"·减伤消失"""&amp;",nRefresh=5,key="""&amp;G75&amp;"·"&amp;""&amp;J75&amp;""&amp;"·减伤"""&amp;"},"</f>
        <v>{nClass=14,nIcon=3445,nFrame=3,szName="王遗风·顾延恶·减伤",nTime="300,顾延恶·烟雨居舍·减伤3层;600,顾延恶·烟雨居舍·减伤2层;900,顾延恶·烟雨居舍·减伤1层;910,顾延恶·烟雨居舍·减伤消失",nRefresh=5,key="王遗风·顾延恶·减伤"},</v>
      </c>
      <c r="AA75" s="7"/>
    </row>
    <row r="76" customFormat="1" spans="1:28">
      <c r="C76" t="s">
        <v>2046</v>
      </c>
      <c r="D76" t="s">
        <v>2199</v>
      </c>
      <c r="E76" t="str">
        <f t="shared" si="17"/>
        <v>恶人·张一洋·漓水河岸·败退</v>
      </c>
      <c r="F76" t="s">
        <v>2046</v>
      </c>
      <c r="G76" t="s">
        <v>2043</v>
      </c>
      <c r="H76" t="s">
        <v>2180</v>
      </c>
      <c r="I76" t="s">
        <v>2049</v>
      </c>
      <c r="J76" t="s">
        <v>2186</v>
      </c>
      <c r="K76" t="s">
        <v>2047</v>
      </c>
      <c r="L76" t="s">
        <v>2185</v>
      </c>
      <c r="M76" t="s">
        <v>2025</v>
      </c>
      <c r="N76"/>
      <c r="Q76">
        <v>1</v>
      </c>
      <c r="S76">
        <v>1</v>
      </c>
      <c r="V76" t="str">
        <f t="shared" si="15"/>
        <v>{szContent="张一洋已经尽力，请暂且退回疗伤。",szTarget="王遗风",szNote="恶人·张一洋·漓水河岸·败退",col={255,100,100,},[14]={bTeamChannel=true,bCenterAlarm=true,},tCountdown={{nClass=14,nIcon=13,szName="王遗风·张一洋·减伤",nTime=-2,key="王遗风·张一洋·减伤",},{nClass=14,nIcon=13,szName="谢渊·周峰·减伤",nTime=-2,key="谢渊·周峰·减伤",},{nClass=14,nIcon=18830,nFrame=3,szName="恶人·张一洋·退场·易伤30%",nTime=10,nRefresh=5,key="王遗风·张一洋·减伤",},{nClass=14,nIcon=3444,nFrame=7,szName="谢渊·周峰·减伤",nTime="300,周峰·漓水河岸·减伤3层;600,周峰·漓水河岸·减伤2层;900,周峰·漓水河岸·减伤1层;910,周峰·漓水河岸·减伤消失",nRefresh=5,key="谢渊·周峰·减伤"},},},</v>
      </c>
      <c r="W76" t="str">
        <f t="shared" si="18"/>
        <v>{nClass=14,nIcon=13,szName="王遗风·张一洋·减伤",nTime=-2,key="王遗风·张一洋·减伤",},</v>
      </c>
      <c r="X76" t="str">
        <f t="shared" si="19"/>
        <v>{nClass=14,nIcon=13,szName="谢渊·周峰·减伤",nTime=-2,key="谢渊·周峰·减伤",},</v>
      </c>
      <c r="Y76" t="str">
        <f>"{nClass=14,nIcon=18830,nFrame=3,szName="""&amp;K76&amp;"·"&amp;""&amp;""&amp;L76&amp;"·退场·易伤30%"",nTime=10,nRefresh=5,key="""&amp;F76&amp;"·"&amp;L76&amp;""&amp;"·减伤"""&amp;",},"</f>
        <v>{nClass=14,nIcon=18830,nFrame=3,szName="恶人·张一洋·退场·易伤30%",nTime=10,nRefresh=5,key="王遗风·张一洋·减伤",},</v>
      </c>
      <c r="Z76" t="str">
        <f>"{nClass=14,nIcon=3444,nFrame=7,szName="""&amp;G76&amp;"·"&amp;""&amp;J76&amp;""&amp;"·减伤"""&amp;",nTime="""&amp;"300,"&amp;""&amp;J76&amp;"·"&amp;H76&amp;"·减伤3层;600,"&amp;""&amp;J76&amp;"·"&amp;H76&amp;"·减伤2层;900,"&amp;""&amp;J76&amp;"·"&amp;H76&amp;"·减伤1层;910,"&amp;""&amp;J76&amp;"·"&amp;H76&amp;"·减伤消失"""&amp;",nRefresh=5,key="""&amp;G76&amp;"·"&amp;""&amp;J76&amp;""&amp;"·减伤"""&amp;"},"</f>
        <v>{nClass=14,nIcon=3444,nFrame=7,szName="谢渊·周峰·减伤",nTime="300,周峰·漓水河岸·减伤3层;600,周峰·漓水河岸·减伤2层;900,周峰·漓水河岸·减伤1层;910,周峰·漓水河岸·减伤消失",nRefresh=5,key="谢渊·周峰·减伤"},</v>
      </c>
      <c r="AA76" s="7"/>
    </row>
    <row r="77" spans="1:28">
      <c r="C77" t="s">
        <v>2046</v>
      </c>
      <c r="D77" t="s">
        <v>2200</v>
      </c>
      <c r="E77" t="str">
        <f t="shared" si="17"/>
        <v>恶人·陶国栋·栖霞幻境·败退</v>
      </c>
      <c r="F77" t="s">
        <v>2046</v>
      </c>
      <c r="G77" t="s">
        <v>2043</v>
      </c>
      <c r="H77" t="s">
        <v>2188</v>
      </c>
      <c r="I77" t="s">
        <v>2049</v>
      </c>
      <c r="J77" t="s">
        <v>2190</v>
      </c>
      <c r="K77" t="s">
        <v>2047</v>
      </c>
      <c r="L77" t="s">
        <v>2189</v>
      </c>
      <c r="M77" t="s">
        <v>2025</v>
      </c>
      <c r="Q77">
        <v>1</v>
      </c>
      <c r="S77">
        <v>1</v>
      </c>
      <c r="V77" t="str">
        <f t="shared" si="15"/>
        <v>{szContent="陶国栋已经尽力，请暂且退回疗伤。",szTarget="王遗风",szNote="恶人·陶国栋·栖霞幻境·败退",col={255,100,100,},[14]={bTeamChannel=true,bCenterAlarm=true,},tCountdown={{nClass=14,nIcon=13,szName="王遗风·陶国栋·减伤",nTime=-2,key="王遗风·陶国栋·减伤",},{nClass=14,nIcon=13,szName="谢渊·郑鸥·减伤",nTime=-2,key="谢渊·郑鸥·减伤",},{nClass=14,nIcon=18830,nFrame=3,szName="恶人·陶国栋·退场·易伤30%",nTime=10,nRefresh=5,key="王遗风·陶国栋·减伤",},{nClass=14,nIcon=3444,nFrame=7,szName="谢渊·郑鸥·减伤",nTime="300,郑鸥·栖霞幻境·减伤3层;600,郑鸥·栖霞幻境·减伤2层;900,郑鸥·栖霞幻境·减伤1层;910,郑鸥·栖霞幻境·减伤消失",nRefresh=5,key="谢渊·郑鸥·减伤"},},},</v>
      </c>
      <c r="W77" t="str">
        <f t="shared" si="18"/>
        <v>{nClass=14,nIcon=13,szName="王遗风·陶国栋·减伤",nTime=-2,key="王遗风·陶国栋·减伤",},</v>
      </c>
      <c r="X77" t="str">
        <f t="shared" si="19"/>
        <v>{nClass=14,nIcon=13,szName="谢渊·郑鸥·减伤",nTime=-2,key="谢渊·郑鸥·减伤",},</v>
      </c>
      <c r="Y77" t="str">
        <f>"{nClass=14,nIcon=18830,nFrame=3,szName="""&amp;K77&amp;"·"&amp;""&amp;""&amp;L77&amp;"·退场·易伤30%"",nTime=10,nRefresh=5,key="""&amp;F77&amp;"·"&amp;L77&amp;""&amp;"·减伤"""&amp;",},"</f>
        <v>{nClass=14,nIcon=18830,nFrame=3,szName="恶人·陶国栋·退场·易伤30%",nTime=10,nRefresh=5,key="王遗风·陶国栋·减伤",},</v>
      </c>
      <c r="Z77" t="str">
        <f>"{nClass=14,nIcon=3444,nFrame=7,szName="""&amp;G77&amp;"·"&amp;""&amp;J77&amp;""&amp;"·减伤"""&amp;",nTime="""&amp;"300,"&amp;""&amp;J77&amp;"·"&amp;H77&amp;"·减伤3层;600,"&amp;""&amp;J77&amp;"·"&amp;H77&amp;"·减伤2层;900,"&amp;""&amp;J77&amp;"·"&amp;H77&amp;"·减伤1层;910,"&amp;""&amp;J77&amp;"·"&amp;H77&amp;"·减伤消失"""&amp;",nRefresh=5,key="""&amp;G77&amp;"·"&amp;""&amp;J77&amp;""&amp;"·减伤"""&amp;"},"</f>
        <v>{nClass=14,nIcon=3444,nFrame=7,szName="谢渊·郑鸥·减伤",nTime="300,郑鸥·栖霞幻境·减伤3层;600,郑鸥·栖霞幻境·减伤2层;900,郑鸥·栖霞幻境·减伤1层;910,郑鸥·栖霞幻境·减伤消失",nRefresh=5,key="谢渊·郑鸥·减伤"},</v>
      </c>
      <c r="AA77" s="7"/>
    </row>
    <row r="78" spans="1:28">
      <c r="C78" t="s">
        <v>2046</v>
      </c>
      <c r="D78" t="s">
        <v>2201</v>
      </c>
      <c r="E78" t="str">
        <f t="shared" si="17"/>
        <v>恶人·吕沛杰·七星岩·败退</v>
      </c>
      <c r="F78" t="s">
        <v>2046</v>
      </c>
      <c r="G78" t="s">
        <v>2043</v>
      </c>
      <c r="H78" t="s">
        <v>2192</v>
      </c>
      <c r="I78" t="s">
        <v>2049</v>
      </c>
      <c r="J78" t="s">
        <v>2194</v>
      </c>
      <c r="K78" t="s">
        <v>2047</v>
      </c>
      <c r="L78" t="s">
        <v>2193</v>
      </c>
      <c r="M78" t="s">
        <v>2025</v>
      </c>
      <c r="Q78">
        <v>1</v>
      </c>
      <c r="S78">
        <v>1</v>
      </c>
      <c r="V78" t="str">
        <f t="shared" si="15"/>
        <v>{szContent="吕沛杰已经尽力，请暂且退回疗伤。",szTarget="王遗风",szNote="恶人·吕沛杰·七星岩·败退",col={255,100,100,},[14]={bTeamChannel=true,bCenterAlarm=true,},tCountdown={{nClass=14,nIcon=13,szName="王遗风·吕沛杰·减伤",nTime=-2,key="王遗风·吕沛杰·减伤",},{nClass=14,nIcon=13,szName="谢渊·陶杰·减伤",nTime=-2,key="谢渊·陶杰·减伤",},{nClass=14,nIcon=18830,nFrame=3,szName="恶人·吕沛杰·退场·易伤30%",nTime=10,nRefresh=5,key="王遗风·吕沛杰·减伤",},{nClass=14,nIcon=3444,nFrame=7,szName="谢渊·陶杰·减伤",nTime="300,陶杰·七星岩·减伤3层;600,陶杰·七星岩·减伤2层;900,陶杰·七星岩·减伤1层;910,陶杰·七星岩·减伤消失",nRefresh=5,key="谢渊·陶杰·减伤"},},},</v>
      </c>
      <c r="W78" t="str">
        <f t="shared" si="18"/>
        <v>{nClass=14,nIcon=13,szName="王遗风·吕沛杰·减伤",nTime=-2,key="王遗风·吕沛杰·减伤",},</v>
      </c>
      <c r="X78" t="str">
        <f t="shared" si="19"/>
        <v>{nClass=14,nIcon=13,szName="谢渊·陶杰·减伤",nTime=-2,key="谢渊·陶杰·减伤",},</v>
      </c>
      <c r="Y78" t="str">
        <f>"{nClass=14,nIcon=18830,nFrame=3,szName="""&amp;K78&amp;"·"&amp;""&amp;""&amp;L78&amp;"·退场·易伤30%"",nTime=10,nRefresh=5,key="""&amp;F78&amp;"·"&amp;L78&amp;""&amp;"·减伤"""&amp;",},"</f>
        <v>{nClass=14,nIcon=18830,nFrame=3,szName="恶人·吕沛杰·退场·易伤30%",nTime=10,nRefresh=5,key="王遗风·吕沛杰·减伤",},</v>
      </c>
      <c r="Z78" t="str">
        <f>"{nClass=14,nIcon=3444,nFrame=7,szName="""&amp;G78&amp;"·"&amp;""&amp;J78&amp;""&amp;"·减伤"""&amp;",nTime="""&amp;"300,"&amp;""&amp;J78&amp;"·"&amp;H78&amp;"·减伤3层;600,"&amp;""&amp;J78&amp;"·"&amp;H78&amp;"·减伤2层;900,"&amp;""&amp;J78&amp;"·"&amp;H78&amp;"·减伤1层;910,"&amp;""&amp;J78&amp;"·"&amp;H78&amp;"·减伤消失"""&amp;",nRefresh=5,key="""&amp;G78&amp;"·"&amp;""&amp;J78&amp;""&amp;"·减伤"""&amp;"},"</f>
        <v>{nClass=14,nIcon=3444,nFrame=7,szName="谢渊·陶杰·减伤",nTime="300,陶杰·七星岩·减伤3层;600,陶杰·七星岩·减伤2层;900,陶杰·七星岩·减伤1层;910,陶杰·七星岩·减伤消失",nRefresh=5,key="谢渊·陶杰·减伤"},</v>
      </c>
      <c r="AA78" s="7"/>
    </row>
    <row r="79" spans="1:28">
      <c r="C79" t="s">
        <v>2046</v>
      </c>
      <c r="D79" t="s">
        <v>2202</v>
      </c>
      <c r="E79" t="str">
        <f t="shared" si="17"/>
        <v>恶人·顾延恶·烟雨居舍·败退</v>
      </c>
      <c r="F79" t="s">
        <v>2046</v>
      </c>
      <c r="G79" t="s">
        <v>2043</v>
      </c>
      <c r="H79" t="s">
        <v>2196</v>
      </c>
      <c r="I79" t="s">
        <v>2049</v>
      </c>
      <c r="J79" t="s">
        <v>2198</v>
      </c>
      <c r="K79" t="s">
        <v>2047</v>
      </c>
      <c r="L79" t="s">
        <v>2197</v>
      </c>
      <c r="M79" t="s">
        <v>2025</v>
      </c>
      <c r="Q79">
        <v>1</v>
      </c>
      <c r="S79">
        <v>1</v>
      </c>
      <c r="V79" t="str">
        <f t="shared" si="15"/>
        <v>{szContent="顾延恶已经尽力，请暂且退回疗伤。",szTarget="王遗风",szNote="恶人·顾延恶·烟雨居舍·败退",col={255,100,100,},[14]={bTeamChannel=true,bCenterAlarm=true,},tCountdown={{nClass=14,nIcon=13,szName="王遗风·顾延恶·减伤",nTime=-2,key="王遗风·顾延恶·减伤",},{nClass=14,nIcon=13,szName="谢渊·谢烟客·减伤",nTime=-2,key="谢渊·谢烟客·减伤",},{nClass=14,nIcon=18830,nFrame=3,szName="恶人·顾延恶·退场·易伤30%",nTime=10,nRefresh=5,key="王遗风·顾延恶·减伤",},{nClass=14,nIcon=3444,nFrame=7,szName="谢渊·谢烟客·减伤",nTime="300,谢烟客·烟雨居舍·减伤3层;600,谢烟客·烟雨居舍·减伤2层;900,谢烟客·烟雨居舍·减伤1层;910,谢烟客·烟雨居舍·减伤消失",nRefresh=5,key="谢渊·谢烟客·减伤"},},},</v>
      </c>
      <c r="W79" t="str">
        <f t="shared" si="18"/>
        <v>{nClass=14,nIcon=13,szName="王遗风·顾延恶·减伤",nTime=-2,key="王遗风·顾延恶·减伤",},</v>
      </c>
      <c r="X79" t="str">
        <f t="shared" si="19"/>
        <v>{nClass=14,nIcon=13,szName="谢渊·谢烟客·减伤",nTime=-2,key="谢渊·谢烟客·减伤",},</v>
      </c>
      <c r="Y79" t="str">
        <f>"{nClass=14,nIcon=18830,nFrame=3,szName="""&amp;K79&amp;"·"&amp;""&amp;""&amp;L79&amp;"·退场·易伤30%"",nTime=10,nRefresh=5,key="""&amp;F79&amp;"·"&amp;L79&amp;""&amp;"·减伤"""&amp;",},"</f>
        <v>{nClass=14,nIcon=18830,nFrame=3,szName="恶人·顾延恶·退场·易伤30%",nTime=10,nRefresh=5,key="王遗风·顾延恶·减伤",},</v>
      </c>
      <c r="Z79" t="str">
        <f>"{nClass=14,nIcon=3444,nFrame=7,szName="""&amp;G79&amp;"·"&amp;""&amp;J79&amp;""&amp;"·减伤"""&amp;",nTime="""&amp;"300,"&amp;""&amp;J79&amp;"·"&amp;H79&amp;"·减伤3层;600,"&amp;""&amp;J79&amp;"·"&amp;H79&amp;"·减伤2层;900,"&amp;""&amp;J79&amp;"·"&amp;H79&amp;"·减伤1层;910,"&amp;""&amp;J79&amp;"·"&amp;H79&amp;"·减伤消失"""&amp;",nRefresh=5,key="""&amp;G79&amp;"·"&amp;""&amp;J79&amp;""&amp;"·减伤"""&amp;"},"</f>
        <v>{nClass=14,nIcon=3444,nFrame=7,szName="谢渊·谢烟客·减伤",nTime="300,谢烟客·烟雨居舍·减伤3层;600,谢烟客·烟雨居舍·减伤2层;900,谢烟客·烟雨居舍·减伤1层;910,谢烟客·烟雨居舍·减伤消失",nRefresh=5,key="谢渊·谢烟客·减伤"},</v>
      </c>
      <c r="AA79" s="7"/>
    </row>
    <row r="80" spans="1:28">
      <c r="C80" t="s">
        <v>2186</v>
      </c>
      <c r="D80" t="s">
        <v>2079</v>
      </c>
      <c r="E80" t="str">
        <f t="shared" si="17"/>
        <v>浩气·周峰·龙隐山·败退</v>
      </c>
      <c r="F80" t="s">
        <v>2043</v>
      </c>
      <c r="G80" t="s">
        <v>2046</v>
      </c>
      <c r="H80" t="s">
        <v>2184</v>
      </c>
      <c r="I80" t="s">
        <v>2047</v>
      </c>
      <c r="J80" t="s">
        <v>2185</v>
      </c>
      <c r="K80" t="s">
        <v>2049</v>
      </c>
      <c r="L80" t="s">
        <v>2186</v>
      </c>
      <c r="M80" t="s">
        <v>2029</v>
      </c>
      <c r="N80">
        <v>1</v>
      </c>
      <c r="S80">
        <v>1</v>
      </c>
      <c r="V80" t="str">
        <f t="shared" si="15"/>
        <v>{szContent="罢了，青山不改，绿水长流，后会有期！",szTarget="周峰",szNote="浩气·周峰·龙隐山·败退",col={100,100,255,},bSearch=true,[14]={bCenterAlarm=true,},tCountdown={{nClass=14,nIcon=13,szName="谢渊·周峰·减伤",nTime=-2,key="谢渊·周峰·减伤",},{nClass=14,nIcon=13,szName="王遗风·张一洋·减伤",nTime=-2,key="王遗风·张一洋·减伤",},{nClass=14,nIcon=18829,nFrame=7,szName="浩气·周峰·退场·易伤30%",nTime=10,nRefresh=5,key="谢渊·周峰·减伤",},{nClass=14,nIcon=3445,nFrame=3,szName="王遗风·张一洋·减伤",nTime="300,张一洋·龙隐山·减伤3层;600,张一洋·龙隐山·减伤2层;900,张一洋·龙隐山·减伤1层;910,张一洋·龙隐山·减伤消失",nRefresh=5,key="王遗风·张一洋·减伤"},},},</v>
      </c>
      <c r="W80" t="str">
        <f t="shared" si="18"/>
        <v>{nClass=14,nIcon=13,szName="谢渊·周峰·减伤",nTime=-2,key="谢渊·周峰·减伤",},</v>
      </c>
      <c r="X80" t="str">
        <f t="shared" si="19"/>
        <v>{nClass=14,nIcon=13,szName="王遗风·张一洋·减伤",nTime=-2,key="王遗风·张一洋·减伤",},</v>
      </c>
      <c r="Y80" t="str">
        <f>"{nClass=14,nIcon=18829,nFrame=7,szName="""&amp;K80&amp;"·"&amp;""&amp;""&amp;L80&amp;"·退场·易伤30%"",nTime=10,nRefresh=5,key="""&amp;F80&amp;"·"&amp;L80&amp;""&amp;"·减伤"""&amp;",},"</f>
        <v>{nClass=14,nIcon=18829,nFrame=7,szName="浩气·周峰·退场·易伤30%",nTime=10,nRefresh=5,key="谢渊·周峰·减伤",},</v>
      </c>
      <c r="Z80" t="str">
        <f>"{nClass=14,nIcon=3445,nFrame=3,szName="""&amp;G80&amp;"·"&amp;""&amp;J80&amp;""&amp;"·减伤"""&amp;",nTime="""&amp;"300,"&amp;""&amp;J80&amp;"·"&amp;H80&amp;"·减伤3层;600,"&amp;""&amp;J80&amp;"·"&amp;H80&amp;"·减伤2层;900,"&amp;""&amp;J80&amp;"·"&amp;H80&amp;"·减伤1层;910,"&amp;""&amp;J80&amp;"·"&amp;H80&amp;"·减伤消失"""&amp;",nRefresh=5,key="""&amp;G80&amp;"·"&amp;""&amp;J80&amp;""&amp;"·减伤"""&amp;"},"</f>
        <v>{nClass=14,nIcon=3445,nFrame=3,szName="王遗风·张一洋·减伤",nTime="300,张一洋·龙隐山·减伤3层;600,张一洋·龙隐山·减伤2层;900,张一洋·龙隐山·减伤1层;910,张一洋·龙隐山·减伤消失",nRefresh=5,key="王遗风·张一洋·减伤"},</v>
      </c>
    </row>
    <row r="81" spans="1:28">
      <c r="C81" t="s">
        <v>2190</v>
      </c>
      <c r="D81" t="s">
        <v>2079</v>
      </c>
      <c r="E81" t="str">
        <f t="shared" si="17"/>
        <v>浩气·郑鸥·栖霞幻境·败退</v>
      </c>
      <c r="F81" t="s">
        <v>2043</v>
      </c>
      <c r="G81" t="s">
        <v>2046</v>
      </c>
      <c r="H81" t="s">
        <v>2188</v>
      </c>
      <c r="I81" t="s">
        <v>2047</v>
      </c>
      <c r="J81" t="s">
        <v>2189</v>
      </c>
      <c r="K81" t="s">
        <v>2049</v>
      </c>
      <c r="L81" t="s">
        <v>2190</v>
      </c>
      <c r="M81" t="s">
        <v>2029</v>
      </c>
      <c r="N81">
        <v>1</v>
      </c>
      <c r="S81">
        <v>1</v>
      </c>
      <c r="V81" t="str">
        <f t="shared" si="15"/>
        <v>{szContent="罢了，青山不改，绿水长流，后会有期！",szTarget="郑鸥",szNote="浩气·郑鸥·栖霞幻境·败退",col={100,100,255,},bSearch=true,[14]={bCenterAlarm=true,},tCountdown={{nClass=14,nIcon=13,szName="谢渊·郑鸥·减伤",nTime=-2,key="谢渊·郑鸥·减伤",},{nClass=14,nIcon=13,szName="王遗风·陶国栋·减伤",nTime=-2,key="王遗风·陶国栋·减伤",},{nClass=14,nIcon=18829,nFrame=7,szName="浩气·郑鸥·退场·易伤30%",nTime=10,nRefresh=5,key="谢渊·郑鸥·减伤",},{nClass=14,nIcon=3445,nFrame=3,szName="王遗风·陶国栋·减伤",nTime="300,陶国栋·栖霞幻境·减伤3层;600,陶国栋·栖霞幻境·减伤2层;900,陶国栋·栖霞幻境·减伤1层;910,陶国栋·栖霞幻境·减伤消失",nRefresh=5,key="王遗风·陶国栋·减伤"},},},</v>
      </c>
      <c r="W81" t="str">
        <f t="shared" si="18"/>
        <v>{nClass=14,nIcon=13,szName="谢渊·郑鸥·减伤",nTime=-2,key="谢渊·郑鸥·减伤",},</v>
      </c>
      <c r="X81" t="str">
        <f t="shared" si="19"/>
        <v>{nClass=14,nIcon=13,szName="王遗风·陶国栋·减伤",nTime=-2,key="王遗风·陶国栋·减伤",},</v>
      </c>
      <c r="Y81" t="str">
        <f>"{nClass=14,nIcon=18829,nFrame=7,szName="""&amp;K81&amp;"·"&amp;""&amp;""&amp;L81&amp;"·退场·易伤30%"",nTime=10,nRefresh=5,key="""&amp;F81&amp;"·"&amp;L81&amp;""&amp;"·减伤"""&amp;",},"</f>
        <v>{nClass=14,nIcon=18829,nFrame=7,szName="浩气·郑鸥·退场·易伤30%",nTime=10,nRefresh=5,key="谢渊·郑鸥·减伤",},</v>
      </c>
      <c r="Z81" t="str">
        <f>"{nClass=14,nIcon=3445,nFrame=3,szName="""&amp;G81&amp;"·"&amp;""&amp;J81&amp;""&amp;"·减伤"""&amp;",nTime="""&amp;"300,"&amp;""&amp;J81&amp;"·"&amp;H81&amp;"·减伤3层;600,"&amp;""&amp;J81&amp;"·"&amp;H81&amp;"·减伤2层;900,"&amp;""&amp;J81&amp;"·"&amp;H81&amp;"·减伤1层;910,"&amp;""&amp;J81&amp;"·"&amp;H81&amp;"·减伤消失"""&amp;",nRefresh=5,key="""&amp;G81&amp;"·"&amp;""&amp;J81&amp;""&amp;"·减伤"""&amp;"},"</f>
        <v>{nClass=14,nIcon=3445,nFrame=3,szName="王遗风·陶国栋·减伤",nTime="300,陶国栋·栖霞幻境·减伤3层;600,陶国栋·栖霞幻境·减伤2层;900,陶国栋·栖霞幻境·减伤1层;910,陶国栋·栖霞幻境·减伤消失",nRefresh=5,key="王遗风·陶国栋·减伤"},</v>
      </c>
    </row>
    <row r="82" spans="1:28">
      <c r="C82" t="s">
        <v>2194</v>
      </c>
      <c r="D82" t="s">
        <v>2079</v>
      </c>
      <c r="E82" t="str">
        <f t="shared" si="17"/>
        <v>浩气·陶杰·七星岩·败退</v>
      </c>
      <c r="F82" t="s">
        <v>2043</v>
      </c>
      <c r="G82" t="s">
        <v>2046</v>
      </c>
      <c r="H82" t="s">
        <v>2192</v>
      </c>
      <c r="I82" t="s">
        <v>2047</v>
      </c>
      <c r="J82" t="s">
        <v>2193</v>
      </c>
      <c r="K82" t="s">
        <v>2049</v>
      </c>
      <c r="L82" t="s">
        <v>2194</v>
      </c>
      <c r="M82" t="s">
        <v>2029</v>
      </c>
      <c r="N82">
        <v>1</v>
      </c>
      <c r="S82">
        <v>1</v>
      </c>
      <c r="V82" t="str">
        <f t="shared" si="15"/>
        <v>{szContent="罢了，青山不改，绿水长流，后会有期！",szTarget="陶杰",szNote="浩气·陶杰·七星岩·败退",col={100,100,255,},bSearch=true,[14]={bCenterAlarm=true,},tCountdown={{nClass=14,nIcon=13,szName="谢渊·陶杰·减伤",nTime=-2,key="谢渊·陶杰·减伤",},{nClass=14,nIcon=13,szName="王遗风·吕沛杰·减伤",nTime=-2,key="王遗风·吕沛杰·减伤",},{nClass=14,nIcon=18829,nFrame=7,szName="浩气·陶杰·退场·易伤30%",nTime=10,nRefresh=5,key="谢渊·陶杰·减伤",},{nClass=14,nIcon=3445,nFrame=3,szName="王遗风·吕沛杰·减伤",nTime="300,吕沛杰·七星岩·减伤3层;600,吕沛杰·七星岩·减伤2层;900,吕沛杰·七星岩·减伤1层;910,吕沛杰·七星岩·减伤消失",nRefresh=5,key="王遗风·吕沛杰·减伤"},},},</v>
      </c>
      <c r="W82" t="str">
        <f t="shared" si="18"/>
        <v>{nClass=14,nIcon=13,szName="谢渊·陶杰·减伤",nTime=-2,key="谢渊·陶杰·减伤",},</v>
      </c>
      <c r="X82" t="str">
        <f t="shared" si="19"/>
        <v>{nClass=14,nIcon=13,szName="王遗风·吕沛杰·减伤",nTime=-2,key="王遗风·吕沛杰·减伤",},</v>
      </c>
      <c r="Y82" t="str">
        <f>"{nClass=14,nIcon=18829,nFrame=7,szName="""&amp;K82&amp;"·"&amp;""&amp;""&amp;L82&amp;"·退场·易伤30%"",nTime=10,nRefresh=5,key="""&amp;F82&amp;"·"&amp;L82&amp;""&amp;"·减伤"""&amp;",},"</f>
        <v>{nClass=14,nIcon=18829,nFrame=7,szName="浩气·陶杰·退场·易伤30%",nTime=10,nRefresh=5,key="谢渊·陶杰·减伤",},</v>
      </c>
      <c r="Z82" t="str">
        <f>"{nClass=14,nIcon=3445,nFrame=3,szName="""&amp;G82&amp;"·"&amp;""&amp;J82&amp;""&amp;"·减伤"""&amp;",nTime="""&amp;"300,"&amp;""&amp;J82&amp;"·"&amp;H82&amp;"·减伤3层;600,"&amp;""&amp;J82&amp;"·"&amp;H82&amp;"·减伤2层;900,"&amp;""&amp;J82&amp;"·"&amp;H82&amp;"·减伤1层;910,"&amp;""&amp;J82&amp;"·"&amp;H82&amp;"·减伤消失"""&amp;",nRefresh=5,key="""&amp;G82&amp;"·"&amp;""&amp;J82&amp;""&amp;"·减伤"""&amp;"},"</f>
        <v>{nClass=14,nIcon=3445,nFrame=3,szName="王遗风·吕沛杰·减伤",nTime="300,吕沛杰·七星岩·减伤3层;600,吕沛杰·七星岩·减伤2层;900,吕沛杰·七星岩·减伤1层;910,吕沛杰·七星岩·减伤消失",nRefresh=5,key="王遗风·吕沛杰·减伤"},</v>
      </c>
    </row>
    <row r="83" spans="1:28">
      <c r="C83" t="s">
        <v>2198</v>
      </c>
      <c r="D83" t="s">
        <v>2079</v>
      </c>
      <c r="E83" t="str">
        <f t="shared" si="17"/>
        <v>浩气·谢烟客·烟雨居舍·败退</v>
      </c>
      <c r="F83" t="s">
        <v>2043</v>
      </c>
      <c r="G83" t="s">
        <v>2046</v>
      </c>
      <c r="H83" t="s">
        <v>2196</v>
      </c>
      <c r="I83" t="s">
        <v>2049</v>
      </c>
      <c r="J83" t="s">
        <v>2197</v>
      </c>
      <c r="K83" t="s">
        <v>2049</v>
      </c>
      <c r="L83" t="s">
        <v>2198</v>
      </c>
      <c r="M83" t="s">
        <v>2029</v>
      </c>
      <c r="N83">
        <v>1</v>
      </c>
      <c r="S83">
        <v>1</v>
      </c>
      <c r="V83" t="str">
        <f t="shared" si="15"/>
        <v>{szContent="罢了，青山不改，绿水长流，后会有期！",szTarget="谢烟客",szNote="浩气·谢烟客·烟雨居舍·败退",col={100,100,255,},bSearch=true,[14]={bCenterAlarm=true,},tCountdown={{nClass=14,nIcon=13,szName="谢渊·谢烟客·减伤",nTime=-2,key="谢渊·谢烟客·减伤",},{nClass=14,nIcon=13,szName="王遗风·顾延恶·减伤",nTime=-2,key="王遗风·顾延恶·减伤",},{nClass=14,nIcon=18829,nFrame=7,szName="浩气·谢烟客·退场·易伤30%",nTime=10,nRefresh=5,key="谢渊·谢烟客·减伤",},{nClass=14,nIcon=3445,nFrame=3,szName="王遗风·顾延恶·减伤",nTime="300,顾延恶·烟雨居舍·减伤3层;600,顾延恶·烟雨居舍·减伤2层;900,顾延恶·烟雨居舍·减伤1层;910,顾延恶·烟雨居舍·减伤消失",nRefresh=5,key="王遗风·顾延恶·减伤"},},},</v>
      </c>
      <c r="W83" t="str">
        <f t="shared" si="18"/>
        <v>{nClass=14,nIcon=13,szName="谢渊·谢烟客·减伤",nTime=-2,key="谢渊·谢烟客·减伤",},</v>
      </c>
      <c r="X83" t="str">
        <f t="shared" si="19"/>
        <v>{nClass=14,nIcon=13,szName="王遗风·顾延恶·减伤",nTime=-2,key="王遗风·顾延恶·减伤",},</v>
      </c>
      <c r="Y83" t="str">
        <f>"{nClass=14,nIcon=18829,nFrame=7,szName="""&amp;K83&amp;"·"&amp;""&amp;""&amp;L83&amp;"·退场·易伤30%"",nTime=10,nRefresh=5,key="""&amp;F83&amp;"·"&amp;L83&amp;""&amp;"·减伤"""&amp;",},"</f>
        <v>{nClass=14,nIcon=18829,nFrame=7,szName="浩气·谢烟客·退场·易伤30%",nTime=10,nRefresh=5,key="谢渊·谢烟客·减伤",},</v>
      </c>
      <c r="Z83" t="str">
        <f>"{nClass=14,nIcon=3445,nFrame=3,szName="""&amp;G83&amp;"·"&amp;""&amp;J83&amp;""&amp;"·减伤"""&amp;",nTime="""&amp;"300,"&amp;""&amp;J83&amp;"·"&amp;H83&amp;"·减伤3层;600,"&amp;""&amp;J83&amp;"·"&amp;H83&amp;"·减伤2层;900,"&amp;""&amp;J83&amp;"·"&amp;H83&amp;"·减伤1层;910,"&amp;""&amp;J83&amp;"·"&amp;H83&amp;"·减伤消失"""&amp;",nRefresh=5,key="""&amp;G83&amp;"·"&amp;""&amp;J83&amp;""&amp;"·减伤"""&amp;"},"</f>
        <v>{nClass=14,nIcon=3445,nFrame=3,szName="王遗风·顾延恶·减伤",nTime="300,顾延恶·烟雨居舍·减伤3层;600,顾延恶·烟雨居舍·减伤2层;900,顾延恶·烟雨居舍·减伤1层;910,顾延恶·烟雨居舍·减伤消失",nRefresh=5,key="王遗风·顾延恶·减伤"},</v>
      </c>
    </row>
    <row r="84" spans="1:28">
      <c r="C84" t="s">
        <v>2185</v>
      </c>
      <c r="D84" t="s">
        <v>2079</v>
      </c>
      <c r="E84" t="str">
        <f t="shared" si="17"/>
        <v>恶人·张一洋·漓水河岸·败退</v>
      </c>
      <c r="F84" t="s">
        <v>2046</v>
      </c>
      <c r="G84" t="s">
        <v>2043</v>
      </c>
      <c r="H84" t="s">
        <v>2180</v>
      </c>
      <c r="I84" t="s">
        <v>2049</v>
      </c>
      <c r="J84" t="s">
        <v>2186</v>
      </c>
      <c r="K84" t="s">
        <v>2047</v>
      </c>
      <c r="L84" t="s">
        <v>2185</v>
      </c>
      <c r="M84" t="s">
        <v>2025</v>
      </c>
      <c r="N84">
        <v>1</v>
      </c>
      <c r="S84">
        <v>1</v>
      </c>
      <c r="V84" t="str">
        <f t="shared" si="15"/>
        <v>{szContent="罢了，青山不改，绿水长流，后会有期！",szTarget="张一洋",szNote="恶人·张一洋·漓水河岸·败退",col={255,100,100,},bSearch=true,[14]={bCenterAlarm=true,},tCountdown={{nClass=14,nIcon=13,szName="王遗风·张一洋·减伤",nTime=-2,key="王遗风·张一洋·减伤",},{nClass=14,nIcon=13,szName="谢渊·周峰·减伤",nTime=-2,key="谢渊·周峰·减伤",},{nClass=14,nIcon=18830,nFrame=3,szName="恶人·张一洋·退场·易伤30%",nTime=10,nRefresh=5,key="王遗风·张一洋·减伤",},{nClass=14,nIcon=3444,nFrame=7,szName="谢渊·周峰·减伤",nTime="300,周峰·漓水河岸·减伤3层;600,周峰·漓水河岸·减伤2层;900,周峰·漓水河岸·减伤1层;910,周峰·漓水河岸·减伤消失",nRefresh=5,key="谢渊·周峰·减伤"},},},</v>
      </c>
      <c r="W84" t="str">
        <f t="shared" si="18"/>
        <v>{nClass=14,nIcon=13,szName="王遗风·张一洋·减伤",nTime=-2,key="王遗风·张一洋·减伤",},</v>
      </c>
      <c r="X84" t="str">
        <f t="shared" si="19"/>
        <v>{nClass=14,nIcon=13,szName="谢渊·周峰·减伤",nTime=-2,key="谢渊·周峰·减伤",},</v>
      </c>
      <c r="Y84" t="str">
        <f>"{nClass=14,nIcon=18830,nFrame=3,szName="""&amp;K84&amp;"·"&amp;""&amp;""&amp;L84&amp;"·退场·易伤30%"",nTime=10,nRefresh=5,key="""&amp;F84&amp;"·"&amp;L84&amp;""&amp;"·减伤"""&amp;",},"</f>
        <v>{nClass=14,nIcon=18830,nFrame=3,szName="恶人·张一洋·退场·易伤30%",nTime=10,nRefresh=5,key="王遗风·张一洋·减伤",},</v>
      </c>
      <c r="Z84" t="str">
        <f>"{nClass=14,nIcon=3444,nFrame=7,szName="""&amp;G84&amp;"·"&amp;""&amp;J84&amp;""&amp;"·减伤"""&amp;",nTime="""&amp;"300,"&amp;""&amp;J84&amp;"·"&amp;H84&amp;"·减伤3层;600,"&amp;""&amp;J84&amp;"·"&amp;H84&amp;"·减伤2层;900,"&amp;""&amp;J84&amp;"·"&amp;H84&amp;"·减伤1层;910,"&amp;""&amp;J84&amp;"·"&amp;H84&amp;"·减伤消失"""&amp;",nRefresh=5,key="""&amp;G84&amp;"·"&amp;""&amp;J84&amp;""&amp;"·减伤"""&amp;"},"</f>
        <v>{nClass=14,nIcon=3444,nFrame=7,szName="谢渊·周峰·减伤",nTime="300,周峰·漓水河岸·减伤3层;600,周峰·漓水河岸·减伤2层;900,周峰·漓水河岸·减伤1层;910,周峰·漓水河岸·减伤消失",nRefresh=5,key="谢渊·周峰·减伤"},</v>
      </c>
    </row>
    <row r="85" customFormat="1" spans="1:28">
      <c r="C85" t="s">
        <v>2189</v>
      </c>
      <c r="D85" t="s">
        <v>2079</v>
      </c>
      <c r="E85" t="str">
        <f t="shared" si="17"/>
        <v>恶人·陶国栋·栖霞幻境·败退</v>
      </c>
      <c r="F85" t="s">
        <v>2046</v>
      </c>
      <c r="G85" t="s">
        <v>2043</v>
      </c>
      <c r="H85" t="s">
        <v>2188</v>
      </c>
      <c r="I85" t="s">
        <v>2049</v>
      </c>
      <c r="J85" t="s">
        <v>2190</v>
      </c>
      <c r="K85" t="s">
        <v>2047</v>
      </c>
      <c r="L85" t="s">
        <v>2189</v>
      </c>
      <c r="M85" t="s">
        <v>2025</v>
      </c>
      <c r="N85">
        <v>1</v>
      </c>
      <c r="S85">
        <v>1</v>
      </c>
      <c r="V85" t="str">
        <f t="shared" si="15"/>
        <v>{szContent="罢了，青山不改，绿水长流，后会有期！",szTarget="陶国栋",szNote="恶人·陶国栋·栖霞幻境·败退",col={255,100,100,},bSearch=true,[14]={bCenterAlarm=true,},tCountdown={{nClass=14,nIcon=13,szName="王遗风·陶国栋·减伤",nTime=-2,key="王遗风·陶国栋·减伤",},{nClass=14,nIcon=13,szName="谢渊·郑鸥·减伤",nTime=-2,key="谢渊·郑鸥·减伤",},{nClass=14,nIcon=18830,nFrame=3,szName="恶人·陶国栋·退场·易伤30%",nTime=10,nRefresh=5,key="王遗风·陶国栋·减伤",},{nClass=14,nIcon=3444,nFrame=7,szName="谢渊·郑鸥·减伤",nTime="300,郑鸥·栖霞幻境·减伤3层;600,郑鸥·栖霞幻境·减伤2层;900,郑鸥·栖霞幻境·减伤1层;910,郑鸥·栖霞幻境·减伤消失",nRefresh=5,key="谢渊·郑鸥·减伤"},},},</v>
      </c>
      <c r="W85" t="str">
        <f t="shared" si="18"/>
        <v>{nClass=14,nIcon=13,szName="王遗风·陶国栋·减伤",nTime=-2,key="王遗风·陶国栋·减伤",},</v>
      </c>
      <c r="X85" t="str">
        <f t="shared" si="19"/>
        <v>{nClass=14,nIcon=13,szName="谢渊·郑鸥·减伤",nTime=-2,key="谢渊·郑鸥·减伤",},</v>
      </c>
      <c r="Y85" t="str">
        <f>"{nClass=14,nIcon=18830,nFrame=3,szName="""&amp;K85&amp;"·"&amp;""&amp;""&amp;L85&amp;"·退场·易伤30%"",nTime=10,nRefresh=5,key="""&amp;F85&amp;"·"&amp;L85&amp;""&amp;"·减伤"""&amp;",},"</f>
        <v>{nClass=14,nIcon=18830,nFrame=3,szName="恶人·陶国栋·退场·易伤30%",nTime=10,nRefresh=5,key="王遗风·陶国栋·减伤",},</v>
      </c>
      <c r="Z85" t="str">
        <f>"{nClass=14,nIcon=3444,nFrame=7,szName="""&amp;G85&amp;"·"&amp;""&amp;J85&amp;""&amp;"·减伤"""&amp;",nTime="""&amp;"300,"&amp;""&amp;J85&amp;"·"&amp;H85&amp;"·减伤3层;600,"&amp;""&amp;J85&amp;"·"&amp;H85&amp;"·减伤2层;900,"&amp;""&amp;J85&amp;"·"&amp;H85&amp;"·减伤1层;910,"&amp;""&amp;J85&amp;"·"&amp;H85&amp;"·减伤消失"""&amp;",nRefresh=5,key="""&amp;G85&amp;"·"&amp;""&amp;J85&amp;""&amp;"·减伤"""&amp;"},"</f>
        <v>{nClass=14,nIcon=3444,nFrame=7,szName="谢渊·郑鸥·减伤",nTime="300,郑鸥·栖霞幻境·减伤3层;600,郑鸥·栖霞幻境·减伤2层;900,郑鸥·栖霞幻境·减伤1层;910,郑鸥·栖霞幻境·减伤消失",nRefresh=5,key="谢渊·郑鸥·减伤"},</v>
      </c>
    </row>
    <row r="86" customFormat="1" spans="1:28">
      <c r="C86" t="s">
        <v>2193</v>
      </c>
      <c r="D86" t="s">
        <v>2079</v>
      </c>
      <c r="E86" t="str">
        <f t="shared" si="17"/>
        <v>恶人·吕沛杰·七星岩·败退</v>
      </c>
      <c r="F86" t="s">
        <v>2046</v>
      </c>
      <c r="G86" t="s">
        <v>2043</v>
      </c>
      <c r="H86" t="s">
        <v>2192</v>
      </c>
      <c r="I86" t="s">
        <v>2049</v>
      </c>
      <c r="J86" t="s">
        <v>2194</v>
      </c>
      <c r="K86" t="s">
        <v>2047</v>
      </c>
      <c r="L86" t="s">
        <v>2193</v>
      </c>
      <c r="M86" t="s">
        <v>2025</v>
      </c>
      <c r="N86">
        <v>1</v>
      </c>
      <c r="S86">
        <v>1</v>
      </c>
      <c r="V86" t="str">
        <f t="shared" si="15"/>
        <v>{szContent="罢了，青山不改，绿水长流，后会有期！",szTarget="吕沛杰",szNote="恶人·吕沛杰·七星岩·败退",col={255,100,100,},bSearch=true,[14]={bCenterAlarm=true,},tCountdown={{nClass=14,nIcon=13,szName="王遗风·吕沛杰·减伤",nTime=-2,key="王遗风·吕沛杰·减伤",},{nClass=14,nIcon=13,szName="谢渊·陶杰·减伤",nTime=-2,key="谢渊·陶杰·减伤",},{nClass=14,nIcon=18830,nFrame=3,szName="恶人·吕沛杰·退场·易伤30%",nTime=10,nRefresh=5,key="王遗风·吕沛杰·减伤",},{nClass=14,nIcon=3444,nFrame=7,szName="谢渊·陶杰·减伤",nTime="300,陶杰·七星岩·减伤3层;600,陶杰·七星岩·减伤2层;900,陶杰·七星岩·减伤1层;910,陶杰·七星岩·减伤消失",nRefresh=5,key="谢渊·陶杰·减伤"},},},</v>
      </c>
      <c r="W86" t="str">
        <f t="shared" si="18"/>
        <v>{nClass=14,nIcon=13,szName="王遗风·吕沛杰·减伤",nTime=-2,key="王遗风·吕沛杰·减伤",},</v>
      </c>
      <c r="X86" t="str">
        <f t="shared" si="19"/>
        <v>{nClass=14,nIcon=13,szName="谢渊·陶杰·减伤",nTime=-2,key="谢渊·陶杰·减伤",},</v>
      </c>
      <c r="Y86" t="str">
        <f>"{nClass=14,nIcon=18830,nFrame=3,szName="""&amp;K86&amp;"·"&amp;""&amp;""&amp;L86&amp;"·退场·易伤30%"",nTime=10,nRefresh=5,key="""&amp;F86&amp;"·"&amp;L86&amp;""&amp;"·减伤"""&amp;",},"</f>
        <v>{nClass=14,nIcon=18830,nFrame=3,szName="恶人·吕沛杰·退场·易伤30%",nTime=10,nRefresh=5,key="王遗风·吕沛杰·减伤",},</v>
      </c>
      <c r="Z86" t="str">
        <f>"{nClass=14,nIcon=3444,nFrame=7,szName="""&amp;G86&amp;"·"&amp;""&amp;J86&amp;""&amp;"·减伤"""&amp;",nTime="""&amp;"300,"&amp;""&amp;J86&amp;"·"&amp;H86&amp;"·减伤3层;600,"&amp;""&amp;J86&amp;"·"&amp;H86&amp;"·减伤2层;900,"&amp;""&amp;J86&amp;"·"&amp;H86&amp;"·减伤1层;910,"&amp;""&amp;J86&amp;"·"&amp;H86&amp;"·减伤消失"""&amp;",nRefresh=5,key="""&amp;G86&amp;"·"&amp;""&amp;J86&amp;""&amp;"·减伤"""&amp;"},"</f>
        <v>{nClass=14,nIcon=3444,nFrame=7,szName="谢渊·陶杰·减伤",nTime="300,陶杰·七星岩·减伤3层;600,陶杰·七星岩·减伤2层;900,陶杰·七星岩·减伤1层;910,陶杰·七星岩·减伤消失",nRefresh=5,key="谢渊·陶杰·减伤"},</v>
      </c>
    </row>
    <row r="87" customFormat="1" spans="1:28">
      <c r="C87" t="s">
        <v>2197</v>
      </c>
      <c r="D87" t="s">
        <v>2079</v>
      </c>
      <c r="E87" t="str">
        <f t="shared" si="17"/>
        <v>恶人·顾延恶·烟雨居舍·败退</v>
      </c>
      <c r="F87" t="s">
        <v>2046</v>
      </c>
      <c r="G87" t="s">
        <v>2043</v>
      </c>
      <c r="H87" t="s">
        <v>2196</v>
      </c>
      <c r="I87" t="s">
        <v>2049</v>
      </c>
      <c r="J87" t="s">
        <v>2198</v>
      </c>
      <c r="K87" t="s">
        <v>2047</v>
      </c>
      <c r="L87" t="s">
        <v>2197</v>
      </c>
      <c r="M87" t="s">
        <v>2025</v>
      </c>
      <c r="N87">
        <v>1</v>
      </c>
      <c r="S87">
        <v>1</v>
      </c>
      <c r="V87" t="str">
        <f t="shared" si="15"/>
        <v>{szContent="罢了，青山不改，绿水长流，后会有期！",szTarget="顾延恶",szNote="恶人·顾延恶·烟雨居舍·败退",col={255,100,100,},bSearch=true,[14]={bCenterAlarm=true,},tCountdown={{nClass=14,nIcon=13,szName="王遗风·顾延恶·减伤",nTime=-2,key="王遗风·顾延恶·减伤",},{nClass=14,nIcon=13,szName="谢渊·谢烟客·减伤",nTime=-2,key="谢渊·谢烟客·减伤",},{nClass=14,nIcon=18830,nFrame=3,szName="恶人·顾延恶·退场·易伤30%",nTime=10,nRefresh=5,key="王遗风·顾延恶·减伤",},{nClass=14,nIcon=3444,nFrame=7,szName="谢渊·谢烟客·减伤",nTime="300,谢烟客·烟雨居舍·减伤3层;600,谢烟客·烟雨居舍·减伤2层;900,谢烟客·烟雨居舍·减伤1层;910,谢烟客·烟雨居舍·减伤消失",nRefresh=5,key="谢渊·谢烟客·减伤"},},},</v>
      </c>
      <c r="W87" t="str">
        <f t="shared" si="18"/>
        <v>{nClass=14,nIcon=13,szName="王遗风·顾延恶·减伤",nTime=-2,key="王遗风·顾延恶·减伤",},</v>
      </c>
      <c r="X87" t="str">
        <f t="shared" si="19"/>
        <v>{nClass=14,nIcon=13,szName="谢渊·谢烟客·减伤",nTime=-2,key="谢渊·谢烟客·减伤",},</v>
      </c>
      <c r="Y87" t="str">
        <f>"{nClass=14,nIcon=18830,nFrame=3,szName="""&amp;K87&amp;"·"&amp;""&amp;""&amp;L87&amp;"·退场·易伤30%"",nTime=10,nRefresh=5,key="""&amp;F87&amp;"·"&amp;L87&amp;""&amp;"·减伤"""&amp;",},"</f>
        <v>{nClass=14,nIcon=18830,nFrame=3,szName="恶人·顾延恶·退场·易伤30%",nTime=10,nRefresh=5,key="王遗风·顾延恶·减伤",},</v>
      </c>
      <c r="Z87" t="str">
        <f>"{nClass=14,nIcon=3444,nFrame=7,szName="""&amp;G87&amp;"·"&amp;""&amp;J87&amp;""&amp;"·减伤"""&amp;",nTime="""&amp;"300,"&amp;""&amp;J87&amp;"·"&amp;H87&amp;"·减伤3层;600,"&amp;""&amp;J87&amp;"·"&amp;H87&amp;"·减伤2层;900,"&amp;""&amp;J87&amp;"·"&amp;H87&amp;"·减伤1层;910,"&amp;""&amp;J87&amp;"·"&amp;H87&amp;"·减伤消失"""&amp;",nRefresh=5,key="""&amp;G87&amp;"·"&amp;""&amp;J87&amp;""&amp;"·减伤"""&amp;"},"</f>
        <v>{nClass=14,nIcon=3444,nFrame=7,szName="谢渊·谢烟客·减伤",nTime="300,谢烟客·烟雨居舍·减伤3层;600,谢烟客·烟雨居舍·减伤2层;900,谢烟客·烟雨居舍·减伤1层;910,谢烟客·烟雨居舍·减伤消失",nRefresh=5,key="谢渊·谢烟客·减伤"},</v>
      </c>
    </row>
    <row r="88" spans="1:28">
      <c r="A88" t="s">
        <v>328</v>
      </c>
      <c r="B88">
        <v>27</v>
      </c>
      <c r="V88" t="str">
        <f t="shared" si="15"/>
        <v>},[27]={</v>
      </c>
    </row>
    <row r="89" customFormat="1" spans="1:28">
      <c r="C89" t="s">
        <v>2022</v>
      </c>
      <c r="D89" s="8" t="s">
        <v>2168</v>
      </c>
      <c r="E89" t="s">
        <v>2169</v>
      </c>
      <c r="F89"/>
      <c r="G89"/>
      <c r="H89"/>
      <c r="I89"/>
      <c r="J89"/>
      <c r="K89"/>
      <c r="L89"/>
      <c r="M89" t="s">
        <v>2029</v>
      </c>
      <c r="N89"/>
      <c r="V89" t="str">
        <f t="shared" si="15"/>
        <v>{szContent="军情速递！浩气盟物资车已运达，车内装有大量物资，望侠士们前来拾取，切莫错过。",szTarget="%",szNote="浩气盟·物资车·已运达",col={100,100,255,},[14]={},tCountdown={{nClass=14,nIcon=10449,nFrame=4,szName="浩气盟·营地物资·已刷新",nTime="10,浩气盟·营地物资·刷新;300,浩气盟·营地物资·拾取剩余;305,浩气盟·营地物资·已消失",nRefresh=0,key="浩气·物资车·运达",},},},</v>
      </c>
      <c r="W89" t="s">
        <v>2203</v>
      </c>
      <c r="X89"/>
      <c r="Y89"/>
      <c r="Z89"/>
      <c r="AA89" s="7"/>
    </row>
    <row r="90" customFormat="1" spans="1:28">
      <c r="C90" t="s">
        <v>2022</v>
      </c>
      <c r="D90" s="8" t="s">
        <v>2171</v>
      </c>
      <c r="E90" t="s">
        <v>2172</v>
      </c>
      <c r="F90"/>
      <c r="G90"/>
      <c r="H90"/>
      <c r="I90"/>
      <c r="J90"/>
      <c r="K90"/>
      <c r="L90"/>
      <c r="M90" t="s">
        <v>2025</v>
      </c>
      <c r="N90"/>
      <c r="V90" t="str">
        <f t="shared" si="15"/>
        <v>{szContent="军情速递！恶人谷物资车已运达，车内装有大量物资，望侠士们前来拾取，切莫错过。",szTarget="%",szNote="恶人谷·物资车·已运达",col={255,100,100,},[14]={},tCountdown={{nClass=14,nIcon=10450,nFrame=4,szName="恶人谷·内城物资·已刷新",nTime="10,恶人谷·内城物资·刷新;300,恶人谷·内城物资·拾取剩余;305,恶人谷·内城物资·已消失",nRefresh=0,key="恶人·物资车·运达",},},},</v>
      </c>
      <c r="W90" t="s">
        <v>2204</v>
      </c>
      <c r="X90"/>
      <c r="Y90"/>
      <c r="Z90"/>
      <c r="AA90" s="7"/>
    </row>
    <row r="91" customFormat="1" spans="1:28">
      <c r="C91" t="s">
        <v>2022</v>
      </c>
      <c r="D91" s="8" t="s">
        <v>2205</v>
      </c>
      <c r="E91" t="s">
        <v>2175</v>
      </c>
      <c r="F91"/>
      <c r="G91"/>
      <c r="H91"/>
      <c r="I91"/>
      <c r="J91"/>
      <c r="K91"/>
      <c r="L91"/>
      <c r="M91" t="s">
        <v>2029</v>
      </c>
      <c r="N91"/>
      <c r="V91" t="str">
        <f t="shared" si="15"/>
        <v>{szContent="军情速递！恶人谷物资官传来消息，现有一批新物资运至各复活点，望恶人侠士们前来领取，以便增强战斗实力。",szTarget="%",szNote="复活点·物资箱·已刷新",col={100,100,255,},[14]={},tCountdown={{nClass=14,nIcon=13,nFrame=0,szName="进攻方·速战速决·未达成",nTime=10,nRefresh=99999,key="速战速决",},{nClass=14,nIcon=3557,nFrame=6,szName="复活点·物资箱·已经刷新",nTime=10,nRefresh=5,key="复活点·物资箱",},},},</v>
      </c>
      <c r="W91" t="s">
        <v>2176</v>
      </c>
      <c r="X91" t="s">
        <v>2177</v>
      </c>
      <c r="Y91"/>
      <c r="Z91"/>
      <c r="AA91" s="7"/>
    </row>
    <row r="92" customFormat="1" spans="1:28">
      <c r="C92" t="s">
        <v>2043</v>
      </c>
      <c r="D92" t="s">
        <v>2044</v>
      </c>
      <c r="E92" t="s">
        <v>2045</v>
      </c>
      <c r="F92" t="s">
        <v>2043</v>
      </c>
      <c r="G92" t="s">
        <v>2046</v>
      </c>
      <c r="H92" t="s">
        <v>2206</v>
      </c>
      <c r="I92" t="s">
        <v>2047</v>
      </c>
      <c r="J92" t="s">
        <v>2048</v>
      </c>
      <c r="K92" t="s">
        <v>2049</v>
      </c>
      <c r="L92" t="s">
        <v>2050</v>
      </c>
      <c r="M92" t="s">
        <v>2029</v>
      </c>
      <c r="Q92">
        <v>1</v>
      </c>
      <c r="S92">
        <v>1</v>
      </c>
      <c r="V92" t="str">
        <f t="shared" si="15"/>
        <v>{szContent="司空仲平已经尽力，请暂且退回疗伤。",szTarget="谢渊",szNote="浩气·司空仲平·败退",col={100,100,255,},[14]={bTeamChannel=true,bCenterAlarm=true,},tCountdown={{nClass=14,nIcon=13,nFrame=0,szName="恶人·速战速决·达成",nTime=10,nRefresh=99999,key="速战速决",},{nClass=14,nIcon=13,szName="谢渊·司空仲平·减伤",nTime=-2,key="谢渊·司空仲平·减伤",},{nClass=14,nIcon=13,szName="王遗风·肖药儿·减伤",nTime=-2,key="王遗风·肖药儿·减伤",},{nClass=14,nIcon=18829,nFrame=7,szName="浩气·司空仲平·退场·易伤30%",nTime=10,nRefresh=5,key="谢渊·司空仲平·减伤",},{nClass=14,nIcon=2992,nFrame=3,szName="王遗风·肖药儿·减伤",nTime="300,肖药儿·断肠居·减伤3层;600,肖药儿·断肠居·减伤2层;900,肖药儿·断肠居·减伤1层;910,肖药儿·断肠居·减伤消失",nRefresh=5,key="王遗风·肖药儿·减伤",},},},</v>
      </c>
      <c r="W92" t="s">
        <v>2051</v>
      </c>
      <c r="X92" t="str">
        <f t="shared" ref="X92:X101" si="20">"{nClass=14,nIcon=13,szName="""&amp;F92&amp;"·"&amp;L92&amp;"·减伤"&amp;""",nTime=-2,key="""&amp;F92&amp;"·"&amp;L92&amp;"·减伤"&amp;""",},"</f>
        <v>{nClass=14,nIcon=13,szName="谢渊·司空仲平·减伤",nTime=-2,key="谢渊·司空仲平·减伤",},</v>
      </c>
      <c r="Y92" t="str">
        <f t="shared" ref="Y92:Y101" si="21">"{nClass=14,nIcon=13,szName="""&amp;G92&amp;"·"&amp;J92&amp;"·减伤"&amp;""",nTime=-2,key="""&amp;G92&amp;"·"&amp;J92&amp;"·减伤"&amp;""",},"</f>
        <v>{nClass=14,nIcon=13,szName="王遗风·肖药儿·减伤",nTime=-2,key="王遗风·肖药儿·减伤",},</v>
      </c>
      <c r="Z92" t="str">
        <f t="shared" ref="Z92:Z96" si="22">"{nClass=14,nIcon=18829,nFrame=7,szName="""&amp;K92&amp;"·"&amp;L92&amp;"·退场·易伤30%"&amp;""",nTime=10,nRefresh=5,key="""&amp;F92&amp;"·"&amp;L92&amp;"·减伤"&amp;""",},"</f>
        <v>{nClass=14,nIcon=18829,nFrame=7,szName="浩气·司空仲平·退场·易伤30%",nTime=10,nRefresh=5,key="谢渊·司空仲平·减伤",},</v>
      </c>
      <c r="AA92" t="str">
        <f t="shared" ref="AA92:AA96" si="23">"{nClass=14,nIcon=2992,nFrame=3,szName="""&amp;G92&amp;"·"&amp;""&amp;J92&amp;""&amp;"·减伤"""&amp;",nTime="&amp;"""300,"&amp;""&amp;J92&amp;"·"&amp;H92&amp;"·减伤3层;600,"&amp;""&amp;J92&amp;"·"&amp;H92&amp;"·减伤2层;900,"&amp;""&amp;J92&amp;"·"&amp;H92&amp;"·减伤1层;910,"&amp;""&amp;J92&amp;"·"&amp;H92&amp;"·减伤消失"""&amp;",nRefresh=5,key="""&amp;G92&amp;"·"&amp;J92&amp;"·减伤"&amp;""",},"</f>
        <v>{nClass=14,nIcon=2992,nFrame=3,szName="王遗风·肖药儿·减伤",nTime="300,肖药儿·断肠居·减伤3层;600,肖药儿·断肠居·减伤2层;900,肖药儿·断肠居·减伤1层;910,肖药儿·断肠居·减伤消失",nRefresh=5,key="王遗风·肖药儿·减伤",},</v>
      </c>
      <c r="AB92" s="7"/>
    </row>
    <row r="93" customFormat="1" spans="1:28">
      <c r="C93" t="s">
        <v>2043</v>
      </c>
      <c r="D93" t="s">
        <v>2052</v>
      </c>
      <c r="E93" t="s">
        <v>2053</v>
      </c>
      <c r="F93" t="s">
        <v>2043</v>
      </c>
      <c r="G93" t="s">
        <v>2046</v>
      </c>
      <c r="H93" t="s">
        <v>2207</v>
      </c>
      <c r="I93" t="s">
        <v>2047</v>
      </c>
      <c r="J93" t="s">
        <v>2054</v>
      </c>
      <c r="K93" t="s">
        <v>2049</v>
      </c>
      <c r="L93" t="s">
        <v>2055</v>
      </c>
      <c r="M93" t="s">
        <v>2029</v>
      </c>
      <c r="Q93">
        <v>1</v>
      </c>
      <c r="S93">
        <v>1</v>
      </c>
      <c r="V93" t="str">
        <f t="shared" si="15"/>
        <v>{szContent="月弄痕已经尽力，请暂且退回疗伤。",szTarget="谢渊",szNote="浩气·月弄痕·败退",col={100,100,255,},[14]={bTeamChannel=true,bCenterAlarm=true,},tCountdown={{nClass=14,nIcon=13,nFrame=0,szName="恶人·速战速决·达成",nTime=10,nRefresh=99999,key="速战速决",},{nClass=14,nIcon=13,szName="谢渊·月弄痕·减伤",nTime=-2,key="谢渊·月弄痕·减伤",},{nClass=14,nIcon=13,szName="王遗风·万兽王·减伤",nTime=-2,key="王遗风·万兽王·减伤",},{nClass=14,nIcon=18829,nFrame=7,szName="浩气·月弄痕·退场·易伤30%",nTime=10,nRefresh=5,key="谢渊·月弄痕·减伤",},{nClass=14,nIcon=2992,nFrame=3,szName="王遗风·万兽王·减伤",nTime="300,万兽王·烬烟堂·减伤3层;600,万兽王·烬烟堂·减伤2层;900,万兽王·烬烟堂·减伤1层;910,万兽王·烬烟堂·减伤消失",nRefresh=5,key="王遗风·万兽王·减伤",},},},</v>
      </c>
      <c r="W93" t="s">
        <v>2051</v>
      </c>
      <c r="X93" t="str">
        <f t="shared" si="20"/>
        <v>{nClass=14,nIcon=13,szName="谢渊·月弄痕·减伤",nTime=-2,key="谢渊·月弄痕·减伤",},</v>
      </c>
      <c r="Y93" t="str">
        <f t="shared" si="21"/>
        <v>{nClass=14,nIcon=13,szName="王遗风·万兽王·减伤",nTime=-2,key="王遗风·万兽王·减伤",},</v>
      </c>
      <c r="Z93" t="str">
        <f t="shared" si="22"/>
        <v>{nClass=14,nIcon=18829,nFrame=7,szName="浩气·月弄痕·退场·易伤30%",nTime=10,nRefresh=5,key="谢渊·月弄痕·减伤",},</v>
      </c>
      <c r="AA93" t="str">
        <f t="shared" si="23"/>
        <v>{nClass=14,nIcon=2992,nFrame=3,szName="王遗风·万兽王·减伤",nTime="300,万兽王·烬烟堂·减伤3层;600,万兽王·烬烟堂·减伤2层;900,万兽王·烬烟堂·减伤1层;910,万兽王·烬烟堂·减伤消失",nRefresh=5,key="王遗风·万兽王·减伤",},</v>
      </c>
      <c r="AB93" s="7"/>
    </row>
    <row r="94" customFormat="1" spans="1:28">
      <c r="C94" t="s">
        <v>2043</v>
      </c>
      <c r="D94" t="s">
        <v>2056</v>
      </c>
      <c r="E94" t="s">
        <v>2057</v>
      </c>
      <c r="F94" t="s">
        <v>2043</v>
      </c>
      <c r="G94" t="s">
        <v>2046</v>
      </c>
      <c r="H94" t="s">
        <v>2208</v>
      </c>
      <c r="I94" t="s">
        <v>2047</v>
      </c>
      <c r="J94" t="s">
        <v>2058</v>
      </c>
      <c r="K94" t="s">
        <v>2049</v>
      </c>
      <c r="L94" t="s">
        <v>2059</v>
      </c>
      <c r="M94" t="s">
        <v>2029</v>
      </c>
      <c r="Q94">
        <v>1</v>
      </c>
      <c r="S94">
        <v>1</v>
      </c>
      <c r="V94" t="str">
        <f t="shared" si="15"/>
        <v>{szContent="张桎辕已经尽力，请暂且退回疗伤。",szTarget="谢渊",szNote="浩气·张桎辕·败退",col={100,100,255,},[14]={bTeamChannel=true,bCenterAlarm=true,},tCountdown={{nClass=14,nIcon=13,nFrame=0,szName="恶人·速战速决·达成",nTime=10,nRefresh=99999,key="速战速决",},{nClass=14,nIcon=13,szName="谢渊·张桎辕·减伤",nTime=-2,key="谢渊·张桎辕·减伤",},{nClass=14,nIcon=13,szName="王遗风·陶寒亭·减伤",nTime=-2,key="王遗风·陶寒亭·减伤",},{nClass=14,nIcon=18829,nFrame=7,szName="浩气·张桎辕·退场·易伤30%",nTime=10,nRefresh=5,key="谢渊·张桎辕·减伤",},{nClass=14,nIcon=2992,nFrame=3,szName="王遗风·陶寒亭·减伤",nTime="300,陶寒亭·雪魔堂·减伤3层;600,陶寒亭·雪魔堂·减伤2层;900,陶寒亭·雪魔堂·减伤1层;910,陶寒亭·雪魔堂·减伤消失",nRefresh=5,key="王遗风·陶寒亭·减伤",},},},</v>
      </c>
      <c r="W94" t="s">
        <v>2051</v>
      </c>
      <c r="X94" t="str">
        <f t="shared" si="20"/>
        <v>{nClass=14,nIcon=13,szName="谢渊·张桎辕·减伤",nTime=-2,key="谢渊·张桎辕·减伤",},</v>
      </c>
      <c r="Y94" t="str">
        <f t="shared" si="21"/>
        <v>{nClass=14,nIcon=13,szName="王遗风·陶寒亭·减伤",nTime=-2,key="王遗风·陶寒亭·减伤",},</v>
      </c>
      <c r="Z94" t="str">
        <f t="shared" si="22"/>
        <v>{nClass=14,nIcon=18829,nFrame=7,szName="浩气·张桎辕·退场·易伤30%",nTime=10,nRefresh=5,key="谢渊·张桎辕·减伤",},</v>
      </c>
      <c r="AA94" t="str">
        <f t="shared" si="23"/>
        <v>{nClass=14,nIcon=2992,nFrame=3,szName="王遗风·陶寒亭·减伤",nTime="300,陶寒亭·雪魔堂·减伤3层;600,陶寒亭·雪魔堂·减伤2层;900,陶寒亭·雪魔堂·减伤1层;910,陶寒亭·雪魔堂·减伤消失",nRefresh=5,key="王遗风·陶寒亭·减伤",},</v>
      </c>
      <c r="AB94" s="7"/>
    </row>
    <row r="95" customFormat="1" spans="1:28">
      <c r="C95" t="s">
        <v>2043</v>
      </c>
      <c r="D95" t="s">
        <v>2060</v>
      </c>
      <c r="E95" t="s">
        <v>2061</v>
      </c>
      <c r="F95" t="s">
        <v>2043</v>
      </c>
      <c r="G95" t="s">
        <v>2046</v>
      </c>
      <c r="H95" t="s">
        <v>2209</v>
      </c>
      <c r="I95" t="s">
        <v>2047</v>
      </c>
      <c r="J95" t="s">
        <v>2062</v>
      </c>
      <c r="K95" t="s">
        <v>2049</v>
      </c>
      <c r="L95" t="s">
        <v>2063</v>
      </c>
      <c r="M95" t="s">
        <v>2029</v>
      </c>
      <c r="Q95">
        <v>1</v>
      </c>
      <c r="S95">
        <v>1</v>
      </c>
      <c r="V95" t="str">
        <f t="shared" si="15"/>
        <v>{szContent="游驹已经尽力，请暂且退回疗伤。",szTarget="谢渊",szNote="浩气·游驹·败退",col={100,100,255,},[14]={bTeamChannel=true,bCenterAlarm=true,},tCountdown={{nClass=14,nIcon=13,nFrame=0,szName="恶人·速战速决·达成",nTime=10,nRefresh=99999,key="速战速决",},{nClass=14,nIcon=13,szName="谢渊·游驹·减伤",nTime=-2,key="谢渊·游驹·减伤",},{nClass=14,nIcon=13,szName="王遗风·莫雨·减伤",nTime=-2,key="王遗风·莫雨·减伤",},{nClass=14,nIcon=18829,nFrame=7,szName="浩气·游驹·退场·易伤30%",nTime=10,nRefresh=5,key="谢渊·游驹·减伤",},{nClass=14,nIcon=2992,nFrame=3,szName="王遗风·莫雨·减伤",nTime="300,莫雨·小少林·减伤3层;600,莫雨·小少林·减伤2层;900,莫雨·小少林·减伤1层;910,莫雨·小少林·减伤消失",nRefresh=5,key="王遗风·莫雨·减伤",},},},</v>
      </c>
      <c r="W95" t="s">
        <v>2051</v>
      </c>
      <c r="X95" t="str">
        <f t="shared" si="20"/>
        <v>{nClass=14,nIcon=13,szName="谢渊·游驹·减伤",nTime=-2,key="谢渊·游驹·减伤",},</v>
      </c>
      <c r="Y95" t="str">
        <f t="shared" si="21"/>
        <v>{nClass=14,nIcon=13,szName="王遗风·莫雨·减伤",nTime=-2,key="王遗风·莫雨·减伤",},</v>
      </c>
      <c r="Z95" t="str">
        <f t="shared" si="22"/>
        <v>{nClass=14,nIcon=18829,nFrame=7,szName="浩气·游驹·退场·易伤30%",nTime=10,nRefresh=5,key="谢渊·游驹·减伤",},</v>
      </c>
      <c r="AA95" t="str">
        <f t="shared" si="23"/>
        <v>{nClass=14,nIcon=2992,nFrame=3,szName="王遗风·莫雨·减伤",nTime="300,莫雨·小少林·减伤3层;600,莫雨·小少林·减伤2层;900,莫雨·小少林·减伤1层;910,莫雨·小少林·减伤消失",nRefresh=5,key="王遗风·莫雨·减伤",},</v>
      </c>
      <c r="AB95" s="7"/>
    </row>
    <row r="96" s="7" customFormat="1" spans="1:28">
      <c r="A96"/>
      <c r="B96"/>
      <c r="C96" t="s">
        <v>2043</v>
      </c>
      <c r="D96" s="7" t="s">
        <v>2064</v>
      </c>
      <c r="E96" t="s">
        <v>2065</v>
      </c>
      <c r="F96" t="s">
        <v>2043</v>
      </c>
      <c r="G96" t="s">
        <v>2046</v>
      </c>
      <c r="H96" t="s">
        <v>2210</v>
      </c>
      <c r="I96" t="s">
        <v>2047</v>
      </c>
      <c r="J96" t="s">
        <v>2066</v>
      </c>
      <c r="K96" t="s">
        <v>2049</v>
      </c>
      <c r="L96" t="s">
        <v>2067</v>
      </c>
      <c r="M96" t="s">
        <v>2029</v>
      </c>
      <c r="N96"/>
      <c r="O96"/>
      <c r="P96"/>
      <c r="Q96">
        <v>1</v>
      </c>
      <c r="R96"/>
      <c r="S96">
        <v>1</v>
      </c>
      <c r="T96"/>
      <c r="U96"/>
      <c r="V96" t="str">
        <f t="shared" si="15"/>
        <v>{szContent="穆玄英已经尽力，请暂且退回疗伤。",szTarget="谢渊",szNote="浩气·穆玄英·败退",col={100,100,255,},[14]={bTeamChannel=true,bCenterAlarm=true,},tCountdown={{nClass=14,nIcon=13,nFrame=0,szName="恶人·速战速决·达成",nTime=10,nRefresh=99999,key="速战速决",},{nClass=14,nIcon=13,szName="谢渊·穆玄英·减伤",nTime=-2,key="谢渊·穆玄英·减伤",},{nClass=14,nIcon=13,szName="王遗风·米丽古丽·减伤",nTime=-2,key="王遗风·米丽古丽·减伤",},{nClass=14,nIcon=18829,nFrame=7,szName="浩气·穆玄英·退场·易伤30%",nTime=10,nRefresh=5,key="谢渊·穆玄英·减伤",},{nClass=14,nIcon=2992,nFrame=3,szName="王遗风·米丽古丽·减伤",nTime="300,米丽古丽·酒池峡·减伤3层;600,米丽古丽·酒池峡·减伤2层;900,米丽古丽·酒池峡·减伤1层;910,米丽古丽·酒池峡·减伤消失",nRefresh=5,key="王遗风·米丽古丽·减伤",},},},</v>
      </c>
      <c r="W96" t="s">
        <v>2051</v>
      </c>
      <c r="X96" t="str">
        <f t="shared" si="20"/>
        <v>{nClass=14,nIcon=13,szName="谢渊·穆玄英·减伤",nTime=-2,key="谢渊·穆玄英·减伤",},</v>
      </c>
      <c r="Y96" t="str">
        <f t="shared" si="21"/>
        <v>{nClass=14,nIcon=13,szName="王遗风·米丽古丽·减伤",nTime=-2,key="王遗风·米丽古丽·减伤",},</v>
      </c>
      <c r="Z96" t="str">
        <f t="shared" si="22"/>
        <v>{nClass=14,nIcon=18829,nFrame=7,szName="浩气·穆玄英·退场·易伤30%",nTime=10,nRefresh=5,key="谢渊·穆玄英·减伤",},</v>
      </c>
      <c r="AA96" t="str">
        <f t="shared" si="23"/>
        <v>{nClass=14,nIcon=2992,nFrame=3,szName="王遗风·米丽古丽·减伤",nTime="300,米丽古丽·酒池峡·减伤3层;600,米丽古丽·酒池峡·减伤2层;900,米丽古丽·酒池峡·减伤1层;910,米丽古丽·酒池峡·减伤消失",nRefresh=5,key="王遗风·米丽古丽·减伤",},</v>
      </c>
    </row>
    <row r="97" s="7" customFormat="1" spans="1:27">
      <c r="A97"/>
      <c r="B97"/>
      <c r="C97" t="s">
        <v>2046</v>
      </c>
      <c r="D97" t="s">
        <v>2068</v>
      </c>
      <c r="E97" t="s">
        <v>2069</v>
      </c>
      <c r="F97" t="s">
        <v>2046</v>
      </c>
      <c r="G97" t="s">
        <v>2043</v>
      </c>
      <c r="H97" t="s">
        <v>2206</v>
      </c>
      <c r="I97" t="s">
        <v>2049</v>
      </c>
      <c r="J97" t="s">
        <v>2050</v>
      </c>
      <c r="K97" t="s">
        <v>2047</v>
      </c>
      <c r="L97" t="s">
        <v>2048</v>
      </c>
      <c r="M97" t="s">
        <v>2025</v>
      </c>
      <c r="N97"/>
      <c r="O97"/>
      <c r="P97"/>
      <c r="Q97">
        <v>1</v>
      </c>
      <c r="R97"/>
      <c r="S97">
        <v>1</v>
      </c>
      <c r="T97"/>
      <c r="U97"/>
      <c r="V97" t="str">
        <f t="shared" si="15"/>
        <v>{szContent="肖药儿已经尽力，请暂且退回疗伤。",szTarget="王遗风",szNote="恶人·肖药儿·败退",col={255,100,100,},[14]={bTeamChannel=true,bCenterAlarm=true,},tCountdown={{nClass=14,nIcon=13,nFrame=0,szName="浩气·速战速决·达成",nTime=10,nRefresh=99999,key="速战速决",},{nClass=14,nIcon=13,szName="王遗风·肖药儿·减伤",nTime=-2,key="王遗风·肖药儿·减伤",},{nClass=14,nIcon=13,szName="谢渊·司空仲平·减伤",nTime=-2,key="谢渊·司空仲平·减伤",},{nClass=14,nIcon=18830,nFrame=3,szName="恶人·肖药儿·退场·易伤30%",nTime=10,nRefresh=5,key="王遗风·肖药儿·减伤",},{nClass=14,nIcon=2939,nFrame=7,szName="谢渊·司空仲平·减伤",nTime="300,司空仲平·断肠居·减伤3层;600,司空仲平·断肠居·减伤2层;900,司空仲平·断肠居·减伤1层;910,司空仲平·断肠居·减伤消失",nRefresh=5,key="谢渊·司空仲平·减伤",},},},</v>
      </c>
      <c r="W97" t="s">
        <v>2070</v>
      </c>
      <c r="X97" t="str">
        <f t="shared" si="20"/>
        <v>{nClass=14,nIcon=13,szName="王遗风·肖药儿·减伤",nTime=-2,key="王遗风·肖药儿·减伤",},</v>
      </c>
      <c r="Y97" t="str">
        <f t="shared" si="21"/>
        <v>{nClass=14,nIcon=13,szName="谢渊·司空仲平·减伤",nTime=-2,key="谢渊·司空仲平·减伤",},</v>
      </c>
      <c r="Z97" t="str">
        <f t="shared" ref="Z97:Z101" si="24">"{nClass=14,nIcon=18830,nFrame=3,szName="""&amp;K97&amp;"·"&amp;L97&amp;"·退场·易伤30%"&amp;""",nTime=10,nRefresh=5,key="""&amp;F97&amp;"·"&amp;L97&amp;"·减伤"&amp;""",},"</f>
        <v>{nClass=14,nIcon=18830,nFrame=3,szName="恶人·肖药儿·退场·易伤30%",nTime=10,nRefresh=5,key="王遗风·肖药儿·减伤",},</v>
      </c>
      <c r="AA97" t="str">
        <f t="shared" ref="AA97:AA101" si="25">"{nClass=14,nIcon=2939,nFrame=7,szName="""&amp;G97&amp;"·"&amp;""&amp;J97&amp;""&amp;"·减伤"""&amp;",nTime="&amp;"""300,"&amp;""&amp;J97&amp;"·"&amp;H97&amp;"·减伤3层;600,"&amp;""&amp;J97&amp;"·"&amp;H97&amp;"·减伤2层;900,"&amp;""&amp;J97&amp;"·"&amp;H97&amp;"·减伤1层;910,"&amp;""&amp;J97&amp;"·"&amp;H97&amp;"·减伤消失"""&amp;",nRefresh=5,key="""&amp;G97&amp;"·"&amp;J97&amp;"·减伤"&amp;""",},"</f>
        <v>{nClass=14,nIcon=2939,nFrame=7,szName="谢渊·司空仲平·减伤",nTime="300,司空仲平·断肠居·减伤3层;600,司空仲平·断肠居·减伤2层;900,司空仲平·断肠居·减伤1层;910,司空仲平·断肠居·减伤消失",nRefresh=5,key="谢渊·司空仲平·减伤",},</v>
      </c>
    </row>
    <row r="98" s="7" customFormat="1" spans="1:27">
      <c r="A98"/>
      <c r="B98"/>
      <c r="C98" t="s">
        <v>2046</v>
      </c>
      <c r="D98" s="7" t="s">
        <v>2071</v>
      </c>
      <c r="E98" t="s">
        <v>2072</v>
      </c>
      <c r="F98" t="s">
        <v>2046</v>
      </c>
      <c r="G98" t="s">
        <v>2043</v>
      </c>
      <c r="H98" t="s">
        <v>2207</v>
      </c>
      <c r="I98" t="s">
        <v>2049</v>
      </c>
      <c r="J98" t="s">
        <v>2055</v>
      </c>
      <c r="K98" t="s">
        <v>2047</v>
      </c>
      <c r="L98" t="s">
        <v>2054</v>
      </c>
      <c r="M98" t="s">
        <v>2025</v>
      </c>
      <c r="N98"/>
      <c r="O98"/>
      <c r="P98"/>
      <c r="Q98">
        <v>1</v>
      </c>
      <c r="R98"/>
      <c r="S98">
        <v>1</v>
      </c>
      <c r="T98"/>
      <c r="U98"/>
      <c r="V98" t="str">
        <f t="shared" si="15"/>
        <v>{szContent="万兽王已经尽力，请暂且退回疗伤。",szTarget="王遗风",szNote="恶人·万兽王·败退",col={255,100,100,},[14]={bTeamChannel=true,bCenterAlarm=true,},tCountdown={{nClass=14,nIcon=13,nFrame=0,szName="浩气·速战速决·达成",nTime=10,nRefresh=99999,key="速战速决",},{nClass=14,nIcon=13,szName="王遗风·万兽王·减伤",nTime=-2,key="王遗风·万兽王·减伤",},{nClass=14,nIcon=13,szName="谢渊·月弄痕·减伤",nTime=-2,key="谢渊·月弄痕·减伤",},{nClass=14,nIcon=18830,nFrame=3,szName="恶人·万兽王·退场·易伤30%",nTime=10,nRefresh=5,key="王遗风·万兽王·减伤",},{nClass=14,nIcon=2939,nFrame=7,szName="谢渊·月弄痕·减伤",nTime="300,月弄痕·烬烟堂·减伤3层;600,月弄痕·烬烟堂·减伤2层;900,月弄痕·烬烟堂·减伤1层;910,月弄痕·烬烟堂·减伤消失",nRefresh=5,key="谢渊·月弄痕·减伤",},},},</v>
      </c>
      <c r="W98" t="s">
        <v>2070</v>
      </c>
      <c r="X98" t="str">
        <f t="shared" si="20"/>
        <v>{nClass=14,nIcon=13,szName="王遗风·万兽王·减伤",nTime=-2,key="王遗风·万兽王·减伤",},</v>
      </c>
      <c r="Y98" t="str">
        <f t="shared" si="21"/>
        <v>{nClass=14,nIcon=13,szName="谢渊·月弄痕·减伤",nTime=-2,key="谢渊·月弄痕·减伤",},</v>
      </c>
      <c r="Z98" t="str">
        <f t="shared" si="24"/>
        <v>{nClass=14,nIcon=18830,nFrame=3,szName="恶人·万兽王·退场·易伤30%",nTime=10,nRefresh=5,key="王遗风·万兽王·减伤",},</v>
      </c>
      <c r="AA98" t="str">
        <f t="shared" si="25"/>
        <v>{nClass=14,nIcon=2939,nFrame=7,szName="谢渊·月弄痕·减伤",nTime="300,月弄痕·烬烟堂·减伤3层;600,月弄痕·烬烟堂·减伤2层;900,月弄痕·烬烟堂·减伤1层;910,月弄痕·烬烟堂·减伤消失",nRefresh=5,key="谢渊·月弄痕·减伤",},</v>
      </c>
    </row>
    <row r="99" s="7" customFormat="1" spans="1:27">
      <c r="A99"/>
      <c r="B99"/>
      <c r="C99" t="s">
        <v>2046</v>
      </c>
      <c r="D99" t="s">
        <v>2073</v>
      </c>
      <c r="E99" t="s">
        <v>2074</v>
      </c>
      <c r="F99" t="s">
        <v>2046</v>
      </c>
      <c r="G99" t="s">
        <v>2043</v>
      </c>
      <c r="H99" t="s">
        <v>2208</v>
      </c>
      <c r="I99" t="s">
        <v>2049</v>
      </c>
      <c r="J99" t="s">
        <v>2059</v>
      </c>
      <c r="K99" t="s">
        <v>2047</v>
      </c>
      <c r="L99" t="s">
        <v>2058</v>
      </c>
      <c r="M99" t="s">
        <v>2025</v>
      </c>
      <c r="N99"/>
      <c r="O99"/>
      <c r="P99"/>
      <c r="Q99">
        <v>1</v>
      </c>
      <c r="R99"/>
      <c r="S99">
        <v>1</v>
      </c>
      <c r="T99"/>
      <c r="U99"/>
      <c r="V99" t="str">
        <f t="shared" ref="V99:V130" si="26">IF(ISBLANK(B99)=FALSE,IF(ISBLANK(B98),"},["&amp;B99&amp;"]={","["&amp;B99&amp;"]={"),IF(AND(ISBLANK(B99),ISBLANK(D99),ISBLANK(N99),ISBLANK(O99),OR(ISBLANK(B98)=FALSE,ISBLANK(D98)=FALSE,ISBLANK(N98)=FALSE,ISBLANK(O98)=FALSE)),"},},}",IF(ISBLANK(D99),"","{szContent="""&amp;D99&amp;""","&amp;IF(C99&lt;&gt;"","szTarget="""&amp;C99&amp;""",","")&amp;IF(E99&lt;&gt;"","szNote="""&amp;E99&amp;""",","")&amp;IF(M99&lt;&gt;"","col={"&amp;M99&amp;"},","")&amp;IF(N99&gt;0,"bSearch=true,","")&amp;IF(O99&gt;0,"bReg=true,","")&amp;"[14]={"&amp;IF(P99&gt;0,"szVoice="""&amp;P99&amp;""",","")&amp;IF(Q99&gt;0,"bTeamChannel=true,","")&amp;IF(R99&gt;0,"bWhisperChannel=true,","")&amp;IF(S99&gt;0,"bCenterAlarm=true,","")&amp;IF(T99&gt;0,"bScreenHead=true,","")&amp;IF(U99&gt;0,"bFullScreen=true,","")&amp;"},"&amp;IF(W99&lt;&gt;"","tCountdown={"&amp;_xlfn.TEXTJOIN("",TRUE,W99:AAH99)&amp;"},","")&amp;"},")))</f>
        <v>{szContent="陶寒亭已经尽力，请暂且退回疗伤。",szTarget="王遗风",szNote="恶人·陶寒亭·败退",col={255,100,100,},[14]={bTeamChannel=true,bCenterAlarm=true,},tCountdown={{nClass=14,nIcon=13,nFrame=0,szName="浩气·速战速决·达成",nTime=10,nRefresh=99999,key="速战速决",},{nClass=14,nIcon=13,szName="王遗风·陶寒亭·减伤",nTime=-2,key="王遗风·陶寒亭·减伤",},{nClass=14,nIcon=13,szName="谢渊·张桎辕·减伤",nTime=-2,key="谢渊·张桎辕·减伤",},{nClass=14,nIcon=18830,nFrame=3,szName="恶人·陶寒亭·退场·易伤30%",nTime=10,nRefresh=5,key="王遗风·陶寒亭·减伤",},{nClass=14,nIcon=2939,nFrame=7,szName="谢渊·张桎辕·减伤",nTime="300,张桎辕·雪魔堂·减伤3层;600,张桎辕·雪魔堂·减伤2层;900,张桎辕·雪魔堂·减伤1层;910,张桎辕·雪魔堂·减伤消失",nRefresh=5,key="谢渊·张桎辕·减伤",},},},</v>
      </c>
      <c r="W99" t="s">
        <v>2070</v>
      </c>
      <c r="X99" t="str">
        <f t="shared" si="20"/>
        <v>{nClass=14,nIcon=13,szName="王遗风·陶寒亭·减伤",nTime=-2,key="王遗风·陶寒亭·减伤",},</v>
      </c>
      <c r="Y99" t="str">
        <f t="shared" si="21"/>
        <v>{nClass=14,nIcon=13,szName="谢渊·张桎辕·减伤",nTime=-2,key="谢渊·张桎辕·减伤",},</v>
      </c>
      <c r="Z99" t="str">
        <f t="shared" si="24"/>
        <v>{nClass=14,nIcon=18830,nFrame=3,szName="恶人·陶寒亭·退场·易伤30%",nTime=10,nRefresh=5,key="王遗风·陶寒亭·减伤",},</v>
      </c>
      <c r="AA99" t="str">
        <f t="shared" si="25"/>
        <v>{nClass=14,nIcon=2939,nFrame=7,szName="谢渊·张桎辕·减伤",nTime="300,张桎辕·雪魔堂·减伤3层;600,张桎辕·雪魔堂·减伤2层;900,张桎辕·雪魔堂·减伤1层;910,张桎辕·雪魔堂·减伤消失",nRefresh=5,key="谢渊·张桎辕·减伤",},</v>
      </c>
    </row>
    <row r="100" s="7" customFormat="1" spans="1:27">
      <c r="A100"/>
      <c r="B100"/>
      <c r="C100" t="s">
        <v>2046</v>
      </c>
      <c r="D100" s="7" t="s">
        <v>2075</v>
      </c>
      <c r="E100" t="s">
        <v>2076</v>
      </c>
      <c r="F100" t="s">
        <v>2046</v>
      </c>
      <c r="G100" t="s">
        <v>2043</v>
      </c>
      <c r="H100" t="s">
        <v>2209</v>
      </c>
      <c r="I100" t="s">
        <v>2049</v>
      </c>
      <c r="J100" t="s">
        <v>2063</v>
      </c>
      <c r="K100" t="s">
        <v>2047</v>
      </c>
      <c r="L100" t="s">
        <v>2062</v>
      </c>
      <c r="M100" t="s">
        <v>2025</v>
      </c>
      <c r="N100"/>
      <c r="O100"/>
      <c r="P100"/>
      <c r="Q100">
        <v>1</v>
      </c>
      <c r="R100"/>
      <c r="S100">
        <v>1</v>
      </c>
      <c r="T100"/>
      <c r="U100"/>
      <c r="V100" t="str">
        <f t="shared" si="26"/>
        <v>{szContent="莫雨已经尽力，请暂且退回疗伤。",szTarget="王遗风",szNote="恶人·莫雨·败退",col={255,100,100,},[14]={bTeamChannel=true,bCenterAlarm=true,},tCountdown={{nClass=14,nIcon=13,nFrame=0,szName="浩气·速战速决·达成",nTime=10,nRefresh=99999,key="速战速决",},{nClass=14,nIcon=13,szName="王遗风·莫雨·减伤",nTime=-2,key="王遗风·莫雨·减伤",},{nClass=14,nIcon=13,szName="谢渊·游驹·减伤",nTime=-2,key="谢渊·游驹·减伤",},{nClass=14,nIcon=18830,nFrame=3,szName="恶人·莫雨·退场·易伤30%",nTime=10,nRefresh=5,key="王遗风·莫雨·减伤",},{nClass=14,nIcon=2939,nFrame=7,szName="谢渊·游驹·减伤",nTime="300,游驹·小少林·减伤3层;600,游驹·小少林·减伤2层;900,游驹·小少林·减伤1层;910,游驹·小少林·减伤消失",nRefresh=5,key="谢渊·游驹·减伤",},},},</v>
      </c>
      <c r="W100" t="s">
        <v>2070</v>
      </c>
      <c r="X100" t="str">
        <f t="shared" si="20"/>
        <v>{nClass=14,nIcon=13,szName="王遗风·莫雨·减伤",nTime=-2,key="王遗风·莫雨·减伤",},</v>
      </c>
      <c r="Y100" t="str">
        <f t="shared" si="21"/>
        <v>{nClass=14,nIcon=13,szName="谢渊·游驹·减伤",nTime=-2,key="谢渊·游驹·减伤",},</v>
      </c>
      <c r="Z100" t="str">
        <f t="shared" si="24"/>
        <v>{nClass=14,nIcon=18830,nFrame=3,szName="恶人·莫雨·退场·易伤30%",nTime=10,nRefresh=5,key="王遗风·莫雨·减伤",},</v>
      </c>
      <c r="AA100" t="str">
        <f t="shared" si="25"/>
        <v>{nClass=14,nIcon=2939,nFrame=7,szName="谢渊·游驹·减伤",nTime="300,游驹·小少林·减伤3层;600,游驹·小少林·减伤2层;900,游驹·小少林·减伤1层;910,游驹·小少林·减伤消失",nRefresh=5,key="谢渊·游驹·减伤",},</v>
      </c>
    </row>
    <row r="101" s="7" customFormat="1" spans="1:27">
      <c r="A101"/>
      <c r="B101"/>
      <c r="C101" t="s">
        <v>2046</v>
      </c>
      <c r="D101" t="s">
        <v>2077</v>
      </c>
      <c r="E101" t="s">
        <v>2078</v>
      </c>
      <c r="F101" t="s">
        <v>2046</v>
      </c>
      <c r="G101" t="s">
        <v>2043</v>
      </c>
      <c r="H101" t="s">
        <v>2210</v>
      </c>
      <c r="I101" t="s">
        <v>2049</v>
      </c>
      <c r="J101" t="s">
        <v>2067</v>
      </c>
      <c r="K101" t="s">
        <v>2047</v>
      </c>
      <c r="L101" t="s">
        <v>2066</v>
      </c>
      <c r="M101" t="s">
        <v>2025</v>
      </c>
      <c r="N101"/>
      <c r="O101"/>
      <c r="P101"/>
      <c r="Q101">
        <v>1</v>
      </c>
      <c r="R101"/>
      <c r="S101">
        <v>1</v>
      </c>
      <c r="T101"/>
      <c r="U101"/>
      <c r="V101" t="str">
        <f t="shared" si="26"/>
        <v>{szContent="米丽古丽已经尽力，请暂且退回疗伤。",szTarget="王遗风",szNote="恶人·米丽古丽·败退",col={255,100,100,},[14]={bTeamChannel=true,bCenterAlarm=true,},tCountdown={{nClass=14,nIcon=13,nFrame=0,szName="浩气·速战速决·达成",nTime=10,nRefresh=99999,key="速战速决",},{nClass=14,nIcon=13,szName="王遗风·米丽古丽·减伤",nTime=-2,key="王遗风·米丽古丽·减伤",},{nClass=14,nIcon=13,szName="谢渊·穆玄英·减伤",nTime=-2,key="谢渊·穆玄英·减伤",},{nClass=14,nIcon=18830,nFrame=3,szName="恶人·米丽古丽·退场·易伤30%",nTime=10,nRefresh=5,key="王遗风·米丽古丽·减伤",},{nClass=14,nIcon=2939,nFrame=7,szName="谢渊·穆玄英·减伤",nTime="300,穆玄英·酒池峡·减伤3层;600,穆玄英·酒池峡·减伤2层;900,穆玄英·酒池峡·减伤1层;910,穆玄英·酒池峡·减伤消失",nRefresh=5,key="谢渊·穆玄英·减伤",},},},</v>
      </c>
      <c r="W101" t="s">
        <v>2070</v>
      </c>
      <c r="X101" t="str">
        <f t="shared" si="20"/>
        <v>{nClass=14,nIcon=13,szName="王遗风·米丽古丽·减伤",nTime=-2,key="王遗风·米丽古丽·减伤",},</v>
      </c>
      <c r="Y101" t="str">
        <f t="shared" si="21"/>
        <v>{nClass=14,nIcon=13,szName="谢渊·穆玄英·减伤",nTime=-2,key="谢渊·穆玄英·减伤",},</v>
      </c>
      <c r="Z101" t="str">
        <f t="shared" si="24"/>
        <v>{nClass=14,nIcon=18830,nFrame=3,szName="恶人·米丽古丽·退场·易伤30%",nTime=10,nRefresh=5,key="王遗风·米丽古丽·减伤",},</v>
      </c>
      <c r="AA101" t="str">
        <f t="shared" si="25"/>
        <v>{nClass=14,nIcon=2939,nFrame=7,szName="谢渊·穆玄英·减伤",nTime="300,穆玄英·酒池峡·减伤3层;600,穆玄英·酒池峡·减伤2层;900,穆玄英·酒池峡·减伤1层;910,穆玄英·酒池峡·减伤消失",nRefresh=5,key="谢渊·穆玄英·减伤",},</v>
      </c>
    </row>
    <row r="102" customFormat="1" spans="1:27">
      <c r="C102" t="s">
        <v>2043</v>
      </c>
      <c r="D102" t="s">
        <v>2183</v>
      </c>
      <c r="E102" t="str">
        <f t="shared" ref="E102:E117" si="27">K102&amp;"·"&amp;L102&amp;"·"&amp;H102&amp;"·"&amp;"败退"</f>
        <v>浩气·周峰·丐王坡·败退</v>
      </c>
      <c r="F102" t="s">
        <v>2043</v>
      </c>
      <c r="G102" t="s">
        <v>2046</v>
      </c>
      <c r="H102" t="s">
        <v>2211</v>
      </c>
      <c r="I102" t="s">
        <v>2047</v>
      </c>
      <c r="J102" t="s">
        <v>2185</v>
      </c>
      <c r="K102" t="s">
        <v>2049</v>
      </c>
      <c r="L102" t="s">
        <v>2186</v>
      </c>
      <c r="M102" t="s">
        <v>2029</v>
      </c>
      <c r="N102"/>
      <c r="Q102">
        <v>1</v>
      </c>
      <c r="S102">
        <v>1</v>
      </c>
      <c r="V102" t="str">
        <f t="shared" si="26"/>
        <v>{szContent="周峰已经尽力，请暂且退回疗伤。",szTarget="谢渊",szNote="浩气·周峰·丐王坡·败退",col={100,100,255,},[14]={bTeamChannel=true,bCenterAlarm=true,},tCountdown={{nClass=14,nIcon=13,szName="谢渊·周峰·减伤",nTime=-2,key="谢渊·周峰·减伤",},{nClass=14,nIcon=13,szName="王遗风·张一洋·减伤",nTime=-2,key="王遗风·张一洋·减伤",},{nClass=14,nIcon=18829,nFrame=7,szName="浩气·周峰·退场·易伤30%",nTime=10,nRefresh=5,key="谢渊·周峰·减伤",},{nClass=14,nIcon=3445,nFrame=3,szName="王遗风·张一洋·减伤",nTime="300,张一洋·丐王坡·减伤3层;600,张一洋·丐王坡·减伤2层;900,张一洋·丐王坡·减伤1层;910,张一洋·丐王坡·减伤消失",nRefresh=5,key="王遗风·张一洋·减伤"},},},</v>
      </c>
      <c r="W102" t="str">
        <f t="shared" ref="W102:W117" si="28">"{nClass=14,nIcon=13,szName="""&amp;F102&amp;"·"&amp;L102&amp;"·减伤"""&amp;",nTime=-2,key="""&amp;F102&amp;"·"&amp;L102&amp;"·减伤"""&amp;",},"</f>
        <v>{nClass=14,nIcon=13,szName="谢渊·周峰·减伤",nTime=-2,key="谢渊·周峰·减伤",},</v>
      </c>
      <c r="X102" t="str">
        <f t="shared" ref="X102:X117" si="29">"{nClass=14,nIcon=13,szName="""&amp;""&amp;G102&amp;"·"&amp;""&amp;J102&amp;"·减伤"""&amp;",nTime=-2,key="""&amp;""&amp;G102&amp;"·"&amp;""&amp;J102&amp;"·减伤"""&amp;",},"</f>
        <v>{nClass=14,nIcon=13,szName="王遗风·张一洋·减伤",nTime=-2,key="王遗风·张一洋·减伤",},</v>
      </c>
      <c r="Y102" t="str">
        <f>"{nClass=14,nIcon=18829,nFrame=7,szName="""&amp;K102&amp;"·"&amp;""&amp;""&amp;L102&amp;"·退场·易伤30%"",nTime=10,nRefresh=5,key="""&amp;F102&amp;"·"&amp;L102&amp;""&amp;"·减伤"""&amp;",},"</f>
        <v>{nClass=14,nIcon=18829,nFrame=7,szName="浩气·周峰·退场·易伤30%",nTime=10,nRefresh=5,key="谢渊·周峰·减伤",},</v>
      </c>
      <c r="Z102" t="str">
        <f>"{nClass=14,nIcon=3445,nFrame=3,szName="""&amp;G102&amp;"·"&amp;""&amp;J102&amp;""&amp;"·减伤"""&amp;",nTime="""&amp;"300,"&amp;""&amp;J102&amp;"·"&amp;H102&amp;"·减伤3层;600,"&amp;""&amp;J102&amp;"·"&amp;H102&amp;"·减伤2层;900,"&amp;""&amp;J102&amp;"·"&amp;H102&amp;"·减伤1层;910,"&amp;""&amp;J102&amp;"·"&amp;H102&amp;"·减伤消失"""&amp;",nRefresh=5,key="""&amp;G102&amp;"·"&amp;""&amp;J102&amp;""&amp;"·减伤"""&amp;"},"</f>
        <v>{nClass=14,nIcon=3445,nFrame=3,szName="王遗风·张一洋·减伤",nTime="300,张一洋·丐王坡·减伤3层;600,张一洋·丐王坡·减伤2层;900,张一洋·丐王坡·减伤1层;910,张一洋·丐王坡·减伤消失",nRefresh=5,key="王遗风·张一洋·减伤"},</v>
      </c>
      <c r="AA102" s="7"/>
    </row>
    <row r="103" customFormat="1" spans="1:27">
      <c r="C103" t="s">
        <v>2043</v>
      </c>
      <c r="D103" t="s">
        <v>2187</v>
      </c>
      <c r="E103" t="str">
        <f t="shared" si="27"/>
        <v>浩气·郑鸥·白骨陵园·败退</v>
      </c>
      <c r="F103" t="s">
        <v>2043</v>
      </c>
      <c r="G103" t="s">
        <v>2046</v>
      </c>
      <c r="H103" t="s">
        <v>2212</v>
      </c>
      <c r="I103" t="s">
        <v>2047</v>
      </c>
      <c r="J103" t="s">
        <v>2189</v>
      </c>
      <c r="K103" t="s">
        <v>2049</v>
      </c>
      <c r="L103" t="s">
        <v>2190</v>
      </c>
      <c r="M103" t="s">
        <v>2029</v>
      </c>
      <c r="N103"/>
      <c r="Q103">
        <v>1</v>
      </c>
      <c r="S103">
        <v>1</v>
      </c>
      <c r="V103" t="str">
        <f t="shared" si="26"/>
        <v>{szContent="郑鸥已经尽力，请暂且退回疗伤。",szTarget="谢渊",szNote="浩气·郑鸥·白骨陵园·败退",col={100,100,255,},[14]={bTeamChannel=true,bCenterAlarm=true,},tCountdown={{nClass=14,nIcon=13,szName="谢渊·郑鸥·减伤",nTime=-2,key="谢渊·郑鸥·减伤",},{nClass=14,nIcon=13,szName="王遗风·陶国栋·减伤",nTime=-2,key="王遗风·陶国栋·减伤",},{nClass=14,nIcon=18829,nFrame=7,szName="浩气·郑鸥·退场·易伤30%",nTime=10,nRefresh=5,key="谢渊·郑鸥·减伤",},{nClass=14,nIcon=3445,nFrame=3,szName="王遗风·陶国栋·减伤",nTime="300,陶国栋·白骨陵园·减伤3层;600,陶国栋·白骨陵园·减伤2层;900,陶国栋·白骨陵园·减伤1层;910,陶国栋·白骨陵园·减伤消失",nRefresh=5,key="王遗风·陶国栋·减伤"},},},</v>
      </c>
      <c r="W103" t="str">
        <f t="shared" si="28"/>
        <v>{nClass=14,nIcon=13,szName="谢渊·郑鸥·减伤",nTime=-2,key="谢渊·郑鸥·减伤",},</v>
      </c>
      <c r="X103" t="str">
        <f t="shared" si="29"/>
        <v>{nClass=14,nIcon=13,szName="王遗风·陶国栋·减伤",nTime=-2,key="王遗风·陶国栋·减伤",},</v>
      </c>
      <c r="Y103" t="str">
        <f>"{nClass=14,nIcon=18829,nFrame=7,szName="""&amp;K103&amp;"·"&amp;""&amp;""&amp;L103&amp;"·退场·易伤30%"",nTime=10,nRefresh=5,key="""&amp;F103&amp;"·"&amp;L103&amp;""&amp;"·减伤"""&amp;",},"</f>
        <v>{nClass=14,nIcon=18829,nFrame=7,szName="浩气·郑鸥·退场·易伤30%",nTime=10,nRefresh=5,key="谢渊·郑鸥·减伤",},</v>
      </c>
      <c r="Z103" t="str">
        <f>"{nClass=14,nIcon=3445,nFrame=3,szName="""&amp;G103&amp;"·"&amp;""&amp;J103&amp;""&amp;"·减伤"""&amp;",nTime="""&amp;"300,"&amp;""&amp;J103&amp;"·"&amp;H103&amp;"·减伤3层;600,"&amp;""&amp;J103&amp;"·"&amp;H103&amp;"·减伤2层;900,"&amp;""&amp;J103&amp;"·"&amp;H103&amp;"·减伤1层;910,"&amp;""&amp;J103&amp;"·"&amp;H103&amp;"·减伤消失"""&amp;",nRefresh=5,key="""&amp;G103&amp;"·"&amp;""&amp;J103&amp;""&amp;"·减伤"""&amp;"},"</f>
        <v>{nClass=14,nIcon=3445,nFrame=3,szName="王遗风·陶国栋·减伤",nTime="300,陶国栋·白骨陵园·减伤3层;600,陶国栋·白骨陵园·减伤2层;900,陶国栋·白骨陵园·减伤1层;910,陶国栋·白骨陵园·减伤消失",nRefresh=5,key="王遗风·陶国栋·减伤"},</v>
      </c>
      <c r="AA103" s="7"/>
    </row>
    <row r="104" customFormat="1" spans="1:27">
      <c r="C104" t="s">
        <v>2043</v>
      </c>
      <c r="D104" t="s">
        <v>2191</v>
      </c>
      <c r="E104" t="str">
        <f t="shared" si="27"/>
        <v>浩气·陶杰·炎狱山·败退</v>
      </c>
      <c r="F104" t="s">
        <v>2043</v>
      </c>
      <c r="G104" t="s">
        <v>2046</v>
      </c>
      <c r="H104" t="s">
        <v>2213</v>
      </c>
      <c r="I104" t="s">
        <v>2047</v>
      </c>
      <c r="J104" t="s">
        <v>2193</v>
      </c>
      <c r="K104" t="s">
        <v>2049</v>
      </c>
      <c r="L104" t="s">
        <v>2194</v>
      </c>
      <c r="M104" t="s">
        <v>2029</v>
      </c>
      <c r="N104"/>
      <c r="Q104">
        <v>1</v>
      </c>
      <c r="S104">
        <v>1</v>
      </c>
      <c r="V104" t="str">
        <f t="shared" si="26"/>
        <v>{szContent="陶杰已经尽力，请暂且退回疗伤。",szTarget="谢渊",szNote="浩气·陶杰·炎狱山·败退",col={100,100,255,},[14]={bTeamChannel=true,bCenterAlarm=true,},tCountdown={{nClass=14,nIcon=13,szName="谢渊·陶杰·减伤",nTime=-2,key="谢渊·陶杰·减伤",},{nClass=14,nIcon=13,szName="王遗风·吕沛杰·减伤",nTime=-2,key="王遗风·吕沛杰·减伤",},{nClass=14,nIcon=18829,nFrame=7,szName="浩气·陶杰·退场·易伤30%",nTime=10,nRefresh=5,key="谢渊·陶杰·减伤",},{nClass=14,nIcon=3445,nFrame=3,szName="王遗风·吕沛杰·减伤",nTime="300,吕沛杰·炎狱山·减伤3层;600,吕沛杰·炎狱山·减伤2层;900,吕沛杰·炎狱山·减伤1层;910,吕沛杰·炎狱山·减伤消失",nRefresh=5,key="王遗风·吕沛杰·减伤"},},},</v>
      </c>
      <c r="W104" t="str">
        <f t="shared" si="28"/>
        <v>{nClass=14,nIcon=13,szName="谢渊·陶杰·减伤",nTime=-2,key="谢渊·陶杰·减伤",},</v>
      </c>
      <c r="X104" t="str">
        <f t="shared" si="29"/>
        <v>{nClass=14,nIcon=13,szName="王遗风·吕沛杰·减伤",nTime=-2,key="王遗风·吕沛杰·减伤",},</v>
      </c>
      <c r="Y104" t="str">
        <f>"{nClass=14,nIcon=18829,nFrame=7,szName="""&amp;K104&amp;"·"&amp;""&amp;""&amp;L104&amp;"·退场·易伤30%"",nTime=10,nRefresh=5,key="""&amp;F104&amp;"·"&amp;L104&amp;""&amp;"·减伤"""&amp;",},"</f>
        <v>{nClass=14,nIcon=18829,nFrame=7,szName="浩气·陶杰·退场·易伤30%",nTime=10,nRefresh=5,key="谢渊·陶杰·减伤",},</v>
      </c>
      <c r="Z104" t="str">
        <f>"{nClass=14,nIcon=3445,nFrame=3,szName="""&amp;G104&amp;"·"&amp;""&amp;J104&amp;""&amp;"·减伤"""&amp;",nTime="""&amp;"300,"&amp;""&amp;J104&amp;"·"&amp;H104&amp;"·减伤3层;600,"&amp;""&amp;J104&amp;"·"&amp;H104&amp;"·减伤2层;900,"&amp;""&amp;J104&amp;"·"&amp;H104&amp;"·减伤1层;910,"&amp;""&amp;J104&amp;"·"&amp;H104&amp;"·减伤消失"""&amp;",nRefresh=5,key="""&amp;G104&amp;"·"&amp;""&amp;J104&amp;""&amp;"·减伤"""&amp;"},"</f>
        <v>{nClass=14,nIcon=3445,nFrame=3,szName="王遗风·吕沛杰·减伤",nTime="300,吕沛杰·炎狱山·减伤3层;600,吕沛杰·炎狱山·减伤2层;900,吕沛杰·炎狱山·减伤1层;910,吕沛杰·炎狱山·减伤消失",nRefresh=5,key="王遗风·吕沛杰·减伤"},</v>
      </c>
      <c r="AA104" s="7"/>
    </row>
    <row r="105" customFormat="1" spans="1:27">
      <c r="C105" t="s">
        <v>2043</v>
      </c>
      <c r="D105" t="s">
        <v>2195</v>
      </c>
      <c r="E105" t="str">
        <f t="shared" si="27"/>
        <v>浩气·谢烟客·平安客栈·败退</v>
      </c>
      <c r="F105" t="s">
        <v>2043</v>
      </c>
      <c r="G105" t="s">
        <v>2046</v>
      </c>
      <c r="H105" t="s">
        <v>2214</v>
      </c>
      <c r="I105" t="s">
        <v>2047</v>
      </c>
      <c r="J105" t="s">
        <v>2197</v>
      </c>
      <c r="K105" t="s">
        <v>2049</v>
      </c>
      <c r="L105" t="s">
        <v>2198</v>
      </c>
      <c r="M105" t="s">
        <v>2029</v>
      </c>
      <c r="N105"/>
      <c r="Q105">
        <v>1</v>
      </c>
      <c r="S105">
        <v>1</v>
      </c>
      <c r="V105" t="str">
        <f t="shared" si="26"/>
        <v>{szContent="谢烟客已经尽力，请暂且退回疗伤。",szTarget="谢渊",szNote="浩气·谢烟客·平安客栈·败退",col={100,100,255,},[14]={bTeamChannel=true,bCenterAlarm=true,},tCountdown={{nClass=14,nIcon=13,szName="谢渊·谢烟客·减伤",nTime=-2,key="谢渊·谢烟客·减伤",},{nClass=14,nIcon=13,szName="王遗风·顾延恶·减伤",nTime=-2,key="王遗风·顾延恶·减伤",},{nClass=14,nIcon=18829,nFrame=7,szName="浩气·谢烟客·退场·易伤30%",nTime=10,nRefresh=5,key="谢渊·谢烟客·减伤",},{nClass=14,nIcon=3445,nFrame=3,szName="王遗风·顾延恶·减伤",nTime="300,顾延恶·平安客栈·减伤3层;600,顾延恶·平安客栈·减伤2层;900,顾延恶·平安客栈·减伤1层;910,顾延恶·平安客栈·减伤消失",nRefresh=5,key="王遗风·顾延恶·减伤"},},},</v>
      </c>
      <c r="W105" t="str">
        <f t="shared" si="28"/>
        <v>{nClass=14,nIcon=13,szName="谢渊·谢烟客·减伤",nTime=-2,key="谢渊·谢烟客·减伤",},</v>
      </c>
      <c r="X105" t="str">
        <f t="shared" si="29"/>
        <v>{nClass=14,nIcon=13,szName="王遗风·顾延恶·减伤",nTime=-2,key="王遗风·顾延恶·减伤",},</v>
      </c>
      <c r="Y105" t="str">
        <f>"{nClass=14,nIcon=18829,nFrame=7,szName="""&amp;K105&amp;"·"&amp;""&amp;""&amp;L105&amp;"·退场·易伤30%"",nTime=10,nRefresh=5,key="""&amp;F105&amp;"·"&amp;L105&amp;""&amp;"·减伤"""&amp;",},"</f>
        <v>{nClass=14,nIcon=18829,nFrame=7,szName="浩气·谢烟客·退场·易伤30%",nTime=10,nRefresh=5,key="谢渊·谢烟客·减伤",},</v>
      </c>
      <c r="Z105" t="str">
        <f>"{nClass=14,nIcon=3445,nFrame=3,szName="""&amp;G105&amp;"·"&amp;""&amp;J105&amp;""&amp;"·减伤"""&amp;",nTime="""&amp;"300,"&amp;""&amp;J105&amp;"·"&amp;H105&amp;"·减伤3层;600,"&amp;""&amp;J105&amp;"·"&amp;H105&amp;"·减伤2层;900,"&amp;""&amp;J105&amp;"·"&amp;H105&amp;"·减伤1层;910,"&amp;""&amp;J105&amp;"·"&amp;H105&amp;"·减伤消失"""&amp;",nRefresh=5,key="""&amp;G105&amp;"·"&amp;""&amp;J105&amp;""&amp;"·减伤"""&amp;"},"</f>
        <v>{nClass=14,nIcon=3445,nFrame=3,szName="王遗风·顾延恶·减伤",nTime="300,顾延恶·平安客栈·减伤3层;600,顾延恶·平安客栈·减伤2层;900,顾延恶·平安客栈·减伤1层;910,顾延恶·平安客栈·减伤消失",nRefresh=5,key="王遗风·顾延恶·减伤"},</v>
      </c>
      <c r="AA105" s="7"/>
    </row>
    <row r="106" customFormat="1" spans="1:27">
      <c r="C106" t="s">
        <v>2046</v>
      </c>
      <c r="D106" t="s">
        <v>2199</v>
      </c>
      <c r="E106" t="str">
        <f t="shared" si="27"/>
        <v>恶人·张一洋·丐王坡·败退</v>
      </c>
      <c r="F106" t="s">
        <v>2046</v>
      </c>
      <c r="G106" t="s">
        <v>2043</v>
      </c>
      <c r="H106" t="s">
        <v>2211</v>
      </c>
      <c r="I106" t="s">
        <v>2049</v>
      </c>
      <c r="J106" t="s">
        <v>2186</v>
      </c>
      <c r="K106" t="s">
        <v>2047</v>
      </c>
      <c r="L106" t="s">
        <v>2185</v>
      </c>
      <c r="M106" t="s">
        <v>2025</v>
      </c>
      <c r="N106"/>
      <c r="Q106">
        <v>1</v>
      </c>
      <c r="S106">
        <v>1</v>
      </c>
      <c r="V106" t="str">
        <f t="shared" si="26"/>
        <v>{szContent="张一洋已经尽力，请暂且退回疗伤。",szTarget="王遗风",szNote="恶人·张一洋·丐王坡·败退",col={255,100,100,},[14]={bTeamChannel=true,bCenterAlarm=true,},tCountdown={{nClass=14,nIcon=13,szName="王遗风·张一洋·减伤",nTime=-2,key="王遗风·张一洋·减伤",},{nClass=14,nIcon=13,szName="谢渊·周峰·减伤",nTime=-2,key="谢渊·周峰·减伤",},{nClass=14,nIcon=18830,nFrame=3,szName="恶人·张一洋·退场·易伤30%",nTime=10,nRefresh=5,key="王遗风·张一洋·减伤",},{nClass=14,nIcon=3444,nFrame=7,szName="谢渊·周峰·减伤",nTime="300,周峰·丐王坡·减伤3层;600,周峰·丐王坡·减伤2层;900,周峰·丐王坡·减伤1层;910,周峰·丐王坡·减伤消失",nRefresh=5,key="谢渊·周峰·减伤"},},},</v>
      </c>
      <c r="W106" t="str">
        <f t="shared" si="28"/>
        <v>{nClass=14,nIcon=13,szName="王遗风·张一洋·减伤",nTime=-2,key="王遗风·张一洋·减伤",},</v>
      </c>
      <c r="X106" t="str">
        <f t="shared" si="29"/>
        <v>{nClass=14,nIcon=13,szName="谢渊·周峰·减伤",nTime=-2,key="谢渊·周峰·减伤",},</v>
      </c>
      <c r="Y106" t="str">
        <f>"{nClass=14,nIcon=18830,nFrame=3,szName="""&amp;K106&amp;"·"&amp;""&amp;""&amp;L106&amp;"·退场·易伤30%"",nTime=10,nRefresh=5,key="""&amp;F106&amp;"·"&amp;L106&amp;""&amp;"·减伤"""&amp;",},"</f>
        <v>{nClass=14,nIcon=18830,nFrame=3,szName="恶人·张一洋·退场·易伤30%",nTime=10,nRefresh=5,key="王遗风·张一洋·减伤",},</v>
      </c>
      <c r="Z106" t="str">
        <f>"{nClass=14,nIcon=3444,nFrame=7,szName="""&amp;G106&amp;"·"&amp;""&amp;J106&amp;""&amp;"·减伤"""&amp;",nTime="""&amp;"300,"&amp;""&amp;J106&amp;"·"&amp;H106&amp;"·减伤3层;600,"&amp;""&amp;J106&amp;"·"&amp;H106&amp;"·减伤2层;900,"&amp;""&amp;J106&amp;"·"&amp;H106&amp;"·减伤1层;910,"&amp;""&amp;J106&amp;"·"&amp;H106&amp;"·减伤消失"""&amp;",nRefresh=5,key="""&amp;G106&amp;"·"&amp;""&amp;J106&amp;""&amp;"·减伤"""&amp;"},"</f>
        <v>{nClass=14,nIcon=3444,nFrame=7,szName="谢渊·周峰·减伤",nTime="300,周峰·丐王坡·减伤3层;600,周峰·丐王坡·减伤2层;900,周峰·丐王坡·减伤1层;910,周峰·丐王坡·减伤消失",nRefresh=5,key="谢渊·周峰·减伤"},</v>
      </c>
      <c r="AA106" s="7"/>
    </row>
    <row r="107" spans="1:27">
      <c r="C107" t="s">
        <v>2046</v>
      </c>
      <c r="D107" t="s">
        <v>2200</v>
      </c>
      <c r="E107" t="str">
        <f t="shared" si="27"/>
        <v>恶人·陶国栋·白骨陵园·败退</v>
      </c>
      <c r="F107" t="s">
        <v>2046</v>
      </c>
      <c r="G107" t="s">
        <v>2043</v>
      </c>
      <c r="H107" t="s">
        <v>2212</v>
      </c>
      <c r="I107" t="s">
        <v>2049</v>
      </c>
      <c r="J107" t="s">
        <v>2190</v>
      </c>
      <c r="K107" t="s">
        <v>2047</v>
      </c>
      <c r="L107" t="s">
        <v>2189</v>
      </c>
      <c r="M107" t="s">
        <v>2025</v>
      </c>
      <c r="Q107">
        <v>1</v>
      </c>
      <c r="S107">
        <v>1</v>
      </c>
      <c r="V107" t="str">
        <f t="shared" si="26"/>
        <v>{szContent="陶国栋已经尽力，请暂且退回疗伤。",szTarget="王遗风",szNote="恶人·陶国栋·白骨陵园·败退",col={255,100,100,},[14]={bTeamChannel=true,bCenterAlarm=true,},tCountdown={{nClass=14,nIcon=13,szName="王遗风·陶国栋·减伤",nTime=-2,key="王遗风·陶国栋·减伤",},{nClass=14,nIcon=13,szName="谢渊·郑鸥·减伤",nTime=-2,key="谢渊·郑鸥·减伤",},{nClass=14,nIcon=18830,nFrame=3,szName="恶人·陶国栋·退场·易伤30%",nTime=10,nRefresh=5,key="王遗风·陶国栋·减伤",},{nClass=14,nIcon=3444,nFrame=7,szName="谢渊·郑鸥·减伤",nTime="300,郑鸥·白骨陵园·减伤3层;600,郑鸥·白骨陵园·减伤2层;900,郑鸥·白骨陵园·减伤1层;910,郑鸥·白骨陵园·减伤消失",nRefresh=5,key="谢渊·郑鸥·减伤"},},},</v>
      </c>
      <c r="W107" t="str">
        <f t="shared" si="28"/>
        <v>{nClass=14,nIcon=13,szName="王遗风·陶国栋·减伤",nTime=-2,key="王遗风·陶国栋·减伤",},</v>
      </c>
      <c r="X107" t="str">
        <f t="shared" si="29"/>
        <v>{nClass=14,nIcon=13,szName="谢渊·郑鸥·减伤",nTime=-2,key="谢渊·郑鸥·减伤",},</v>
      </c>
      <c r="Y107" t="str">
        <f>"{nClass=14,nIcon=18830,nFrame=3,szName="""&amp;K107&amp;"·"&amp;""&amp;""&amp;L107&amp;"·退场·易伤30%"",nTime=10,nRefresh=5,key="""&amp;F107&amp;"·"&amp;L107&amp;""&amp;"·减伤"""&amp;",},"</f>
        <v>{nClass=14,nIcon=18830,nFrame=3,szName="恶人·陶国栋·退场·易伤30%",nTime=10,nRefresh=5,key="王遗风·陶国栋·减伤",},</v>
      </c>
      <c r="Z107" t="str">
        <f>"{nClass=14,nIcon=3444,nFrame=7,szName="""&amp;G107&amp;"·"&amp;""&amp;J107&amp;""&amp;"·减伤"""&amp;",nTime="""&amp;"300,"&amp;""&amp;J107&amp;"·"&amp;H107&amp;"·减伤3层;600,"&amp;""&amp;J107&amp;"·"&amp;H107&amp;"·减伤2层;900,"&amp;""&amp;J107&amp;"·"&amp;H107&amp;"·减伤1层;910,"&amp;""&amp;J107&amp;"·"&amp;H107&amp;"·减伤消失"""&amp;",nRefresh=5,key="""&amp;G107&amp;"·"&amp;""&amp;J107&amp;""&amp;"·减伤"""&amp;"},"</f>
        <v>{nClass=14,nIcon=3444,nFrame=7,szName="谢渊·郑鸥·减伤",nTime="300,郑鸥·白骨陵园·减伤3层;600,郑鸥·白骨陵园·减伤2层;900,郑鸥·白骨陵园·减伤1层;910,郑鸥·白骨陵园·减伤消失",nRefresh=5,key="谢渊·郑鸥·减伤"},</v>
      </c>
      <c r="AA107" s="7"/>
    </row>
    <row r="108" spans="1:27">
      <c r="C108" t="s">
        <v>2046</v>
      </c>
      <c r="D108" t="s">
        <v>2201</v>
      </c>
      <c r="E108" t="str">
        <f t="shared" si="27"/>
        <v>恶人·吕沛杰·炎狱山·败退</v>
      </c>
      <c r="F108" t="s">
        <v>2046</v>
      </c>
      <c r="G108" t="s">
        <v>2043</v>
      </c>
      <c r="H108" t="s">
        <v>2213</v>
      </c>
      <c r="I108" t="s">
        <v>2049</v>
      </c>
      <c r="J108" t="s">
        <v>2194</v>
      </c>
      <c r="K108" t="s">
        <v>2047</v>
      </c>
      <c r="L108" t="s">
        <v>2193</v>
      </c>
      <c r="M108" t="s">
        <v>2025</v>
      </c>
      <c r="Q108">
        <v>1</v>
      </c>
      <c r="S108">
        <v>1</v>
      </c>
      <c r="V108" t="str">
        <f t="shared" si="26"/>
        <v>{szContent="吕沛杰已经尽力，请暂且退回疗伤。",szTarget="王遗风",szNote="恶人·吕沛杰·炎狱山·败退",col={255,100,100,},[14]={bTeamChannel=true,bCenterAlarm=true,},tCountdown={{nClass=14,nIcon=13,szName="王遗风·吕沛杰·减伤",nTime=-2,key="王遗风·吕沛杰·减伤",},{nClass=14,nIcon=13,szName="谢渊·陶杰·减伤",nTime=-2,key="谢渊·陶杰·减伤",},{nClass=14,nIcon=18830,nFrame=3,szName="恶人·吕沛杰·退场·易伤30%",nTime=10,nRefresh=5,key="王遗风·吕沛杰·减伤",},{nClass=14,nIcon=3444,nFrame=7,szName="谢渊·陶杰·减伤",nTime="300,陶杰·炎狱山·减伤3层;600,陶杰·炎狱山·减伤2层;900,陶杰·炎狱山·减伤1层;910,陶杰·炎狱山·减伤消失",nRefresh=5,key="谢渊·陶杰·减伤"},},},</v>
      </c>
      <c r="W108" t="str">
        <f t="shared" si="28"/>
        <v>{nClass=14,nIcon=13,szName="王遗风·吕沛杰·减伤",nTime=-2,key="王遗风·吕沛杰·减伤",},</v>
      </c>
      <c r="X108" t="str">
        <f t="shared" si="29"/>
        <v>{nClass=14,nIcon=13,szName="谢渊·陶杰·减伤",nTime=-2,key="谢渊·陶杰·减伤",},</v>
      </c>
      <c r="Y108" t="str">
        <f>"{nClass=14,nIcon=18830,nFrame=3,szName="""&amp;K108&amp;"·"&amp;""&amp;""&amp;L108&amp;"·退场·易伤30%"",nTime=10,nRefresh=5,key="""&amp;F108&amp;"·"&amp;L108&amp;""&amp;"·减伤"""&amp;",},"</f>
        <v>{nClass=14,nIcon=18830,nFrame=3,szName="恶人·吕沛杰·退场·易伤30%",nTime=10,nRefresh=5,key="王遗风·吕沛杰·减伤",},</v>
      </c>
      <c r="Z108" t="str">
        <f>"{nClass=14,nIcon=3444,nFrame=7,szName="""&amp;G108&amp;"·"&amp;""&amp;J108&amp;""&amp;"·减伤"""&amp;",nTime="""&amp;"300,"&amp;""&amp;J108&amp;"·"&amp;H108&amp;"·减伤3层;600,"&amp;""&amp;J108&amp;"·"&amp;H108&amp;"·减伤2层;900,"&amp;""&amp;J108&amp;"·"&amp;H108&amp;"·减伤1层;910,"&amp;""&amp;J108&amp;"·"&amp;H108&amp;"·减伤消失"""&amp;",nRefresh=5,key="""&amp;G108&amp;"·"&amp;""&amp;J108&amp;""&amp;"·减伤"""&amp;"},"</f>
        <v>{nClass=14,nIcon=3444,nFrame=7,szName="谢渊·陶杰·减伤",nTime="300,陶杰·炎狱山·减伤3层;600,陶杰·炎狱山·减伤2层;900,陶杰·炎狱山·减伤1层;910,陶杰·炎狱山·减伤消失",nRefresh=5,key="谢渊·陶杰·减伤"},</v>
      </c>
      <c r="AA108" s="7"/>
    </row>
    <row r="109" spans="1:27">
      <c r="C109" t="s">
        <v>2046</v>
      </c>
      <c r="D109" t="s">
        <v>2202</v>
      </c>
      <c r="E109" t="str">
        <f t="shared" si="27"/>
        <v>恶人·顾延恶·平安客栈·败退</v>
      </c>
      <c r="F109" t="s">
        <v>2046</v>
      </c>
      <c r="G109" t="s">
        <v>2043</v>
      </c>
      <c r="H109" t="s">
        <v>2214</v>
      </c>
      <c r="I109" t="s">
        <v>2049</v>
      </c>
      <c r="J109" t="s">
        <v>2198</v>
      </c>
      <c r="K109" t="s">
        <v>2047</v>
      </c>
      <c r="L109" t="s">
        <v>2197</v>
      </c>
      <c r="M109" t="s">
        <v>2025</v>
      </c>
      <c r="Q109">
        <v>1</v>
      </c>
      <c r="S109">
        <v>1</v>
      </c>
      <c r="V109" t="str">
        <f t="shared" si="26"/>
        <v>{szContent="顾延恶已经尽力，请暂且退回疗伤。",szTarget="王遗风",szNote="恶人·顾延恶·平安客栈·败退",col={255,100,100,},[14]={bTeamChannel=true,bCenterAlarm=true,},tCountdown={{nClass=14,nIcon=13,szName="王遗风·顾延恶·减伤",nTime=-2,key="王遗风·顾延恶·减伤",},{nClass=14,nIcon=13,szName="谢渊·谢烟客·减伤",nTime=-2,key="谢渊·谢烟客·减伤",},{nClass=14,nIcon=18830,nFrame=3,szName="恶人·顾延恶·退场·易伤30%",nTime=10,nRefresh=5,key="王遗风·顾延恶·减伤",},{nClass=14,nIcon=3444,nFrame=7,szName="谢渊·谢烟客·减伤",nTime="300,谢烟客·平安客栈·减伤3层;600,谢烟客·平安客栈·减伤2层;900,谢烟客·平安客栈·减伤1层;910,谢烟客·平安客栈·减伤消失",nRefresh=5,key="谢渊·谢烟客·减伤"},},},</v>
      </c>
      <c r="W109" t="str">
        <f t="shared" si="28"/>
        <v>{nClass=14,nIcon=13,szName="王遗风·顾延恶·减伤",nTime=-2,key="王遗风·顾延恶·减伤",},</v>
      </c>
      <c r="X109" t="str">
        <f t="shared" si="29"/>
        <v>{nClass=14,nIcon=13,szName="谢渊·谢烟客·减伤",nTime=-2,key="谢渊·谢烟客·减伤",},</v>
      </c>
      <c r="Y109" t="str">
        <f>"{nClass=14,nIcon=18830,nFrame=3,szName="""&amp;K109&amp;"·"&amp;""&amp;""&amp;L109&amp;"·退场·易伤30%"",nTime=10,nRefresh=5,key="""&amp;F109&amp;"·"&amp;L109&amp;""&amp;"·减伤"""&amp;",},"</f>
        <v>{nClass=14,nIcon=18830,nFrame=3,szName="恶人·顾延恶·退场·易伤30%",nTime=10,nRefresh=5,key="王遗风·顾延恶·减伤",},</v>
      </c>
      <c r="Z109" t="str">
        <f>"{nClass=14,nIcon=3444,nFrame=7,szName="""&amp;G109&amp;"·"&amp;""&amp;J109&amp;""&amp;"·减伤"""&amp;",nTime="""&amp;"300,"&amp;""&amp;J109&amp;"·"&amp;H109&amp;"·减伤3层;600,"&amp;""&amp;J109&amp;"·"&amp;H109&amp;"·减伤2层;900,"&amp;""&amp;J109&amp;"·"&amp;H109&amp;"·减伤1层;910,"&amp;""&amp;J109&amp;"·"&amp;H109&amp;"·减伤消失"""&amp;",nRefresh=5,key="""&amp;G109&amp;"·"&amp;""&amp;J109&amp;""&amp;"·减伤"""&amp;"},"</f>
        <v>{nClass=14,nIcon=3444,nFrame=7,szName="谢渊·谢烟客·减伤",nTime="300,谢烟客·平安客栈·减伤3层;600,谢烟客·平安客栈·减伤2层;900,谢烟客·平安客栈·减伤1层;910,谢烟客·平安客栈·减伤消失",nRefresh=5,key="谢渊·谢烟客·减伤"},</v>
      </c>
      <c r="AA109" s="7"/>
    </row>
    <row r="110" spans="1:27">
      <c r="C110" t="s">
        <v>2186</v>
      </c>
      <c r="D110" t="s">
        <v>2079</v>
      </c>
      <c r="E110" t="str">
        <f t="shared" si="27"/>
        <v>浩气·周峰·丐王坡·败退</v>
      </c>
      <c r="F110" t="s">
        <v>2043</v>
      </c>
      <c r="G110" t="s">
        <v>2046</v>
      </c>
      <c r="H110" t="s">
        <v>2211</v>
      </c>
      <c r="I110" t="s">
        <v>2047</v>
      </c>
      <c r="J110" t="s">
        <v>2185</v>
      </c>
      <c r="K110" t="s">
        <v>2049</v>
      </c>
      <c r="L110" t="s">
        <v>2186</v>
      </c>
      <c r="M110" t="s">
        <v>2029</v>
      </c>
      <c r="N110">
        <v>1</v>
      </c>
      <c r="S110">
        <v>1</v>
      </c>
      <c r="V110" t="str">
        <f t="shared" si="26"/>
        <v>{szContent="罢了，青山不改，绿水长流，后会有期！",szTarget="周峰",szNote="浩气·周峰·丐王坡·败退",col={100,100,255,},bSearch=true,[14]={bCenterAlarm=true,},tCountdown={{nClass=14,nIcon=13,szName="谢渊·周峰·减伤",nTime=-2,key="谢渊·周峰·减伤",},{nClass=14,nIcon=13,szName="王遗风·张一洋·减伤",nTime=-2,key="王遗风·张一洋·减伤",},{nClass=14,nIcon=18829,nFrame=7,szName="浩气·周峰·退场·易伤30%",nTime=10,nRefresh=5,key="谢渊·周峰·减伤",},{nClass=14,nIcon=3445,nFrame=3,szName="王遗风·张一洋·减伤",nTime="300,张一洋·丐王坡·减伤3层;600,张一洋·丐王坡·减伤2层;900,张一洋·丐王坡·减伤1层;910,张一洋·丐王坡·减伤消失",nRefresh=5,key="王遗风·张一洋·减伤"},},},</v>
      </c>
      <c r="W110" t="str">
        <f t="shared" si="28"/>
        <v>{nClass=14,nIcon=13,szName="谢渊·周峰·减伤",nTime=-2,key="谢渊·周峰·减伤",},</v>
      </c>
      <c r="X110" t="str">
        <f t="shared" si="29"/>
        <v>{nClass=14,nIcon=13,szName="王遗风·张一洋·减伤",nTime=-2,key="王遗风·张一洋·减伤",},</v>
      </c>
      <c r="Y110" t="str">
        <f>"{nClass=14,nIcon=18829,nFrame=7,szName="""&amp;K110&amp;"·"&amp;""&amp;""&amp;L110&amp;"·退场·易伤30%"",nTime=10,nRefresh=5,key="""&amp;F110&amp;"·"&amp;L110&amp;""&amp;"·减伤"""&amp;",},"</f>
        <v>{nClass=14,nIcon=18829,nFrame=7,szName="浩气·周峰·退场·易伤30%",nTime=10,nRefresh=5,key="谢渊·周峰·减伤",},</v>
      </c>
      <c r="Z110" t="str">
        <f>"{nClass=14,nIcon=3445,nFrame=3,szName="""&amp;G110&amp;"·"&amp;""&amp;J110&amp;""&amp;"·减伤"""&amp;",nTime="""&amp;"300,"&amp;""&amp;J110&amp;"·"&amp;H110&amp;"·减伤3层;600,"&amp;""&amp;J110&amp;"·"&amp;H110&amp;"·减伤2层;900,"&amp;""&amp;J110&amp;"·"&amp;H110&amp;"·减伤1层;910,"&amp;""&amp;J110&amp;"·"&amp;H110&amp;"·减伤消失"""&amp;",nRefresh=5,key="""&amp;G110&amp;"·"&amp;""&amp;J110&amp;""&amp;"·减伤"""&amp;"},"</f>
        <v>{nClass=14,nIcon=3445,nFrame=3,szName="王遗风·张一洋·减伤",nTime="300,张一洋·丐王坡·减伤3层;600,张一洋·丐王坡·减伤2层;900,张一洋·丐王坡·减伤1层;910,张一洋·丐王坡·减伤消失",nRefresh=5,key="王遗风·张一洋·减伤"},</v>
      </c>
    </row>
    <row r="111" spans="1:27">
      <c r="C111" t="s">
        <v>2190</v>
      </c>
      <c r="D111" t="s">
        <v>2079</v>
      </c>
      <c r="E111" t="str">
        <f t="shared" si="27"/>
        <v>浩气·郑鸥·白骨陵园·败退</v>
      </c>
      <c r="F111" t="s">
        <v>2043</v>
      </c>
      <c r="G111" t="s">
        <v>2046</v>
      </c>
      <c r="H111" t="s">
        <v>2212</v>
      </c>
      <c r="I111" t="s">
        <v>2047</v>
      </c>
      <c r="J111" t="s">
        <v>2189</v>
      </c>
      <c r="K111" t="s">
        <v>2049</v>
      </c>
      <c r="L111" t="s">
        <v>2190</v>
      </c>
      <c r="M111" t="s">
        <v>2029</v>
      </c>
      <c r="N111">
        <v>1</v>
      </c>
      <c r="S111">
        <v>1</v>
      </c>
      <c r="V111" t="str">
        <f t="shared" si="26"/>
        <v>{szContent="罢了，青山不改，绿水长流，后会有期！",szTarget="郑鸥",szNote="浩气·郑鸥·白骨陵园·败退",col={100,100,255,},bSearch=true,[14]={bCenterAlarm=true,},tCountdown={{nClass=14,nIcon=13,szName="谢渊·郑鸥·减伤",nTime=-2,key="谢渊·郑鸥·减伤",},{nClass=14,nIcon=13,szName="王遗风·陶国栋·减伤",nTime=-2,key="王遗风·陶国栋·减伤",},{nClass=14,nIcon=18829,nFrame=7,szName="浩气·郑鸥·退场·易伤30%",nTime=10,nRefresh=5,key="谢渊·郑鸥·减伤",},{nClass=14,nIcon=3445,nFrame=3,szName="王遗风·陶国栋·减伤",nTime="300,陶国栋·白骨陵园·减伤3层;600,陶国栋·白骨陵园·减伤2层;900,陶国栋·白骨陵园·减伤1层;910,陶国栋·白骨陵园·减伤消失",nRefresh=5,key="王遗风·陶国栋·减伤"},},},</v>
      </c>
      <c r="W111" t="str">
        <f t="shared" si="28"/>
        <v>{nClass=14,nIcon=13,szName="谢渊·郑鸥·减伤",nTime=-2,key="谢渊·郑鸥·减伤",},</v>
      </c>
      <c r="X111" t="str">
        <f t="shared" si="29"/>
        <v>{nClass=14,nIcon=13,szName="王遗风·陶国栋·减伤",nTime=-2,key="王遗风·陶国栋·减伤",},</v>
      </c>
      <c r="Y111" t="str">
        <f>"{nClass=14,nIcon=18829,nFrame=7,szName="""&amp;K111&amp;"·"&amp;""&amp;""&amp;L111&amp;"·退场·易伤30%"",nTime=10,nRefresh=5,key="""&amp;F111&amp;"·"&amp;L111&amp;""&amp;"·减伤"""&amp;",},"</f>
        <v>{nClass=14,nIcon=18829,nFrame=7,szName="浩气·郑鸥·退场·易伤30%",nTime=10,nRefresh=5,key="谢渊·郑鸥·减伤",},</v>
      </c>
      <c r="Z111" t="str">
        <f>"{nClass=14,nIcon=3445,nFrame=3,szName="""&amp;G111&amp;"·"&amp;""&amp;J111&amp;""&amp;"·减伤"""&amp;",nTime="""&amp;"300,"&amp;""&amp;J111&amp;"·"&amp;H111&amp;"·减伤3层;600,"&amp;""&amp;J111&amp;"·"&amp;H111&amp;"·减伤2层;900,"&amp;""&amp;J111&amp;"·"&amp;H111&amp;"·减伤1层;910,"&amp;""&amp;J111&amp;"·"&amp;H111&amp;"·减伤消失"""&amp;",nRefresh=5,key="""&amp;G111&amp;"·"&amp;""&amp;J111&amp;""&amp;"·减伤"""&amp;"},"</f>
        <v>{nClass=14,nIcon=3445,nFrame=3,szName="王遗风·陶国栋·减伤",nTime="300,陶国栋·白骨陵园·减伤3层;600,陶国栋·白骨陵园·减伤2层;900,陶国栋·白骨陵园·减伤1层;910,陶国栋·白骨陵园·减伤消失",nRefresh=5,key="王遗风·陶国栋·减伤"},</v>
      </c>
    </row>
    <row r="112" spans="1:27">
      <c r="C112" t="s">
        <v>2194</v>
      </c>
      <c r="D112" t="s">
        <v>2079</v>
      </c>
      <c r="E112" t="str">
        <f t="shared" si="27"/>
        <v>浩气·陶杰·炎狱山·败退</v>
      </c>
      <c r="F112" t="s">
        <v>2043</v>
      </c>
      <c r="G112" t="s">
        <v>2046</v>
      </c>
      <c r="H112" t="s">
        <v>2213</v>
      </c>
      <c r="I112" t="s">
        <v>2047</v>
      </c>
      <c r="J112" t="s">
        <v>2193</v>
      </c>
      <c r="K112" t="s">
        <v>2049</v>
      </c>
      <c r="L112" t="s">
        <v>2194</v>
      </c>
      <c r="M112" t="s">
        <v>2029</v>
      </c>
      <c r="N112">
        <v>1</v>
      </c>
      <c r="S112">
        <v>1</v>
      </c>
      <c r="V112" t="str">
        <f t="shared" si="26"/>
        <v>{szContent="罢了，青山不改，绿水长流，后会有期！",szTarget="陶杰",szNote="浩气·陶杰·炎狱山·败退",col={100,100,255,},bSearch=true,[14]={bCenterAlarm=true,},tCountdown={{nClass=14,nIcon=13,szName="谢渊·陶杰·减伤",nTime=-2,key="谢渊·陶杰·减伤",},{nClass=14,nIcon=13,szName="王遗风·吕沛杰·减伤",nTime=-2,key="王遗风·吕沛杰·减伤",},{nClass=14,nIcon=18829,nFrame=7,szName="浩气·陶杰·退场·易伤30%",nTime=10,nRefresh=5,key="谢渊·陶杰·减伤",},{nClass=14,nIcon=3445,nFrame=3,szName="王遗风·吕沛杰·减伤",nTime="300,吕沛杰·炎狱山·减伤3层;600,吕沛杰·炎狱山·减伤2层;900,吕沛杰·炎狱山·减伤1层;910,吕沛杰·炎狱山·减伤消失",nRefresh=5,key="王遗风·吕沛杰·减伤"},},},</v>
      </c>
      <c r="W112" t="str">
        <f t="shared" si="28"/>
        <v>{nClass=14,nIcon=13,szName="谢渊·陶杰·减伤",nTime=-2,key="谢渊·陶杰·减伤",},</v>
      </c>
      <c r="X112" t="str">
        <f t="shared" si="29"/>
        <v>{nClass=14,nIcon=13,szName="王遗风·吕沛杰·减伤",nTime=-2,key="王遗风·吕沛杰·减伤",},</v>
      </c>
      <c r="Y112" t="str">
        <f>"{nClass=14,nIcon=18829,nFrame=7,szName="""&amp;K112&amp;"·"&amp;""&amp;""&amp;L112&amp;"·退场·易伤30%"",nTime=10,nRefresh=5,key="""&amp;F112&amp;"·"&amp;L112&amp;""&amp;"·减伤"""&amp;",},"</f>
        <v>{nClass=14,nIcon=18829,nFrame=7,szName="浩气·陶杰·退场·易伤30%",nTime=10,nRefresh=5,key="谢渊·陶杰·减伤",},</v>
      </c>
      <c r="Z112" t="str">
        <f>"{nClass=14,nIcon=3445,nFrame=3,szName="""&amp;G112&amp;"·"&amp;""&amp;J112&amp;""&amp;"·减伤"""&amp;",nTime="""&amp;"300,"&amp;""&amp;J112&amp;"·"&amp;H112&amp;"·减伤3层;600,"&amp;""&amp;J112&amp;"·"&amp;H112&amp;"·减伤2层;900,"&amp;""&amp;J112&amp;"·"&amp;H112&amp;"·减伤1层;910,"&amp;""&amp;J112&amp;"·"&amp;H112&amp;"·减伤消失"""&amp;",nRefresh=5,key="""&amp;G112&amp;"·"&amp;""&amp;J112&amp;""&amp;"·减伤"""&amp;"},"</f>
        <v>{nClass=14,nIcon=3445,nFrame=3,szName="王遗风·吕沛杰·减伤",nTime="300,吕沛杰·炎狱山·减伤3层;600,吕沛杰·炎狱山·减伤2层;900,吕沛杰·炎狱山·减伤1层;910,吕沛杰·炎狱山·减伤消失",nRefresh=5,key="王遗风·吕沛杰·减伤"},</v>
      </c>
    </row>
    <row r="113" spans="1:26">
      <c r="C113" t="s">
        <v>2198</v>
      </c>
      <c r="D113" t="s">
        <v>2079</v>
      </c>
      <c r="E113" t="str">
        <f t="shared" si="27"/>
        <v>浩气·谢烟客·平安客栈·败退</v>
      </c>
      <c r="F113" t="s">
        <v>2043</v>
      </c>
      <c r="G113" t="s">
        <v>2046</v>
      </c>
      <c r="H113" t="s">
        <v>2214</v>
      </c>
      <c r="I113" t="s">
        <v>2047</v>
      </c>
      <c r="J113" t="s">
        <v>2197</v>
      </c>
      <c r="K113" t="s">
        <v>2049</v>
      </c>
      <c r="L113" t="s">
        <v>2198</v>
      </c>
      <c r="M113" t="s">
        <v>2029</v>
      </c>
      <c r="N113">
        <v>1</v>
      </c>
      <c r="S113">
        <v>1</v>
      </c>
      <c r="V113" t="str">
        <f t="shared" si="26"/>
        <v>{szContent="罢了，青山不改，绿水长流，后会有期！",szTarget="谢烟客",szNote="浩气·谢烟客·平安客栈·败退",col={100,100,255,},bSearch=true,[14]={bCenterAlarm=true,},tCountdown={{nClass=14,nIcon=13,szName="谢渊·谢烟客·减伤",nTime=-2,key="谢渊·谢烟客·减伤",},{nClass=14,nIcon=13,szName="王遗风·顾延恶·减伤",nTime=-2,key="王遗风·顾延恶·减伤",},{nClass=14,nIcon=18829,nFrame=7,szName="浩气·谢烟客·退场·易伤30%",nTime=10,nRefresh=5,key="谢渊·谢烟客·减伤",},{nClass=14,nIcon=3445,nFrame=3,szName="王遗风·顾延恶·减伤",nTime="300,顾延恶·平安客栈·减伤3层;600,顾延恶·平安客栈·减伤2层;900,顾延恶·平安客栈·减伤1层;910,顾延恶·平安客栈·减伤消失",nRefresh=5,key="王遗风·顾延恶·减伤"},},},</v>
      </c>
      <c r="W113" t="str">
        <f t="shared" si="28"/>
        <v>{nClass=14,nIcon=13,szName="谢渊·谢烟客·减伤",nTime=-2,key="谢渊·谢烟客·减伤",},</v>
      </c>
      <c r="X113" t="str">
        <f t="shared" si="29"/>
        <v>{nClass=14,nIcon=13,szName="王遗风·顾延恶·减伤",nTime=-2,key="王遗风·顾延恶·减伤",},</v>
      </c>
      <c r="Y113" t="str">
        <f>"{nClass=14,nIcon=18829,nFrame=7,szName="""&amp;K113&amp;"·"&amp;""&amp;""&amp;L113&amp;"·退场·易伤30%"",nTime=10,nRefresh=5,key="""&amp;F113&amp;"·"&amp;L113&amp;""&amp;"·减伤"""&amp;",},"</f>
        <v>{nClass=14,nIcon=18829,nFrame=7,szName="浩气·谢烟客·退场·易伤30%",nTime=10,nRefresh=5,key="谢渊·谢烟客·减伤",},</v>
      </c>
      <c r="Z113" t="str">
        <f>"{nClass=14,nIcon=3445,nFrame=3,szName="""&amp;G113&amp;"·"&amp;""&amp;J113&amp;""&amp;"·减伤"""&amp;",nTime="""&amp;"300,"&amp;""&amp;J113&amp;"·"&amp;H113&amp;"·减伤3层;600,"&amp;""&amp;J113&amp;"·"&amp;H113&amp;"·减伤2层;900,"&amp;""&amp;J113&amp;"·"&amp;H113&amp;"·减伤1层;910,"&amp;""&amp;J113&amp;"·"&amp;H113&amp;"·减伤消失"""&amp;",nRefresh=5,key="""&amp;G113&amp;"·"&amp;""&amp;J113&amp;""&amp;"·减伤"""&amp;"},"</f>
        <v>{nClass=14,nIcon=3445,nFrame=3,szName="王遗风·顾延恶·减伤",nTime="300,顾延恶·平安客栈·减伤3层;600,顾延恶·平安客栈·减伤2层;900,顾延恶·平安客栈·减伤1层;910,顾延恶·平安客栈·减伤消失",nRefresh=5,key="王遗风·顾延恶·减伤"},</v>
      </c>
    </row>
    <row r="114" spans="1:26">
      <c r="C114" t="s">
        <v>2185</v>
      </c>
      <c r="D114" t="s">
        <v>2079</v>
      </c>
      <c r="E114" t="str">
        <f t="shared" si="27"/>
        <v>恶人·张一洋·丐王坡·败退</v>
      </c>
      <c r="F114" t="s">
        <v>2046</v>
      </c>
      <c r="G114" t="s">
        <v>2043</v>
      </c>
      <c r="H114" t="s">
        <v>2211</v>
      </c>
      <c r="I114" t="s">
        <v>2049</v>
      </c>
      <c r="J114" t="s">
        <v>2186</v>
      </c>
      <c r="K114" t="s">
        <v>2047</v>
      </c>
      <c r="L114" t="s">
        <v>2185</v>
      </c>
      <c r="M114" t="s">
        <v>2025</v>
      </c>
      <c r="N114">
        <v>1</v>
      </c>
      <c r="S114">
        <v>1</v>
      </c>
      <c r="V114" t="str">
        <f t="shared" si="26"/>
        <v>{szContent="罢了，青山不改，绿水长流，后会有期！",szTarget="张一洋",szNote="恶人·张一洋·丐王坡·败退",col={255,100,100,},bSearch=true,[14]={bCenterAlarm=true,},tCountdown={{nClass=14,nIcon=13,szName="王遗风·张一洋·减伤",nTime=-2,key="王遗风·张一洋·减伤",},{nClass=14,nIcon=13,szName="谢渊·周峰·减伤",nTime=-2,key="谢渊·周峰·减伤",},{nClass=14,nIcon=18830,nFrame=3,szName="恶人·张一洋·退场·易伤30%",nTime=10,nRefresh=5,key="王遗风·张一洋·减伤",},{nClass=14,nIcon=3444,nFrame=7,szName="谢渊·周峰·减伤",nTime="300,周峰·丐王坡·减伤3层;600,周峰·丐王坡·减伤2层;900,周峰·丐王坡·减伤1层;910,周峰·丐王坡·减伤消失",nRefresh=5,key="谢渊·周峰·减伤"},},},</v>
      </c>
      <c r="W114" t="str">
        <f t="shared" si="28"/>
        <v>{nClass=14,nIcon=13,szName="王遗风·张一洋·减伤",nTime=-2,key="王遗风·张一洋·减伤",},</v>
      </c>
      <c r="X114" t="str">
        <f t="shared" si="29"/>
        <v>{nClass=14,nIcon=13,szName="谢渊·周峰·减伤",nTime=-2,key="谢渊·周峰·减伤",},</v>
      </c>
      <c r="Y114" t="str">
        <f>"{nClass=14,nIcon=18830,nFrame=3,szName="""&amp;K114&amp;"·"&amp;""&amp;""&amp;L114&amp;"·退场·易伤30%"",nTime=10,nRefresh=5,key="""&amp;F114&amp;"·"&amp;L114&amp;""&amp;"·减伤"""&amp;",},"</f>
        <v>{nClass=14,nIcon=18830,nFrame=3,szName="恶人·张一洋·退场·易伤30%",nTime=10,nRefresh=5,key="王遗风·张一洋·减伤",},</v>
      </c>
      <c r="Z114" t="str">
        <f>"{nClass=14,nIcon=3444,nFrame=7,szName="""&amp;G114&amp;"·"&amp;""&amp;J114&amp;""&amp;"·减伤"""&amp;",nTime="""&amp;"300,"&amp;""&amp;J114&amp;"·"&amp;H114&amp;"·减伤3层;600,"&amp;""&amp;J114&amp;"·"&amp;H114&amp;"·减伤2层;900,"&amp;""&amp;J114&amp;"·"&amp;H114&amp;"·减伤1层;910,"&amp;""&amp;J114&amp;"·"&amp;H114&amp;"·减伤消失"""&amp;",nRefresh=5,key="""&amp;G114&amp;"·"&amp;""&amp;J114&amp;""&amp;"·减伤"""&amp;"},"</f>
        <v>{nClass=14,nIcon=3444,nFrame=7,szName="谢渊·周峰·减伤",nTime="300,周峰·丐王坡·减伤3层;600,周峰·丐王坡·减伤2层;900,周峰·丐王坡·减伤1层;910,周峰·丐王坡·减伤消失",nRefresh=5,key="谢渊·周峰·减伤"},</v>
      </c>
    </row>
    <row r="115" customFormat="1" spans="1:26">
      <c r="C115" t="s">
        <v>2189</v>
      </c>
      <c r="D115" t="s">
        <v>2079</v>
      </c>
      <c r="E115" t="str">
        <f t="shared" si="27"/>
        <v>恶人·陶国栋·白骨陵园·败退</v>
      </c>
      <c r="F115" t="s">
        <v>2046</v>
      </c>
      <c r="G115" t="s">
        <v>2043</v>
      </c>
      <c r="H115" t="s">
        <v>2212</v>
      </c>
      <c r="I115" t="s">
        <v>2049</v>
      </c>
      <c r="J115" t="s">
        <v>2190</v>
      </c>
      <c r="K115" t="s">
        <v>2047</v>
      </c>
      <c r="L115" t="s">
        <v>2189</v>
      </c>
      <c r="M115" t="s">
        <v>2025</v>
      </c>
      <c r="N115">
        <v>1</v>
      </c>
      <c r="S115">
        <v>1</v>
      </c>
      <c r="V115" t="str">
        <f t="shared" si="26"/>
        <v>{szContent="罢了，青山不改，绿水长流，后会有期！",szTarget="陶国栋",szNote="恶人·陶国栋·白骨陵园·败退",col={255,100,100,},bSearch=true,[14]={bCenterAlarm=true,},tCountdown={{nClass=14,nIcon=13,szName="王遗风·陶国栋·减伤",nTime=-2,key="王遗风·陶国栋·减伤",},{nClass=14,nIcon=13,szName="谢渊·郑鸥·减伤",nTime=-2,key="谢渊·郑鸥·减伤",},{nClass=14,nIcon=18830,nFrame=3,szName="恶人·陶国栋·退场·易伤30%",nTime=10,nRefresh=5,key="王遗风·陶国栋·减伤",},{nClass=14,nIcon=3444,nFrame=7,szName="谢渊·郑鸥·减伤",nTime="300,郑鸥·白骨陵园·减伤3层;600,郑鸥·白骨陵园·减伤2层;900,郑鸥·白骨陵园·减伤1层;910,郑鸥·白骨陵园·减伤消失",nRefresh=5,key="谢渊·郑鸥·减伤"},},},</v>
      </c>
      <c r="W115" t="str">
        <f t="shared" si="28"/>
        <v>{nClass=14,nIcon=13,szName="王遗风·陶国栋·减伤",nTime=-2,key="王遗风·陶国栋·减伤",},</v>
      </c>
      <c r="X115" t="str">
        <f t="shared" si="29"/>
        <v>{nClass=14,nIcon=13,szName="谢渊·郑鸥·减伤",nTime=-2,key="谢渊·郑鸥·减伤",},</v>
      </c>
      <c r="Y115" t="str">
        <f>"{nClass=14,nIcon=18830,nFrame=3,szName="""&amp;K115&amp;"·"&amp;""&amp;""&amp;L115&amp;"·退场·易伤30%"",nTime=10,nRefresh=5,key="""&amp;F115&amp;"·"&amp;L115&amp;""&amp;"·减伤"""&amp;",},"</f>
        <v>{nClass=14,nIcon=18830,nFrame=3,szName="恶人·陶国栋·退场·易伤30%",nTime=10,nRefresh=5,key="王遗风·陶国栋·减伤",},</v>
      </c>
      <c r="Z115" t="str">
        <f>"{nClass=14,nIcon=3444,nFrame=7,szName="""&amp;G115&amp;"·"&amp;""&amp;J115&amp;""&amp;"·减伤"""&amp;",nTime="""&amp;"300,"&amp;""&amp;J115&amp;"·"&amp;H115&amp;"·减伤3层;600,"&amp;""&amp;J115&amp;"·"&amp;H115&amp;"·减伤2层;900,"&amp;""&amp;J115&amp;"·"&amp;H115&amp;"·减伤1层;910,"&amp;""&amp;J115&amp;"·"&amp;H115&amp;"·减伤消失"""&amp;",nRefresh=5,key="""&amp;G115&amp;"·"&amp;""&amp;J115&amp;""&amp;"·减伤"""&amp;"},"</f>
        <v>{nClass=14,nIcon=3444,nFrame=7,szName="谢渊·郑鸥·减伤",nTime="300,郑鸥·白骨陵园·减伤3层;600,郑鸥·白骨陵园·减伤2层;900,郑鸥·白骨陵园·减伤1层;910,郑鸥·白骨陵园·减伤消失",nRefresh=5,key="谢渊·郑鸥·减伤"},</v>
      </c>
    </row>
    <row r="116" customFormat="1" spans="1:26">
      <c r="C116" t="s">
        <v>2193</v>
      </c>
      <c r="D116" t="s">
        <v>2079</v>
      </c>
      <c r="E116" t="str">
        <f t="shared" si="27"/>
        <v>恶人·吕沛杰·炎狱山·败退</v>
      </c>
      <c r="F116" t="s">
        <v>2046</v>
      </c>
      <c r="G116" t="s">
        <v>2043</v>
      </c>
      <c r="H116" t="s">
        <v>2213</v>
      </c>
      <c r="I116" t="s">
        <v>2049</v>
      </c>
      <c r="J116" t="s">
        <v>2194</v>
      </c>
      <c r="K116" t="s">
        <v>2047</v>
      </c>
      <c r="L116" t="s">
        <v>2193</v>
      </c>
      <c r="M116" t="s">
        <v>2025</v>
      </c>
      <c r="N116">
        <v>1</v>
      </c>
      <c r="S116">
        <v>1</v>
      </c>
      <c r="V116" t="str">
        <f t="shared" si="26"/>
        <v>{szContent="罢了，青山不改，绿水长流，后会有期！",szTarget="吕沛杰",szNote="恶人·吕沛杰·炎狱山·败退",col={255,100,100,},bSearch=true,[14]={bCenterAlarm=true,},tCountdown={{nClass=14,nIcon=13,szName="王遗风·吕沛杰·减伤",nTime=-2,key="王遗风·吕沛杰·减伤",},{nClass=14,nIcon=13,szName="谢渊·陶杰·减伤",nTime=-2,key="谢渊·陶杰·减伤",},{nClass=14,nIcon=18830,nFrame=3,szName="恶人·吕沛杰·退场·易伤30%",nTime=10,nRefresh=5,key="王遗风·吕沛杰·减伤",},{nClass=14,nIcon=3444,nFrame=7,szName="谢渊·陶杰·减伤",nTime="300,陶杰·炎狱山·减伤3层;600,陶杰·炎狱山·减伤2层;900,陶杰·炎狱山·减伤1层;910,陶杰·炎狱山·减伤消失",nRefresh=5,key="谢渊·陶杰·减伤"},},},</v>
      </c>
      <c r="W116" t="str">
        <f t="shared" si="28"/>
        <v>{nClass=14,nIcon=13,szName="王遗风·吕沛杰·减伤",nTime=-2,key="王遗风·吕沛杰·减伤",},</v>
      </c>
      <c r="X116" t="str">
        <f t="shared" si="29"/>
        <v>{nClass=14,nIcon=13,szName="谢渊·陶杰·减伤",nTime=-2,key="谢渊·陶杰·减伤",},</v>
      </c>
      <c r="Y116" t="str">
        <f>"{nClass=14,nIcon=18830,nFrame=3,szName="""&amp;K116&amp;"·"&amp;""&amp;""&amp;L116&amp;"·退场·易伤30%"",nTime=10,nRefresh=5,key="""&amp;F116&amp;"·"&amp;L116&amp;""&amp;"·减伤"""&amp;",},"</f>
        <v>{nClass=14,nIcon=18830,nFrame=3,szName="恶人·吕沛杰·退场·易伤30%",nTime=10,nRefresh=5,key="王遗风·吕沛杰·减伤",},</v>
      </c>
      <c r="Z116" t="str">
        <f>"{nClass=14,nIcon=3444,nFrame=7,szName="""&amp;G116&amp;"·"&amp;""&amp;J116&amp;""&amp;"·减伤"""&amp;",nTime="""&amp;"300,"&amp;""&amp;J116&amp;"·"&amp;H116&amp;"·减伤3层;600,"&amp;""&amp;J116&amp;"·"&amp;H116&amp;"·减伤2层;900,"&amp;""&amp;J116&amp;"·"&amp;H116&amp;"·减伤1层;910,"&amp;""&amp;J116&amp;"·"&amp;H116&amp;"·减伤消失"""&amp;",nRefresh=5,key="""&amp;G116&amp;"·"&amp;""&amp;J116&amp;""&amp;"·减伤"""&amp;"},"</f>
        <v>{nClass=14,nIcon=3444,nFrame=7,szName="谢渊·陶杰·减伤",nTime="300,陶杰·炎狱山·减伤3层;600,陶杰·炎狱山·减伤2层;900,陶杰·炎狱山·减伤1层;910,陶杰·炎狱山·减伤消失",nRefresh=5,key="谢渊·陶杰·减伤"},</v>
      </c>
    </row>
    <row r="117" customFormat="1" spans="1:26">
      <c r="C117" t="s">
        <v>2197</v>
      </c>
      <c r="D117" t="s">
        <v>2079</v>
      </c>
      <c r="E117" t="str">
        <f t="shared" si="27"/>
        <v>恶人·顾延恶·平安客栈·败退</v>
      </c>
      <c r="F117" t="s">
        <v>2046</v>
      </c>
      <c r="G117" t="s">
        <v>2043</v>
      </c>
      <c r="H117" t="s">
        <v>2214</v>
      </c>
      <c r="I117" t="s">
        <v>2049</v>
      </c>
      <c r="J117" t="s">
        <v>2198</v>
      </c>
      <c r="K117" t="s">
        <v>2047</v>
      </c>
      <c r="L117" t="s">
        <v>2197</v>
      </c>
      <c r="M117" t="s">
        <v>2025</v>
      </c>
      <c r="N117">
        <v>1</v>
      </c>
      <c r="S117">
        <v>1</v>
      </c>
      <c r="V117" t="str">
        <f t="shared" si="26"/>
        <v>{szContent="罢了，青山不改，绿水长流，后会有期！",szTarget="顾延恶",szNote="恶人·顾延恶·平安客栈·败退",col={255,100,100,},bSearch=true,[14]={bCenterAlarm=true,},tCountdown={{nClass=14,nIcon=13,szName="王遗风·顾延恶·减伤",nTime=-2,key="王遗风·顾延恶·减伤",},{nClass=14,nIcon=13,szName="谢渊·谢烟客·减伤",nTime=-2,key="谢渊·谢烟客·减伤",},{nClass=14,nIcon=18830,nFrame=3,szName="恶人·顾延恶·退场·易伤30%",nTime=10,nRefresh=5,key="王遗风·顾延恶·减伤",},{nClass=14,nIcon=3444,nFrame=7,szName="谢渊·谢烟客·减伤",nTime="300,谢烟客·平安客栈·减伤3层;600,谢烟客·平安客栈·减伤2层;900,谢烟客·平安客栈·减伤1层;910,谢烟客·平安客栈·减伤消失",nRefresh=5,key="谢渊·谢烟客·减伤"},},},</v>
      </c>
      <c r="W117" t="str">
        <f t="shared" si="28"/>
        <v>{nClass=14,nIcon=13,szName="王遗风·顾延恶·减伤",nTime=-2,key="王遗风·顾延恶·减伤",},</v>
      </c>
      <c r="X117" t="str">
        <f t="shared" si="29"/>
        <v>{nClass=14,nIcon=13,szName="谢渊·谢烟客·减伤",nTime=-2,key="谢渊·谢烟客·减伤",},</v>
      </c>
      <c r="Y117" t="str">
        <f>"{nClass=14,nIcon=18830,nFrame=3,szName="""&amp;K117&amp;"·"&amp;""&amp;""&amp;L117&amp;"·退场·易伤30%"",nTime=10,nRefresh=5,key="""&amp;F117&amp;"·"&amp;L117&amp;""&amp;"·减伤"""&amp;",},"</f>
        <v>{nClass=14,nIcon=18830,nFrame=3,szName="恶人·顾延恶·退场·易伤30%",nTime=10,nRefresh=5,key="王遗风·顾延恶·减伤",},</v>
      </c>
      <c r="Z117" t="str">
        <f>"{nClass=14,nIcon=3444,nFrame=7,szName="""&amp;G117&amp;"·"&amp;""&amp;J117&amp;""&amp;"·减伤"""&amp;",nTime="""&amp;"300,"&amp;""&amp;J117&amp;"·"&amp;H117&amp;"·减伤3层;600,"&amp;""&amp;J117&amp;"·"&amp;H117&amp;"·减伤2层;900,"&amp;""&amp;J117&amp;"·"&amp;H117&amp;"·减伤1层;910,"&amp;""&amp;J117&amp;"·"&amp;H117&amp;"·减伤消失"""&amp;",nRefresh=5,key="""&amp;G117&amp;"·"&amp;""&amp;J117&amp;""&amp;"·减伤"""&amp;"},"</f>
        <v>{nClass=14,nIcon=3444,nFrame=7,szName="谢渊·谢烟客·减伤",nTime="300,谢烟客·平安客栈·减伤3层;600,谢烟客·平安客栈·减伤2层;900,谢烟客·平安客栈·减伤1层;910,谢烟客·平安客栈·减伤消失",nRefresh=5,key="谢渊·谢烟客·减伤"},</v>
      </c>
    </row>
    <row r="118" customFormat="1" spans="1:26">
      <c r="A118" t="s">
        <v>2215</v>
      </c>
      <c r="B118">
        <v>-21</v>
      </c>
      <c r="V118" t="str">
        <f t="shared" si="26"/>
        <v>},[-21]={</v>
      </c>
    </row>
    <row r="119" customFormat="1" spans="1:26">
      <c r="D119" t="s">
        <v>2216</v>
      </c>
      <c r="M119" t="s">
        <v>2025</v>
      </c>
      <c r="V119" t="str">
        <f t="shared" si="26"/>
        <v>{szContent="分流活动已开启，大侠可以前往龙门荒漠接取阵营攻防前置任务",col={255,100,100,},[14]={},tCountdown={{nClass=14,nIcon=3536,nFrame=3,szName="龙门·攻防前置分流",nTime=30,nRefresh=1800,key="分流活动",},},},</v>
      </c>
      <c r="W119" t="s">
        <v>2217</v>
      </c>
    </row>
    <row r="120" customFormat="1" spans="1:26">
      <c r="D120" t="s">
        <v>2218</v>
      </c>
      <c r="M120" t="s">
        <v>2029</v>
      </c>
      <c r="V120" t="str">
        <f t="shared" si="26"/>
        <v>{szContent="分流活动已开启，大侠可以前往巴陵县接取阵营攻防前置任务",col={100,100,255,},[14]={},tCountdown={{nClass=14,nIcon=3536,nFrame=7,szName="巴陵·攻防前置分流",nTime=30,nRefresh=1800,key="分流活动",},},},</v>
      </c>
      <c r="W120" t="s">
        <v>2219</v>
      </c>
    </row>
    <row r="121" customFormat="1" spans="1:26">
      <c r="A121" t="s">
        <v>1691</v>
      </c>
      <c r="B121">
        <v>-2</v>
      </c>
      <c r="V121" t="str">
        <f t="shared" si="26"/>
        <v>},[-2]={</v>
      </c>
    </row>
    <row r="122" customFormat="1" spans="1:26">
      <c r="D122" t="s">
        <v>2216</v>
      </c>
      <c r="M122" t="s">
        <v>2025</v>
      </c>
      <c r="V122" t="str">
        <f t="shared" si="26"/>
        <v>{szContent="分流活动已开启，大侠可以前往龙门荒漠接取阵营攻防前置任务",col={255,100,100,},[14]={},tCountdown={{nClass=14,nIcon=3536,nFrame=3,szName="龙门·攻防前置分流",nTime=30,nRefresh=1800,key="分流活动",},},},</v>
      </c>
      <c r="W122" t="s">
        <v>2217</v>
      </c>
    </row>
    <row r="123" customFormat="1" spans="1:26">
      <c r="D123" t="s">
        <v>2218</v>
      </c>
      <c r="M123" t="s">
        <v>2029</v>
      </c>
      <c r="V123" t="str">
        <f t="shared" si="26"/>
        <v>{szContent="分流活动已开启，大侠可以前往巴陵县接取阵营攻防前置任务",col={100,100,255,},[14]={},tCountdown={{nClass=14,nIcon=3536,nFrame=7,szName="巴陵·攻防前置分流",nTime=30,nRefresh=1800,key="分流活动",},},},</v>
      </c>
      <c r="W123" t="s">
        <v>2219</v>
      </c>
    </row>
    <row r="124" spans="1:26">
      <c r="A124" t="s">
        <v>538</v>
      </c>
      <c r="B124">
        <v>-7</v>
      </c>
      <c r="V124" t="str">
        <f t="shared" si="26"/>
        <v>},[-7]={</v>
      </c>
    </row>
    <row r="125" customFormat="1" spans="1:26">
      <c r="D125" t="s">
        <v>2216</v>
      </c>
      <c r="M125" t="s">
        <v>2025</v>
      </c>
      <c r="V125" t="str">
        <f t="shared" si="26"/>
        <v>{szContent="分流活动已开启，大侠可以前往龙门荒漠接取阵营攻防前置任务",col={255,100,100,},[14]={},tCountdown={{nClass=14,nIcon=3536,nFrame=3,szName="龙门·攻防前置分流",nTime=30,nRefresh=1800,key="分流活动",},},},</v>
      </c>
      <c r="W125" t="s">
        <v>2217</v>
      </c>
    </row>
    <row r="126" customFormat="1" spans="1:26">
      <c r="D126" t="s">
        <v>2218</v>
      </c>
      <c r="M126" t="s">
        <v>2029</v>
      </c>
      <c r="V126" t="str">
        <f t="shared" si="26"/>
        <v>{szContent="分流活动已开启，大侠可以前往巴陵县接取阵营攻防前置任务",col={100,100,255,},[14]={},tCountdown={{nClass=14,nIcon=3536,nFrame=7,szName="巴陵·攻防前置分流",nTime=30,nRefresh=1800,key="分流活动",},},},</v>
      </c>
      <c r="W126" t="s">
        <v>2219</v>
      </c>
    </row>
    <row r="127" customFormat="1" spans="1:26">
      <c r="A127" t="s">
        <v>1480</v>
      </c>
      <c r="B127">
        <v>-20</v>
      </c>
      <c r="V127" t="str">
        <f t="shared" si="26"/>
        <v>},[-20]={</v>
      </c>
    </row>
    <row r="128" customFormat="1" spans="1:26">
      <c r="C128" t="s">
        <v>1735</v>
      </c>
      <c r="D128" t="s">
        <v>2220</v>
      </c>
      <c r="E128" t="s">
        <v>2221</v>
      </c>
      <c r="V128" t="str">
        <f t="shared" si="26"/>
        <v>{szContent="我竟然败给你们这群小辈！",szTarget="狼牙先锋首领",szNote="防冲突禁用·击退·狼牙先锋首领",[14]={},tCountdown={{nClass=-1,nIcon=3556,nFrame=1,szName="狼牙先锋首领·拾取掉落",nTime="10,狼牙先锋首领·已击退;300,狼牙先锋首领·拾取剩余;600,狼牙先锋首领·刷新剩余;620,狼牙先锋首领·即将刷新;627,狼牙先锋首领·延迟刷新",nRefresh=2,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28" t="s">
        <v>2222</v>
      </c>
      <c r="X128" s="5" t="s">
        <v>2223</v>
      </c>
      <c r="Y128" s="5" t="s">
        <v>2224</v>
      </c>
    </row>
    <row r="129" customFormat="1" spans="3:27">
      <c r="C129" t="s">
        <v>1735</v>
      </c>
      <c r="D129" t="s">
        <v>2225</v>
      </c>
      <c r="E129" t="s">
        <v>2226</v>
      </c>
      <c r="V129" t="str">
        <f t="shared" si="26"/>
        <v>{szContent="你爷爷我年轻些时候，也是翻云覆雨的江湖响当当一号人物！",szTarget="狼牙先锋首领",szNote="狼牙先锋首领·刷新喊话2",[14]={},tCountdown={{nClass=14,nIcon=3556,nFrame=1,szName="狼牙先锋首领·已经刷新",nTime=10,nRefresh=120,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29" t="s">
        <v>2227</v>
      </c>
      <c r="X129" s="5" t="s">
        <v>2223</v>
      </c>
      <c r="Y129" s="5" t="s">
        <v>2224</v>
      </c>
    </row>
    <row r="130" customFormat="1" spans="3:27">
      <c r="C130" t="s">
        <v>1735</v>
      </c>
      <c r="D130" t="s">
        <v>2228</v>
      </c>
      <c r="E130" t="s">
        <v>2229</v>
      </c>
      <c r="V130" t="str">
        <f t="shared" si="26"/>
        <v>{szContent="哼，打扰本大爷休息！",szTarget="狼牙先锋首领",szNote="狼牙先锋首领·刷新喊话1",[14]={},tCountdown={{nClass=14,nIcon=3556,nFrame=1,szName="狼牙先锋首领·已经刷新",nTime=10,nRefresh=120,key="狼牙先锋首领",},},},</v>
      </c>
      <c r="W130" t="s">
        <v>2227</v>
      </c>
    </row>
    <row r="131" customFormat="1" spans="3:27">
      <c r="C131" t="s">
        <v>1735</v>
      </c>
      <c r="D131" t="s">
        <v>2230</v>
      </c>
      <c r="E131" t="s">
        <v>2231</v>
      </c>
      <c r="V131" t="str">
        <f t="shared" ref="V131:V162" si="30">IF(ISBLANK(B131)=FALSE,IF(ISBLANK(B130),"},["&amp;B131&amp;"]={","["&amp;B131&amp;"]={"),IF(AND(ISBLANK(B131),ISBLANK(D131),ISBLANK(N131),ISBLANK(O131),OR(ISBLANK(B130)=FALSE,ISBLANK(D130)=FALSE,ISBLANK(N130)=FALSE,ISBLANK(O130)=FALSE)),"},},}",IF(ISBLANK(D131),"","{szContent="""&amp;D131&amp;""","&amp;IF(C131&lt;&gt;"","szTarget="""&amp;C131&amp;""",","")&amp;IF(E131&lt;&gt;"","szNote="""&amp;E131&amp;""",","")&amp;IF(M131&lt;&gt;"","col={"&amp;M131&amp;"},","")&amp;IF(N131&gt;0,"bSearch=true,","")&amp;IF(O131&gt;0,"bReg=true,","")&amp;"[14]={"&amp;IF(P131&gt;0,"szVoice="""&amp;P131&amp;""",","")&amp;IF(Q131&gt;0,"bTeamChannel=true,","")&amp;IF(R131&gt;0,"bWhisperChannel=true,","")&amp;IF(S131&gt;0,"bCenterAlarm=true,","")&amp;IF(T131&gt;0,"bScreenHead=true,","")&amp;IF(U131&gt;0,"bFullScreen=true,","")&amp;"},"&amp;IF(W131&lt;&gt;"","tCountdown={"&amp;_xlfn.TEXTJOIN("",TRUE,W131:AAH131)&amp;"},","")&amp;"},")))</f>
        <v>{szContent="哼，还有要事要办，今日收获甚多，来日定多来领略你们的武功！",szTarget="狼牙先锋首领",szNote="狼牙先锋首领·攻防结束",[14]={},tCountdown={{nClass=14,nIcon=13,szName="狼牙先锋首领·离开",nTime=0,key="狼牙先锋首领",},{nClass=14,nIcon=13,szName="诛恶事件",nTime=-2,key="诛恶事件",},{nClass=14,nIcon=13,szName="通用事件",nTime=-2,key="通用事件",},{nClass=14,nIcon=13,nTime=-2,szName="金水镇",key="金水镇",},{nClass=14,nIcon=13,nTime=-2,szName="巴陵县",key="巴陵县",},{nClass=14,nIcon=13,nTime=-2,szName="龙门荒漠",key="龙门荒漠",},{nClass=14,nIcon=13,nTime=-2,szName="南屏山",key="南屏山",},{nClass=14,nIcon=13,nTime=-2,szName="昆仑",key="昆仑",},{nClass=14,nIcon=13,nTime=-2,szName="白龙口",key="白龙口",},{nClass=14,nIcon=13,nTime=-2,szName="无量山",key="无量山",},{nClass=14,nIcon=13,nTime=-2,szName="黑龙沼",key="黑龙沼",},{nClass=14,nIcon=13,nTime=-2,szName="阴山大草原",key="阴山大草原",},{nClass=14,nIcon=13,nTime=-2,szName="黑戈壁",key="黑戈壁",},{nClass=14,nIcon=13,nTime=-2,szName="鲲鹏岛",key="鲲鹏岛",},},},</v>
      </c>
      <c r="W131" t="s">
        <v>2232</v>
      </c>
      <c r="X131" s="4" t="s">
        <v>2233</v>
      </c>
      <c r="Y131" s="4" t="s">
        <v>2234</v>
      </c>
    </row>
    <row r="132" customFormat="1" spans="3:27">
      <c r="C132" t="s">
        <v>2022</v>
      </c>
      <c r="D132" t="s">
        <v>2235</v>
      </c>
      <c r="E132" t="s">
        <v>2236</v>
      </c>
      <c r="S132">
        <v>1</v>
      </c>
      <c r="V132" t="str">
        <f t="shared" si="30"/>
        <v>{szContent="尔等鼠辈！谁敢与我一战！",szTarget="%",szNote="据点攻防·正式开始",[14]={bCenterAlarm=true,},tCountdown={{nClass=14,nIcon=3536,nFrame=0,szName="据点攻防·正式开始",nTime="2,据点攻防·正式开始;10,建议关闭·江湖身份",nRefresh=2,key="阵营活动",},{nClass=14,nIcon=13,szName="绣球花",nTime=-1,key="绣球花",},{nClass=14,nIcon=13,szName="郁金香",nTime=-1,key="郁金香",},{nClass=14,nIcon=13,szName="牵牛花",nTime=-1,key="牵牛花",},{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32" t="s">
        <v>2237</v>
      </c>
      <c r="X132" s="5" t="s">
        <v>2238</v>
      </c>
      <c r="Y132" s="5" t="s">
        <v>2223</v>
      </c>
      <c r="Z132" s="5" t="s">
        <v>2224</v>
      </c>
    </row>
    <row r="133" customFormat="1" spans="3:27">
      <c r="C133" t="s">
        <v>2022</v>
      </c>
      <c r="D133" t="s">
        <v>2239</v>
      </c>
      <c r="E133" t="s">
        <v>2240</v>
      </c>
      <c r="M133" t="s">
        <v>2033</v>
      </c>
      <c r="S133">
        <v>1</v>
      </c>
      <c r="V133" t="str">
        <f t="shared" si="30"/>
        <v>{szContent="可恶！",szTarget="%",szNote="{$sender}·退场",col={255,255,100,},[14]={bCenterAlarm=true,},tCountdown={{nClass=14,nIcon=1465,szName="浩气盟大将",nTime=-2,nRefresh=2,key="浩气盟大将",},{nClass=14,nIcon=1465,szName="恶人谷大将",nTime=-2,nRefresh=2,key="恶人谷大将",},{nClass=14,nIcon=13,szName="{$sender}",nTime=-2,key="{$sender}",},{nClass=14,nIcon=18829,nFrame=7,szName="浩气盟大将·退场",nTime=10,nRefresh=1,key="浩气盟大将",},{nClass=14,nIcon=18830,nFrame=3,szName="恶人谷大将·退场",nTime=10,nRefresh=1,key="恶人谷大将",},},},</v>
      </c>
      <c r="W133" t="s">
        <v>2241</v>
      </c>
      <c r="X133" t="s">
        <v>2242</v>
      </c>
      <c r="Y133" t="s">
        <v>2243</v>
      </c>
      <c r="Z133" t="s">
        <v>2244</v>
      </c>
      <c r="AA133" t="s">
        <v>2245</v>
      </c>
    </row>
    <row r="134" customFormat="1" spans="3:27">
      <c r="C134" t="s">
        <v>2022</v>
      </c>
      <c r="D134" t="s">
        <v>2246</v>
      </c>
      <c r="E134"/>
      <c r="M134" t="s">
        <v>2025</v>
      </c>
      <c r="N134">
        <v>1</v>
      </c>
      <c r="O134"/>
      <c r="V134" t="str">
        <f t="shared" si="30"/>
        <v>{szContent="留下大量军功，请“恶人谷”侠士们前来拾取，切莫错过。",szTarget="%",col={255,100,100,},bSearch=true,[14]={},tCountdown={{nClass=14,nIcon=13,szName="狼牙先锋首领",nTime=-2,key="狼牙先锋首领",},{nClass=14,nIcon=13,nFrame=3,szName="恶人谷·拾取首领掉落",nTime="300,恶人谷·拾取首领掉落;600,狼牙先锋首领·刷新剩余;620,狼牙先锋首领·即将刷新;625,狼牙先锋首领·延迟刷新",nRefresh=300,key="狼牙先锋首领",},},},</v>
      </c>
      <c r="W134" t="s">
        <v>2247</v>
      </c>
      <c r="X134" t="s">
        <v>2248</v>
      </c>
    </row>
    <row r="135" customFormat="1" spans="3:27">
      <c r="C135" t="s">
        <v>2022</v>
      </c>
      <c r="D135" t="s">
        <v>2249</v>
      </c>
      <c r="E135"/>
      <c r="M135" t="s">
        <v>2029</v>
      </c>
      <c r="N135">
        <v>1</v>
      </c>
      <c r="O135"/>
      <c r="V135" t="str">
        <f t="shared" si="30"/>
        <v>{szContent="留下大量军功，请“浩气盟”侠士们前来拾取，切莫错过。",szTarget="%",col={100,100,255,},bSearch=true,[14]={},tCountdown={{nClass=14,nIcon=13,szName="狼牙先锋首领",nTime=-2,key="狼牙先锋首领",},{nClass=14,nIcon=13,nFrame=7,szName="浩气盟·拾取首领掉落",nTime="300,浩气盟·拾取首领掉落;600,狼牙先锋首领·刷新剩余;620,狼牙先锋首领·即将刷新;625,狼牙先锋首领·延迟刷新",nRefresh=300,key="狼牙先锋首领",},},},</v>
      </c>
      <c r="W135" t="s">
        <v>2247</v>
      </c>
      <c r="X135" t="s">
        <v>2250</v>
      </c>
    </row>
    <row r="136" customFormat="1" spans="3:27">
      <c r="C136" t="s">
        <v>2022</v>
      </c>
      <c r="D136" t="s">
        <v>2251</v>
      </c>
      <c r="E136" t="s">
        <v>2252</v>
      </c>
      <c r="M136" t="s">
        <v>1474</v>
      </c>
      <c r="S136">
        <v>1</v>
      </c>
      <c r="T136"/>
      <c r="U136">
        <v>1</v>
      </c>
      <c r="V136" t="str">
        <f t="shared" si="30"/>
        <v>{szContent="您因消极怠战,扰乱阵营秩序，被阵营督查官请离当前地图，但同时给予250点贡献积分！",szTarget="%",szNote="阵营督查官·请离据点攻防",col={255,50,255,},[14]={bCenterAlarm=true,bFullScreen=true,},tCountdown={{nClass=14,nIcon=13,nFrame=1,bHold=true,nTime=30,szName="阵营督查·请离据点攻防",key="挂机检测",},},},</v>
      </c>
      <c r="W136" t="s">
        <v>2253</v>
      </c>
    </row>
    <row r="137" customFormat="1" spans="3:27">
      <c r="C137" t="s">
        <v>2022</v>
      </c>
      <c r="D137" t="s">
        <v>2254</v>
      </c>
      <c r="E137" t="s">
        <v>2255</v>
      </c>
      <c r="M137" t="s">
        <v>1474</v>
      </c>
      <c r="O137">
        <v>1</v>
      </c>
      <c r="S137">
        <v>1</v>
      </c>
      <c r="V137" t="str">
        <f t="shared" si="30"/>
        <v>{szContent="^【(.-)】据点大旗受损，获得(%d-)层易伤，当前总计【(%d-)层易伤】！",szTarget="%",szNote="【{$1}】大旗·易伤{$3}层",col={255,50,255,},bReg=true,[14]={bCenterAlarm=true,},tCountdown={{nClass=14,nIcon=16834,nFrame=1,szName="大旗易伤",nTime=-1,nRefresh=2,key="大旗易伤",},{nClass=14,nIcon=16834,nFrame=1,szName="【{$1}】大旗·易伤{$3}层",nTime="60,【{$1}】大旗·易伤{$3}层;65,【{$1}】大旗·易伤冷却结束",nRefresh=0,key="{$1}·大旗易伤",},},},</v>
      </c>
      <c r="W137" t="s">
        <v>2256</v>
      </c>
      <c r="X137" t="s">
        <v>2257</v>
      </c>
    </row>
    <row r="138" customFormat="1" spans="3:27">
      <c r="C138" t="s">
        <v>2258</v>
      </c>
      <c r="D138" t="s">
        <v>2259</v>
      </c>
      <c r="E138"/>
      <c r="M138" t="s">
        <v>2033</v>
      </c>
      <c r="O138">
        <v>1</v>
      </c>
      <c r="V138" t="str">
        <f t="shared" si="30"/>
        <v>{szContent="好嘞，老夫开始收货了。本次特产转为(%d-)个(.-)，(.-)[，]-您辛苦了！",szTarget="据点总管",col={255,255,100,},bReg=true,[14]={},tCountdown={{nClass=14,nIcon=13,nFrame=6,szName="阵营模式",nTime=-2,key="阵营模式",},{nClass=14,nIcon=374,nFrame=6,szName="{$2}·{$1}{$3}",nTime=10,nRefresh=600,key="阵营模式",},},},</v>
      </c>
      <c r="W138" t="s">
        <v>2260</v>
      </c>
      <c r="X138" t="s">
        <v>2261</v>
      </c>
    </row>
    <row r="139" customFormat="1" spans="3:27">
      <c r="C139" t="s">
        <v>2258</v>
      </c>
      <c r="D139" t="s">
        <v>2262</v>
      </c>
      <c r="E139" t="s">
        <v>2263</v>
      </c>
      <c r="M139" t="s">
        <v>1745</v>
      </c>
      <c r="O139">
        <v>1</v>
      </c>
      <c r="S139">
        <v>1</v>
      </c>
      <c r="T139">
        <v>1</v>
      </c>
      <c r="U139"/>
      <c r="V139" t="str">
        <f t="shared" si="30"/>
        <v>{szContent="已为.-补.-%[(.+)%].-(%d-)个.-消耗(%d+%.?%d-)金",szTarget="据点总管",szNote="补货·[{$1}]·{$2}",col={100,255,100,},bReg=true,[14]={bCenterAlarm=true,bScreenHead=true,},tCountdown={{nClass=14,nIcon=13,nFrame=6,szName="阵营模式",nTime=-2,key="阵营模式",},{nClass=14,nIcon=135,nFrame=6,szName="补货·[{$1}]·{$2}",nTime=10,nRefresh=600,key="阵营模式",},},},</v>
      </c>
      <c r="W139" t="s">
        <v>2260</v>
      </c>
      <c r="X139" t="s">
        <v>2264</v>
      </c>
    </row>
    <row r="140" customFormat="1" spans="3:27">
      <c r="C140" t="s">
        <v>2022</v>
      </c>
      <c r="D140" t="s">
        <v>2265</v>
      </c>
      <c r="E140" t="s">
        <v>2266</v>
      </c>
      <c r="M140" t="s">
        <v>2033</v>
      </c>
      <c r="N140"/>
      <c r="O140">
        <v>1</v>
      </c>
      <c r="S140">
        <v>1</v>
      </c>
      <c r="V140" t="str">
        <f t="shared" si="30"/>
        <v>{szContent="(.-)离开据点过久，或在原地五尺范围内盘踞超过五分钟，旗帜重置！",szTarget="%",szNote="[{$1}]·离开据点·大旗重置",col={255,255,100,},bReg=true,[14]={bCenterAlarm=true,},tCountdown={{nClass=14,nIcon=592,nFrame=4,szName="【{$1}·离开据点】大旗重置",nTime=180,key="离开据点·大旗重置",},},},</v>
      </c>
      <c r="W140" t="s">
        <v>2267</v>
      </c>
    </row>
    <row r="141" customFormat="1" spans="3:27">
      <c r="C141" t="s">
        <v>2022</v>
      </c>
      <c r="D141" t="s">
        <v>2268</v>
      </c>
      <c r="E141" t="s">
        <v>2269</v>
      </c>
      <c r="M141" t="s">
        <v>2033</v>
      </c>
      <c r="N141"/>
      <c r="O141">
        <v>1</v>
      </c>
      <c r="S141">
        <v>1</v>
      </c>
      <c r="V141" t="str">
        <f t="shared" si="30"/>
        <v>{szContent="^%[逐鹿中原%]%[(.-)%]：正在(.-)城门！",szTarget="%",szNote="[{$1}]·{$2}·城门",col={255,255,100,},bReg=true,[14]={bCenterAlarm=true,},tCountdown={{nClass=14,nIcon=1465,nFrame=5,nTime=-2,szName="打开·城门",nRefresh=10,key="打开·城门",},{nClass=14,nIcon=1465,nFrame=5,nTime=-2,szName="关闭·城门",nRefresh=10,key="关闭·城门",},{nClass=14,nIcon=13,nFrame=5,nTime=-2,szName="{$2}·城门",key="{$2}·城门",},{nClass=14,nIcon=2310,nFrame=1,nTime=10,szName="城门·打开·[{$1}]",nRefresh=10,key="打开·城门",},{nClass=14,nIcon=4839,nFrame=1,nTime=10,szName="城门·关闭·[{$1}]",nRefresh=10,key="关闭·城门",},},},</v>
      </c>
      <c r="W141" t="s">
        <v>2270</v>
      </c>
      <c r="X141" t="s">
        <v>2271</v>
      </c>
      <c r="Y141" t="s">
        <v>2272</v>
      </c>
      <c r="Z141" t="s">
        <v>2273</v>
      </c>
      <c r="AA141" t="s">
        <v>2274</v>
      </c>
    </row>
    <row r="142" customFormat="1" spans="3:27">
      <c r="D142" t="s">
        <v>2275</v>
      </c>
      <c r="E142" t="s">
        <v>2276</v>
      </c>
      <c r="M142" t="s">
        <v>2033</v>
      </c>
      <c r="Q142">
        <v>1</v>
      </c>
      <c r="S142">
        <v>1</v>
      </c>
      <c r="V142" t="str">
        <f t="shared" si="30"/>
        <v>{szContent="身负据点大旗，当心被夺！",szNote="[{$me}]·扛起大旗",col={255,255,100,},[14]={bTeamChannel=true,bCenterAlarm=true,},tCountdown={{nClass=14,nIcon=592,nFrame=8,szName="【{$me}】·拾取大旗",nTime=30,key="拾取大旗·{$me}",},},},</v>
      </c>
      <c r="W142" t="s">
        <v>2277</v>
      </c>
    </row>
    <row r="143" customFormat="1" spans="3:27">
      <c r="D143" t="s">
        <v>2278</v>
      </c>
      <c r="E143"/>
      <c r="M143" t="s">
        <v>2033</v>
      </c>
      <c r="V143" t="str">
        <f t="shared" si="30"/>
        <v>{szContent="你已经离开据点，10秒内未进入据点，则据点旗帜重置。",col={255,255,100,},[14]={},tCountdown={{nClass=14,nIcon=592,nFrame=2,szName="据点大旗·重置剩余",nTime=10,key="据点大旗·旗手提示",},},},</v>
      </c>
      <c r="W143" t="s">
        <v>2279</v>
      </c>
    </row>
    <row r="144" customFormat="1" spans="3:27">
      <c r="D144" t="s">
        <v>2280</v>
      </c>
      <c r="E144" t="s">
        <v>2281</v>
      </c>
      <c r="M144" t="s">
        <v>1474</v>
      </c>
      <c r="P144" t="s">
        <v>537</v>
      </c>
      <c r="Q144">
        <v>1</v>
      </c>
      <c r="R144">
        <v>1</v>
      </c>
      <c r="S144">
        <v>1</v>
      </c>
      <c r="U144">
        <v>1</v>
      </c>
      <c r="V144" t="str">
        <f t="shared" si="30"/>
        <v>{szContent="系统检测您有挂机行为，如果长期维持该状态将被传送出图！",szNote="挂机检测·快活跃起来",col={255,50,255,},[14]={szVoice="DianMing_P",bTeamChannel=true,bWhisperChannel=true,bCenterAlarm=true,bFullScreen=true,},tCountdown={{nClass=14,nIcon=13,nFrame=2,szName="挂机检测·动一动",nTime=30,key="挂机检测",},},},</v>
      </c>
      <c r="W144" t="s">
        <v>2282</v>
      </c>
    </row>
    <row r="145" spans="1:23">
      <c r="D145" t="s">
        <v>2283</v>
      </c>
      <c r="E145" t="s">
        <v>2284</v>
      </c>
      <c r="M145" t="s">
        <v>1474</v>
      </c>
      <c r="S145">
        <v>1</v>
      </c>
      <c r="V145" t="str">
        <f t="shared" si="30"/>
        <v>{szContent="侠士对抗类装分过低，请前往分流场景或黑戈壁参与。",szNote="据点攻防·装分过低",col={255,50,255,},[14]={bCenterAlarm=true,},tCountdown={{nClass=14,nIcon=13,nFrame=2,bHold=true,nTime=30,szName="据点攻防·装分过低",key="挂机检测",},},},</v>
      </c>
      <c r="W145" t="s">
        <v>2285</v>
      </c>
    </row>
    <row r="146" spans="1:23">
      <c r="D146" t="s">
        <v>2286</v>
      </c>
      <c r="E146" t="s">
        <v>2287</v>
      </c>
      <c r="M146" t="s">
        <v>1474</v>
      </c>
      <c r="S146">
        <v>1</v>
      </c>
      <c r="V146" t="str">
        <f t="shared" si="30"/>
        <v>{szContent="因侠士近来行为异常，逐鹿中原期间，禁止参与，你即将被传送到百溪！",szNote="据点攻防·禁止参与",col={255,50,255,},[14]={bCenterAlarm=true,},tCountdown={{nClass=14,nIcon=13,nFrame=2,bHold=true,nTime=30,szName="据点攻防·禁止参与本场",key="挂机检测",},},},</v>
      </c>
      <c r="W146" t="s">
        <v>2288</v>
      </c>
    </row>
    <row r="147" spans="1:23">
      <c r="C147" t="s">
        <v>2022</v>
      </c>
      <c r="D147" t="s">
        <v>2289</v>
      </c>
      <c r="E147" t="s">
        <v>2290</v>
      </c>
      <c r="M147" t="s">
        <v>2033</v>
      </c>
      <c r="V147" t="str">
        <f t="shared" si="30"/>
        <v>{szContent="据点之战在即，为公平起见，侠士将在30秒后被传出本图，据点帮会25名拥有地图优先进入权的玩家将不会被传送出去。",szTarget="%",szNote="据点攻防·场景清图",col={255,255,100,},[14]={},tCountdown={{nClass=14,nIcon=13,nFrame=4,szName="攻防清图·出图剩余",nTime="30,攻防清图·出图剩余;32,据点攻防·清图传出",nRefresh=1,key="挂机检测",},},},</v>
      </c>
      <c r="W147" t="s">
        <v>2291</v>
      </c>
    </row>
    <row r="148" spans="1:23">
      <c r="D148" t="s">
        <v>2292</v>
      </c>
      <c r="E148" t="s">
        <v>2293</v>
      </c>
      <c r="M148" t="s">
        <v>1474</v>
      </c>
      <c r="P148" t="s">
        <v>713</v>
      </c>
      <c r="S148">
        <v>1</v>
      </c>
      <c r="U148">
        <v>1</v>
      </c>
      <c r="V148" t="str">
        <f t="shared" si="30"/>
        <v>{szContent="万水千山总是情，买满货物行不行？",szNote="据点贸易·货物不足",col={255,50,255,},[14]={szVoice="ShiYongDaoJu",bCenterAlarm=true,bFullScreen=true,},},</v>
      </c>
    </row>
    <row r="149" spans="1:23">
      <c r="A149" t="s">
        <v>682</v>
      </c>
      <c r="B149">
        <v>22</v>
      </c>
      <c r="V149" t="str">
        <f t="shared" si="30"/>
        <v>},[22]={</v>
      </c>
    </row>
    <row r="150" customFormat="1" spans="1:23">
      <c r="C150" t="s">
        <v>2294</v>
      </c>
      <c r="D150" t="s">
        <v>2295</v>
      </c>
      <c r="E150" t="s">
        <v>2296</v>
      </c>
      <c r="M150" t="s">
        <v>2029</v>
      </c>
      <c r="S150">
        <v>1</v>
      </c>
      <c r="V150" t="str">
        <f t="shared" si="30"/>
        <v>{szContent="增援已至武王城，速速进攻！",szTarget="浩气盟督廷卫",szNote="浩气·兵符增援·武王城",col={100,100,255,},[14]={bCenterAlarm=true,},tCountdown={{nClass=14,nIcon=8478,nFrame=8,szName="浩气·兵符增援·武王城",nTime="10,浩气·兵符增援·武王城;300,浩气·武王城·兵符冷却;305,浩气·武王城·可用兵符",nRefresh=1,key="兵符·武王城",},},},</v>
      </c>
      <c r="W150" t="s">
        <v>2297</v>
      </c>
    </row>
    <row r="151" spans="1:23">
      <c r="A151" t="s">
        <v>705</v>
      </c>
      <c r="B151">
        <v>30</v>
      </c>
      <c r="V151" t="str">
        <f t="shared" si="30"/>
        <v>},[30]={</v>
      </c>
    </row>
    <row r="152" customFormat="1" spans="1:23">
      <c r="C152" t="s">
        <v>2298</v>
      </c>
      <c r="D152" t="s">
        <v>2299</v>
      </c>
      <c r="E152" t="s">
        <v>2300</v>
      </c>
      <c r="M152" t="s">
        <v>2025</v>
      </c>
      <c r="S152">
        <v>1</v>
      </c>
      <c r="V152" t="str">
        <f t="shared" si="30"/>
        <v>{szContent="增援已至凛风堡，速速进攻！",szTarget="恶人谷督廷卫",szNote="恶人·兵符增援·凛风堡",col={255,100,100,},[14]={bCenterAlarm=true,},tCountdown={{nClass=14,nIcon=8478,nFrame=8,szName="恶人·兵符增援·凛风堡",nTime="10,恶人·兵符增援·凛风堡;300,恶人·凛风堡·兵符冷却;305,恶人·凛风堡·可用兵符",nRefresh=1,key="兵符·凛风堡",},},},</v>
      </c>
      <c r="W152" t="s">
        <v>2301</v>
      </c>
    </row>
    <row r="153" customFormat="1" spans="1:23">
      <c r="A153" t="s">
        <v>679</v>
      </c>
      <c r="B153">
        <v>21</v>
      </c>
      <c r="V153" t="str">
        <f t="shared" si="30"/>
        <v>},[21]={</v>
      </c>
    </row>
    <row r="154" customFormat="1" spans="1:23">
      <c r="C154" t="s">
        <v>2294</v>
      </c>
      <c r="D154" t="s">
        <v>2302</v>
      </c>
      <c r="E154" t="s">
        <v>2303</v>
      </c>
      <c r="M154" t="s">
        <v>2029</v>
      </c>
      <c r="S154">
        <v>1</v>
      </c>
      <c r="V154" t="str">
        <f t="shared" si="30"/>
        <v>{szContent="增援已至盘龙坞，速速进攻！",szTarget="浩气盟督廷卫",szNote="浩气·兵符增援·盘龙坞",col={100,100,255,},[14]={bCenterAlarm=true,},tCountdown={{nClass=14,nIcon=8478,nFrame=8,szName="浩气·兵符增援·盘龙坞",nTime="10,浩气·兵符增援·盘龙坞;300,浩气·盘龙坞·兵符冷却;305,浩气·盘龙坞·可用兵符",nRefresh=1,key="兵符·盘龙坞",},},},</v>
      </c>
      <c r="W154" t="s">
        <v>2304</v>
      </c>
    </row>
    <row r="155" customFormat="1" spans="1:23">
      <c r="C155" t="s">
        <v>2294</v>
      </c>
      <c r="D155" t="s">
        <v>2305</v>
      </c>
      <c r="E155" t="s">
        <v>2306</v>
      </c>
      <c r="M155" t="s">
        <v>2029</v>
      </c>
      <c r="S155">
        <v>1</v>
      </c>
      <c r="V155" t="str">
        <f t="shared" si="30"/>
        <v>{szContent="增援已至逐鹿坪，速速进攻！",szTarget="浩气盟督廷卫",szNote="浩气·兵符增援·逐鹿坪",col={100,100,255,},[14]={bCenterAlarm=true,},tCountdown={{nClass=14,nIcon=8478,nFrame=8,szName="浩气·兵符增援·逐鹿坪",nTime="10,浩气·兵符增援·逐鹿坪;300,浩气·逐鹿坪·兵符冷却;305,浩气·逐鹿坪·可用兵符",nRefresh=1,key="兵符·逐鹿坪",},},},</v>
      </c>
      <c r="W155" t="s">
        <v>2307</v>
      </c>
    </row>
    <row r="156" spans="1:23">
      <c r="A156" t="s">
        <v>685</v>
      </c>
      <c r="B156">
        <v>23</v>
      </c>
      <c r="V156" t="str">
        <f t="shared" si="30"/>
        <v>},[23]={</v>
      </c>
    </row>
    <row r="157" customFormat="1" spans="1:23">
      <c r="C157" t="s">
        <v>2298</v>
      </c>
      <c r="D157" t="s">
        <v>2308</v>
      </c>
      <c r="E157" t="s">
        <v>2309</v>
      </c>
      <c r="M157" t="s">
        <v>2025</v>
      </c>
      <c r="S157">
        <v>1</v>
      </c>
      <c r="V157" t="str">
        <f t="shared" si="30"/>
        <v>{szContent="增援已至龙门镇，速速进攻！",szTarget="恶人谷督廷卫",szNote="恶人·兵符增援·龙门镇",col={255,100,100,},[14]={bCenterAlarm=true,},tCountdown={{nClass=14,nIcon=8478,nFrame=8,szName="恶人·兵符增援·龙门镇",nTime="10,恶人·兵符增援·龙门镇;300,恶人·龙门镇·兵符冷却;305,恶人·龙门镇·可用兵符",nRefresh=1,key="兵符·龙门镇",},},},</v>
      </c>
      <c r="W157" t="s">
        <v>2310</v>
      </c>
    </row>
    <row r="158" customFormat="1" spans="1:23">
      <c r="C158" t="s">
        <v>2298</v>
      </c>
      <c r="D158" t="s">
        <v>2311</v>
      </c>
      <c r="E158" t="s">
        <v>2312</v>
      </c>
      <c r="M158" t="s">
        <v>2025</v>
      </c>
      <c r="S158">
        <v>1</v>
      </c>
      <c r="V158" t="str">
        <f t="shared" si="30"/>
        <v>{szContent="增援已至飞沙关，速速进攻！",szTarget="恶人谷督廷卫",szNote="恶人·兵符增援·飞沙关",col={255,100,100,},[14]={bCenterAlarm=true,},tCountdown={{nClass=14,nIcon=8478,nFrame=8,szName="恶人·兵符增援·飞沙关",nTime="10,恶人·兵符增援·飞沙关;300,恶人·飞沙关·兵符冷却;305,恶人·飞沙关·可用兵符",nRefresh=1,key="兵符·飞沙关",},},},</v>
      </c>
      <c r="W158" t="s">
        <v>2313</v>
      </c>
    </row>
    <row r="159" spans="1:23">
      <c r="A159" t="s">
        <v>633</v>
      </c>
      <c r="B159">
        <v>9</v>
      </c>
      <c r="V159" t="str">
        <f t="shared" si="30"/>
        <v>},[9]={</v>
      </c>
    </row>
    <row r="160" customFormat="1" spans="1:23">
      <c r="C160" t="s">
        <v>2294</v>
      </c>
      <c r="D160" t="s">
        <v>2314</v>
      </c>
      <c r="E160" t="s">
        <v>2315</v>
      </c>
      <c r="M160" t="s">
        <v>2029</v>
      </c>
      <c r="S160">
        <v>1</v>
      </c>
      <c r="V160" t="str">
        <f t="shared" si="30"/>
        <v>{szContent="增援已至红莲岗，速速进攻！",szTarget="浩气盟督廷卫",szNote="浩气·兵符增援·红莲岗",col={100,100,255,},[14]={bCenterAlarm=true,},tCountdown={{nClass=14,nIcon=8478,nFrame=8,szName="浩气·兵符增援·红莲岗",nTime="10,浩气·兵符增援·红莲岗;300,浩气·红莲岗·兵符冷却;305,浩气·红莲岗·可用兵符",nRefresh=1,key="兵符·红莲岗",},},},</v>
      </c>
      <c r="W160" t="s">
        <v>2316</v>
      </c>
    </row>
    <row r="161" customFormat="1" spans="1:25">
      <c r="C161" t="s">
        <v>2294</v>
      </c>
      <c r="D161" t="s">
        <v>2317</v>
      </c>
      <c r="E161" t="s">
        <v>2318</v>
      </c>
      <c r="M161" t="s">
        <v>2029</v>
      </c>
      <c r="S161">
        <v>1</v>
      </c>
      <c r="V161" t="str">
        <f t="shared" si="30"/>
        <v>{szContent="增援已至秋雨堡，速速进攻！",szTarget="浩气盟督廷卫",szNote="浩气·兵符增援·秋雨堡",col={100,100,255,},[14]={bCenterAlarm=true,},tCountdown={{nClass=14,nIcon=8478,nFrame=8,szName="浩气·兵符增援·秋雨堡",nTime="10,浩气·兵符增援·秋雨堡;300,浩气·秋雨堡·兵符冷却;305,浩气·秋雨堡·可用兵符",nRefresh=1,key="兵符·秋雨堡",},},},</v>
      </c>
      <c r="W161" t="s">
        <v>2319</v>
      </c>
    </row>
    <row r="162" spans="1:25">
      <c r="A162" t="s">
        <v>846</v>
      </c>
      <c r="B162">
        <v>103</v>
      </c>
      <c r="V162" t="str">
        <f t="shared" si="30"/>
        <v>},[103]={</v>
      </c>
    </row>
    <row r="163" customFormat="1" spans="1:25">
      <c r="C163" t="s">
        <v>2298</v>
      </c>
      <c r="D163" t="s">
        <v>2320</v>
      </c>
      <c r="E163" t="s">
        <v>2321</v>
      </c>
      <c r="M163" t="s">
        <v>2025</v>
      </c>
      <c r="S163">
        <v>1</v>
      </c>
      <c r="V163" t="str">
        <f t="shared" ref="V163:V197" si="31">IF(ISBLANK(B163)=FALSE,IF(ISBLANK(B162),"},["&amp;B163&amp;"]={","["&amp;B163&amp;"]={"),IF(AND(ISBLANK(B163),ISBLANK(D163),ISBLANK(N163),ISBLANK(O163),OR(ISBLANK(B162)=FALSE,ISBLANK(D162)=FALSE,ISBLANK(N162)=FALSE,ISBLANK(O162)=FALSE)),"},},}",IF(ISBLANK(D163),"","{szContent="""&amp;D163&amp;""","&amp;IF(C163&lt;&gt;"","szTarget="""&amp;C163&amp;""",","")&amp;IF(E163&lt;&gt;"","szNote="""&amp;E163&amp;""",","")&amp;IF(M163&lt;&gt;"","col={"&amp;M163&amp;"},","")&amp;IF(N163&gt;0,"bSearch=true,","")&amp;IF(O163&gt;0,"bReg=true,","")&amp;"[14]={"&amp;IF(P163&gt;0,"szVoice="""&amp;P163&amp;""",","")&amp;IF(Q163&gt;0,"bTeamChannel=true,","")&amp;IF(R163&gt;0,"bWhisperChannel=true,","")&amp;IF(S163&gt;0,"bCenterAlarm=true,","")&amp;IF(T163&gt;0,"bScreenHead=true,","")&amp;IF(U163&gt;0,"bFullScreen=true,","")&amp;"},"&amp;IF(W163&lt;&gt;"","tCountdown={"&amp;_xlfn.TEXTJOIN("",TRUE,W163:AAH163)&amp;"},","")&amp;"},")))</f>
        <v>{szContent="增援已至神池岭，速速进攻！",szTarget="恶人谷督廷卫",szNote="恶人·兵符增援·神池岭",col={255,100,100,},[14]={bCenterAlarm=true,},tCountdown={{nClass=14,nIcon=8478,nFrame=8,szName="恶人·兵符增援·神池岭",nTime="10,恶人·兵符增援·神池岭;300,恶人·神池岭·兵符冷却;305,恶人·神池岭·可用兵符",nRefresh=1,key="兵符·神池岭",},},},</v>
      </c>
      <c r="W163" t="s">
        <v>2322</v>
      </c>
    </row>
    <row r="164" customFormat="1" spans="1:25">
      <c r="C164" t="s">
        <v>2298</v>
      </c>
      <c r="D164" t="s">
        <v>2323</v>
      </c>
      <c r="E164" t="s">
        <v>2324</v>
      </c>
      <c r="M164" t="s">
        <v>2025</v>
      </c>
      <c r="S164">
        <v>1</v>
      </c>
      <c r="V164" t="str">
        <f t="shared" si="31"/>
        <v>{szContent="增援已至烈日岗，速速进攻！",szTarget="恶人谷督廷卫",szNote="恶人·兵符增援·烈日岗",col={255,100,100,},[14]={bCenterAlarm=true,},tCountdown={{nClass=14,nIcon=8478,nFrame=8,szName="恶人·兵符增援·烈日岗",nTime="10,恶人·兵符增援·烈日岗;300,恶人·烈日岗·兵符冷却;305,恶人·烈日岗·可用兵符",nRefresh=1,key="兵符·烈日岗",},},},</v>
      </c>
      <c r="W164" t="s">
        <v>2325</v>
      </c>
    </row>
    <row r="165" spans="1:25">
      <c r="A165" t="s">
        <v>852</v>
      </c>
      <c r="B165">
        <v>105</v>
      </c>
      <c r="V165" t="str">
        <f t="shared" si="31"/>
        <v>},[105]={</v>
      </c>
    </row>
    <row r="166" customFormat="1" spans="1:25">
      <c r="C166" t="s">
        <v>2294</v>
      </c>
      <c r="D166" t="s">
        <v>2326</v>
      </c>
      <c r="E166" t="s">
        <v>2327</v>
      </c>
      <c r="M166" t="s">
        <v>2029</v>
      </c>
      <c r="S166">
        <v>1</v>
      </c>
      <c r="V166" t="str">
        <f t="shared" si="31"/>
        <v>{szContent="增援已至大理山城，速速进攻！",szTarget="浩气盟督廷卫",szNote="浩气·兵符增援·大理山城",col={100,100,255,},[14]={bCenterAlarm=true,},tCountdown={{nClass=14,nIcon=8478,nFrame=8,szName="浩气·兵符增援·大理山城",nTime="10,浩气·兵符增援·大理山城;300,浩气·大理山城·兵符冷却;305,浩气·大理山城·可用兵符",nRefresh=1,key="兵符·大理山城",},},},</v>
      </c>
      <c r="W166" t="s">
        <v>2328</v>
      </c>
    </row>
    <row r="167" customFormat="1" spans="1:25">
      <c r="C167" t="s">
        <v>2294</v>
      </c>
      <c r="D167" t="s">
        <v>2329</v>
      </c>
      <c r="E167" t="s">
        <v>2330</v>
      </c>
      <c r="M167" t="s">
        <v>2029</v>
      </c>
      <c r="S167">
        <v>1</v>
      </c>
      <c r="V167" t="str">
        <f t="shared" si="31"/>
        <v>{szContent="增援已至千岩关，速速进攻！",szTarget="浩气盟督廷卫",szNote="浩气·兵符增援·千岩关",col={100,100,255,},[14]={bCenterAlarm=true,},tCountdown={{nClass=14,nIcon=8478,nFrame=8,szName="浩气·兵符增援·千岩关",nTime="10,浩气·兵符增援·千岩关;300,浩气·千岩关·兵符冷却;305,浩气·千岩关·可用兵符",nRefresh=1,key="兵符·千岩关",},},},</v>
      </c>
      <c r="W167" t="s">
        <v>2331</v>
      </c>
    </row>
    <row r="168" spans="1:25">
      <c r="A168" t="s">
        <v>983</v>
      </c>
      <c r="B168">
        <v>153</v>
      </c>
      <c r="V168" t="str">
        <f t="shared" si="31"/>
        <v>},[153]={</v>
      </c>
    </row>
    <row r="169" customFormat="1" spans="1:25">
      <c r="C169" t="s">
        <v>2298</v>
      </c>
      <c r="D169" t="s">
        <v>2332</v>
      </c>
      <c r="E169" t="s">
        <v>2333</v>
      </c>
      <c r="M169" t="s">
        <v>2025</v>
      </c>
      <c r="S169">
        <v>1</v>
      </c>
      <c r="V169" t="str">
        <f t="shared" si="31"/>
        <v>{szContent="增援已至扶风郡，速速进攻！",szTarget="恶人谷督廷卫",szNote="恶人·兵符增援·扶风郡",col={255,100,100,},[14]={bCenterAlarm=true,},tCountdown={{nClass=14,nIcon=8478,nFrame=8,szName="恶人·兵符增援·扶风郡",nTime="10,恶人·兵符增援·扶风郡;300,恶人·扶风郡·兵符冷却;305,恶人·扶风郡·可用兵符",nRefresh=1,key="兵符·扶风郡",},},},</v>
      </c>
      <c r="W169" t="s">
        <v>2334</v>
      </c>
    </row>
    <row r="170" customFormat="1" spans="1:25">
      <c r="C170" t="s">
        <v>2298</v>
      </c>
      <c r="D170" t="s">
        <v>2335</v>
      </c>
      <c r="E170" t="s">
        <v>2336</v>
      </c>
      <c r="M170" t="s">
        <v>2025</v>
      </c>
      <c r="S170">
        <v>1</v>
      </c>
      <c r="V170" t="str">
        <f t="shared" si="31"/>
        <v>{szContent="增援已至世外坡，速速进攻！",szTarget="恶人谷督廷卫",szNote="恶人·兵符增援·世外坡",col={255,100,100,},[14]={bCenterAlarm=true,},tCountdown={{nClass=14,nIcon=8478,nFrame=8,szName="恶人·兵符增援·世外坡",nTime="10,恶人·兵符增援·世外坡;300,恶人·世外坡·兵符冷却;305,恶人·世外坡·可用兵符",nRefresh=1,key="兵符·世外坡",},},},</v>
      </c>
      <c r="W170" t="s">
        <v>2337</v>
      </c>
    </row>
    <row r="171" spans="1:25">
      <c r="A171" t="s">
        <v>1061</v>
      </c>
      <c r="B171">
        <v>216</v>
      </c>
      <c r="V171" t="str">
        <f t="shared" si="31"/>
        <v>},[216]={</v>
      </c>
    </row>
    <row r="172" customFormat="1" spans="1:25">
      <c r="C172" s="5" t="s">
        <v>1735</v>
      </c>
      <c r="D172" t="s">
        <v>2220</v>
      </c>
      <c r="E172" t="s">
        <v>2221</v>
      </c>
      <c r="V172" t="str">
        <f t="shared" si="31"/>
        <v>{szContent="我竟然败给你们这群小辈！",szTarget="狼牙先锋首领",szNote="防冲突禁用·击退·狼牙先锋首领",[14]={},tCountdown={{nClass=-1,nIcon=3556,nFrame=1,szName="狼牙先锋首领·拾取掉落",nTime="10,狼牙先锋首领·已击退;300,狼牙先锋首领·拾取剩余;600,狼牙先锋首领·刷新剩余;620,狼牙先锋首领·即将刷新;627,狼牙先锋首领·延迟刷新",nRefresh=2,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72" t="s">
        <v>2222</v>
      </c>
      <c r="X172" s="5" t="s">
        <v>2223</v>
      </c>
      <c r="Y172" s="5" t="s">
        <v>2224</v>
      </c>
    </row>
    <row r="173" customFormat="1" spans="1:25">
      <c r="C173" s="5" t="s">
        <v>1735</v>
      </c>
      <c r="D173" t="s">
        <v>2225</v>
      </c>
      <c r="E173" t="s">
        <v>2226</v>
      </c>
      <c r="V173" t="str">
        <f t="shared" si="31"/>
        <v>{szContent="你爷爷我年轻些时候，也是翻云覆雨的江湖响当当一号人物！",szTarget="狼牙先锋首领",szNote="狼牙先锋首领·刷新喊话2",[14]={},tCountdown={{nClass=14,nIcon=3556,nFrame=1,szName="狼牙先锋首领·已经刷新",nTime=10,nRefresh=120,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73" t="s">
        <v>2227</v>
      </c>
      <c r="X173" s="5" t="s">
        <v>2223</v>
      </c>
      <c r="Y173" s="5" t="s">
        <v>2224</v>
      </c>
    </row>
    <row r="174" customFormat="1" spans="1:25">
      <c r="C174" s="5" t="s">
        <v>1735</v>
      </c>
      <c r="D174" t="s">
        <v>2228</v>
      </c>
      <c r="E174" t="s">
        <v>2229</v>
      </c>
      <c r="V174" t="str">
        <f t="shared" si="31"/>
        <v>{szContent="哼，打扰本大爷休息！",szTarget="狼牙先锋首领",szNote="狼牙先锋首领·刷新喊话1",[14]={},tCountdown={{nClass=14,nIcon=3556,nFrame=1,szName="狼牙先锋首领·已经刷新",nTime=10,nRefresh=120,key="狼牙先锋首领",},},},</v>
      </c>
      <c r="W174" t="s">
        <v>2227</v>
      </c>
    </row>
    <row r="175" customFormat="1" spans="1:25">
      <c r="C175" s="5" t="s">
        <v>1735</v>
      </c>
      <c r="D175" t="s">
        <v>2230</v>
      </c>
      <c r="E175" t="s">
        <v>2231</v>
      </c>
      <c r="V175" t="str">
        <f t="shared" si="31"/>
        <v>{szContent="哼，还有要事要办，今日收获甚多，来日定多来领略你们的武功！",szTarget="狼牙先锋首领",szNote="狼牙先锋首领·攻防结束",[14]={},tCountdown={{nClass=14,nIcon=13,szName="狼牙先锋首领·离开",nTime=0,key="狼牙先锋首领",},{nClass=14,nIcon=13,szName="诛恶事件",nTime=-2,key="诛恶事件",},{nClass=14,nIcon=13,szName="通用事件",nTime=-2,key="通用事件",},{nClass=14,nIcon=13,nTime=-2,szName="金水镇",key="金水镇",},{nClass=14,nIcon=13,nTime=-2,szName="巴陵县",key="巴陵县",},{nClass=14,nIcon=13,nTime=-2,szName="龙门荒漠",key="龙门荒漠",},{nClass=14,nIcon=13,nTime=-2,szName="南屏山",key="南屏山",},{nClass=14,nIcon=13,nTime=-2,szName="昆仑",key="昆仑",},{nClass=14,nIcon=13,nTime=-2,szName="白龙口",key="白龙口",},{nClass=14,nIcon=13,nTime=-2,szName="无量山",key="无量山",},{nClass=14,nIcon=13,nTime=-2,szName="黑龙沼",key="黑龙沼",},{nClass=14,nIcon=13,nTime=-2,szName="阴山大草原",key="阴山大草原",},{nClass=14,nIcon=13,nTime=-2,szName="黑戈壁",key="黑戈壁",},{nClass=14,nIcon=13,nTime=-2,szName="鲲鹏岛",key="鲲鹏岛",},},},</v>
      </c>
      <c r="W175" t="s">
        <v>2232</v>
      </c>
      <c r="X175" s="4" t="s">
        <v>2233</v>
      </c>
      <c r="Y175" s="4" t="s">
        <v>2234</v>
      </c>
    </row>
    <row r="176" customFormat="1" spans="1:25">
      <c r="C176" s="5"/>
      <c r="D176" t="s">
        <v>2278</v>
      </c>
      <c r="E176"/>
      <c r="M176" t="s">
        <v>2033</v>
      </c>
      <c r="V176" t="str">
        <f t="shared" si="31"/>
        <v>{szContent="你已经离开据点，10秒内未进入据点，则据点旗帜重置。",col={255,255,100,},[14]={},tCountdown={{nClass=14,nIcon=592,nFrame=2,szName="据点大旗·重置剩余",nTime=10,key="据点大旗·旗手提示",},},},</v>
      </c>
      <c r="W176" t="s">
        <v>2279</v>
      </c>
    </row>
    <row r="177" customFormat="1" spans="1:27">
      <c r="C177" s="5"/>
      <c r="D177" t="s">
        <v>2280</v>
      </c>
      <c r="E177" t="s">
        <v>2281</v>
      </c>
      <c r="M177" t="s">
        <v>1474</v>
      </c>
      <c r="P177" t="s">
        <v>537</v>
      </c>
      <c r="Q177">
        <v>1</v>
      </c>
      <c r="R177">
        <v>1</v>
      </c>
      <c r="S177">
        <v>1</v>
      </c>
      <c r="U177">
        <v>1</v>
      </c>
      <c r="V177" t="str">
        <f t="shared" si="31"/>
        <v>{szContent="系统检测您有挂机行为，如果长期维持该状态将被传送出图！",szNote="挂机检测·快活跃起来",col={255,50,255,},[14]={szVoice="DianMing_P",bTeamChannel=true,bWhisperChannel=true,bCenterAlarm=true,bFullScreen=true,},tCountdown={{nClass=14,nIcon=13,nFrame=2,szName="挂机检测·动一动",nTime=30,key="挂机检测",},},},</v>
      </c>
      <c r="W177" t="s">
        <v>2282</v>
      </c>
    </row>
    <row r="178" customFormat="1" spans="1:27">
      <c r="C178" s="5" t="s">
        <v>2022</v>
      </c>
      <c r="D178" t="s">
        <v>2254</v>
      </c>
      <c r="E178" t="s">
        <v>2255</v>
      </c>
      <c r="M178" t="s">
        <v>1474</v>
      </c>
      <c r="O178">
        <v>1</v>
      </c>
      <c r="P178"/>
      <c r="Q178"/>
      <c r="R178"/>
      <c r="S178">
        <v>1</v>
      </c>
      <c r="V178" t="str">
        <f t="shared" si="31"/>
        <v>{szContent="^【(.-)】据点大旗受损，获得(%d-)层易伤，当前总计【(%d-)层易伤】！",szTarget="%",szNote="【{$1}】大旗·易伤{$3}层",col={255,50,255,},bReg=true,[14]={bCenterAlarm=true,},tCountdown={{nClass=14,nIcon=16834,nFrame=1,szName="大旗易伤",nTime=-1,nRefresh=2,key="大旗易伤",},{nClass=14,nIcon=16834,nFrame=1,szName="【{$1}】大旗·易伤{$3}层",nTime="60,【{$1}】大旗·易伤{$3}层;62,【{$1}】大旗·易伤冷却结束",nRefresh=0,key="{$1}·大旗易伤",},},},</v>
      </c>
      <c r="W178" t="s">
        <v>2256</v>
      </c>
      <c r="X178" t="s">
        <v>2338</v>
      </c>
    </row>
    <row r="179" customFormat="1" spans="1:27">
      <c r="C179" s="5" t="s">
        <v>2022</v>
      </c>
      <c r="D179" t="s">
        <v>2265</v>
      </c>
      <c r="E179" t="s">
        <v>2266</v>
      </c>
      <c r="M179" t="s">
        <v>2033</v>
      </c>
      <c r="O179">
        <v>1</v>
      </c>
      <c r="S179">
        <v>1</v>
      </c>
      <c r="V179" t="str">
        <f t="shared" si="31"/>
        <v>{szContent="(.-)离开据点过久，或在原地五尺范围内盘踞超过五分钟，旗帜重置！",szTarget="%",szNote="[{$1}]·离开据点·大旗重置",col={255,255,100,},bReg=true,[14]={bCenterAlarm=true,},tCountdown={{nClass=14,nIcon=592,nFrame=4,szName="【离开据点】大旗重置",nTime=180,key="离开据点·大旗重置",},},},</v>
      </c>
      <c r="W179" t="s">
        <v>2339</v>
      </c>
    </row>
    <row r="180" customFormat="1" spans="1:27">
      <c r="C180" s="5" t="s">
        <v>2022</v>
      </c>
      <c r="D180" t="s">
        <v>2239</v>
      </c>
      <c r="E180" t="s">
        <v>2240</v>
      </c>
      <c r="M180" t="s">
        <v>2033</v>
      </c>
      <c r="S180">
        <v>1</v>
      </c>
      <c r="V180" t="str">
        <f t="shared" si="31"/>
        <v>{szContent="可恶！",szTarget="%",szNote="{$sender}·退场",col={255,255,100,},[14]={bCenterAlarm=true,},tCountdown={{nClass=14,nIcon=1465,szName="浩气盟大将",nTime=-2,nRefresh=2,key="浩气盟大将",},{nClass=14,nIcon=1465,szName="恶人谷大将",nTime=-2,nRefresh=2,key="恶人谷大将",},{nClass=14,nIcon=13,szName="{$sender}",nTime=-2,key="{$sender}",},{nClass=14,nIcon=18829,nFrame=7,szName="浩气盟大将·退场",nTime=10,nRefresh=1,key="浩气盟大将",},{nClass=14,nIcon=18830,nFrame=3,szName="恶人谷大将·退场",nTime=10,nRefresh=1,key="恶人谷大将",},},},</v>
      </c>
      <c r="W180" t="s">
        <v>2241</v>
      </c>
      <c r="X180" t="s">
        <v>2242</v>
      </c>
      <c r="Y180" t="s">
        <v>2243</v>
      </c>
      <c r="Z180" t="s">
        <v>2244</v>
      </c>
      <c r="AA180" t="s">
        <v>2245</v>
      </c>
    </row>
    <row r="181" customFormat="1" spans="1:27">
      <c r="C181" s="5" t="s">
        <v>2022</v>
      </c>
      <c r="D181" t="s">
        <v>2246</v>
      </c>
      <c r="E181"/>
      <c r="M181" t="s">
        <v>2025</v>
      </c>
      <c r="N181">
        <v>1</v>
      </c>
      <c r="V181" t="str">
        <f t="shared" si="31"/>
        <v>{szContent="留下大量军功，请“恶人谷”侠士们前来拾取，切莫错过。",szTarget="%",col={255,100,100,},bSearch=true,[14]={},tCountdown={{nClass=14,nIcon=13,szName="狼牙先锋首领",nTime=-2,key="狼牙先锋首领",},{nClass=14,nIcon=13,nFrame=3,szName="恶人谷·拾取首领掉落",nTime="300,恶人谷·拾取首领掉落;600,狼牙先锋首领·刷新剩余;620,狼牙先锋首领·即将刷新;625,狼牙先锋首领·延迟刷新",nRefresh=300,key="狼牙先锋首领",},},},</v>
      </c>
      <c r="W181" t="s">
        <v>2247</v>
      </c>
      <c r="X181" t="s">
        <v>2248</v>
      </c>
    </row>
    <row r="182" customFormat="1" spans="1:27">
      <c r="C182" s="5" t="s">
        <v>2022</v>
      </c>
      <c r="D182" t="s">
        <v>2249</v>
      </c>
      <c r="E182"/>
      <c r="M182" t="s">
        <v>2029</v>
      </c>
      <c r="N182">
        <v>1</v>
      </c>
      <c r="V182" t="str">
        <f t="shared" si="31"/>
        <v>{szContent="留下大量军功，请“浩气盟”侠士们前来拾取，切莫错过。",szTarget="%",col={100,100,255,},bSearch=true,[14]={},tCountdown={{nClass=14,nIcon=13,szName="狼牙先锋首领",nTime=-2,key="狼牙先锋首领",},{nClass=14,nIcon=13,nFrame=7,szName="浩气盟·拾取首领掉落",nTime="300,浩气盟·拾取首领掉落;600,狼牙先锋首领·刷新剩余;620,狼牙先锋首领·即将刷新;625,狼牙先锋首领·延迟刷新",nRefresh=300,key="狼牙先锋首领",},},},</v>
      </c>
      <c r="W182" t="s">
        <v>2247</v>
      </c>
      <c r="X182" t="s">
        <v>2250</v>
      </c>
    </row>
    <row r="183" customFormat="1" spans="1:27">
      <c r="C183" t="s">
        <v>2022</v>
      </c>
      <c r="D183" s="8" t="s">
        <v>2340</v>
      </c>
      <c r="E183" t="s">
        <v>2341</v>
      </c>
      <c r="M183" t="s">
        <v>2033</v>
      </c>
      <c r="O183">
        <v>1</v>
      </c>
      <c r="S183">
        <v>1</v>
      </c>
      <c r="V183" t="str">
        <f t="shared" si="31"/>
        <v>{szContent="(.-)侠士([打开关闭]+)了【(.-)据点】城门！",szTarget="%",szNote="【{$1}】·{$2}·{$3}·城门",col={255,255,100,},bReg=true,[14]={bCenterAlarm=true,},tCountdown={{nClass=14,nIcon=4839,nFrame=1,szName="关闭·{$3}·城门",nTime=10,key="打开·{$3}·城门",},{nClass=14,nIcon=2310,nFrame=1,szName="打开·{$3}·城门",nTime=10,key="关闭·{$3}·城门",},{nClass=14,nIcon=13,nFrame=-1,szName="{$2}·{$3}·城门",nTime=-1,key="{$2}·{$3}·城门",},},},</v>
      </c>
      <c r="W183" t="s">
        <v>2342</v>
      </c>
      <c r="X183" t="s">
        <v>2343</v>
      </c>
      <c r="Y183" t="s">
        <v>2344</v>
      </c>
    </row>
    <row r="184" spans="1:27">
      <c r="A184" t="s">
        <v>1414</v>
      </c>
      <c r="B184">
        <v>656</v>
      </c>
      <c r="V184" t="str">
        <f t="shared" si="31"/>
        <v>},[656]={</v>
      </c>
    </row>
    <row r="185" customFormat="1" spans="1:27">
      <c r="C185" s="5" t="s">
        <v>1735</v>
      </c>
      <c r="D185" t="s">
        <v>2220</v>
      </c>
      <c r="E185" t="s">
        <v>2221</v>
      </c>
      <c r="V185" t="str">
        <f t="shared" si="31"/>
        <v>{szContent="我竟然败给你们这群小辈！",szTarget="狼牙先锋首领",szNote="防冲突禁用·击退·狼牙先锋首领",[14]={},tCountdown={{nClass=-1,nIcon=3556,nFrame=1,szName="狼牙先锋首领·拾取掉落",nTime="10,狼牙先锋首领·已击退;300,狼牙先锋首领·拾取剩余;600,狼牙先锋首领·刷新剩余;620,狼牙先锋首领·即将刷新;627,狼牙先锋首领·延迟刷新",nRefresh=2,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85" t="s">
        <v>2222</v>
      </c>
      <c r="X185" s="5" t="s">
        <v>2223</v>
      </c>
      <c r="Y185" s="5" t="s">
        <v>2224</v>
      </c>
    </row>
    <row r="186" customFormat="1" spans="1:27">
      <c r="C186" s="5" t="s">
        <v>1735</v>
      </c>
      <c r="D186" t="s">
        <v>2225</v>
      </c>
      <c r="E186" t="s">
        <v>2226</v>
      </c>
      <c r="V186" t="str">
        <f t="shared" si="31"/>
        <v>{szContent="你爷爷我年轻些时候，也是翻云覆雨的江湖响当当一号人物！",szTarget="狼牙先锋首领",szNote="狼牙先锋首领·刷新喊话2",[14]={},tCountdown={{nClass=14,nIcon=3556,nFrame=1,szName="狼牙先锋首领·已经刷新",nTime=10,nRefresh=120,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86" t="s">
        <v>2227</v>
      </c>
      <c r="X186" s="5" t="s">
        <v>2223</v>
      </c>
      <c r="Y186" s="5" t="s">
        <v>2224</v>
      </c>
    </row>
    <row r="187" customFormat="1" spans="1:27">
      <c r="C187" s="5" t="s">
        <v>1735</v>
      </c>
      <c r="D187" t="s">
        <v>2228</v>
      </c>
      <c r="E187" t="s">
        <v>2229</v>
      </c>
      <c r="V187" t="str">
        <f t="shared" si="31"/>
        <v>{szContent="哼，打扰本大爷休息！",szTarget="狼牙先锋首领",szNote="狼牙先锋首领·刷新喊话1",[14]={},tCountdown={{nClass=14,nIcon=3556,nFrame=1,szName="狼牙先锋首领·已经刷新",nTime=10,nRefresh=120,key="狼牙先锋首领",},},},</v>
      </c>
      <c r="W187" t="s">
        <v>2227</v>
      </c>
    </row>
    <row r="188" customFormat="1" spans="1:27">
      <c r="C188" s="5" t="s">
        <v>1735</v>
      </c>
      <c r="D188" t="s">
        <v>2230</v>
      </c>
      <c r="E188" t="s">
        <v>2231</v>
      </c>
      <c r="V188" t="str">
        <f t="shared" si="31"/>
        <v>{szContent="哼，还有要事要办，今日收获甚多，来日定多来领略你们的武功！",szTarget="狼牙先锋首领",szNote="狼牙先锋首领·攻防结束",[14]={},tCountdown={{nClass=14,nIcon=13,szName="狼牙先锋首领·离开",nTime=0,key="狼牙先锋首领",},{nClass=14,nIcon=13,szName="诛恶事件",nTime=-2,key="诛恶事件",},{nClass=14,nIcon=13,szName="通用事件",nTime=-2,key="通用事件",},{nClass=14,nIcon=13,nTime=-2,szName="金水镇",key="金水镇",},{nClass=14,nIcon=13,nTime=-2,szName="巴陵县",key="巴陵县",},{nClass=14,nIcon=13,nTime=-2,szName="龙门荒漠",key="龙门荒漠",},{nClass=14,nIcon=13,nTime=-2,szName="南屏山",key="南屏山",},{nClass=14,nIcon=13,nTime=-2,szName="昆仑",key="昆仑",},{nClass=14,nIcon=13,nTime=-2,szName="白龙口",key="白龙口",},{nClass=14,nIcon=13,nTime=-2,szName="无量山",key="无量山",},{nClass=14,nIcon=13,nTime=-2,szName="黑龙沼",key="黑龙沼",},{nClass=14,nIcon=13,nTime=-2,szName="阴山大草原",key="阴山大草原",},{nClass=14,nIcon=13,nTime=-2,szName="黑戈壁",key="黑戈壁",},{nClass=14,nIcon=13,nTime=-2,szName="鲲鹏岛",key="鲲鹏岛",},},},</v>
      </c>
      <c r="W188" t="s">
        <v>2232</v>
      </c>
      <c r="X188" s="4" t="s">
        <v>2233</v>
      </c>
      <c r="Y188" s="4" t="s">
        <v>2234</v>
      </c>
    </row>
    <row r="189" customFormat="1" spans="1:27">
      <c r="C189" s="5"/>
      <c r="D189" t="s">
        <v>2278</v>
      </c>
      <c r="E189"/>
      <c r="M189" t="s">
        <v>2033</v>
      </c>
      <c r="V189" t="str">
        <f t="shared" si="31"/>
        <v>{szContent="你已经离开据点，10秒内未进入据点，则据点旗帜重置。",col={255,255,100,},[14]={},tCountdown={{nClass=14,nIcon=592,nFrame=2,szName="据点大旗·重置剩余",nTime=10,key="据点大旗·旗手提示",},},},</v>
      </c>
      <c r="W189" t="s">
        <v>2279</v>
      </c>
    </row>
    <row r="190" customFormat="1" spans="1:27">
      <c r="C190" s="5"/>
      <c r="D190" t="s">
        <v>2280</v>
      </c>
      <c r="E190" t="s">
        <v>2281</v>
      </c>
      <c r="M190" t="s">
        <v>1474</v>
      </c>
      <c r="P190" t="s">
        <v>537</v>
      </c>
      <c r="Q190">
        <v>1</v>
      </c>
      <c r="R190">
        <v>1</v>
      </c>
      <c r="S190">
        <v>1</v>
      </c>
      <c r="U190">
        <v>1</v>
      </c>
      <c r="V190" t="str">
        <f t="shared" si="31"/>
        <v>{szContent="系统检测您有挂机行为，如果长期维持该状态将被传送出图！",szNote="挂机检测·快活跃起来",col={255,50,255,},[14]={szVoice="DianMing_P",bTeamChannel=true,bWhisperChannel=true,bCenterAlarm=true,bFullScreen=true,},tCountdown={{nClass=14,nIcon=13,nFrame=2,szName="挂机检测·动一动",nTime=30,key="挂机检测",},},},</v>
      </c>
      <c r="W190" t="s">
        <v>2282</v>
      </c>
    </row>
    <row r="191" customFormat="1" spans="1:27">
      <c r="C191" s="5" t="s">
        <v>2022</v>
      </c>
      <c r="D191" t="s">
        <v>2254</v>
      </c>
      <c r="E191" t="s">
        <v>2255</v>
      </c>
      <c r="M191" t="s">
        <v>1474</v>
      </c>
      <c r="O191">
        <v>1</v>
      </c>
      <c r="P191"/>
      <c r="Q191"/>
      <c r="R191"/>
      <c r="S191">
        <v>1</v>
      </c>
      <c r="V191" t="str">
        <f t="shared" si="31"/>
        <v>{szContent="^【(.-)】据点大旗受损，获得(%d-)层易伤，当前总计【(%d-)层易伤】！",szTarget="%",szNote="【{$1}】大旗·易伤{$3}层",col={255,50,255,},bReg=true,[14]={bCenterAlarm=true,},tCountdown={{nClass=14,nIcon=16834,nFrame=1,szName="大旗易伤",nTime=-1,nRefresh=2,key="大旗易伤",},{nClass=14,nIcon=16834,nFrame=1,szName="【{$1}】大旗·易伤{$3}层",nTime="60,【{$1}】大旗·易伤{$3}层;62,【{$1}】大旗·易伤冷却结束",nRefresh=0,key="{$1}·大旗易伤",},},},</v>
      </c>
      <c r="W191" t="s">
        <v>2256</v>
      </c>
      <c r="X191" t="s">
        <v>2338</v>
      </c>
    </row>
    <row r="192" customFormat="1" spans="1:27">
      <c r="C192" s="5" t="s">
        <v>2022</v>
      </c>
      <c r="D192" t="s">
        <v>2265</v>
      </c>
      <c r="E192" t="s">
        <v>2266</v>
      </c>
      <c r="M192" t="s">
        <v>2033</v>
      </c>
      <c r="O192">
        <v>1</v>
      </c>
      <c r="S192">
        <v>1</v>
      </c>
      <c r="V192" t="str">
        <f t="shared" si="31"/>
        <v>{szContent="(.-)离开据点过久，或在原地五尺范围内盘踞超过五分钟，旗帜重置！",szTarget="%",szNote="[{$1}]·离开据点·大旗重置",col={255,255,100,},bReg=true,[14]={bCenterAlarm=true,},tCountdown={{nClass=14,nIcon=592,nFrame=4,szName="【离开据点】大旗重置",nTime=180,key="离开据点·大旗重置",},},},</v>
      </c>
      <c r="W192" t="s">
        <v>2339</v>
      </c>
    </row>
    <row r="193" customFormat="1" spans="3:27">
      <c r="C193" s="5" t="s">
        <v>2022</v>
      </c>
      <c r="D193" t="s">
        <v>2239</v>
      </c>
      <c r="E193" t="s">
        <v>2240</v>
      </c>
      <c r="M193" t="s">
        <v>2033</v>
      </c>
      <c r="S193">
        <v>1</v>
      </c>
      <c r="V193" t="str">
        <f t="shared" si="31"/>
        <v>{szContent="可恶！",szTarget="%",szNote="{$sender}·退场",col={255,255,100,},[14]={bCenterAlarm=true,},tCountdown={{nClass=14,nIcon=1465,szName="浩气盟大将",nTime=-2,nRefresh=2,key="浩气盟大将",},{nClass=14,nIcon=1465,szName="恶人谷大将",nTime=-2,nRefresh=2,key="恶人谷大将",},{nClass=14,nIcon=13,szName="{$sender}",nTime=-2,key="{$sender}",},{nClass=14,nIcon=18829,nFrame=7,szName="浩气盟大将·退场",nTime=10,nRefresh=1,key="浩气盟大将",},{nClass=14,nIcon=18830,nFrame=3,szName="恶人谷大将·退场",nTime=10,nRefresh=1,key="恶人谷大将",},},},</v>
      </c>
      <c r="W193" t="s">
        <v>2241</v>
      </c>
      <c r="X193" t="s">
        <v>2242</v>
      </c>
      <c r="Y193" t="s">
        <v>2243</v>
      </c>
      <c r="Z193" t="s">
        <v>2244</v>
      </c>
      <c r="AA193" t="s">
        <v>2245</v>
      </c>
    </row>
    <row r="194" customFormat="1" spans="3:27">
      <c r="C194" s="5" t="s">
        <v>2022</v>
      </c>
      <c r="D194" t="s">
        <v>2246</v>
      </c>
      <c r="E194"/>
      <c r="M194" t="s">
        <v>2025</v>
      </c>
      <c r="N194">
        <v>1</v>
      </c>
      <c r="V194" t="str">
        <f t="shared" si="31"/>
        <v>{szContent="留下大量军功，请“恶人谷”侠士们前来拾取，切莫错过。",szTarget="%",col={255,100,100,},bSearch=true,[14]={},tCountdown={{nClass=14,nIcon=13,szName="狼牙先锋首领",nTime=-2,key="狼牙先锋首领",},{nClass=14,nIcon=13,nFrame=3,szName="恶人谷·拾取首领掉落",nTime="300,恶人谷·拾取首领掉落;600,狼牙先锋首领·刷新剩余;620,狼牙先锋首领·即将刷新;625,狼牙先锋首领·延迟刷新",nRefresh=300,key="狼牙先锋首领",},},},</v>
      </c>
      <c r="W194" t="s">
        <v>2247</v>
      </c>
      <c r="X194" t="s">
        <v>2248</v>
      </c>
    </row>
    <row r="195" customFormat="1" spans="3:27">
      <c r="C195" s="5" t="s">
        <v>2022</v>
      </c>
      <c r="D195" t="s">
        <v>2249</v>
      </c>
      <c r="E195"/>
      <c r="M195" t="s">
        <v>2029</v>
      </c>
      <c r="N195">
        <v>1</v>
      </c>
      <c r="V195" t="str">
        <f t="shared" si="31"/>
        <v>{szContent="留下大量军功，请“浩气盟”侠士们前来拾取，切莫错过。",szTarget="%",col={100,100,255,},bSearch=true,[14]={},tCountdown={{nClass=14,nIcon=13,szName="狼牙先锋首领",nTime=-2,key="狼牙先锋首领",},{nClass=14,nIcon=13,nFrame=7,szName="浩气盟·拾取首领掉落",nTime="300,浩气盟·拾取首领掉落;600,狼牙先锋首领·刷新剩余;620,狼牙先锋首领·即将刷新;625,狼牙先锋首领·延迟刷新",nRefresh=300,key="狼牙先锋首领",},},},</v>
      </c>
      <c r="W195" t="s">
        <v>2247</v>
      </c>
      <c r="X195" t="s">
        <v>2250</v>
      </c>
    </row>
    <row r="196" customFormat="1" spans="3:27">
      <c r="C196" t="s">
        <v>2022</v>
      </c>
      <c r="D196" s="8" t="s">
        <v>2340</v>
      </c>
      <c r="E196" t="s">
        <v>2341</v>
      </c>
      <c r="M196" t="s">
        <v>2033</v>
      </c>
      <c r="O196">
        <v>1</v>
      </c>
      <c r="S196">
        <v>1</v>
      </c>
      <c r="V196" t="str">
        <f t="shared" si="31"/>
        <v>{szContent="(.-)侠士([打开关闭]+)了【(.-)据点】城门！",szTarget="%",szNote="【{$1}】·{$2}·{$3}·城门",col={255,255,100,},bReg=true,[14]={bCenterAlarm=true,},tCountdown={{nClass=14,nIcon=4839,nFrame=1,szName="关闭·{$3}·城门",nTime=10,key="打开·{$3}·城门",},{nClass=14,nIcon=2310,nFrame=1,szName="打开·{$3}·城门",nTime=10,key="关闭·{$3}·城门",},{nClass=14,nIcon=13,nFrame=-1,szName="{$2}·{$3}·城门",nTime=-1,key="{$2}·{$3}·城门",},},},</v>
      </c>
      <c r="W196" t="s">
        <v>2342</v>
      </c>
      <c r="X196" t="s">
        <v>2343</v>
      </c>
      <c r="Y196" t="s">
        <v>2344</v>
      </c>
    </row>
    <row r="197" spans="3:27">
      <c r="V197" t="str">
        <f t="shared" si="31"/>
        <v>},},}</v>
      </c>
    </row>
  </sheetData>
  <autoFilter xmlns:etc="http://www.wps.cn/officeDocument/2017/etCustomData" ref="A1:AV197" etc:filterBottomFollowUsedRange="0">
    <extLst/>
  </autoFilter>
  <sortState ref="A185:AB196">
    <sortCondition ref="A185:A196"/>
  </sortState>
  <pageMargins left="0.7" right="0.7" top="0.75" bottom="0.75" header="0.3" footer="0.3"/>
  <pageSetup paperSize="9" orientation="portrait" horizontalDpi="1200" verticalDpi="12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68"/>
  <sheetViews>
    <sheetView zoomScale="90" zoomScaleNormal="90" workbookViewId="0">
      <pane ySplit="1" topLeftCell="A41" activePane="bottomLeft" state="frozen"/>
      <selection/>
      <selection pane="bottomLeft" activeCell="T5" sqref="T5"/>
    </sheetView>
  </sheetViews>
  <sheetFormatPr defaultColWidth="9" defaultRowHeight="13.5"/>
  <cols>
    <col min="3" max="3" width="88" customWidth="1"/>
    <col min="4" max="4" width="51.75" customWidth="1"/>
    <col min="5" max="10" width="10.625" customWidth="1"/>
    <col min="11" max="11" width="13.25" customWidth="1"/>
    <col min="12" max="13" width="9" customWidth="1"/>
    <col min="14" max="14" width="13" customWidth="1"/>
    <col min="15" max="15" width="13.375" customWidth="1"/>
    <col min="16" max="16" width="12.625" customWidth="1"/>
    <col min="17" max="19" width="13.125" customWidth="1"/>
    <col min="20" max="20" width="41.375" customWidth="1"/>
    <col min="21" max="21" width="101.375" customWidth="1"/>
    <col min="22" max="22" width="93.125" customWidth="1"/>
    <col min="23" max="23" width="104.375" customWidth="1"/>
    <col min="24" max="24" width="94.625" customWidth="1"/>
    <col min="25" max="25" width="96.125" customWidth="1"/>
    <col min="26" max="26" width="89.625" customWidth="1"/>
    <col min="27" max="27" width="89.75" customWidth="1"/>
    <col min="28" max="28" width="32.25" customWidth="1"/>
    <col min="29" max="29" width="49.625" customWidth="1"/>
    <col min="30" max="30" width="34.875" customWidth="1"/>
    <col min="31" max="31" width="55.125" customWidth="1"/>
    <col min="32" max="32" width="38" customWidth="1"/>
    <col min="106" max="106" width="16" customWidth="1"/>
  </cols>
  <sheetData>
    <row r="1" spans="1:33">
      <c r="A1" t="s">
        <v>1422</v>
      </c>
      <c r="B1" t="s">
        <v>1423</v>
      </c>
      <c r="C1" t="s">
        <v>1996</v>
      </c>
      <c r="D1" t="s">
        <v>44</v>
      </c>
      <c r="E1" t="s">
        <v>2345</v>
      </c>
      <c r="F1" t="s">
        <v>2346</v>
      </c>
      <c r="G1" t="s">
        <v>2000</v>
      </c>
      <c r="H1" t="s">
        <v>2001</v>
      </c>
      <c r="I1" t="s">
        <v>2002</v>
      </c>
      <c r="J1" t="s">
        <v>2003</v>
      </c>
      <c r="K1" t="s">
        <v>1430</v>
      </c>
      <c r="L1" t="s">
        <v>2004</v>
      </c>
      <c r="M1" t="s">
        <v>2005</v>
      </c>
      <c r="N1" t="s">
        <v>2006</v>
      </c>
      <c r="O1" t="s">
        <v>2007</v>
      </c>
      <c r="P1" t="s">
        <v>2008</v>
      </c>
      <c r="Q1" t="s">
        <v>2009</v>
      </c>
      <c r="R1" t="s">
        <v>2010</v>
      </c>
      <c r="S1" t="s">
        <v>2011</v>
      </c>
      <c r="T1" t="s">
        <v>2347</v>
      </c>
    </row>
    <row r="2" customFormat="1" spans="1:33">
      <c r="A2" t="s">
        <v>1464</v>
      </c>
      <c r="B2">
        <v>-19</v>
      </c>
      <c r="T2" t="str">
        <f>IF(ISBLANK(B2)=FALSE,IF(ISBLANK(B1),"},["&amp;B2&amp;"]={","["&amp;B2&amp;"]={"),IF(AND(ISBLANK(B2),ISBLANK(C2),ISBLANK(L2),ISBLANK(M2),OR(ISBLANK(B1)=FALSE,ISBLANK(C1)=FALSE,ISBLANK(L1)=FALSE,ISBLANK(M1)=FALSE)),"},},}",IF(ISBLANK(C2),"","{szContent="""&amp;C2&amp;""","&amp;IF(D2&lt;&gt;"","szNote="""&amp;D2&amp;""",","")&amp;IF(K2&lt;&gt;"","col={"&amp;K2&amp;"},","")&amp;IF(L2&gt;0,"bSearch=true,","")&amp;IF(M2&gt;0,"bReg=true,","")&amp;"[20]={"&amp;IF(N2&gt;0,"szVoice="""&amp;N2&amp;""",","")&amp;IF(O2&gt;0,"bTeamChannel=true,","")&amp;IF(P2&gt;0,"bWhisperChannel=true,","")&amp;IF(Q2&gt;0,"bCenterAlarm=true,","")&amp;IF(R2&gt;0,"bScreenHead=true,","")&amp;IF(S2&gt;0,"bFullScreen=true,","")&amp;"},"&amp;IF(U2&lt;&gt;"","tCountdown={"&amp;_xlfn.TEXTJOIN("",TRUE,U2:AAF2)&amp;"},","")&amp;"},")))</f>
        <v>[-19]={</v>
      </c>
    </row>
    <row r="3" customFormat="1" spans="1:33">
      <c r="C3" t="s">
        <v>2348</v>
      </c>
      <c r="D3" t="s">
        <v>2349</v>
      </c>
      <c r="E3" t="s">
        <v>2043</v>
      </c>
      <c r="F3" t="s">
        <v>2350</v>
      </c>
      <c r="G3" t="s">
        <v>2049</v>
      </c>
      <c r="H3" t="s">
        <v>2043</v>
      </c>
      <c r="I3" t="s">
        <v>2047</v>
      </c>
      <c r="J3" t="s">
        <v>2046</v>
      </c>
      <c r="K3" t="s">
        <v>2029</v>
      </c>
      <c r="L3">
        <v>1</v>
      </c>
      <c r="O3">
        <v>1</v>
      </c>
      <c r="T3" t="str">
        <f t="shared" ref="T3:T34" si="0">IF(ISBLANK(B3)=FALSE,IF(ISBLANK(B2),"},["&amp;B3&amp;"]={","["&amp;B3&amp;"]={"),IF(AND(ISBLANK(B3),ISBLANK(C3),ISBLANK(L3),ISBLANK(M3),OR(ISBLANK(B2)=FALSE,ISBLANK(C2)=FALSE,ISBLANK(L2)=FALSE,ISBLANK(M2)=FALSE)),"},},}",IF(ISBLANK(C3),"","{szContent="""&amp;C3&amp;""","&amp;IF(D3&lt;&gt;"","szNote="""&amp;D3&amp;""",","")&amp;IF(K3&lt;&gt;"","col={"&amp;K3&amp;"},","")&amp;IF(L3&gt;0,"bSearch=true,","")&amp;IF(M3&gt;0,"bReg=true,","")&amp;"[20]={"&amp;IF(N3&gt;0,"szVoice="""&amp;N3&amp;""",","")&amp;IF(O3&gt;0,"bTeamChannel=true,","")&amp;IF(P3&gt;0,"bWhisperChannel=true,","")&amp;IF(Q3&gt;0,"bCenterAlarm=true,","")&amp;IF(R3&gt;0,"bScreenHead=true,","")&amp;IF(S3&gt;0,"bFullScreen=true,","")&amp;"},"&amp;IF(U3&lt;&gt;"","tCountdown={"&amp;_xlfn.TEXTJOIN("",TRUE,U3:AAF3)&amp;"},","")&amp;"},")))</f>
        <v>{szContent="的带领下，成功击退王遗风！",szNote="主场·浩气·谢渊·击退·恶人·王遗风·首领",col={100,100,255,},bSearch=true,[20]={bTeamChannel=true,},tCountdown={{nClass=20,nIcon=18830,nFrame=3,szName="恶人·王遗风·退场·易伤30%",nTime=10,nRefresh=5,key="王遗风·王遗风·减伤",},{nClass=20,nIcon=2939,nFrame=7,szName="谢渊·谢渊·减伤",nTime="300,浩气·谢渊·减伤3层;600,浩气·谢渊·减伤2层;900,浩气·谢渊·减伤1层;910,浩气·谢渊·减伤消失",nRefresh=5,key="谢渊·谢渊·减伤",},},},</v>
      </c>
      <c r="U3" t="str">
        <f>"{nClass=20,nIcon=18830,nFrame=3,szName="""&amp;""&amp;I3&amp;"·"&amp;J3&amp;"·退场·易伤30%"",nTime=10,nRefresh=5,key="&amp;"""王遗风·"&amp;J3&amp;"·减伤"""&amp;",},"</f>
        <v>{nClass=20,nIcon=18830,nFrame=3,szName="恶人·王遗风·退场·易伤30%",nTime=10,nRefresh=5,key="王遗风·王遗风·减伤",},</v>
      </c>
      <c r="V3" t="str">
        <f>"{nClass=20,nIcon=2939,nFrame=7,szName="""&amp;E3&amp;"·"&amp;""&amp;H3&amp;"·减伤"""&amp;",nTime="&amp;"""300,"&amp;G3&amp;"·"&amp;H3&amp;"·减伤3层;600,"&amp;G3&amp;"·"&amp;H3&amp;"·减伤2层;900,"&amp;G3&amp;"·"&amp;H3&amp;"·减伤1层;910,"&amp;G3&amp;"·"&amp;H3&amp;"·减伤消失"""&amp;",nRefresh=5,key="""&amp;""&amp;E3&amp;"·"&amp;""&amp;H3&amp;"·减伤"""&amp;",},"</f>
        <v>{nClass=20,nIcon=2939,nFrame=7,szName="谢渊·谢渊·减伤",nTime="300,浩气·谢渊·减伤3层;600,浩气·谢渊·减伤2层;900,浩气·谢渊·减伤1层;910,浩气·谢渊·减伤消失",nRefresh=5,key="谢渊·谢渊·减伤",},</v>
      </c>
    </row>
    <row r="4" customFormat="1" spans="1:33">
      <c r="C4" t="s">
        <v>2351</v>
      </c>
      <c r="D4" t="s">
        <v>2352</v>
      </c>
      <c r="E4" t="s">
        <v>2046</v>
      </c>
      <c r="F4" t="s">
        <v>2350</v>
      </c>
      <c r="G4" t="s">
        <v>2047</v>
      </c>
      <c r="H4" t="s">
        <v>2046</v>
      </c>
      <c r="I4" t="s">
        <v>2049</v>
      </c>
      <c r="J4" t="s">
        <v>2043</v>
      </c>
      <c r="K4" t="s">
        <v>2025</v>
      </c>
      <c r="L4">
        <v>1</v>
      </c>
      <c r="O4">
        <v>1</v>
      </c>
      <c r="T4" t="str">
        <f t="shared" si="0"/>
        <v>{szContent="的带领下，成功击退谢渊！",szNote="主场·恶人·王遗风·击退·浩气·谢渊·首领",col={255,100,100,},bSearch=true,[20]={bTeamChannel=true,},tCountdown={{nClass=20,nIcon=18829,nFrame=7,szName="浩气·谢渊·退场·易伤30%",nTime=10,nRefresh=5,key="谢渊·谢渊·减伤",},{nClass=20,nIcon=2992,nFrame=3,szName="王遗风·王遗风·减伤",nTime="300,恶人·王遗风·减伤3层;600,恶人·王遗风·减伤2层;900,恶人·王遗风·减伤1层;910,恶人·王遗风·减伤消失",nRefresh=5,key="王遗风·王遗风·减伤",},},},</v>
      </c>
      <c r="U4" t="str">
        <f>"{nClass=20,nIcon=18829,nFrame=7,szName="""&amp;""&amp;I4&amp;"·"&amp;J4&amp;"·退场·易伤30%"",nTime=10,nRefresh=5,key="&amp;"""谢渊·"&amp;J4&amp;"·减伤"""&amp;",},"</f>
        <v>{nClass=20,nIcon=18829,nFrame=7,szName="浩气·谢渊·退场·易伤30%",nTime=10,nRefresh=5,key="谢渊·谢渊·减伤",},</v>
      </c>
      <c r="V4" t="str">
        <f>"{nClass=20,nIcon=2992,nFrame=3,szName="""&amp;E4&amp;"·"&amp;""&amp;H4&amp;"·减伤"""&amp;",nTime="&amp;"""300,"&amp;G4&amp;"·"&amp;H4&amp;"·减伤3层;600,"&amp;G4&amp;"·"&amp;H4&amp;"·减伤2层;900,"&amp;G4&amp;"·"&amp;H4&amp;"·减伤1层;910,"&amp;G4&amp;"·"&amp;H4&amp;"·减伤消失"""&amp;",nRefresh=5,key="""&amp;""&amp;E4&amp;"·"&amp;""&amp;H4&amp;"·减伤"""&amp;",},"</f>
        <v>{nClass=20,nIcon=2992,nFrame=3,szName="王遗风·王遗风·减伤",nTime="300,恶人·王遗风·减伤3层;600,恶人·王遗风·减伤2层;900,恶人·王遗风·减伤1层;910,恶人·王遗风·减伤消失",nRefresh=5,key="王遗风·王遗风·减伤",},</v>
      </c>
    </row>
    <row r="5" customFormat="1" spans="1:33">
      <c r="C5" t="s">
        <v>2353</v>
      </c>
      <c r="D5" t="s">
        <v>2354</v>
      </c>
      <c r="K5" t="s">
        <v>2033</v>
      </c>
      <c r="L5">
        <v>1</v>
      </c>
      <c r="Q5">
        <v>1</v>
      </c>
      <c r="T5" t="str">
        <f t="shared" si="0"/>
        <v>{szContent="侠士 [{$me}] 在拾取复活点物资时意外获得了[便携装置·神机车]。",szNote="获得·便携装置·神机车",col={255,255,100,},bSearch=true,[20]={bCenterAlarm=true,},tCountdown={{nClass=20,nIcon=134,nFrame=0,szName="获得·[便携装置·神机车]",nTime=10,nRefresh=1,key="交互事件",},},},</v>
      </c>
      <c r="U5" t="s">
        <v>2355</v>
      </c>
    </row>
    <row r="6" customFormat="1" spans="1:33">
      <c r="C6" t="s">
        <v>2356</v>
      </c>
      <c r="D6" t="s">
        <v>2357</v>
      </c>
      <c r="K6" t="s">
        <v>2033</v>
      </c>
      <c r="Q6">
        <v>1</v>
      </c>
      <c r="T6" t="str">
        <f t="shared" si="0"/>
        <v>{szContent="本场浩气盟攻防即将结束，南屏山物资运送暂且休整，等待下一场攻防开启！\n",szNote="本场攻防·即将结束",col={255,255,100,},[20]={bCenterAlarm=true,},tCountdown={{nClass=20,nIcon=2401,nFrame=0,szName="本场攻防·结束剩余",nTime=60,nRefresh=5,key="阵营活动",},{nClass=20,nIcon=13,nFrame=-1,szName="浩气·召请CD·肖药儿",nTime=-1,key="浩气·召请CD·肖药儿",},{nClass=20,nIcon=13,nFrame=-1,szName="浩气·召请CD·司徒一一",nTime=-1,key="浩气·召请CD·司徒一一",},{nClass=20,nIcon=13,nFrame=-1,szName="浩气·召请CD·陶寒亭",nTime=-1,key="浩气·召请CD·陶寒亭",},{nClass=20,nIcon=13,nFrame=-1,szName="浩气·召请CD·白某",nTime=-1,key="浩气·召请CD·白某",},{nClass=20,nIcon=13,nFrame=-1,szName="浩气·召请CD·米丽古丽",nTime=-1,key="浩气·召请CD·米丽古丽",},{nClass=20,nIcon=13,nFrame=-1,szName="恶人·召请CD·小七",nTime=-1,key="恶人·召请CD·小七",},{nClass=20,nIcon=13,nFrame=-1,szName="恶人·召请CD·游驹",nTime=-1,key="恶人·召请CD·游驹",},{nClass=20,nIcon=13,nFrame=-1,szName="恶人·召请CD·张桎辕",nTime=-1,key="恶人·召请CD·张桎辕",},{nClass=20,nIcon=13,nFrame=-1,szName="恶人·召请CD·月弄痕",nTime=-1,key="恶人·召请CD·月弄痕",},{nClass=20,nIcon=13,nFrame=-1,szName="恶人·召请CD·司空仲平",nTime=-1,key="恶人·召请CD·司空仲平",},},},</v>
      </c>
      <c r="U6" t="s">
        <v>2358</v>
      </c>
      <c r="V6" s="3" t="s">
        <v>2359</v>
      </c>
    </row>
    <row r="7" spans="1:33">
      <c r="C7" t="s">
        <v>2360</v>
      </c>
      <c r="D7" t="s">
        <v>2357</v>
      </c>
      <c r="K7" t="s">
        <v>2033</v>
      </c>
      <c r="Q7">
        <v>1</v>
      </c>
      <c r="T7" t="str">
        <f t="shared" si="0"/>
        <v>{szContent="本场恶人谷攻防即将结束，昆仑物资运送暂且休整，等待下一场攻防开启！\n",szNote="本场攻防·即将结束",col={255,255,100,},[20]={bCenterAlarm=true,},tCountdown={{nClass=20,nIcon=2401,nFrame=0,szName="本场攻防·结束剩余",nTime=60,nRefresh=5,key="阵营活动",},{nClass=20,nIcon=13,nFrame=-1,szName="浩气·召请CD·肖药儿",nTime=-1,key="浩气·召请CD·肖药儿",},{nClass=20,nIcon=13,nFrame=-1,szName="浩气·召请CD·司徒一一",nTime=-1,key="浩气·召请CD·司徒一一",},{nClass=20,nIcon=13,nFrame=-1,szName="浩气·召请CD·陶寒亭",nTime=-1,key="浩气·召请CD·陶寒亭",},{nClass=20,nIcon=13,nFrame=-1,szName="浩气·召请CD·白某",nTime=-1,key="浩气·召请CD·白某",},{nClass=20,nIcon=13,nFrame=-1,szName="浩气·召请CD·米丽古丽",nTime=-1,key="浩气·召请CD·米丽古丽",},{nClass=20,nIcon=13,nFrame=-1,szName="恶人·召请CD·小七",nTime=-1,key="恶人·召请CD·小七",},{nClass=20,nIcon=13,nFrame=-1,szName="恶人·召请CD·游驹",nTime=-1,key="恶人·召请CD·游驹",},{nClass=20,nIcon=13,nFrame=-1,szName="恶人·召请CD·张桎辕",nTime=-1,key="恶人·召请CD·张桎辕",},{nClass=20,nIcon=13,nFrame=-1,szName="恶人·召请CD·月弄痕",nTime=-1,key="恶人·召请CD·月弄痕",},{nClass=20,nIcon=13,nFrame=-1,szName="恶人·召请CD·司空仲平",nTime=-1,key="恶人·召请CD·司空仲平",},},},</v>
      </c>
      <c r="U7" t="s">
        <v>2358</v>
      </c>
      <c r="V7" s="3" t="s">
        <v>2359</v>
      </c>
    </row>
    <row r="8" spans="1:33">
      <c r="C8" t="s">
        <v>2361</v>
      </c>
      <c r="D8" t="s">
        <v>2362</v>
      </c>
      <c r="K8" t="s">
        <v>2033</v>
      </c>
      <c r="T8" t="str">
        <f t="shared" si="0"/>
        <v>{szContent="正在拍卖攻防掉落的稀有物品，其中通常有当前最高品质附魔、绝世稀有坐骑、玄晶等，阵营侠士们切勿错过！\n",szNote="阵营攻防·拍卖掉落",col={255,255,100,},[20]={},tCountdown={{nClass=20,nIcon=13,nFrame=0,szName="阵营攻防·拍卖掉落",nTime=30,key="拍卖分红",},{nClass=20,nIcon=13,szName="诛恶事件",nTime=-2,key="诛恶事件",},{nClass=20,nIcon=13,szName="通用事件",nTime=-2,key="通用事件",},{nClass=20,nIcon=13,nTime=-2,szName="金水镇",key="金水镇",},{nClass=20,nIcon=13,nTime=-2,szName="巴陵县",key="巴陵县",},{nClass=20,nIcon=13,nTime=-2,szName="龙门荒漠",key="龙门荒漠",},{nClass=20,nIcon=13,nTime=-2,szName="南屏山",key="南屏山",},{nClass=20,nIcon=13,nTime=-2,szName="昆仑",key="昆仑",},{nClass=20,nIcon=13,nTime=-2,szName="白龙口",key="白龙口",},{nClass=20,nIcon=13,nTime=-2,szName="无量山",key="无量山",},{nClass=20,nIcon=13,nTime=-2,szName="黑龙沼",key="黑龙沼",},{nClass=20,nIcon=13,nTime=-2,szName="阴山大草原",key="阴山大草原",},{nClass=20,nIcon=13,nTime=-2,szName="黑戈壁",key="黑戈壁",},{nClass=20,nIcon=13,nTime=-2,szName="鲲鹏岛",key="鲲鹏岛",},},},</v>
      </c>
      <c r="U8" t="s">
        <v>2363</v>
      </c>
      <c r="V8" s="4" t="s">
        <v>2364</v>
      </c>
      <c r="W8" s="4" t="s">
        <v>2365</v>
      </c>
    </row>
    <row r="9" spans="1:33">
      <c r="C9" t="s">
        <v>2366</v>
      </c>
      <c r="D9" t="s">
        <v>2367</v>
      </c>
      <c r="K9" t="s">
        <v>2033</v>
      </c>
      <c r="M9">
        <v>1</v>
      </c>
      <c r="Q9">
        <v>1</v>
      </c>
      <c r="T9" t="str">
        <f t="shared" si="0"/>
        <v>{szContent="^本场攻防“([主战奇袭场]+)”已结束，([浩气盟恶人谷]+)[侠士们众志成城和，]-([大完险胜]+)([浩气盟恶人谷]+)[！，]+",szNote="{$1}·{$2}·{$3}",col={255,255,100,},bReg=true,[20]={bCenterAlarm=true,},tCountdown={{nClass=20,nIcon=13,nFrame=-1,nTime=0,szName="阵营活动",key="阵营活动",},{nClass=20,nIcon=13,nFrame=-1,nTime=0,szName="破阵点将·一",key="破阵点将·一",},{nClass=20,nIcon=13,nFrame=-1,nTime=0,szName="破阵点将·二",key="破阵点将·二",},{nClass=20,nIcon=7674,szName="破阵点将·一·常驻",nTime=-1,key="破阵点将·一·常驻",},{nClass=20,nIcon=7676,szName="破阵点将·二·常驻",nTime=-1,key="破阵点将·二·常驻",},{nClass=20,nIcon=2402,nFrame=4,bHold=true,szName="{$1}·{$2}·{$3}",nTime=57,nRefresh=0,key="大攻防·奇袭场",},{nClass=20,nIcon=2400,nFrame=0,bHold=true,szName="{$1}·{$2}·{$3}",nTime=57,nRefresh=0,key="大攻防·主战场",},{nClass=20,nIcon=13,szName="大攻防·{$1}",nTime=-2,nRefresh=10,key="大攻防·{$1}",},{nClass=20,nIcon=1465,nFrame=-1,szName=" ",nTime=0.001,nRefresh=0,key="大攻防·奇袭场",},{nClass=20,nIcon=1465,nFrame=-1,szName=" ",nTime=0.001,nRefresh=0,key="大攻防·主战场",},{nClass=20,nIcon=13,szName="牛车拾取间隔",nTime=-1,key="牛车拾取间隔",},{nClass=20,nIcon=13,szName="首领拾取间隔",nTime=-1,key="首领拾取间隔",},{nClass=20,nIcon=13,nFrame=4,szName="浩气·物资车·运达",nTime=-1,key="浩气·物资车·运达",},{nClass=20,nIcon=13,nFrame=4,szName="恶人·物资车·运达",nTime=-1,key="恶人·物资车·运达",},{nClass=20,nIcon=13,nFrame=-1,szName="谢渊·月弄痕·减伤",nTime=-1,key="谢渊·月弄痕·减伤",},{nClass=20,nIcon=13,nFrame=-1,szName="谢渊·游驹·减伤",nTime=-1,key="谢渊·游驹·减伤",},{nClass=20,nIcon=13,nFrame=-1,szName="谢渊·小七·减伤",nTime=-1,key="谢渊·小七·减伤",},{nClass=20,nIcon=13,nFrame=-1,szName="谢渊·张桎辕·减伤",nTime=-1,key="谢渊·张桎辕·减伤",},{nClass=20,nIcon=13,nFrame=-1,szName="谢渊·司空仲平·减伤",nTime=-1,key="谢渊·司空仲平·减伤",},{nClass=20,nIcon=13,nFrame=-1,szName="谢渊·韩非池·减伤",nTime=-1,key="谢渊·韩非池·减伤",},{nClass=20,nIcon=13,nFrame=-1,szName="谢渊·赵紫儿·减伤",nTime=-1,key="谢渊·赵紫儿·减伤",},{nClass=20,nIcon=13,nFrame=-1,szName="谢渊·叶镜池·减伤",nTime=-1,key="谢渊·叶镜池·减伤",},{nClass=20,nIcon=13,nFrame=-1,szName="谢渊·郭珠·减伤",nTime=-1,key="谢渊·郭珠·减伤",},{nClass=20,nIcon=13,nFrame=-1,szName="谢渊·穆玄英·减伤",nTime=-1,key="谢渊·穆玄英·减伤",},{nClass=20,nIcon=13,nFrame=-1,szName="谢渊·影·减伤",nTime=-1,key="谢渊·影·减伤",},{nClass=20,nIcon=13,nFrame=-1,szName="王遗风·司徒一一·减伤",nTime=-1,key="王遗风·司徒一一·减伤",},{nClass=20,nIcon=13,nFrame=-1,szName="王遗风·白某·减伤",nTime=-1,key="王遗风·白某·减伤",},{nClass=20,nIcon=13,nFrame=-1,szName="王遗风·米丽古丽·减伤",nTime=-1,key="王遗风·米丽古丽·减伤",},{nClass=20,nIcon=13,nFrame=-1,szName="王遗风·陶寒亭·减伤",nTime=-1,key="王遗风·陶寒亭·减伤",},{nClass=20,nIcon=13,nFrame=-1,szName="王遗风·肖药儿·减伤",nTime=-1,key="王遗风·肖药儿·减伤",},{nClass=20,nIcon=13,nFrame=-1,szName="王遗风·伊夜·减伤",nTime=-1,key="王遗风·伊夜·减伤",},{nClass=20,nIcon=13,nFrame=-1,szName="王遗风·丁丁·减伤",nTime=-1,key="王遗风·丁丁·减伤",},{nClass=20,nIcon=13,nFrame=-1,szName="王遗风·岳琅·减伤",nTime=-1,key="王遗风·岳琅·减伤",},{nClass=20,nIcon=13,nFrame=-1,szName="王遗风·毕罗巴·减伤",nTime=-1,key="王遗风·毕罗巴·减伤",},{nClass=20,nIcon=13,nFrame=-1,szName="王遗风·烟·减伤",nTime=-1,key="王遗风·烟·减伤",},{nClass=20,nIcon=13,nFrame=-1,szName="王遗风·独孤修·减伤",nTime=-1,key="王遗风·独孤修·减伤",},{nClass=20,nIcon=13,nFrame=-1,szName="谢渊·周峰·减伤",nTime=-1,key="谢渊·周峰·减伤",},{nClass=20,nIcon=13,nFrame=-1,szName="谢渊·郑鸥·减伤",nTime=-1,key="谢渊·郑鸥·减伤",},{nClass=20,nIcon=13,nFrame=-1,szName="谢渊·陶杰·减伤",nTime=-1,key="谢渊·陶杰·减伤",},{nClass=20,nIcon=13,nFrame=-1,szName="谢渊·谢烟客·减伤",nTime=-1,key="谢渊·谢烟客·减伤",},{nClass=20,nIcon=13,nFrame=-1,szName="王遗风·张一洋·减伤",nTime=-1,key="王遗风·张一洋·减伤",},{nClass=20,nIcon=13,nFrame=-1,szName="王遗风·陶国栋·减伤",nTime=-1,key="王遗风·陶国栋·减伤",},{nClass=20,nIcon=13,nFrame=-1,szName="王遗风·吕沛杰·减伤",nTime=-1,key="王遗风·吕沛杰·减伤",},{nClass=20,nIcon=13,nFrame=-1,szName="王遗风·顾延恶·减伤",nTime=-1,key="王遗风·顾延恶·减伤",},{nClass=20,nIcon=13,nFrame=-1,szName="王遗风·莫雨·减伤",nTime=-1,key="王遗风·莫雨·减伤",},{nClass=20,nIcon=13,nFrame=-1,szName="王遗风·万兽王·减伤",nTime=-1,key="王遗风·万兽王·减伤",},{nClass=20,nIcon=13,nFrame=-1,szName="谢渊·谢铃儿·减伤",nTime=-1,key="谢渊·谢铃儿·减伤",},},},</v>
      </c>
      <c r="U9" t="s">
        <v>2368</v>
      </c>
      <c r="V9" t="s">
        <v>2369</v>
      </c>
      <c r="W9" t="s">
        <v>2370</v>
      </c>
      <c r="X9" t="s">
        <v>2371</v>
      </c>
      <c r="Y9" t="s">
        <v>2372</v>
      </c>
      <c r="Z9" t="s">
        <v>2373</v>
      </c>
      <c r="AA9" t="s">
        <v>2374</v>
      </c>
      <c r="AB9" t="s">
        <v>2375</v>
      </c>
      <c r="AC9" t="s">
        <v>2376</v>
      </c>
      <c r="AD9" t="s">
        <v>2377</v>
      </c>
      <c r="AE9" t="s">
        <v>2378</v>
      </c>
      <c r="AF9" t="s">
        <v>2379</v>
      </c>
      <c r="AG9" s="5" t="s">
        <v>2380</v>
      </c>
    </row>
    <row r="10" customFormat="1" spans="1:33">
      <c r="C10" t="s">
        <v>2381</v>
      </c>
      <c r="D10" t="s">
        <v>2382</v>
      </c>
      <c r="K10" t="s">
        <v>2033</v>
      </c>
      <c r="T10" t="str">
        <f t="shared" si="0"/>
        <v>{szContent="本场攻防“主战场”已结束，浩气盟侠士和恶人谷侠士经过一场恶战，势均力敌，最终打为平手。战利品稍后开始拍卖，请留意！\n",szNote="主战场·平局",col={255,255,100,},[20]={},tCountdown={{nClass=20,nIcon=2400,nFrame=0,bHold=true,szName="主战场·平局",nTime=57,nRefresh=5,key="大攻防·主战场",},{nClass=20,nIcon=13,nFrame=-1,nTime=0,szName="阵营活动",key="阵营活动",},{nClass=20,nIcon=13,nFrame=-1,nTime=0,szName="破阵点将·一",key="破阵点将·一",},{nClass=20,nIcon=13,nFrame=-1,nTime=0,szName="破阵点将·二",key="破阵点将·二",},{nClass=20,nIcon=7674,szName="破阵点将·一·常驻",nTime=-1,key="破阵点将·一·常驻",},{nClass=20,nIcon=7676,szName="破阵点将·二·常驻",nTime=-1,key="破阵点将·二·常驻",},{nClass=20,nIcon=13,szName="牛车拾取间隔",nTime=-1,key="牛车拾取间隔",},{nClass=20,nIcon=13,szName="首领拾取间隔",nTime=-1,key="首领拾取间隔",},{nClass=20,nIcon=13,nFrame=4,szName="浩气·物资车·运达",nTime=-1,key="浩气·物资车·运达",},{nClass=20,nIcon=13,nFrame=4,szName="恶人·物资车·运达",nTime=-1,key="恶人·物资车·运达",},{nClass=20,nIcon=13,nFrame=-1,szName="谢渊·月弄痕·减伤",nTime=-1,key="谢渊·月弄痕·减伤",},{nClass=20,nIcon=13,nFrame=-1,szName="谢渊·游驹·减伤",nTime=-1,key="谢渊·游驹·减伤",},{nClass=20,nIcon=13,nFrame=-1,szName="谢渊·小七·减伤",nTime=-1,key="谢渊·小七·减伤",},{nClass=20,nIcon=13,nFrame=-1,szName="谢渊·张桎辕·减伤",nTime=-1,key="谢渊·张桎辕·减伤",},{nClass=20,nIcon=13,nFrame=-1,szName="谢渊·司空仲平·减伤",nTime=-1,key="谢渊·司空仲平·减伤",},{nClass=20,nIcon=13,nFrame=-1,szName="谢渊·韩非池·减伤",nTime=-1,key="谢渊·韩非池·减伤",},{nClass=20,nIcon=13,nFrame=-1,szName="谢渊·赵紫儿·减伤",nTime=-1,key="谢渊·赵紫儿·减伤",},{nClass=20,nIcon=13,nFrame=-1,szName="谢渊·叶镜池·减伤",nTime=-1,key="谢渊·叶镜池·减伤",},{nClass=20,nIcon=13,nFrame=-1,szName="谢渊·郭珠·减伤",nTime=-1,key="谢渊·郭珠·减伤",},{nClass=20,nIcon=13,nFrame=-1,szName="谢渊·穆玄英·减伤",nTime=-1,key="谢渊·穆玄英·减伤",},{nClass=20,nIcon=13,nFrame=-1,szName="谢渊·影·减伤",nTime=-1,key="谢渊·影·减伤",},{nClass=20,nIcon=13,nFrame=-1,szName="王遗风·司徒一一·减伤",nTime=-1,key="王遗风·司徒一一·减伤",},{nClass=20,nIcon=13,nFrame=-1,szName="王遗风·白某·减伤",nTime=-1,key="王遗风·白某·减伤",},{nClass=20,nIcon=13,nFrame=-1,szName="王遗风·米丽古丽·减伤",nTime=-1,key="王遗风·米丽古丽·减伤",},{nClass=20,nIcon=13,nFrame=-1,szName="王遗风·陶寒亭·减伤",nTime=-1,key="王遗风·陶寒亭·减伤",},{nClass=20,nIcon=13,nFrame=-1,szName="王遗风·肖药儿·减伤",nTime=-1,key="王遗风·肖药儿·减伤",},{nClass=20,nIcon=13,nFrame=-1,szName="王遗风·伊夜·减伤",nTime=-1,key="王遗风·伊夜·减伤",},{nClass=20,nIcon=13,nFrame=-1,szName="王遗风·丁丁·减伤",nTime=-1,key="王遗风·丁丁·减伤",},{nClass=20,nIcon=13,nFrame=-1,szName="王遗风·岳琅·减伤",nTime=-1,key="王遗风·岳琅·减伤",},{nClass=20,nIcon=13,nFrame=-1,szName="王遗风·毕罗巴·减伤",nTime=-1,key="王遗风·毕罗巴·减伤",},{nClass=20,nIcon=13,nFrame=-1,szName="王遗风·烟·减伤",nTime=-1,key="王遗风·烟·减伤",},{nClass=20,nIcon=13,nFrame=-1,szName="王遗风·独孤修·减伤",nTime=-1,key="王遗风·独孤修·减伤",},{nClass=20,nIcon=13,nFrame=-1,szName="谢渊·周峰·减伤",nTime=-1,key="谢渊·周峰·减伤",},{nClass=20,nIcon=13,nFrame=-1,szName="谢渊·郑鸥·减伤",nTime=-1,key="谢渊·郑鸥·减伤",},{nClass=20,nIcon=13,nFrame=-1,szName="谢渊·陶杰·减伤",nTime=-1,key="谢渊·陶杰·减伤",},{nClass=20,nIcon=13,nFrame=-1,szName="谢渊·谢烟客·减伤",nTime=-1,key="谢渊·谢烟客·减伤",},{nClass=20,nIcon=13,nFrame=-1,szName="王遗风·张一洋·减伤",nTime=-1,key="王遗风·张一洋·减伤",},{nClass=20,nIcon=13,nFrame=-1,szName="王遗风·陶国栋·减伤",nTime=-1,key="王遗风·陶国栋·减伤",},{nClass=20,nIcon=13,nFrame=-1,szName="王遗风·吕沛杰·减伤",nTime=-1,key="王遗风·吕沛杰·减伤",},{nClass=20,nIcon=13,nFrame=-1,szName="王遗风·顾延恶·减伤",nTime=-1,key="王遗风·顾延恶·减伤",},{nClass=20,nIcon=13,nFrame=-1,szName="王遗风·莫雨·减伤",nTime=-1,key="王遗风·莫雨·减伤",},{nClass=20,nIcon=13,nFrame=-1,szName="王遗风·万兽王·减伤",nTime=-1,key="王遗风·万兽王·减伤",},{nClass=20,nIcon=13,nFrame=-1,szName="谢渊·谢铃儿·减伤",nTime=-1,key="谢渊·谢铃儿·减伤",},},},</v>
      </c>
      <c r="U10" t="s">
        <v>2383</v>
      </c>
      <c r="V10" t="s">
        <v>2368</v>
      </c>
      <c r="W10" t="s">
        <v>2369</v>
      </c>
      <c r="X10" t="s">
        <v>2370</v>
      </c>
      <c r="Y10" t="s">
        <v>2376</v>
      </c>
      <c r="Z10" t="s">
        <v>2377</v>
      </c>
      <c r="AA10" t="s">
        <v>2378</v>
      </c>
      <c r="AB10" t="s">
        <v>2379</v>
      </c>
      <c r="AC10" s="6" t="s">
        <v>2380</v>
      </c>
    </row>
    <row r="11" spans="1:33">
      <c r="C11" t="s">
        <v>2384</v>
      </c>
      <c r="D11" t="s">
        <v>2385</v>
      </c>
      <c r="K11" t="s">
        <v>2033</v>
      </c>
      <c r="T11" t="str">
        <f t="shared" si="0"/>
        <v>{szContent="本场攻防“奇袭场”已结束，浩气盟侠士和恶人谷侠士经过一场恶战，势均力敌，最终打为平手。战利品稍后开始拍卖，请留意！\n",szNote="奇袭场·平局",col={255,255,100,},[20]={},tCountdown={{nClass=20,nIcon=2402,nFrame=4,bHold=true,szName="奇袭场·平局",nTime=57,nRefresh=5,key="大攻防·奇袭场",},{nClass=20,nIcon=13,nFrame=-1,nTime=0,szName="阵营活动",key="阵营活动",},{nClass=20,nIcon=13,nFrame=-1,nTime=0,szName="破阵点将·一",key="破阵点将·一",},{nClass=20,nIcon=13,nFrame=-1,nTime=0,szName="破阵点将·二",key="破阵点将·二",},{nClass=20,nIcon=7674,szName="破阵点将·一·常驻",nTime=-1,key="破阵点将·一·常驻",},{nClass=20,nIcon=7676,szName="破阵点将·二·常驻",nTime=-1,key="破阵点将·二·常驻",},{nClass=20,nIcon=13,szName="牛车拾取间隔",nTime=-1,key="牛车拾取间隔",},{nClass=20,nIcon=13,szName="首领拾取间隔",nTime=-1,key="首领拾取间隔",},{nClass=20,nIcon=13,nFrame=4,szName="浩气·物资车·运达",nTime=-1,key="浩气·物资车·运达",},{nClass=20,nIcon=13,nFrame=4,szName="恶人·物资车·运达",nTime=-1,key="恶人·物资车·运达",},{nClass=20,nIcon=13,nFrame=-1,szName="谢渊·月弄痕·减伤",nTime=-1,key="谢渊·月弄痕·减伤",},{nClass=20,nIcon=13,nFrame=-1,szName="谢渊·游驹·减伤",nTime=-1,key="谢渊·游驹·减伤",},{nClass=20,nIcon=13,nFrame=-1,szName="谢渊·小七·减伤",nTime=-1,key="谢渊·小七·减伤",},{nClass=20,nIcon=13,nFrame=-1,szName="谢渊·张桎辕·减伤",nTime=-1,key="谢渊·张桎辕·减伤",},{nClass=20,nIcon=13,nFrame=-1,szName="谢渊·司空仲平·减伤",nTime=-1,key="谢渊·司空仲平·减伤",},{nClass=20,nIcon=13,nFrame=-1,szName="谢渊·韩非池·减伤",nTime=-1,key="谢渊·韩非池·减伤",},{nClass=20,nIcon=13,nFrame=-1,szName="谢渊·赵紫儿·减伤",nTime=-1,key="谢渊·赵紫儿·减伤",},{nClass=20,nIcon=13,nFrame=-1,szName="谢渊·叶镜池·减伤",nTime=-1,key="谢渊·叶镜池·减伤",},{nClass=20,nIcon=13,nFrame=-1,szName="谢渊·郭珠·减伤",nTime=-1,key="谢渊·郭珠·减伤",},{nClass=20,nIcon=13,nFrame=-1,szName="谢渊·穆玄英·减伤",nTime=-1,key="谢渊·穆玄英·减伤",},{nClass=20,nIcon=13,nFrame=-1,szName="谢渊·影·减伤",nTime=-1,key="谢渊·影·减伤",},{nClass=20,nIcon=13,nFrame=-1,szName="王遗风·司徒一一·减伤",nTime=-1,key="王遗风·司徒一一·减伤",},{nClass=20,nIcon=13,nFrame=-1,szName="王遗风·白某·减伤",nTime=-1,key="王遗风·白某·减伤",},{nClass=20,nIcon=13,nFrame=-1,szName="王遗风·米丽古丽·减伤",nTime=-1,key="王遗风·米丽古丽·减伤",},{nClass=20,nIcon=13,nFrame=-1,szName="王遗风·陶寒亭·减伤",nTime=-1,key="王遗风·陶寒亭·减伤",},{nClass=20,nIcon=13,nFrame=-1,szName="王遗风·肖药儿·减伤",nTime=-1,key="王遗风·肖药儿·减伤",},{nClass=20,nIcon=13,nFrame=-1,szName="王遗风·伊夜·减伤",nTime=-1,key="王遗风·伊夜·减伤",},{nClass=20,nIcon=13,nFrame=-1,szName="王遗风·丁丁·减伤",nTime=-1,key="王遗风·丁丁·减伤",},{nClass=20,nIcon=13,nFrame=-1,szName="王遗风·岳琅·减伤",nTime=-1,key="王遗风·岳琅·减伤",},{nClass=20,nIcon=13,nFrame=-1,szName="王遗风·毕罗巴·减伤",nTime=-1,key="王遗风·毕罗巴·减伤",},{nClass=20,nIcon=13,nFrame=-1,szName="王遗风·烟·减伤",nTime=-1,key="王遗风·烟·减伤",},{nClass=20,nIcon=13,nFrame=-1,szName="王遗风·独孤修·减伤",nTime=-1,key="王遗风·独孤修·减伤",},{nClass=20,nIcon=13,nFrame=-1,szName="谢渊·周峰·减伤",nTime=-1,key="谢渊·周峰·减伤",},{nClass=20,nIcon=13,nFrame=-1,szName="谢渊·郑鸥·减伤",nTime=-1,key="谢渊·郑鸥·减伤",},{nClass=20,nIcon=13,nFrame=-1,szName="谢渊·陶杰·减伤",nTime=-1,key="谢渊·陶杰·减伤",},{nClass=20,nIcon=13,nFrame=-1,szName="谢渊·谢烟客·减伤",nTime=-1,key="谢渊·谢烟客·减伤",},{nClass=20,nIcon=13,nFrame=-1,szName="王遗风·张一洋·减伤",nTime=-1,key="王遗风·张一洋·减伤",},{nClass=20,nIcon=13,nFrame=-1,szName="王遗风·陶国栋·减伤",nTime=-1,key="王遗风·陶国栋·减伤",},{nClass=20,nIcon=13,nFrame=-1,szName="王遗风·吕沛杰·减伤",nTime=-1,key="王遗风·吕沛杰·减伤",},{nClass=20,nIcon=13,nFrame=-1,szName="王遗风·顾延恶·减伤",nTime=-1,key="王遗风·顾延恶·减伤",},{nClass=20,nIcon=13,nFrame=-1,szName="王遗风·莫雨·减伤",nTime=-1,key="王遗风·莫雨·减伤",},{nClass=20,nIcon=13,nFrame=-1,szName="王遗风·万兽王·减伤",nTime=-1,key="王遗风·万兽王·减伤",},{nClass=20,nIcon=13,nFrame=-1,szName="谢渊·谢铃儿·减伤",nTime=-1,key="谢渊·谢铃儿·减伤",},},},</v>
      </c>
      <c r="U11" t="s">
        <v>2386</v>
      </c>
      <c r="V11" t="s">
        <v>2368</v>
      </c>
      <c r="W11" t="s">
        <v>2369</v>
      </c>
      <c r="X11" t="s">
        <v>2370</v>
      </c>
      <c r="Y11" t="s">
        <v>2376</v>
      </c>
      <c r="Z11" t="s">
        <v>2377</v>
      </c>
      <c r="AA11" t="s">
        <v>2378</v>
      </c>
      <c r="AB11" t="s">
        <v>2379</v>
      </c>
      <c r="AC11" s="6" t="s">
        <v>2380</v>
      </c>
    </row>
    <row r="12" spans="1:33">
      <c r="C12" t="s">
        <v>2387</v>
      </c>
      <c r="D12" t="s">
        <v>2388</v>
      </c>
      <c r="K12" t="s">
        <v>2029</v>
      </c>
      <c r="T12" t="str">
        <f t="shared" si="0"/>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12" t="s">
        <v>2389</v>
      </c>
    </row>
    <row r="13" spans="1:33">
      <c r="C13" t="s">
        <v>2390</v>
      </c>
      <c r="D13" t="s">
        <v>2391</v>
      </c>
      <c r="K13" t="s">
        <v>2025</v>
      </c>
      <c r="T13" t="str">
        <f t="shared" si="0"/>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13" t="s">
        <v>2392</v>
      </c>
    </row>
    <row r="14" spans="1:33">
      <c r="C14" t="s">
        <v>2393</v>
      </c>
      <c r="D14" t="s">
        <v>2394</v>
      </c>
      <c r="K14" t="s">
        <v>2033</v>
      </c>
      <c r="T14" t="str">
        <f t="shared" si="0"/>
        <v>{szContent="驿马快报！本周浩气盟和恶人谷最终战为平手，未分胜负！\n",szNote="阵营事件·本周战平",col={255,255,100,},[20]={},tCountdown={{nClass=20,nIcon=13354,nFrame=4,szName="阵营事件·本周战平",nTime=60,key="阵营活动",},},},</v>
      </c>
      <c r="U14" t="s">
        <v>2395</v>
      </c>
    </row>
    <row r="15" spans="1:33">
      <c r="C15" t="s">
        <v>2396</v>
      </c>
      <c r="D15" t="s">
        <v>2397</v>
      </c>
      <c r="L15">
        <v>1</v>
      </c>
      <c r="T15" t="str">
        <f t="shared" si="0"/>
        <v>{szContent="[团队监控]数据加载成功",szNote="关闭刷马等计时条",bSearch=true,[20]={},tCountdown={{nClass=20,nIcon=13,szName="诛恶事件",nTime=-1,nRefresh=7200,key="诛恶事件",},{nClass=20,nIcon=13,szName="通用事件",nTime=-1,nRefresh=7200,key="通用事件",},{nClass=20,nIcon=13,nTime=-1,szName="金水镇",nRefresh=99999,key="金水镇",},{nClass=20,nIcon=13,nTime=-1,szName="巴陵县",nRefresh=99999,key="巴陵县",},{nClass=20,nIcon=13,nTime=-1,szName="龙门荒漠",nRefresh=99999,key="龙门荒漠",},{nClass=20,nIcon=13,nTime=-1,szName="南屏山",nRefresh=99999,key="南屏山",},{nClass=20,nIcon=13,nTime=-1,szName="昆仑",nRefresh=99999,key="昆仑",},{nClass=20,nIcon=13,nTime=-1,szName="白龙口",nRefresh=99999,key="白龙口",},{nClass=20,nIcon=13,nTime=-1,szName="无量山",nRefresh=99999,key="无量山",},{nClass=20,nIcon=13,nTime=-1,szName="黑龙沼",nRefresh=99999,key="黑龙沼",},{nClass=20,nIcon=13,nTime=-1,szName="阴山大草原",nRefresh=99999,key="阴山大草原",},{nClass=20,nIcon=13,nTime=-1,szName="黑戈壁",nRefresh=99999,key="黑戈壁",},{nClass=20,nIcon=13,nTime=-1,szName="鲲鹏岛",nRefresh=99999,key="鲲鹏岛",},{nClass=20,nIcon=2402,szName="大攻防·奇袭场",nTime=-1,nRefresh=999999,key="大攻防·奇袭场",},{nClass=-1,key="订阅提示1",nTime=15,szName="订阅提示1",nRefresh=2,nIcon=13,nFrame=5,},{nClass=-1,key="订阅提示2",nTime=15,szName="订阅提示2",nRefresh=2,nIcon=13,nFrame=6,},{nClass=-1,key="订阅提示3",nTime=15,szName="订阅提示3",nRefresh=2,nIcon=13,nFrame=7,},},},</v>
      </c>
      <c r="U15" s="5" t="s">
        <v>2398</v>
      </c>
      <c r="V15" s="5" t="s">
        <v>2399</v>
      </c>
      <c r="W15" t="s">
        <v>2400</v>
      </c>
      <c r="X15" t="s">
        <v>2401</v>
      </c>
    </row>
    <row r="16" spans="1:33">
      <c r="A16" t="s">
        <v>311</v>
      </c>
      <c r="B16">
        <v>25</v>
      </c>
      <c r="T16" t="str">
        <f t="shared" si="0"/>
        <v>},[25]={</v>
      </c>
    </row>
    <row r="17" spans="1:26">
      <c r="C17" t="s">
        <v>2402</v>
      </c>
      <c r="D17" t="s">
        <v>2397</v>
      </c>
      <c r="T17" t="str">
        <f t="shared" si="0"/>
        <v>{szContent="你已进入地图【浩气盟】。",szNote="关闭刷马等计时条",[20]={},tCountdown={{nClass=20,nIcon=1465,nFrame=-1,nTime=0.001,szName=" ",nRefresh=99999,key="破阵点将·一·常驻",},{nClass=20,nIcon=1465,nFrame=-1,nTime=0.001,szName=" ",nRefresh=99999,key="破阵点将·二·常驻",},{nClass=20,nIcon=13,szName="天气事件1",nTime=-2,key="天气事件1",},{nClass=20,nIcon=13,szName="天气事件2",nTime=-2,key="天气事件2",},{nClass=20,nIcon=13,nFrame=-1,szName="阵营活动",nTime=-2,key="阵营活动",},{nClass=20,nIcon=13,nFrame=-1,szName="创意食品",nTime=-1,nRefresh=5,key="创意食品",},{nClass=20,nIcon=13,szName="速战速决",nTime=-1,nRefresh=99999,key="速战速决",},{nClass=20,nIcon=13,nTime=-1,szName="金水镇",nRefresh=99999,key="金水镇",},{nClass=20,nIcon=13,nTime=-1,szName="巴陵县",nRefresh=99999,key="巴陵县",},{nClass=20,nIcon=13,nTime=-1,szName="龙门荒漠",nRefresh=99999,key="龙门荒漠",},{nClass=20,nIcon=13,nTime=-1,szName="南屏山",nRefresh=99999,key="南屏山",},{nClass=20,nIcon=13,nTime=-1,szName="昆仑",nRefresh=99999,key="昆仑",},{nClass=20,nIcon=13,nTime=-1,szName="白龙口",nRefresh=99999,key="白龙口",},{nClass=20,nIcon=13,nTime=-1,szName="无量山",nRefresh=99999,key="无量山",},{nClass=20,nIcon=13,nTime=-1,szName="黑龙沼",nRefresh=99999,key="黑龙沼",},{nClass=20,nIcon=13,nTime=-1,szName="阴山大草原",nRefresh=99999,key="阴山大草原",},{nClass=20,nIcon=13,nTime=-1,szName="黑戈壁",nRefresh=99999,key="黑戈壁",},{nClass=20,nIcon=13,nTime=-1,szName="鲲鹏岛",nRefresh=99999,key="鲲鹏岛",},},},</v>
      </c>
      <c r="U17" t="s">
        <v>2403</v>
      </c>
      <c r="V17" t="s">
        <v>2404</v>
      </c>
      <c r="W17" t="s">
        <v>2405</v>
      </c>
      <c r="X17" t="s">
        <v>2406</v>
      </c>
      <c r="Y17" t="s">
        <v>2407</v>
      </c>
      <c r="Z17" s="5" t="s">
        <v>2399</v>
      </c>
    </row>
    <row r="18" customFormat="1" spans="1:26">
      <c r="C18" t="s">
        <v>2408</v>
      </c>
      <c r="D18" t="s">
        <v>2409</v>
      </c>
      <c r="K18" t="s">
        <v>2033</v>
      </c>
      <c r="Q18">
        <v>1</v>
      </c>
      <c r="T18" t="str">
        <f t="shared" si="0"/>
        <v>{szContent="伊夜使用了一招围魏救赵的妙计，率众客将奇袭了浩气盟大本营，浩气盟侠士也请速回救援！\n",szNote="奇袭攻防·正式开启",col={255,255,100,},[20]={bCenterAlarm=true,},tCountdown={{nClass=20,nIcon=2401,nFrame=0,szName="奇袭攻防·正式开始",nTime="30,奇袭攻防·正式开始;60,建议关闭·江湖身份",nRefresh=10,key="阵营活动",},{nClass=20,nIcon=13,szName="首领拾取间隔",nTime=-1,nRefresh=7200,key="首领拾取间隔",},{nClass=20,nIcon=13,szName="诛恶事件",nTime=-1,nRefresh=7200,key="诛恶事件",},{nClass=20,nIcon=13,szName="通用事件",nTime=-1,nRefresh=7200,key="通用事件",},{nClass=20,nIcon=13,nTime=-2,szName="屹立不倒",key="屹立不倒",},},},</v>
      </c>
      <c r="U18" t="s">
        <v>2410</v>
      </c>
      <c r="V18" t="s">
        <v>2411</v>
      </c>
      <c r="W18" s="5" t="s">
        <v>2398</v>
      </c>
      <c r="X18" t="s">
        <v>2412</v>
      </c>
    </row>
    <row r="19" spans="1:26">
      <c r="C19" t="s">
        <v>2413</v>
      </c>
      <c r="D19" t="s">
        <v>2414</v>
      </c>
      <c r="K19" t="s">
        <v>2033</v>
      </c>
      <c r="Q19">
        <v>1</v>
      </c>
      <c r="T19" t="str">
        <f t="shared" si="0"/>
        <v>{szContent="王遗风已率恶人谷众首领抵达浩气盟，请各位恶人谷侠士速到浩气盟支援。浩气盟侠士也请速回浩气盟防御！\n",szNote="主场攻防·正式开启",col={255,255,100,},[20]={bCenterAlarm=true,},tCountdown={{nClass=20,nIcon=2401,nFrame=-1,szName="主场攻防·正式开始",nTime="2,主场攻防·正式开始;10,建议关闭·江湖身份;900,阶段·速战速决·15分钟;905,阶段·速战速决·已经结束;910,阶段·首领出战·正在召请;1800,阶段·物资车1·出发剩余;1810,阶段·物资车1·正在出发;2700,阶段·破阵点将1·结算剩余;2710,阶段·破阵点将1·正在结算;3540,阶段·物资车2·出发剩余;3550,阶段·物资车2·正在出发;3600,阶段·首领出战·助战剩余;3605,阶段·首领出战·助战结束;5400,阶段·破阵点将2·结算剩余;5405,阶段·破阵点将2·正在结算;5410,阶段·物资车3·正在出发;7200,阶段·本场攻防·结束剩余;7205,阶段·本场攻防·正在结算;7210,阶段·本场攻防·已经结束",nRefresh=10,key="阵营活动",},{nClass=20,nIcon=13,szName="首领拾取间隔",nTime=-1,nRefresh=30,key="首领拾取间隔",},{nClass=20,nIcon=13,szName="速战速决",nTime=-2,key="速战速决",},{nClass=20,nIcon=13,szName="诛恶事件",nTime=-1,nRefresh=7200,key="诛恶事件",},{nClass=20,nIcon=13,szName="通用事件",nTime=-1,nRefresh=7200,key="通用事件",},{nClass=20,nIcon=13,nTime=-2,szName="屹立不倒",key="屹立不倒",},},},</v>
      </c>
      <c r="U19" t="s">
        <v>2415</v>
      </c>
      <c r="V19" t="s">
        <v>2416</v>
      </c>
      <c r="W19" t="s">
        <v>2417</v>
      </c>
      <c r="X19" s="5" t="s">
        <v>2398</v>
      </c>
      <c r="Y19" t="s">
        <v>2412</v>
      </c>
    </row>
    <row r="20" spans="1:26">
      <c r="A20" t="s">
        <v>328</v>
      </c>
      <c r="B20">
        <v>27</v>
      </c>
      <c r="T20" t="str">
        <f t="shared" si="0"/>
        <v>},[27]={</v>
      </c>
    </row>
    <row r="21" spans="1:26">
      <c r="C21" t="s">
        <v>2418</v>
      </c>
      <c r="D21" t="s">
        <v>2397</v>
      </c>
      <c r="T21" t="str">
        <f t="shared" si="0"/>
        <v>{szContent="你已进入地图【恶人谷】。",szNote="关闭刷马等计时条",[20]={},tCountdown={{nClass=20,nIcon=1465,nFrame=-1,nTime=0.001,szName=" ",nRefresh=99999,key="破阵点将·一·常驻",},{nClass=20,nIcon=1465,nFrame=-1,nTime=0.001,szName=" ",nRefresh=99999,key="破阵点将·二·常驻",},{nClass=20,nIcon=13,szName="天气事件1",nTime=-2,key="天气事件1",},{nClass=20,nIcon=13,szName="天气事件2",nTime=-2,key="天气事件2",},{nClass=20,nIcon=13,nFrame=-1,szName="阵营活动",nTime=-2,key="阵营活动",},{nClass=20,nIcon=13,nFrame=-1,szName="创意食品",nTime=-1,nRefresh=5,key="创意食品",},{nClass=20,nIcon=13,szName="速战速决",nTime=-1,nRefresh=99999,key="速战速决",},{nClass=20,nIcon=13,nTime=-1,szName="金水镇",nRefresh=99999,key="金水镇",},{nClass=20,nIcon=13,nTime=-1,szName="巴陵县",nRefresh=99999,key="巴陵县",},{nClass=20,nIcon=13,nTime=-1,szName="龙门荒漠",nRefresh=99999,key="龙门荒漠",},{nClass=20,nIcon=13,nTime=-1,szName="南屏山",nRefresh=99999,key="南屏山",},{nClass=20,nIcon=13,nTime=-1,szName="昆仑",nRefresh=99999,key="昆仑",},{nClass=20,nIcon=13,nTime=-1,szName="白龙口",nRefresh=99999,key="白龙口",},{nClass=20,nIcon=13,nTime=-1,szName="无量山",nRefresh=99999,key="无量山",},{nClass=20,nIcon=13,nTime=-1,szName="黑龙沼",nRefresh=99999,key="黑龙沼",},{nClass=20,nIcon=13,nTime=-1,szName="阴山大草原",nRefresh=99999,key="阴山大草原",},{nClass=20,nIcon=13,nTime=-1,szName="黑戈壁",nRefresh=99999,key="黑戈壁",},{nClass=20,nIcon=13,nTime=-1,szName="鲲鹏岛",nRefresh=99999,key="鲲鹏岛",},},},</v>
      </c>
      <c r="U21" t="s">
        <v>2403</v>
      </c>
      <c r="V21" t="s">
        <v>2404</v>
      </c>
      <c r="W21" t="s">
        <v>2405</v>
      </c>
      <c r="X21" t="s">
        <v>2406</v>
      </c>
      <c r="Y21" t="s">
        <v>2407</v>
      </c>
      <c r="Z21" s="5" t="s">
        <v>2399</v>
      </c>
    </row>
    <row r="22" customFormat="1" spans="1:26">
      <c r="C22" t="s">
        <v>2419</v>
      </c>
      <c r="D22" t="s">
        <v>2409</v>
      </c>
      <c r="K22" t="s">
        <v>2033</v>
      </c>
      <c r="Q22">
        <v>1</v>
      </c>
      <c r="T22" t="str">
        <f t="shared" si="0"/>
        <v>{szContent="韩非池使用了一招围魏救赵的妙计，率众客将奇袭了恶人谷大本营，恶人谷侠士也请速回救援！\n",szNote="奇袭攻防·正式开启",col={255,255,100,},[20]={bCenterAlarm=true,},tCountdown={{nClass=20,nIcon=2401,nFrame=0,szName="奇袭攻防·正式开始",nTime="30,奇袭攻防·正式开始;60,建议关闭·江湖身份",nRefresh=10,key="阵营活动",},{nClass=20,nIcon=13,szName="首领拾取间隔",nTime=-1,nRefresh=7200,key="首领拾取间隔",},{nClass=20,nIcon=13,szName="诛恶事件",nTime=-1,nRefresh=7200,key="诛恶事件",},{nClass=20,nIcon=13,szName="通用事件",nTime=-1,nRefresh=7200,key="通用事件",},{nClass=20,nIcon=13,nTime=-2,szName="屹立不倒",key="屹立不倒",},},},</v>
      </c>
      <c r="U22" t="s">
        <v>2410</v>
      </c>
      <c r="V22" t="s">
        <v>2411</v>
      </c>
      <c r="W22" s="5" t="s">
        <v>2398</v>
      </c>
      <c r="X22" t="s">
        <v>2412</v>
      </c>
    </row>
    <row r="23" spans="1:26">
      <c r="C23" t="s">
        <v>2420</v>
      </c>
      <c r="D23" t="s">
        <v>2414</v>
      </c>
      <c r="K23" t="s">
        <v>2033</v>
      </c>
      <c r="Q23">
        <v>1</v>
      </c>
      <c r="T23" t="str">
        <f t="shared" si="0"/>
        <v>{szContent="谢渊已率浩气盟众首领抵达恶人谷，请各位浩气盟侠士速到恶人谷支援。恶人谷侠士也请速回恶人谷防御！\n",szNote="主场攻防·正式开启",col={255,255,100,},[20]={bCenterAlarm=true,},tCountdown={{nClass=20,nIcon=2401,nFrame=-1,szName="主场攻防·正式开始",nTime="2,主场攻防·正式开始;10,建议关闭·江湖身份;900,阶段·速战速决·15分钟;905,阶段·速战速决·已经结束;910,阶段·首领出战·正在召请;1800,阶段·物资车1·出发剩余;1810,阶段·物资车1·正在出发;2700,阶段·破阵点将1·结算剩余;2710,阶段·破阵点将1·正在结算;3540,阶段·物资车2·出发剩余;3550,阶段·物资车2·正在出发;3600,阶段·首领出战·助战剩余;3605,阶段·首领出战·助战结束;5400,阶段·破阵点将2·结算剩余;5405,阶段·破阵点将2·正在结算;5410,阶段·物资车3·正在出发;7200,阶段·本场攻防·结束剩余;7205,阶段·本场攻防·正在结算;7210,阶段·本场攻防·已经结束",nRefresh=10,key="阵营活动",},{nClass=20,nIcon=13,szName="首领拾取间隔",nTime=-1,nRefresh=30,key="首领拾取间隔",},{nClass=20,nIcon=13,szName="速战速决",nTime=-2,key="速战速决",},{nClass=20,nIcon=13,szName="诛恶事件",nTime=-1,nRefresh=7200,key="诛恶事件",},{nClass=20,nIcon=13,szName="通用事件",nTime=-1,nRefresh=7200,key="通用事件",},{nClass=20,nIcon=13,nTime=-2,szName="屹立不倒",key="屹立不倒",},},},</v>
      </c>
      <c r="U23" t="s">
        <v>2415</v>
      </c>
      <c r="V23" t="s">
        <v>2416</v>
      </c>
      <c r="W23" t="s">
        <v>2417</v>
      </c>
      <c r="X23" s="5" t="s">
        <v>2398</v>
      </c>
      <c r="Y23" t="s">
        <v>2412</v>
      </c>
    </row>
    <row r="24" customFormat="1" spans="1:26">
      <c r="A24" t="s">
        <v>2421</v>
      </c>
      <c r="B24">
        <v>-1</v>
      </c>
      <c r="T24" t="str">
        <f t="shared" si="0"/>
        <v>},[-1]={</v>
      </c>
    </row>
    <row r="25" customFormat="1" spans="1:26">
      <c r="C25" t="s">
        <v>2422</v>
      </c>
      <c r="D25"/>
      <c r="K25" t="s">
        <v>2029</v>
      </c>
      <c r="T25" t="str">
        <f t="shared" si="0"/>
        <v>{szContent="阵营攻防排队正式开始，同时清空此前所有排队队列，尚未排队的侠士们速速前往浩气盟地图参与排队，亦可与主城战场的冷倪之、冷允之对话进行排队。\n",col={100,100,255,},[20]={},tCountdown={{nClass=20,nIcon=5815,nFrame=-1,szName="阵营攻防·开始排队",nTime="1,阵营攻防·开始排队;10,阵营攻防·开始排队",nRefresh=1,key="阵营活动",},{nClass=20,nIcon=14890,nFrame=7,szName="主战场·浩气盟",nTime=60,key="大攻防·主战场",},{nClass=20,nIcon=14889,nFrame=3,szName="奇袭场·恶人谷",nTime=60,key="大攻防·奇袭场",},},},</v>
      </c>
      <c r="U25" t="s">
        <v>2423</v>
      </c>
      <c r="V25" t="s">
        <v>2424</v>
      </c>
      <c r="W25" t="s">
        <v>2425</v>
      </c>
    </row>
    <row r="26" spans="1:26">
      <c r="C26" t="s">
        <v>2426</v>
      </c>
      <c r="K26" t="s">
        <v>2025</v>
      </c>
      <c r="T26" t="str">
        <f t="shared" si="0"/>
        <v>{szContent="阵营攻防排队正式开始，同时清空此前所有排队队列，尚未排队的侠士们速速前往恶人谷地图参与排队，亦可与主城战场的冷倪之、冷允之对话进行排队。\n",col={255,100,100,},[20]={},tCountdown={{nClass=20,nIcon=5815,nFrame=-1,szName="阵营攻防·开始排队",nTime="1,阵营攻防·开始排队;10,阵营攻防·开始排队",nRefresh=1,key="阵营活动",},{nClass=20,nIcon=14889,nFrame=3,szName="主战场·恶人谷",nTime=60,key="大攻防·主战场",},{nClass=20,nIcon=14890,nFrame=7,szName="奇袭场·浩气盟",nTime=60,key="大攻防·奇袭场",},},},</v>
      </c>
      <c r="U26" t="s">
        <v>2423</v>
      </c>
      <c r="V26" t="s">
        <v>2427</v>
      </c>
      <c r="W26" t="s">
        <v>2428</v>
      </c>
    </row>
    <row r="27" spans="1:26">
      <c r="C27" t="s">
        <v>2429</v>
      </c>
      <c r="K27" t="s">
        <v>2029</v>
      </c>
      <c r="T27" t="str">
        <f t="shared" si="0"/>
        <v>{szContent="阵营攻防战即将开始，为防弄虚作假者，即将对“浩气盟”地图进行清场操作，并在“中午十二点三十分”开始攻防排队，请勿在中午十二点三十分前排队，将被视为无效，请侠士们提前做好准备。\n",col={100,100,255,},[20]={},tCountdown={{nClass=20,nIcon=1465,nFrame=-1,bHold=true,szName="阵营攻防·浩气盟·12:30",nTime=599.795,key="阵营活动",},},},</v>
      </c>
      <c r="U27" t="s">
        <v>2430</v>
      </c>
    </row>
    <row r="28" spans="1:26">
      <c r="C28" t="s">
        <v>2431</v>
      </c>
      <c r="K28" t="s">
        <v>2029</v>
      </c>
      <c r="T28" t="str">
        <f t="shared" si="0"/>
        <v>{szContent="阵营攻防战即将开始，为防弄虚作假者，即将对“浩气盟”地图进行清场操作，并在“下午六点三十分”开始攻防排队，请勿在下午六点三十分前排队，将被视为无效，请侠士们提前做好准备。\n",col={100,100,255,},[20]={},tCountdown={{nClass=20,nIcon=1465,nFrame=-1,bHold=true,szName="阵营攻防·浩气盟·18:30",nTime=599.795,key="阵营活动",},},},</v>
      </c>
      <c r="U28" t="s">
        <v>2432</v>
      </c>
    </row>
    <row r="29" spans="1:26">
      <c r="C29" t="s">
        <v>2433</v>
      </c>
      <c r="K29" t="s">
        <v>2025</v>
      </c>
      <c r="T29" t="str">
        <f t="shared" si="0"/>
        <v>{szContent="阵营攻防战即将开始，为防弄虚作假者，即将对“恶人谷”地图进行清场操作，并在“中午十二点三十分”开始攻防排队，请勿在中午十二点三十分前排队，将被视为无效，请侠士们提前做好准备。\n",col={255,100,100,},[20]={},tCountdown={{nClass=20,nIcon=1465,nFrame=-1,bHold=true,szName="阵营攻防·恶人谷·12:30",nTime=599.795,key="阵营活动",},},},</v>
      </c>
      <c r="U29" t="s">
        <v>2434</v>
      </c>
    </row>
    <row r="30" spans="1:26">
      <c r="C30" t="s">
        <v>2435</v>
      </c>
      <c r="K30" t="s">
        <v>2025</v>
      </c>
      <c r="T30" t="str">
        <f t="shared" si="0"/>
        <v>{szContent="阵营攻防战即将开始，为防弄虚作假者，即将对“恶人谷”地图进行清场操作，并在“下午六点三十分”开始攻防排队，请勿在下午六点三十分前排队，将被视为无效，请侠士们提前做好准备。\n",col={255,100,100,},[20]={},tCountdown={{nClass=20,nIcon=1465,nFrame=-1,bHold=true,szName="阵营攻防·恶人谷·18:30",nTime=599.795,key="阵营活动",},},},</v>
      </c>
      <c r="U30" t="s">
        <v>2436</v>
      </c>
    </row>
    <row r="31" spans="1:26">
      <c r="C31" t="s">
        <v>2437</v>
      </c>
      <c r="K31" t="s">
        <v>2033</v>
      </c>
      <c r="T31" t="str">
        <f t="shared" si="0"/>
        <v>{szContent="据点争夺战即将开始，为防弄虚作假者，即将对据点活动地图进行清场操作，同时清空此前所有排队队列，请各阵营侠士做好准备。拥有据点地图优先进入权的帮众可提前进入地图以作防守准备，不会被清出地图。\n",col={255,255,100,},[20]={},tCountdown={{nClass=20,nIcon=5815,nFrame=-1,szName="阵营活动",nTime="1,据点攻防·开始排队;10,据点攻防·开始排队;60,据点攻防·等待排队",nRefresh=1,key="阵营活动",},},},</v>
      </c>
      <c r="U31" t="s">
        <v>2438</v>
      </c>
    </row>
    <row r="32" spans="1:26">
      <c r="C32" t="s">
        <v>2439</v>
      </c>
      <c r="K32" t="s">
        <v>2033</v>
      </c>
      <c r="T32" t="str">
        <f t="shared" si="0"/>
        <v>{szContent="为保障各位侠士的安全，浩气盟和恶人谷重新派出了守卫，在野外地图侠士重伤后复活可回到阵营复活点！\n",col={255,255,100,},[20]={},tCountdown={{nClass=20,nIcon=1465,nFrame=-1,bHold=true,szName="据点攻防·消失模式",nTime=1799.795,key="阵营活动",},},},</v>
      </c>
      <c r="U32" t="s">
        <v>2440</v>
      </c>
    </row>
    <row r="33" spans="1:22">
      <c r="C33" t="s">
        <v>2441</v>
      </c>
      <c r="D33" t="s">
        <v>2442</v>
      </c>
      <c r="K33" t="s">
        <v>2033</v>
      </c>
      <c r="M33">
        <v>1</v>
      </c>
      <c r="T33" t="str">
        <f t="shared" si="0"/>
        <v>{szContent="(.-)【(.-)】帮会的(.-)大侠成功护送祭祀物资到达(.-)据点，该据点将士备受鼓舞，战意高昂，战时必将固若金汤！",szNote="祭天·{$1}·[{$2}]·{$4}",col={255,255,100,},bReg=true,[20]={},tCountdown={{nClass=20,nIcon=8838,nFrame=1,szName="{$1}祭天·[{$2}]·{$4}",nTime=30,key="通用事件",},},},</v>
      </c>
      <c r="U33" t="s">
        <v>2443</v>
      </c>
    </row>
    <row r="34" spans="1:22">
      <c r="A34" t="s">
        <v>1691</v>
      </c>
      <c r="B34">
        <v>-2</v>
      </c>
      <c r="T34" t="str">
        <f t="shared" si="0"/>
        <v>},[-2]={</v>
      </c>
    </row>
    <row r="35" customFormat="1" spans="1:22">
      <c r="C35" t="s">
        <v>2444</v>
      </c>
      <c r="D35" t="s">
        <v>2445</v>
      </c>
      <c r="K35" t="s">
        <v>2033</v>
      </c>
      <c r="T35" t="str">
        <f t="shared" ref="T35:T66" si="1">IF(ISBLANK(B35)=FALSE,IF(ISBLANK(B34),"},["&amp;B35&amp;"]={","["&amp;B35&amp;"]={"),IF(AND(ISBLANK(B35),ISBLANK(C35),ISBLANK(L35),ISBLANK(M35),OR(ISBLANK(B34)=FALSE,ISBLANK(C34)=FALSE,ISBLANK(L34)=FALSE,ISBLANK(M34)=FALSE)),"},},}",IF(ISBLANK(C35),"","{szContent="""&amp;C35&amp;""","&amp;IF(D35&lt;&gt;"","szNote="""&amp;D35&amp;""",","")&amp;IF(K35&lt;&gt;"","col={"&amp;K35&amp;"},","")&amp;IF(L35&gt;0,"bSearch=true,","")&amp;IF(M35&gt;0,"bReg=true,","")&amp;"[20]={"&amp;IF(N35&gt;0,"szVoice="""&amp;N35&amp;""",","")&amp;IF(O35&gt;0,"bTeamChannel=true,","")&amp;IF(P35&gt;0,"bWhisperChannel=true,","")&amp;IF(Q35&gt;0,"bCenterAlarm=true,","")&amp;IF(R35&gt;0,"bScreenHead=true,","")&amp;IF(S35&gt;0,"bFullScreen=true,","")&amp;"},"&amp;IF(U35&lt;&gt;"","tCountdown={"&amp;_xlfn.TEXTJOIN("",TRUE,U35:AAF35)&amp;"},","")&amp;"},")))</f>
        <v>{szContent="阵营攻防首领战奇袭场分线已经开启，现可前往本日奇袭场分线参与争夺，也可通过主城战场区分线接引人前往各个奇袭场分线参与。\n",szNote="阵营攻防·奇袭场·开启分线",col={255,255,100,},[20]={},tCountdown={{nClass=20,nIcon=3536,nFrame=4,szName="攻防·奇袭场·开启分线",nTime=30,nRefresh=10,key="分流活动",},},},</v>
      </c>
      <c r="U35" t="s">
        <v>2446</v>
      </c>
    </row>
    <row r="36" customFormat="1" spans="1:22">
      <c r="C36" t="s">
        <v>2447</v>
      </c>
      <c r="D36" t="s">
        <v>2448</v>
      </c>
      <c r="K36" t="s">
        <v>2033</v>
      </c>
      <c r="T36" t="str">
        <f t="shared" si="1"/>
        <v>{szContent="阵营攻防首领战紧张火热，本服今日无奇袭场分线模式，请侠士速速前往主战场及奇袭场参与活动。\n",szNote="阵营攻防·奇袭场·未开分线",col={255,255,100,},[20]={},tCountdown={{nClass=20,nIcon=3536,nFrame=4,szName="攻防·奇袭场·未开分线",nTime=30,key="分流活动",},},},</v>
      </c>
      <c r="U36" t="s">
        <v>2449</v>
      </c>
    </row>
    <row r="37" customFormat="1" spans="1:22">
      <c r="C37" t="s">
        <v>2450</v>
      </c>
      <c r="D37" t="s">
        <v>2451</v>
      </c>
      <c r="K37" t="s">
        <v>2033</v>
      </c>
      <c r="T37" t="str">
        <f t="shared" si="1"/>
        <v>{szContent="逐鹿中原前线战况空前激烈，位于阴山大草原的分线据点争夺将于5分钟后开启！未能进入前线据点争夺场景的侠士可从沙盘地图（Ctrl + M）动态分线入口，或主城战场区小曾和小珍处进入分线场景。\n",szNote="据点攻防·阴山大草原·开启分线·5分钟",col={255,255,100,},[20]={},tCountdown={{nClass=20,nIcon=13,szName="分流活动",nTime=-2,key="分流活动",},{nClass=20,nIcon=3536,nFrame=4,szName="小攻防·阴山大草原·分线开启",nTime=10,nRefresh=3600,key="分流活动",},},},</v>
      </c>
      <c r="U37" t="s">
        <v>2452</v>
      </c>
      <c r="V37" t="s">
        <v>2453</v>
      </c>
    </row>
    <row r="38" customFormat="1" spans="1:22">
      <c r="C38" t="s">
        <v>2454</v>
      </c>
      <c r="D38" t="s">
        <v>2455</v>
      </c>
      <c r="K38" t="s">
        <v>2033</v>
      </c>
      <c r="T38" t="str">
        <f t="shared" si="1"/>
        <v>{szContent="前线战况空前激烈！未能进入前线据点争夺场景参与战斗的侠士，可前往阴山大草原助本阵营后方物资运送一臂之力！只需完成增援任务，也可以参与本日逐鹿中原结算奖励发放。\n",szNote="据点攻防·阴山大草原",col={255,255,100,},[20]={},tCountdown={{nClass=20,nIcon=3536,nFrame=4,szName="小攻防·阴山大草原·分流",nTime=10,nRefresh=3600,key="分流活动",},},},</v>
      </c>
      <c r="U38" t="s">
        <v>2456</v>
      </c>
    </row>
    <row r="39" customFormat="1" spans="1:22">
      <c r="C39" t="s">
        <v>2457</v>
      </c>
      <c r="D39" t="s">
        <v>2458</v>
      </c>
      <c r="K39" t="s">
        <v>2033</v>
      </c>
      <c r="T39" t="str">
        <f t="shared" si="1"/>
        <v>{szContent="阴山大草原·分线据点争夺正式开始，场景内交通已中断。\n",szNote="据点攻防·阴山大草原·分线·正式开始",col={255,255,100,},[20]={},tCountdown={{nClass=20,nIcon=13,szName="分流活动",nTime=-2,key="分流活动",},{nClass=20,nIcon=3536,nFrame=4,szName="小攻防·阴山大草原·正式开始",nTime=10,nRefresh=3600,key="分流活动",},},},</v>
      </c>
      <c r="U39" t="s">
        <v>2452</v>
      </c>
      <c r="V39" t="s">
        <v>2459</v>
      </c>
    </row>
    <row r="40" customFormat="1" spans="1:22">
      <c r="C40" t="s">
        <v>2460</v>
      </c>
      <c r="D40" t="s">
        <v>2461</v>
      </c>
      <c r="K40" t="s">
        <v>2033</v>
      </c>
      <c r="T40" t="str">
        <f t="shared" si="1"/>
        <v>{szContent="据点争夺已结束，所有交通已恢复。\n",szNote="据点攻防·已经结束",col={255,255,100,},[20]={},tCountdown={{nClass=20,nIcon=3536,nFrame=3,szName="据点攻防·活动结束",nTime=5,key="阵营活动",},{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v>
      </c>
      <c r="U40" t="s">
        <v>2462</v>
      </c>
      <c r="V40" s="3" t="s">
        <v>2463</v>
      </c>
    </row>
    <row r="41" customFormat="1" spans="1:22">
      <c r="C41" t="s">
        <v>2361</v>
      </c>
      <c r="D41" t="s">
        <v>2362</v>
      </c>
      <c r="K41" t="s">
        <v>2033</v>
      </c>
      <c r="T41" t="str">
        <f t="shared" si="1"/>
        <v>{szContent="正在拍卖攻防掉落的稀有物品，其中通常有当前最高品质附魔、绝世稀有坐骑、玄晶等，阵营侠士们切勿错过！\n",szNote="阵营攻防·拍卖掉落",col={255,255,100,},[20]={},tCountdown={{nClass=20,nIcon=13,nFrame=0,szName="阵营攻防·拍卖掉落",nTime=30,key="拍卖分红",},},},</v>
      </c>
      <c r="U41" t="s">
        <v>2363</v>
      </c>
      <c r="V41" s="7"/>
    </row>
    <row r="42" customFormat="1" spans="1:22">
      <c r="C42" t="s">
        <v>2464</v>
      </c>
      <c r="D42" t="s">
        <v>2465</v>
      </c>
      <c r="K42" t="s">
        <v>2033</v>
      </c>
      <c r="T42" t="str">
        <f t="shared" si="1"/>
        <v>{szContent="正在拍卖逐鹿中原掉落的稀有物品，其中通常有当前最高品质附魔、绝世稀有坐骑、玄晶等，阵营侠士们切勿错过！\n",szNote="据点攻防·拍卖掉落",col={255,255,100,},[20]={},tCountdown={{nClass=20,nIcon=13,nFrame=0,szName="据点攻防·拍卖掉落",nTime=30,key="拍卖分红",},},},</v>
      </c>
      <c r="U42" t="s">
        <v>2466</v>
      </c>
      <c r="V42" s="7"/>
    </row>
    <row r="43" customFormat="1" spans="1:22">
      <c r="C43" t="s">
        <v>2467</v>
      </c>
      <c r="D43" t="s">
        <v>2468</v>
      </c>
      <c r="K43" t="s">
        <v>2029</v>
      </c>
      <c r="T43" t="str">
        <f t="shared" si="1"/>
        <v>{szContent="本场战役已结束，双方战事惨烈，但终是浩气盟略胜一筹，险胜！浩气盟士气大涨500分！\n",szNote="据点攻防·浩气盟·险胜",col={100,100,255,},[20]={},tCountdown={{nClass=20,nIcon=2400,nFrame=0,szName="据点攻防·浩气盟·险胜",nTime=30,nRefresh=2,key="阵营活动",},},},</v>
      </c>
      <c r="U43" t="s">
        <v>2469</v>
      </c>
    </row>
    <row r="44" customFormat="1" spans="1:22">
      <c r="C44" t="s">
        <v>2470</v>
      </c>
      <c r="D44" t="s">
        <v>2471</v>
      </c>
      <c r="K44" t="s">
        <v>2029</v>
      </c>
      <c r="T44" t="str">
        <f t="shared" si="1"/>
        <v>{szContent="本场战役已结束，双方战事惨烈，但终是浩气盟略胜一筹，大胜！浩气盟士气大涨600分！\n",szNote="据点攻防·浩气盟·大胜",col={100,100,255,},[20]={},tCountdown={{nClass=20,nIcon=2400,nFrame=0,szName="据点攻防·浩气盟·大胜",nTime=30,nRefresh=2,key="阵营活动",},},},</v>
      </c>
      <c r="U44" t="s">
        <v>2472</v>
      </c>
    </row>
    <row r="45" customFormat="1" spans="1:22">
      <c r="C45" t="s">
        <v>2473</v>
      </c>
      <c r="D45" t="s">
        <v>2474</v>
      </c>
      <c r="K45" t="s">
        <v>2029</v>
      </c>
      <c r="T45" t="str">
        <f t="shared" si="1"/>
        <v>{szContent="本场战役已结束，双方战事惨烈，但终是浩气盟略胜一筹，完胜！浩气盟士气大涨700分！\n",szNote="据点攻防·浩气盟·完胜",col={100,100,255,},[20]={},tCountdown={{nClass=20,nIcon=2400,nFrame=0,szName="据点攻防·浩气盟·完胜",nTime=30,nRefresh=2,key="阵营活动",},},},</v>
      </c>
      <c r="U45" t="s">
        <v>2475</v>
      </c>
    </row>
    <row r="46" customFormat="1" spans="1:22">
      <c r="C46" t="s">
        <v>2476</v>
      </c>
      <c r="D46" t="s">
        <v>2477</v>
      </c>
      <c r="K46" t="s">
        <v>2025</v>
      </c>
      <c r="T46" t="str">
        <f t="shared" si="1"/>
        <v>{szContent="本场战役已结束，双方战事惨烈，但终是恶人谷略胜一筹，险胜！恶人谷士气大涨500分！\n",szNote="据点攻防·恶人谷·险胜",col={255,100,100,},[20]={},tCountdown={{nClass=20,nIcon=2400,nFrame=0,szName="据点攻防·恶人谷·险胜",nTime=30,nRefresh=2,key="阵营活动",},},},</v>
      </c>
      <c r="U46" t="s">
        <v>2478</v>
      </c>
    </row>
    <row r="47" customFormat="1" spans="1:22">
      <c r="C47" t="s">
        <v>2479</v>
      </c>
      <c r="D47" t="s">
        <v>2480</v>
      </c>
      <c r="K47" t="s">
        <v>2025</v>
      </c>
      <c r="T47" t="str">
        <f t="shared" si="1"/>
        <v>{szContent="本场战役已结束，双方战事惨烈，但终是恶人谷略胜一筹，大胜！恶人谷士气大涨600分！\n",szNote="据点攻防·恶人谷·大胜",col={255,100,100,},[20]={},tCountdown={{nClass=20,nIcon=2400,nFrame=0,szName="据点攻防·恶人谷·大胜",nTime=30,nRefresh=2,key="阵营活动",},},},</v>
      </c>
      <c r="U47" t="s">
        <v>2481</v>
      </c>
    </row>
    <row r="48" customFormat="1" spans="1:22">
      <c r="C48" t="s">
        <v>2482</v>
      </c>
      <c r="D48" t="s">
        <v>2483</v>
      </c>
      <c r="K48" t="s">
        <v>2025</v>
      </c>
      <c r="T48" t="str">
        <f t="shared" si="1"/>
        <v>{szContent="本场战役已结束，双方战事惨烈，但终是恶人谷略胜一筹，完胜！恶人谷士气大涨700分！\n",szNote="据点攻防·恶人谷·完胜",col={255,100,100,},[20]={},tCountdown={{nClass=20,nIcon=2400,nFrame=0,szName="据点攻防·恶人谷·完胜",nTime=30,nRefresh=2,key="阵营活动",},},},</v>
      </c>
      <c r="U48" t="s">
        <v>2484</v>
      </c>
    </row>
    <row r="49" spans="1:26">
      <c r="C49" t="s">
        <v>2485</v>
      </c>
      <c r="D49" t="s">
        <v>2486</v>
      </c>
      <c r="K49" t="s">
        <v>2033</v>
      </c>
      <c r="Q49">
        <v>1</v>
      </c>
      <c r="T49" t="str">
        <f t="shared" si="1"/>
        <v>{szContent="本场战役已结束，双方战事惨烈，未分胜负！双方士气各涨500分！\n",szNote="据点攻防·平局",col={255,255,100,},[20]={bCenterAlarm=true,},tCountdown={{nClass=20,nIcon=2400,nFrame=0,szName="据点攻防·平局",nTime=30,nRefresh=2,key="阵营活动",},},},</v>
      </c>
      <c r="U49" t="s">
        <v>2487</v>
      </c>
    </row>
    <row r="50" spans="1:26">
      <c r="C50" t="s">
        <v>2387</v>
      </c>
      <c r="D50" t="s">
        <v>2388</v>
      </c>
      <c r="K50" t="s">
        <v>2029</v>
      </c>
      <c r="T50" t="str">
        <f t="shared" si="1"/>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50" t="s">
        <v>2389</v>
      </c>
    </row>
    <row r="51" spans="1:26">
      <c r="C51" t="s">
        <v>2390</v>
      </c>
      <c r="D51" t="s">
        <v>2391</v>
      </c>
      <c r="K51" t="s">
        <v>2025</v>
      </c>
      <c r="T51" t="str">
        <f t="shared" si="1"/>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51" t="s">
        <v>2392</v>
      </c>
    </row>
    <row r="52" spans="1:26">
      <c r="C52" t="s">
        <v>2488</v>
      </c>
      <c r="D52" t="s">
        <v>2489</v>
      </c>
      <c r="K52" t="s">
        <v>2033</v>
      </c>
      <c r="M52">
        <v>1</v>
      </c>
      <c r="T52" t="str">
        <f t="shared" si="1"/>
        <v>{szContent="([浩气恶人]+)[盟谷]-位于([^%d]-)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nFrame=7,szName="{$3}·{$1}大旗被夺",nTime=-2,key="{$3}·{$1}大旗",},{nClass=20,nIcon=4837,nFrame=7,szName="{$2}【{$3}】浩气大旗被夺",nTime=30,nRefresh=1,key="{$3}·浩气大旗",},{nClass=20,nIcon=4838,nFrame=3,szName="{$2}【{$3}】恶人大旗被夺",nTime=30,nRefresh=1,key="{$3}·恶人大旗",},},},</v>
      </c>
      <c r="U52" t="s">
        <v>2490</v>
      </c>
      <c r="V52" t="s">
        <v>2491</v>
      </c>
      <c r="W52" t="s">
        <v>2492</v>
      </c>
      <c r="X52" t="s">
        <v>2493</v>
      </c>
      <c r="Y52" t="s">
        <v>2494</v>
      </c>
      <c r="Z52" t="s">
        <v>2495</v>
      </c>
    </row>
    <row r="53" spans="1:26">
      <c r="C53" t="s">
        <v>2496</v>
      </c>
      <c r="D53" t="s">
        <v>2497</v>
      </c>
      <c r="K53" t="s">
        <v>2033</v>
      </c>
      <c r="M53">
        <v>1</v>
      </c>
      <c r="T53" t="str">
        <f t="shared" si="1"/>
        <v>{szContent="([浩气恶人]+)[盟谷]-的【(.-)】帮会成功占领【(.-)】据点！",szNote="{$3}·{$1}占领",col={255,255,100,},bReg=true,[20]={},tCountdown={{nClass=20,nIcon=13,szName="{$3}·浩气大旗",nTime=-1,nRefresh=2,key="{$3}·浩气大旗",},{nClass=20,nIcon=13,szName="{$3}·恶人大旗",nTime=-1,nRefresh=2,key="{$3}·恶人大旗",},{nClass=20,nIcon=13,szName="{$3}·{$1}大旗",nTime=-2,key="{$3}·{$1}大旗",},{nClass=20,nIcon=14888,nFrame=7,szName="【{$3}】·浩气[{$2}]占领",nTime=30,nRefresh=1,key="{$3}·浩气大旗",},{nClass=20,nIcon=14887,nFrame=3,szName="【{$3}】·恶人[{$2}]占领",nTime=30,nRefresh=1,key="{$3}·恶人大旗",},},},</v>
      </c>
      <c r="U53" t="s">
        <v>2498</v>
      </c>
      <c r="V53" t="s">
        <v>2499</v>
      </c>
      <c r="W53" t="s">
        <v>2500</v>
      </c>
      <c r="X53" t="s">
        <v>2501</v>
      </c>
      <c r="Y53" t="s">
        <v>2502</v>
      </c>
    </row>
    <row r="54" s="2" customFormat="1" spans="1:26">
      <c r="A54" s="2" t="s">
        <v>538</v>
      </c>
      <c r="B54" s="2">
        <v>-7</v>
      </c>
      <c r="T54" t="str">
        <f t="shared" si="1"/>
        <v>},[-7]={</v>
      </c>
    </row>
    <row r="55" spans="1:26">
      <c r="C55" t="s">
        <v>2444</v>
      </c>
      <c r="D55" t="s">
        <v>2445</v>
      </c>
      <c r="K55" t="s">
        <v>2033</v>
      </c>
      <c r="T55" t="str">
        <f t="shared" si="1"/>
        <v>{szContent="阵营攻防首领战奇袭场分线已经开启，现可前往本日奇袭场分线参与争夺，也可通过主城战场区分线接引人前往各个奇袭场分线参与。\n",szNote="阵营攻防·奇袭场·开启分线",col={255,255,100,},[20]={},tCountdown={{nClass=20,nIcon=3536,nFrame=4,szName="攻防·奇袭场·开启分线",nTime=30,nRefresh=10,key="分流活动",},},},</v>
      </c>
      <c r="U55" t="s">
        <v>2446</v>
      </c>
    </row>
    <row r="56" customFormat="1" spans="1:26">
      <c r="C56" t="s">
        <v>2447</v>
      </c>
      <c r="D56" t="s">
        <v>2448</v>
      </c>
      <c r="K56" t="s">
        <v>2033</v>
      </c>
      <c r="T56" t="str">
        <f t="shared" si="1"/>
        <v>{szContent="阵营攻防首领战紧张火热，本服今日无奇袭场分线模式，请侠士速速前往主战场及奇袭场参与活动。\n",szNote="阵营攻防·奇袭场·未开分线",col={255,255,100,},[20]={},tCountdown={{nClass=20,nIcon=3536,nFrame=4,szName="攻防·奇袭场·未开分线",nTime=30,key="分流活动",},},},</v>
      </c>
      <c r="U56" t="s">
        <v>2449</v>
      </c>
    </row>
    <row r="57" customFormat="1" spans="1:26">
      <c r="C57" t="s">
        <v>2503</v>
      </c>
      <c r="D57" t="s">
        <v>2236</v>
      </c>
      <c r="K57" t="s">
        <v>2033</v>
      </c>
      <c r="T57" t="str">
        <f t="shared" si="1"/>
        <v>{szContent="前线据点之争已经打响，争夺正式开始，沙盘地图（CTRL + M）绘有详细战略意图，谁将称霸中原，我们拭目以待！\n",szNote="据点攻防·正式开始",col={255,255,100,},[20]={},tCountdown={{nClass=20,nIcon=3536,nFrame=0,szName="据点攻防·正式开始",nTime=10,key="阵营活动",},},},</v>
      </c>
      <c r="U57" t="s">
        <v>2504</v>
      </c>
    </row>
    <row r="58" customFormat="1" spans="1:26">
      <c r="C58" t="s">
        <v>2450</v>
      </c>
      <c r="D58" t="s">
        <v>2451</v>
      </c>
      <c r="K58" t="s">
        <v>2033</v>
      </c>
      <c r="T58" t="str">
        <f t="shared" si="1"/>
        <v>{szContent="逐鹿中原前线战况空前激烈，位于阴山大草原的分线据点争夺将于5分钟后开启！未能进入前线据点争夺场景的侠士可从沙盘地图（Ctrl + M）动态分线入口，或主城战场区小曾和小珍处进入分线场景。\n",szNote="据点攻防·阴山大草原·开启分线·5分钟",col={255,255,100,},[20]={},tCountdown={{nClass=20,nIcon=13,szName="分流活动",nTime=-2,key="分流活动",},{nClass=20,nIcon=3536,nFrame=4,szName="小攻防·阴山大草原·分线开启",nTime=10,nRefresh=3600,key="分流活动",},},},</v>
      </c>
      <c r="U58" t="s">
        <v>2452</v>
      </c>
      <c r="V58" t="s">
        <v>2453</v>
      </c>
    </row>
    <row r="59" spans="1:26">
      <c r="C59" t="s">
        <v>2457</v>
      </c>
      <c r="D59" t="s">
        <v>2458</v>
      </c>
      <c r="K59" t="s">
        <v>2033</v>
      </c>
      <c r="T59" t="str">
        <f t="shared" si="1"/>
        <v>{szContent="阴山大草原·分线据点争夺正式开始，场景内交通已中断。\n",szNote="据点攻防·阴山大草原·分线·正式开始",col={255,255,100,},[20]={},tCountdown={{nClass=20,nIcon=13,szName="分流活动",nTime=-2,key="分流活动",},{nClass=20,nIcon=3536,nFrame=4,szName="小攻防·阴山大草原·正式开始",nTime=10,nRefresh=3600,key="分流活动",},},},</v>
      </c>
      <c r="U59" t="s">
        <v>2452</v>
      </c>
      <c r="V59" t="s">
        <v>2459</v>
      </c>
    </row>
    <row r="60" customFormat="1" spans="1:26">
      <c r="C60" t="s">
        <v>2460</v>
      </c>
      <c r="D60" t="s">
        <v>2461</v>
      </c>
      <c r="K60" t="s">
        <v>2033</v>
      </c>
      <c r="T60" t="str">
        <f t="shared" si="1"/>
        <v>{szContent="据点争夺已结束，所有交通已恢复。\n",szNote="据点攻防·已经结束",col={255,255,100,},[20]={},tCountdown={{nClass=20,nIcon=3536,nFrame=0,szName="据点攻防·活动结束",nTime=5,key="阵营活动",},{nClass=20,nIcon=13,szName="狼牙先锋首领",nTime=0,key="狼牙先锋首领",},{nClass=20,nIcon=13,szName="离开据点·大旗重置",nTime=0,key="离开据点·大旗重置",},{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v>
      </c>
      <c r="U60" t="s">
        <v>2505</v>
      </c>
      <c r="V60" t="s">
        <v>2506</v>
      </c>
      <c r="W60" t="s">
        <v>2507</v>
      </c>
      <c r="X60" s="3" t="s">
        <v>2463</v>
      </c>
    </row>
    <row r="61" customFormat="1" spans="1:26">
      <c r="C61" t="s">
        <v>2467</v>
      </c>
      <c r="D61" t="s">
        <v>2468</v>
      </c>
      <c r="K61" t="s">
        <v>2029</v>
      </c>
      <c r="T61" t="str">
        <f t="shared" si="1"/>
        <v>{szContent="本场战役已结束，双方战事惨烈，但终是浩气盟略胜一筹，险胜！浩气盟士气大涨500分！\n",szNote="据点攻防·浩气盟·险胜",col={100,100,255,},[20]={},tCountdown={{nClass=20,nIcon=2400,nFrame=0,szName="据点攻防·浩气盟·险胜",nTime=30,nRefresh=2,key="阵营活动",},},},</v>
      </c>
      <c r="U61" t="s">
        <v>2469</v>
      </c>
    </row>
    <row r="62" customFormat="1" spans="1:26">
      <c r="C62" t="s">
        <v>2470</v>
      </c>
      <c r="D62" t="s">
        <v>2471</v>
      </c>
      <c r="K62" t="s">
        <v>2029</v>
      </c>
      <c r="T62" t="str">
        <f t="shared" si="1"/>
        <v>{szContent="本场战役已结束，双方战事惨烈，但终是浩气盟略胜一筹，大胜！浩气盟士气大涨600分！\n",szNote="据点攻防·浩气盟·大胜",col={100,100,255,},[20]={},tCountdown={{nClass=20,nIcon=2400,nFrame=0,szName="据点攻防·浩气盟·大胜",nTime=30,nRefresh=2,key="阵营活动",},},},</v>
      </c>
      <c r="U62" t="s">
        <v>2472</v>
      </c>
    </row>
    <row r="63" customFormat="1" spans="1:26">
      <c r="C63" t="s">
        <v>2473</v>
      </c>
      <c r="D63" t="s">
        <v>2474</v>
      </c>
      <c r="K63" t="s">
        <v>2029</v>
      </c>
      <c r="T63" t="str">
        <f t="shared" si="1"/>
        <v>{szContent="本场战役已结束，双方战事惨烈，但终是浩气盟略胜一筹，完胜！浩气盟士气大涨700分！\n",szNote="据点攻防·浩气盟·完胜",col={100,100,255,},[20]={},tCountdown={{nClass=20,nIcon=2400,nFrame=0,szName="据点攻防·浩气盟·完胜",nTime=30,nRefresh=2,key="阵营活动",},},},</v>
      </c>
      <c r="U63" t="s">
        <v>2475</v>
      </c>
    </row>
    <row r="64" customFormat="1" spans="1:26">
      <c r="C64" t="s">
        <v>2476</v>
      </c>
      <c r="D64" t="s">
        <v>2477</v>
      </c>
      <c r="K64" t="s">
        <v>2025</v>
      </c>
      <c r="T64" t="str">
        <f t="shared" si="1"/>
        <v>{szContent="本场战役已结束，双方战事惨烈，但终是恶人谷略胜一筹，险胜！恶人谷士气大涨500分！\n",szNote="据点攻防·恶人谷·险胜",col={255,100,100,},[20]={},tCountdown={{nClass=20,nIcon=2400,nFrame=0,szName="据点攻防·恶人谷·险胜",nTime=30,nRefresh=2,key="阵营活动",},},},</v>
      </c>
      <c r="U64" t="s">
        <v>2478</v>
      </c>
    </row>
    <row r="65" customFormat="1" spans="1:26">
      <c r="C65" t="s">
        <v>2479</v>
      </c>
      <c r="D65" t="s">
        <v>2480</v>
      </c>
      <c r="K65" t="s">
        <v>2025</v>
      </c>
      <c r="T65" t="str">
        <f t="shared" si="1"/>
        <v>{szContent="本场战役已结束，双方战事惨烈，但终是恶人谷略胜一筹，大胜！恶人谷士气大涨600分！\n",szNote="据点攻防·恶人谷·大胜",col={255,100,100,},[20]={},tCountdown={{nClass=20,nIcon=2400,nFrame=0,szName="据点攻防·恶人谷·大胜",nTime=30,nRefresh=2,key="阵营活动",},},},</v>
      </c>
      <c r="U65" t="s">
        <v>2481</v>
      </c>
    </row>
    <row r="66" customFormat="1" spans="1:26">
      <c r="C66" t="s">
        <v>2482</v>
      </c>
      <c r="D66" t="s">
        <v>2483</v>
      </c>
      <c r="K66" t="s">
        <v>2025</v>
      </c>
      <c r="T66" t="str">
        <f t="shared" si="1"/>
        <v>{szContent="本场战役已结束，双方战事惨烈，但终是恶人谷略胜一筹，完胜！恶人谷士气大涨700分！\n",szNote="据点攻防·恶人谷·完胜",col={255,100,100,},[20]={},tCountdown={{nClass=20,nIcon=2400,nFrame=0,szName="据点攻防·恶人谷·完胜",nTime=30,nRefresh=2,key="阵营活动",},},},</v>
      </c>
      <c r="U66" t="s">
        <v>2484</v>
      </c>
    </row>
    <row r="67" customFormat="1" spans="1:26">
      <c r="C67" t="s">
        <v>2485</v>
      </c>
      <c r="D67" t="s">
        <v>2486</v>
      </c>
      <c r="K67" t="s">
        <v>2033</v>
      </c>
      <c r="Q67">
        <v>1</v>
      </c>
      <c r="T67" t="str">
        <f t="shared" ref="T67:T98" si="2">IF(ISBLANK(B67)=FALSE,IF(ISBLANK(B66),"},["&amp;B67&amp;"]={","["&amp;B67&amp;"]={"),IF(AND(ISBLANK(B67),ISBLANK(C67),ISBLANK(L67),ISBLANK(M67),OR(ISBLANK(B66)=FALSE,ISBLANK(C66)=FALSE,ISBLANK(L66)=FALSE,ISBLANK(M66)=FALSE)),"},},}",IF(ISBLANK(C67),"","{szContent="""&amp;C67&amp;""","&amp;IF(D67&lt;&gt;"","szNote="""&amp;D67&amp;""",","")&amp;IF(K67&lt;&gt;"","col={"&amp;K67&amp;"},","")&amp;IF(L67&gt;0,"bSearch=true,","")&amp;IF(M67&gt;0,"bReg=true,","")&amp;"[20]={"&amp;IF(N67&gt;0,"szVoice="""&amp;N67&amp;""",","")&amp;IF(O67&gt;0,"bTeamChannel=true,","")&amp;IF(P67&gt;0,"bWhisperChannel=true,","")&amp;IF(Q67&gt;0,"bCenterAlarm=true,","")&amp;IF(R67&gt;0,"bScreenHead=true,","")&amp;IF(S67&gt;0,"bFullScreen=true,","")&amp;"},"&amp;IF(U67&lt;&gt;"","tCountdown={"&amp;_xlfn.TEXTJOIN("",TRUE,U67:AAF67)&amp;"},","")&amp;"},")))</f>
        <v>{szContent="本场战役已结束，双方战事惨烈，未分胜负！双方士气各涨500分！\n",szNote="据点攻防·平局",col={255,255,100,},[20]={bCenterAlarm=true,},tCountdown={{nClass=20,nIcon=2400,nFrame=0,szName="据点攻防·平局",nTime=30,nRefresh=2,key="阵营活动",},},},</v>
      </c>
      <c r="U67" t="s">
        <v>2487</v>
      </c>
    </row>
    <row r="68" customFormat="1" spans="1:26">
      <c r="C68" t="s">
        <v>2361</v>
      </c>
      <c r="D68" t="s">
        <v>2362</v>
      </c>
      <c r="K68" t="s">
        <v>2033</v>
      </c>
      <c r="T68" t="str">
        <f t="shared" si="2"/>
        <v>{szContent="正在拍卖攻防掉落的稀有物品，其中通常有当前最高品质附魔、绝世稀有坐骑、玄晶等，阵营侠士们切勿错过！\n",szNote="阵营攻防·拍卖掉落",col={255,255,100,},[20]={},tCountdown={{nClass=20,nIcon=13,nFrame=0,szName="阵营攻防·拍卖掉落",nTime=30,key="拍卖分红",},},},</v>
      </c>
      <c r="U68" t="s">
        <v>2363</v>
      </c>
      <c r="V68" s="7"/>
    </row>
    <row r="69" spans="1:26">
      <c r="C69" t="s">
        <v>2464</v>
      </c>
      <c r="D69" t="s">
        <v>2465</v>
      </c>
      <c r="K69" t="s">
        <v>2033</v>
      </c>
      <c r="T69" t="str">
        <f t="shared" si="2"/>
        <v>{szContent="正在拍卖逐鹿中原掉落的稀有物品，其中通常有当前最高品质附魔、绝世稀有坐骑、玄晶等，阵营侠士们切勿错过！\n",szNote="据点攻防·拍卖掉落",col={255,255,100,},[20]={},tCountdown={{nClass=20,nIcon=13,nFrame=0,szName="据点攻防·拍卖掉落",nTime=30,key="拍卖分红",},{nClass=20,nIcon=13,szName="诛恶事件",nTime=-2,key="诛恶事件",},{nClass=20,nIcon=13,szName="通用事件",nTime=-2,key="通用事件",},{nClass=20,nIcon=13,nTime=-2,szName="金水镇",key="金水镇",},{nClass=20,nIcon=13,nTime=-2,szName="巴陵县",key="巴陵县",},{nClass=20,nIcon=13,nTime=-2,szName="龙门荒漠",key="龙门荒漠",},{nClass=20,nIcon=13,nTime=-2,szName="南屏山",key="南屏山",},{nClass=20,nIcon=13,nTime=-2,szName="昆仑",key="昆仑",},{nClass=20,nIcon=13,nTime=-2,szName="白龙口",key="白龙口",},{nClass=20,nIcon=13,nTime=-2,szName="无量山",key="无量山",},{nClass=20,nIcon=13,nTime=-2,szName="黑龙沼",key="黑龙沼",},{nClass=20,nIcon=13,nTime=-2,szName="阴山大草原",key="阴山大草原",},{nClass=20,nIcon=13,nTime=-2,szName="黑戈壁",key="黑戈壁",},{nClass=20,nIcon=13,nTime=-2,szName="鲲鹏岛",key="鲲鹏岛",},},},</v>
      </c>
      <c r="U69" t="s">
        <v>2466</v>
      </c>
      <c r="V69" s="4" t="s">
        <v>2364</v>
      </c>
      <c r="W69" s="4" t="s">
        <v>2365</v>
      </c>
    </row>
    <row r="70" spans="1:26">
      <c r="C70" t="s">
        <v>2508</v>
      </c>
      <c r="D70" t="s">
        <v>2509</v>
      </c>
      <c r="K70" t="s">
        <v>2033</v>
      </c>
      <c r="Q70">
        <v>1</v>
      </c>
      <c r="T70" t="str">
        <f t="shared" si="2"/>
        <v>{szContent="本场贡献值进入前1200名，额外获得3000威名，可通过邮件领取\n",szNote="据点攻防·进入前1200名",col={255,255,100,},[20]={bCenterAlarm=true,},},</v>
      </c>
    </row>
    <row r="71" spans="1:26">
      <c r="C71" t="s">
        <v>2387</v>
      </c>
      <c r="D71" t="s">
        <v>2388</v>
      </c>
      <c r="K71" t="s">
        <v>2029</v>
      </c>
      <c r="T71" t="str">
        <f t="shared" si="2"/>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71" t="s">
        <v>2389</v>
      </c>
    </row>
    <row r="72" spans="1:26">
      <c r="C72" t="s">
        <v>2390</v>
      </c>
      <c r="D72" t="s">
        <v>2391</v>
      </c>
      <c r="K72" t="s">
        <v>2025</v>
      </c>
      <c r="T72" t="str">
        <f t="shared" si="2"/>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72" t="s">
        <v>2392</v>
      </c>
    </row>
    <row r="73" customFormat="1" spans="1:26">
      <c r="C73" t="s">
        <v>2488</v>
      </c>
      <c r="D73" t="s">
        <v>2489</v>
      </c>
      <c r="K73" t="s">
        <v>2033</v>
      </c>
      <c r="M73">
        <v>1</v>
      </c>
      <c r="T73" t="str">
        <f t="shared" si="2"/>
        <v>{szContent="([浩气恶人]+)[盟谷]-位于([^%d]-)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nFrame=7,szName="{$3}·{$1}大旗被夺",nTime=-2,key="{$3}·{$1}大旗",},{nClass=20,nIcon=4837,nFrame=7,szName="{$2}【{$3}】浩气大旗被夺",nTime=30,nRefresh=1,key="{$3}·浩气大旗",},{nClass=20,nIcon=4838,nFrame=3,szName="{$2}【{$3}】恶人大旗被夺",nTime=30,nRefresh=1,key="{$3}·恶人大旗",},},},</v>
      </c>
      <c r="U73" t="s">
        <v>2490</v>
      </c>
      <c r="V73" t="s">
        <v>2491</v>
      </c>
      <c r="W73" t="s">
        <v>2492</v>
      </c>
      <c r="X73" t="s">
        <v>2493</v>
      </c>
      <c r="Y73" t="s">
        <v>2494</v>
      </c>
      <c r="Z73" t="s">
        <v>2495</v>
      </c>
    </row>
    <row r="74" customFormat="1" spans="1:26">
      <c r="C74" t="s">
        <v>2496</v>
      </c>
      <c r="D74" t="s">
        <v>2497</v>
      </c>
      <c r="K74" t="s">
        <v>2033</v>
      </c>
      <c r="M74">
        <v>1</v>
      </c>
      <c r="T74" t="str">
        <f t="shared" si="2"/>
        <v>{szContent="([浩气恶人]+)[盟谷]-的【(.-)】帮会成功占领【(.-)】据点！",szNote="{$3}·{$1}占领",col={255,255,100,},bReg=true,[20]={},tCountdown={{nClass=20,nIcon=13,szName="{$3}·浩气大旗",nTime=-1,key="{$3}·浩气大旗",},{nClass=20,nIcon=13,szName="{$3}·恶人大旗",nTime=-1,key="{$3}·恶人大旗",},{nClass=20,nIcon=14887,nFrame=3,szName="【{$3}】·恶人[{$2}]占领",nTime=30,nRefresh=1,key="{$3}·浩气占领",},{nClass=20,nIcon=14888,nFrame=7,szName="【{$3}】·浩气[{$2}]占领",nTime=30,nRefresh=1,key="{$3}·恶人占领",},{nClass=20,nIcon=13,szName="{$3}·{$1}占领",nTime=-1,key="{$3}·{$1}占领",},},},</v>
      </c>
      <c r="U74" t="s">
        <v>2510</v>
      </c>
      <c r="V74" t="s">
        <v>2511</v>
      </c>
      <c r="W74" t="s">
        <v>2512</v>
      </c>
      <c r="X74" t="s">
        <v>2513</v>
      </c>
      <c r="Y74" t="s">
        <v>2514</v>
      </c>
    </row>
    <row r="75" customFormat="1" spans="1:26">
      <c r="A75" t="s">
        <v>1480</v>
      </c>
      <c r="B75">
        <v>-20</v>
      </c>
      <c r="T75" t="str">
        <f t="shared" si="2"/>
        <v>},[-20]={</v>
      </c>
    </row>
    <row r="76" customFormat="1" spans="1:26">
      <c r="C76" t="s">
        <v>2515</v>
      </c>
      <c r="D76" t="s">
        <v>2516</v>
      </c>
      <c r="K76" t="s">
        <v>2033</v>
      </c>
      <c r="M76">
        <v>1</v>
      </c>
      <c r="T76" t="str">
        <f t="shared" si="2"/>
        <v>{szContent="^江湖快报！(.-)据点粮仓被一群([浩气恶人]+)[盟谷]-人士洗劫",szNote="{$1}·{$2}劫粮",col={255,255,100,},bReg=true,[20]={},tCountdown={{nClass=20,nIcon=2397,nFrame=-1,szName="{$1}·浩气劫粮",nTime=-1,nRefresh=2,key="{$1}·浩气劫粮",},{nClass=20,nIcon=2398,nFrame=-1,szName="{$1}·恶人劫粮",nTime=-1,nRefresh=2,key="{$1}·恶人劫粮",},{nClass=20,nIcon=2400,nFrame=7,szName="{$1}·{$2}劫粮",nTime=-2,key="{$1}·{$2}劫粮",},{nClass=20,nIcon=10449,nFrame=7,szName="【{$1}】浩气劫粮",nTime=30,nRefresh=1,key="{$1}·浩气劫粮",},{nClass=20,nIcon=10450,nFrame=3,szName="【{$1}】恶人劫粮",nTime=30,nRefresh=1,key="{$1}·恶人劫粮",},},},</v>
      </c>
      <c r="U76" t="s">
        <v>2517</v>
      </c>
      <c r="V76" t="s">
        <v>2518</v>
      </c>
      <c r="W76" t="s">
        <v>2519</v>
      </c>
      <c r="X76" t="s">
        <v>2520</v>
      </c>
      <c r="Y76" t="s">
        <v>2521</v>
      </c>
    </row>
    <row r="77" customFormat="1" spans="1:26">
      <c r="A77" t="s">
        <v>2215</v>
      </c>
      <c r="B77">
        <v>-21</v>
      </c>
      <c r="T77" t="str">
        <f t="shared" si="2"/>
        <v>},[-21]={</v>
      </c>
    </row>
    <row r="78" customFormat="1" spans="1:26">
      <c r="C78" t="s">
        <v>2444</v>
      </c>
      <c r="D78" t="s">
        <v>2445</v>
      </c>
      <c r="K78" t="s">
        <v>2033</v>
      </c>
      <c r="T78" t="str">
        <f t="shared" si="2"/>
        <v>{szContent="阵营攻防首领战奇袭场分线已经开启，现可前往本日奇袭场分线参与争夺，也可通过主城战场区分线接引人前往各个奇袭场分线参与。\n",szNote="阵营攻防·奇袭场·开启分线",col={255,255,100,},[20]={},tCountdown={{nClass=20,nIcon=3536,nFrame=4,szName="攻防·奇袭场·开启分线",nTime=30,nRefresh=10,key="分流活动",},},},</v>
      </c>
      <c r="U78" t="s">
        <v>2446</v>
      </c>
    </row>
    <row r="79" customFormat="1" spans="1:26">
      <c r="C79" t="s">
        <v>2447</v>
      </c>
      <c r="D79" t="s">
        <v>2448</v>
      </c>
      <c r="K79" t="s">
        <v>2033</v>
      </c>
      <c r="T79" t="str">
        <f t="shared" si="2"/>
        <v>{szContent="阵营攻防首领战紧张火热，本服今日无奇袭场分线模式，请侠士速速前往主战场及奇袭场参与活动。\n",szNote="阵营攻防·奇袭场·未开分线",col={255,255,100,},[20]={},tCountdown={{nClass=20,nIcon=3536,nFrame=4,szName="攻防·奇袭场·未开分线",nTime=30,key="分流活动",},},},</v>
      </c>
      <c r="U79" t="s">
        <v>2449</v>
      </c>
    </row>
    <row r="80" customFormat="1" spans="1:26">
      <c r="C80" t="s">
        <v>2450</v>
      </c>
      <c r="D80" t="s">
        <v>2451</v>
      </c>
      <c r="K80" t="s">
        <v>2033</v>
      </c>
      <c r="T80" t="str">
        <f t="shared" si="2"/>
        <v>{szContent="逐鹿中原前线战况空前激烈，位于阴山大草原的分线据点争夺将于5分钟后开启！未能进入前线据点争夺场景的侠士可从沙盘地图（Ctrl + M）动态分线入口，或主城战场区小曾和小珍处进入分线场景。\n",szNote="据点攻防·阴山大草原·开启分线·5分钟",col={255,255,100,},[20]={},tCountdown={{nClass=20,nIcon=13,szName="分流活动",nTime=-2,key="分流活动",},{nClass=20,nIcon=3536,nFrame=4,szName="小攻防·阴山大草原·分线开启",nTime=10,nRefresh=3600,key="分流活动",},},},</v>
      </c>
      <c r="U80" t="s">
        <v>2452</v>
      </c>
      <c r="V80" t="s">
        <v>2453</v>
      </c>
    </row>
    <row r="81" customFormat="1" spans="3:26">
      <c r="C81" t="s">
        <v>2454</v>
      </c>
      <c r="D81" t="s">
        <v>2455</v>
      </c>
      <c r="K81" t="s">
        <v>2033</v>
      </c>
      <c r="T81" t="str">
        <f t="shared" si="2"/>
        <v>{szContent="前线战况空前激烈！未能进入前线据点争夺场景参与战斗的侠士，可前往阴山大草原助本阵营后方物资运送一臂之力！只需完成增援任务，也可以参与本日逐鹿中原结算奖励发放。\n",szNote="据点攻防·阴山大草原",col={255,255,100,},[20]={},tCountdown={{nClass=20,nIcon=3536,nFrame=4,szName="小攻防·阴山大草原·分流",nTime=10,nRefresh=3600,key="分流活动",},},},</v>
      </c>
      <c r="U81" t="s">
        <v>2456</v>
      </c>
    </row>
    <row r="82" customFormat="1" spans="3:26">
      <c r="C82" t="s">
        <v>2457</v>
      </c>
      <c r="D82" t="s">
        <v>2458</v>
      </c>
      <c r="K82" t="s">
        <v>2033</v>
      </c>
      <c r="T82" t="str">
        <f t="shared" si="2"/>
        <v>{szContent="阴山大草原·分线据点争夺正式开始，场景内交通已中断。\n",szNote="据点攻防·阴山大草原·分线·正式开始",col={255,255,100,},[20]={},tCountdown={{nClass=20,nIcon=13,szName="分流活动",nTime=-2,key="分流活动",},{nClass=20,nIcon=3536,nFrame=4,szName="小攻防·阴山大草原·正式开始",nTime=10,nRefresh=3600,key="分流活动",},},},</v>
      </c>
      <c r="U82" t="s">
        <v>2452</v>
      </c>
      <c r="V82" t="s">
        <v>2459</v>
      </c>
    </row>
    <row r="83" customFormat="1" spans="3:26">
      <c r="C83" t="s">
        <v>2460</v>
      </c>
      <c r="D83" t="s">
        <v>2461</v>
      </c>
      <c r="K83" t="s">
        <v>2033</v>
      </c>
      <c r="T83" t="str">
        <f t="shared" si="2"/>
        <v>{szContent="据点争夺已结束，所有交通已恢复。\n",szNote="据点攻防·已经结束",col={255,255,100,},[20]={},tCountdown={{nClass=20,nIcon=3536,nFrame=3,szName="据点攻防·活动结束",nTime=5,key="阵营活动",},{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v>
      </c>
      <c r="U83" t="s">
        <v>2462</v>
      </c>
      <c r="V83" s="3" t="s">
        <v>2463</v>
      </c>
    </row>
    <row r="84" customFormat="1" spans="3:26">
      <c r="C84" t="s">
        <v>2467</v>
      </c>
      <c r="D84" t="s">
        <v>2468</v>
      </c>
      <c r="K84" t="s">
        <v>2029</v>
      </c>
      <c r="T84" t="str">
        <f t="shared" si="2"/>
        <v>{szContent="本场战役已结束，双方战事惨烈，但终是浩气盟略胜一筹，险胜！浩气盟士气大涨500分！\n",szNote="据点攻防·浩气盟·险胜",col={100,100,255,},[20]={},tCountdown={{nClass=20,nIcon=2400,nFrame=0,szName="据点攻防·浩气盟·险胜",nTime=30,nRefresh=2,key="阵营活动",},},},</v>
      </c>
      <c r="U84" t="s">
        <v>2469</v>
      </c>
    </row>
    <row r="85" customFormat="1" spans="3:26">
      <c r="C85" t="s">
        <v>2470</v>
      </c>
      <c r="D85" t="s">
        <v>2471</v>
      </c>
      <c r="K85" t="s">
        <v>2029</v>
      </c>
      <c r="T85" t="str">
        <f t="shared" si="2"/>
        <v>{szContent="本场战役已结束，双方战事惨烈，但终是浩气盟略胜一筹，大胜！浩气盟士气大涨600分！\n",szNote="据点攻防·浩气盟·大胜",col={100,100,255,},[20]={},tCountdown={{nClass=20,nIcon=2400,nFrame=0,szName="据点攻防·浩气盟·大胜",nTime=30,nRefresh=2,key="阵营活动",},},},</v>
      </c>
      <c r="U85" t="s">
        <v>2472</v>
      </c>
    </row>
    <row r="86" customFormat="1" spans="3:26">
      <c r="C86" t="s">
        <v>2473</v>
      </c>
      <c r="D86" t="s">
        <v>2474</v>
      </c>
      <c r="K86" t="s">
        <v>2029</v>
      </c>
      <c r="T86" t="str">
        <f t="shared" si="2"/>
        <v>{szContent="本场战役已结束，双方战事惨烈，但终是浩气盟略胜一筹，完胜！浩气盟士气大涨700分！\n",szNote="据点攻防·浩气盟·完胜",col={100,100,255,},[20]={},tCountdown={{nClass=20,nIcon=2400,nFrame=0,szName="据点攻防·浩气盟·完胜",nTime=30,nRefresh=2,key="阵营活动",},},},</v>
      </c>
      <c r="U86" t="s">
        <v>2475</v>
      </c>
    </row>
    <row r="87" customFormat="1" spans="3:26">
      <c r="C87" t="s">
        <v>2476</v>
      </c>
      <c r="D87" t="s">
        <v>2477</v>
      </c>
      <c r="K87" t="s">
        <v>2025</v>
      </c>
      <c r="T87" t="str">
        <f t="shared" si="2"/>
        <v>{szContent="本场战役已结束，双方战事惨烈，但终是恶人谷略胜一筹，险胜！恶人谷士气大涨500分！\n",szNote="据点攻防·恶人谷·险胜",col={255,100,100,},[20]={},tCountdown={{nClass=20,nIcon=2400,nFrame=0,szName="据点攻防·恶人谷·险胜",nTime=30,nRefresh=2,key="阵营活动",},},},</v>
      </c>
      <c r="U87" t="s">
        <v>2478</v>
      </c>
    </row>
    <row r="88" customFormat="1" spans="3:26">
      <c r="C88" t="s">
        <v>2479</v>
      </c>
      <c r="D88" t="s">
        <v>2480</v>
      </c>
      <c r="K88" t="s">
        <v>2025</v>
      </c>
      <c r="T88" t="str">
        <f t="shared" si="2"/>
        <v>{szContent="本场战役已结束，双方战事惨烈，但终是恶人谷略胜一筹，大胜！恶人谷士气大涨600分！\n",szNote="据点攻防·恶人谷·大胜",col={255,100,100,},[20]={},tCountdown={{nClass=20,nIcon=2400,nFrame=0,szName="据点攻防·恶人谷·大胜",nTime=30,nRefresh=2,key="阵营活动",},},},</v>
      </c>
      <c r="U88" t="s">
        <v>2481</v>
      </c>
    </row>
    <row r="89" customFormat="1" spans="3:26">
      <c r="C89" t="s">
        <v>2482</v>
      </c>
      <c r="D89" t="s">
        <v>2483</v>
      </c>
      <c r="K89" t="s">
        <v>2025</v>
      </c>
      <c r="T89" t="str">
        <f t="shared" si="2"/>
        <v>{szContent="本场战役已结束，双方战事惨烈，但终是恶人谷略胜一筹，完胜！恶人谷士气大涨700分！\n",szNote="据点攻防·恶人谷·完胜",col={255,100,100,},[20]={},tCountdown={{nClass=20,nIcon=2400,nFrame=0,szName="据点攻防·恶人谷·完胜",nTime=30,nRefresh=2,key="阵营活动",},},},</v>
      </c>
      <c r="U89" t="s">
        <v>2484</v>
      </c>
    </row>
    <row r="90" customFormat="1" spans="3:26">
      <c r="C90" t="s">
        <v>2485</v>
      </c>
      <c r="D90" t="s">
        <v>2486</v>
      </c>
      <c r="K90" t="s">
        <v>2033</v>
      </c>
      <c r="Q90">
        <v>1</v>
      </c>
      <c r="T90" t="str">
        <f t="shared" si="2"/>
        <v>{szContent="本场战役已结束，双方战事惨烈，未分胜负！双方士气各涨500分！\n",szNote="据点攻防·平局",col={255,255,100,},[20]={bCenterAlarm=true,},tCountdown={{nClass=20,nIcon=2400,nFrame=0,szName="据点攻防·平局",nTime=30,nRefresh=2,key="阵营活动",},},},</v>
      </c>
      <c r="U90" t="s">
        <v>2487</v>
      </c>
    </row>
    <row r="91" customFormat="1" spans="3:26">
      <c r="C91" t="s">
        <v>2361</v>
      </c>
      <c r="D91" t="s">
        <v>2362</v>
      </c>
      <c r="K91" t="s">
        <v>2033</v>
      </c>
      <c r="T91" t="str">
        <f t="shared" si="2"/>
        <v>{szContent="正在拍卖攻防掉落的稀有物品，其中通常有当前最高品质附魔、绝世稀有坐骑、玄晶等，阵营侠士们切勿错过！\n",szNote="阵营攻防·拍卖掉落",col={255,255,100,},[20]={},tCountdown={{nClass=20,nIcon=13,nFrame=0,szName="阵营攻防·拍卖掉落",nTime=30,key="拍卖分红",},},},</v>
      </c>
      <c r="U91" t="s">
        <v>2363</v>
      </c>
      <c r="V91" s="7"/>
    </row>
    <row r="92" customFormat="1" spans="3:26">
      <c r="C92" t="s">
        <v>2464</v>
      </c>
      <c r="D92" t="s">
        <v>2465</v>
      </c>
      <c r="K92" t="s">
        <v>2033</v>
      </c>
      <c r="T92" t="str">
        <f t="shared" si="2"/>
        <v>{szContent="正在拍卖逐鹿中原掉落的稀有物品，其中通常有当前最高品质附魔、绝世稀有坐骑、玄晶等，阵营侠士们切勿错过！\n",szNote="据点攻防·拍卖掉落",col={255,255,100,},[20]={},tCountdown={{nClass=20,nIcon=13,nFrame=0,szName="据点攻防·拍卖掉落",nTime=30,key="拍卖分红",},},},</v>
      </c>
      <c r="U92" t="s">
        <v>2466</v>
      </c>
      <c r="V92" s="7"/>
    </row>
    <row r="93" customFormat="1" spans="3:26">
      <c r="C93" t="s">
        <v>2387</v>
      </c>
      <c r="D93" t="s">
        <v>2388</v>
      </c>
      <c r="K93" t="s">
        <v>2029</v>
      </c>
      <c r="T93" t="str">
        <f t="shared" si="2"/>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93" t="s">
        <v>2389</v>
      </c>
    </row>
    <row r="94" customFormat="1" spans="3:26">
      <c r="C94" t="s">
        <v>2390</v>
      </c>
      <c r="D94" t="s">
        <v>2391</v>
      </c>
      <c r="K94" t="s">
        <v>2025</v>
      </c>
      <c r="T94" t="str">
        <f t="shared" si="2"/>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94" t="s">
        <v>2392</v>
      </c>
    </row>
    <row r="95" customFormat="1" spans="3:26">
      <c r="C95" t="s">
        <v>2488</v>
      </c>
      <c r="D95" t="s">
        <v>2489</v>
      </c>
      <c r="K95" t="s">
        <v>2033</v>
      </c>
      <c r="M95">
        <v>1</v>
      </c>
      <c r="T95" t="str">
        <f t="shared" si="2"/>
        <v>{szContent="([浩气恶人]+)[盟谷]-位于([^%d]-)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nFrame=7,szName="{$3}·{$1}大旗被夺",nTime=-2,key="{$3}·{$1}大旗",},{nClass=20,nIcon=4837,nFrame=7,szName="{$2}【{$3}】浩气大旗被夺",nTime=30,nRefresh=1,key="{$3}·浩气大旗",},{nClass=20,nIcon=4838,nFrame=3,szName="{$2}【{$3}】恶人大旗被夺",nTime=30,nRefresh=1,key="{$3}·恶人大旗",},},},</v>
      </c>
      <c r="U95" t="s">
        <v>2490</v>
      </c>
      <c r="V95" t="s">
        <v>2491</v>
      </c>
      <c r="W95" t="s">
        <v>2492</v>
      </c>
      <c r="X95" t="s">
        <v>2493</v>
      </c>
      <c r="Y95" t="s">
        <v>2494</v>
      </c>
      <c r="Z95" t="s">
        <v>2495</v>
      </c>
    </row>
    <row r="96" customFormat="1" spans="3:26">
      <c r="C96" t="s">
        <v>2496</v>
      </c>
      <c r="D96" t="s">
        <v>2497</v>
      </c>
      <c r="K96" t="s">
        <v>2033</v>
      </c>
      <c r="M96">
        <v>1</v>
      </c>
      <c r="T96" t="str">
        <f t="shared" si="2"/>
        <v>{szContent="([浩气恶人]+)[盟谷]-的【(.-)】帮会成功占领【(.-)】据点！",szNote="{$3}·{$1}占领",col={255,255,100,},bReg=true,[20]={},tCountdown={{nClass=20,nIcon=13,szName="{$3}·浩气大旗",nTime=-1,nRefresh=2,key="{$3}·浩气大旗",},{nClass=20,nIcon=13,szName="{$3}·恶人大旗",nTime=-1,nRefresh=2,key="{$3}·恶人大旗",},{nClass=20,nIcon=13,szName="{$3}·{$1}大旗",nTime=-2,key="{$3}·{$1}大旗",},{nClass=20,nIcon=14888,nFrame=7,szName="【{$3}】·浩气[{$2}]占领",nTime=30,nRefresh=1,key="{$3}·浩气大旗",},{nClass=20,nIcon=14887,nFrame=3,szName="【{$3}】·恶人[{$2}]占领",nTime=30,nRefresh=1,key="{$3}·恶人大旗",},},},</v>
      </c>
      <c r="U96" t="s">
        <v>2498</v>
      </c>
      <c r="V96" t="s">
        <v>2499</v>
      </c>
      <c r="W96" t="s">
        <v>2500</v>
      </c>
      <c r="X96" t="s">
        <v>2501</v>
      </c>
      <c r="Y96" t="s">
        <v>2502</v>
      </c>
    </row>
    <row r="97" customFormat="1" spans="1:22">
      <c r="A97" t="s">
        <v>2522</v>
      </c>
      <c r="B97">
        <v>-3</v>
      </c>
      <c r="T97" t="str">
        <f t="shared" si="2"/>
        <v>},[-3]={</v>
      </c>
    </row>
    <row r="98" customFormat="1" spans="1:22">
      <c r="C98" t="s">
        <v>2426</v>
      </c>
      <c r="K98" t="s">
        <v>2025</v>
      </c>
      <c r="T98" t="str">
        <f t="shared" si="2"/>
        <v>{szContent="阵营攻防排队正式开始，同时清空此前所有排队队列，尚未排队的侠士们速速前往恶人谷地图参与排队，亦可与主城战场的冷倪之、冷允之对话进行排队。\n",col={255,100,100,},[20]={},tCountdown={{nClass=20,nIcon=5815,nFrame=3,szName="主战场·恶人谷",nTime="1,阵营攻防·开始排队·恶人谷;10,阵营攻防·开始排队·恶人谷",nRefresh=1,key="大攻防·主战场",},},},</v>
      </c>
      <c r="U98" t="s">
        <v>2523</v>
      </c>
    </row>
    <row r="99" customFormat="1" spans="1:22">
      <c r="C99" t="s">
        <v>2422</v>
      </c>
      <c r="K99" t="s">
        <v>2029</v>
      </c>
      <c r="T99" t="str">
        <f t="shared" ref="T99:T130" si="3">IF(ISBLANK(B99)=FALSE,IF(ISBLANK(B98),"},["&amp;B99&amp;"]={","["&amp;B99&amp;"]={"),IF(AND(ISBLANK(B99),ISBLANK(C99),ISBLANK(L99),ISBLANK(M99),OR(ISBLANK(B98)=FALSE,ISBLANK(C98)=FALSE,ISBLANK(L98)=FALSE,ISBLANK(M98)=FALSE)),"},},}",IF(ISBLANK(C99),"","{szContent="""&amp;C99&amp;""","&amp;IF(D99&lt;&gt;"","szNote="""&amp;D99&amp;""",","")&amp;IF(K99&lt;&gt;"","col={"&amp;K99&amp;"},","")&amp;IF(L99&gt;0,"bSearch=true,","")&amp;IF(M99&gt;0,"bReg=true,","")&amp;"[20]={"&amp;IF(N99&gt;0,"szVoice="""&amp;N99&amp;""",","")&amp;IF(O99&gt;0,"bTeamChannel=true,","")&amp;IF(P99&gt;0,"bWhisperChannel=true,","")&amp;IF(Q99&gt;0,"bCenterAlarm=true,","")&amp;IF(R99&gt;0,"bScreenHead=true,","")&amp;IF(S99&gt;0,"bFullScreen=true,","")&amp;"},"&amp;IF(U99&lt;&gt;"","tCountdown={"&amp;_xlfn.TEXTJOIN("",TRUE,U99:AAF99)&amp;"},","")&amp;"},")))</f>
        <v>{szContent="阵营攻防排队正式开始，同时清空此前所有排队队列，尚未排队的侠士们速速前往浩气盟地图参与排队，亦可与主城战场的冷倪之、冷允之对话进行排队。\n",col={100,100,255,},[20]={},tCountdown={{nClass=20,nIcon=5815,nFrame=7,szName="主战场·浩气盟",nTime="1,阵营攻防·开始排队·浩气盟;10,阵营攻防·开始排队·浩气盟",nRefresh=1,key="大攻防·主战场",},},},</v>
      </c>
      <c r="U99" t="s">
        <v>2524</v>
      </c>
    </row>
    <row r="100" customFormat="1" spans="1:22">
      <c r="A100" t="s">
        <v>832</v>
      </c>
      <c r="B100">
        <v>74</v>
      </c>
      <c r="T100" t="str">
        <f t="shared" si="3"/>
        <v>},[74]={</v>
      </c>
    </row>
    <row r="101" customFormat="1" spans="1:22">
      <c r="C101" t="s">
        <v>2361</v>
      </c>
      <c r="D101" t="s">
        <v>2362</v>
      </c>
      <c r="K101" t="s">
        <v>2033</v>
      </c>
      <c r="T101" t="str">
        <f t="shared" si="3"/>
        <v>{szContent="正在拍卖攻防掉落的稀有物品，其中通常有当前最高品质附魔、绝世稀有坐骑、玄晶等，阵营侠士们切勿错过！\n",szNote="阵营攻防·拍卖掉落",col={255,255,100,},[20]={},tCountdown={{nClass=20,nIcon=13,nFrame=0,szName="阵营攻防·拍卖掉落",nTime=30,key="拍卖分红",},},},</v>
      </c>
      <c r="U101" t="s">
        <v>2363</v>
      </c>
      <c r="V101" s="7"/>
    </row>
    <row r="102" customFormat="1" spans="1:22">
      <c r="C102" t="s">
        <v>2464</v>
      </c>
      <c r="D102" t="s">
        <v>2465</v>
      </c>
      <c r="K102" t="s">
        <v>2033</v>
      </c>
      <c r="T102" t="str">
        <f t="shared" si="3"/>
        <v>{szContent="正在拍卖逐鹿中原掉落的稀有物品，其中通常有当前最高品质附魔、绝世稀有坐骑、玄晶等，阵营侠士们切勿错过！\n",szNote="据点攻防·拍卖掉落",col={255,255,100,},[20]={},tCountdown={{nClass=20,nIcon=13,nFrame=0,szName="据点攻防·拍卖掉落",nTime=30,key="拍卖分红",},},},</v>
      </c>
      <c r="U102" t="s">
        <v>2466</v>
      </c>
      <c r="V102" s="7"/>
    </row>
    <row r="103" customFormat="1" spans="1:22">
      <c r="C103" t="s">
        <v>2460</v>
      </c>
      <c r="D103" t="s">
        <v>2461</v>
      </c>
      <c r="K103" t="s">
        <v>2033</v>
      </c>
      <c r="T103" t="str">
        <f t="shared" si="3"/>
        <v>{szContent="据点争夺已结束，所有交通已恢复。\n",szNote="据点攻防·已经结束",col={255,255,100,},[20]={},tCountdown={{nClass=20,nIcon=3536,nFrame=3,szName="据点攻防·活动结束",nTime=5,key="阵营活动",},{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v>
      </c>
      <c r="U103" t="s">
        <v>2462</v>
      </c>
      <c r="V103" s="3" t="s">
        <v>2463</v>
      </c>
    </row>
    <row r="104" customFormat="1" spans="1:22">
      <c r="C104" t="s">
        <v>2467</v>
      </c>
      <c r="D104" t="s">
        <v>2468</v>
      </c>
      <c r="K104" t="s">
        <v>2029</v>
      </c>
      <c r="T104" t="str">
        <f t="shared" si="3"/>
        <v>{szContent="本场战役已结束，双方战事惨烈，但终是浩气盟略胜一筹，险胜！浩气盟士气大涨500分！\n",szNote="据点攻防·浩气盟·险胜",col={100,100,255,},[20]={},tCountdown={{nClass=20,nIcon=2400,nFrame=0,szName="据点攻防·浩气盟·险胜",nTime=30,nRefresh=2,key="阵营活动",},},},</v>
      </c>
      <c r="U104" t="s">
        <v>2469</v>
      </c>
    </row>
    <row r="105" customFormat="1" spans="1:22">
      <c r="C105" t="s">
        <v>2470</v>
      </c>
      <c r="D105" t="s">
        <v>2471</v>
      </c>
      <c r="K105" t="s">
        <v>2029</v>
      </c>
      <c r="T105" t="str">
        <f t="shared" si="3"/>
        <v>{szContent="本场战役已结束，双方战事惨烈，但终是浩气盟略胜一筹，大胜！浩气盟士气大涨600分！\n",szNote="据点攻防·浩气盟·大胜",col={100,100,255,},[20]={},tCountdown={{nClass=20,nIcon=2400,nFrame=0,szName="据点攻防·浩气盟·大胜",nTime=30,nRefresh=2,key="阵营活动",},},},</v>
      </c>
      <c r="U105" t="s">
        <v>2472</v>
      </c>
    </row>
    <row r="106" customFormat="1" spans="1:22">
      <c r="C106" t="s">
        <v>2473</v>
      </c>
      <c r="D106" t="s">
        <v>2474</v>
      </c>
      <c r="K106" t="s">
        <v>2029</v>
      </c>
      <c r="T106" t="str">
        <f t="shared" si="3"/>
        <v>{szContent="本场战役已结束，双方战事惨烈，但终是浩气盟略胜一筹，完胜！浩气盟士气大涨700分！\n",szNote="据点攻防·浩气盟·完胜",col={100,100,255,},[20]={},tCountdown={{nClass=20,nIcon=2400,nFrame=0,szName="据点攻防·浩气盟·完胜",nTime=30,nRefresh=2,key="阵营活动",},},},</v>
      </c>
      <c r="U106" t="s">
        <v>2475</v>
      </c>
    </row>
    <row r="107" customFormat="1" spans="1:22">
      <c r="C107" t="s">
        <v>2476</v>
      </c>
      <c r="D107" t="s">
        <v>2477</v>
      </c>
      <c r="K107" t="s">
        <v>2025</v>
      </c>
      <c r="T107" t="str">
        <f t="shared" si="3"/>
        <v>{szContent="本场战役已结束，双方战事惨烈，但终是恶人谷略胜一筹，险胜！恶人谷士气大涨500分！\n",szNote="据点攻防·恶人谷·险胜",col={255,100,100,},[20]={},tCountdown={{nClass=20,nIcon=2400,nFrame=0,szName="据点攻防·恶人谷·险胜",nTime=30,nRefresh=2,key="阵营活动",},},},</v>
      </c>
      <c r="U107" t="s">
        <v>2478</v>
      </c>
    </row>
    <row r="108" customFormat="1" spans="1:22">
      <c r="C108" t="s">
        <v>2479</v>
      </c>
      <c r="D108" t="s">
        <v>2480</v>
      </c>
      <c r="K108" t="s">
        <v>2025</v>
      </c>
      <c r="T108" t="str">
        <f t="shared" si="3"/>
        <v>{szContent="本场战役已结束，双方战事惨烈，但终是恶人谷略胜一筹，大胜！恶人谷士气大涨600分！\n",szNote="据点攻防·恶人谷·大胜",col={255,100,100,},[20]={},tCountdown={{nClass=20,nIcon=2400,nFrame=0,szName="据点攻防·恶人谷·大胜",nTime=30,nRefresh=2,key="阵营活动",},},},</v>
      </c>
      <c r="U108" t="s">
        <v>2481</v>
      </c>
    </row>
    <row r="109" customFormat="1" spans="1:22">
      <c r="C109" t="s">
        <v>2482</v>
      </c>
      <c r="D109" t="s">
        <v>2483</v>
      </c>
      <c r="K109" t="s">
        <v>2025</v>
      </c>
      <c r="T109" t="str">
        <f t="shared" si="3"/>
        <v>{szContent="本场战役已结束，双方战事惨烈，但终是恶人谷略胜一筹，完胜！恶人谷士气大涨700分！\n",szNote="据点攻防·恶人谷·完胜",col={255,100,100,},[20]={},tCountdown={{nClass=20,nIcon=2400,nFrame=0,szName="据点攻防·恶人谷·完胜",nTime=30,nRefresh=2,key="阵营活动",},},},</v>
      </c>
      <c r="U109" t="s">
        <v>2484</v>
      </c>
    </row>
    <row r="110" customFormat="1" spans="1:22">
      <c r="C110" t="s">
        <v>2485</v>
      </c>
      <c r="D110" t="s">
        <v>2486</v>
      </c>
      <c r="K110" t="s">
        <v>2033</v>
      </c>
      <c r="Q110">
        <v>1</v>
      </c>
      <c r="T110" t="str">
        <f t="shared" si="3"/>
        <v>{szContent="本场战役已结束，双方战事惨烈，未分胜负！双方士气各涨500分！\n",szNote="据点攻防·平局",col={255,255,100,},[20]={bCenterAlarm=true,},tCountdown={{nClass=20,nIcon=2400,nFrame=0,szName="据点攻防·平局",nTime=30,nRefresh=2,key="阵营活动",},},},</v>
      </c>
      <c r="U110" t="s">
        <v>2487</v>
      </c>
    </row>
    <row r="111" customFormat="1" spans="1:22">
      <c r="C111" t="s">
        <v>2387</v>
      </c>
      <c r="D111" t="s">
        <v>2388</v>
      </c>
      <c r="K111" t="s">
        <v>2029</v>
      </c>
      <c r="T111" t="str">
        <f t="shared" si="3"/>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111" t="s">
        <v>2389</v>
      </c>
    </row>
    <row r="112" customFormat="1" spans="1:22">
      <c r="C112" t="s">
        <v>2390</v>
      </c>
      <c r="D112" t="s">
        <v>2391</v>
      </c>
      <c r="K112" t="s">
        <v>2025</v>
      </c>
      <c r="T112" t="str">
        <f t="shared" si="3"/>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112" t="s">
        <v>2392</v>
      </c>
    </row>
    <row r="113" customFormat="1" spans="1:34">
      <c r="C113" t="s">
        <v>2488</v>
      </c>
      <c r="D113" t="s">
        <v>2489</v>
      </c>
      <c r="K113" t="s">
        <v>2033</v>
      </c>
      <c r="M113">
        <v>1</v>
      </c>
      <c r="T113" t="str">
        <f t="shared" si="3"/>
        <v>{szContent="([浩气恶人]+)[盟谷]-位于([^%d]-)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nFrame=7,szName="{$3}·{$1}大旗被夺",nTime=-2,key="{$3}·{$1}大旗",},{nClass=20,nIcon=4837,nFrame=7,szName="{$2}【{$3}】浩气大旗被夺",nTime=30,nRefresh=1,key="{$3}·浩气大旗",},{nClass=20,nIcon=4838,nFrame=3,szName="{$2}【{$3}】恶人大旗被夺",nTime=30,nRefresh=1,key="{$3}·恶人大旗",},},},</v>
      </c>
      <c r="U113" t="s">
        <v>2490</v>
      </c>
      <c r="V113" t="s">
        <v>2491</v>
      </c>
      <c r="W113" t="s">
        <v>2492</v>
      </c>
      <c r="X113" t="s">
        <v>2493</v>
      </c>
      <c r="Y113" t="s">
        <v>2494</v>
      </c>
      <c r="Z113" t="s">
        <v>2495</v>
      </c>
    </row>
    <row r="114" customFormat="1" spans="1:34">
      <c r="C114" t="s">
        <v>2496</v>
      </c>
      <c r="D114" t="s">
        <v>2497</v>
      </c>
      <c r="K114" t="s">
        <v>2033</v>
      </c>
      <c r="M114">
        <v>1</v>
      </c>
      <c r="T114" t="str">
        <f t="shared" si="3"/>
        <v>{szContent="([浩气恶人]+)[盟谷]-的【(.-)】帮会成功占领【(.-)】据点！",szNote="{$3}·{$1}占领",col={255,255,100,},bReg=true,[20]={},tCountdown={{nClass=20,nIcon=13,szName="{$3}·浩气大旗",nTime=-1,nRefresh=2,key="{$3}·浩气大旗",},{nClass=20,nIcon=13,szName="{$3}·恶人大旗",nTime=-1,nRefresh=2,key="{$3}·恶人大旗",},{nClass=20,nIcon=13,szName="{$3}·{$1}大旗",nTime=-2,key="{$3}·{$1}大旗",},{nClass=20,nIcon=14888,nFrame=7,szName="【{$3}】·浩气[{$2}]占领",nTime=30,nRefresh=1,key="{$3}·浩气大旗",},{nClass=20,nIcon=14887,nFrame=3,szName="【{$3}】·恶人[{$2}]占领",nTime=30,nRefresh=1,key="{$3}·恶人大旗",},},},</v>
      </c>
      <c r="U114" t="s">
        <v>2498</v>
      </c>
      <c r="V114" t="s">
        <v>2499</v>
      </c>
      <c r="W114" t="s">
        <v>2500</v>
      </c>
      <c r="X114" t="s">
        <v>2501</v>
      </c>
      <c r="Y114" t="s">
        <v>2502</v>
      </c>
    </row>
    <row r="115" customFormat="1" spans="1:34">
      <c r="C115" t="s">
        <v>2366</v>
      </c>
      <c r="D115" t="s">
        <v>2367</v>
      </c>
      <c r="K115" t="s">
        <v>2033</v>
      </c>
      <c r="M115">
        <v>1</v>
      </c>
      <c r="Q115">
        <v>1</v>
      </c>
      <c r="T115" t="str">
        <f t="shared" si="3"/>
        <v>{szContent="^本场攻防“([主战奇袭场]+)”已结束，([浩气盟恶人谷]+)[侠士们众志成城和，]-([大完险胜]+)([浩气盟恶人谷]+)[！，]+",szNote="{$1}·{$2}·{$3}",col={255,255,100,},bReg=true,[20]={bCenterAlarm=true,},tCountdown={{nClass=20,nIcon=13,szName="大攻防·奇袭场",nTime=-2,nRefresh=10,key="大攻防·奇袭场",},{nClass=20,nIcon=13,szName="大攻防·主战场",nTime=-2,nRefresh=10,key="大攻防·主战场",},{nClass=20,nIcon=13,szName="大攻防·{$1}",nTime=-2,key="大攻防·{$1}",},{nClass=20,nIcon=2402,nFrame=4,szName="{$1}·{$2}·{$3}",nTime=57,nRefresh=5,key="大攻防·奇袭场",},{nClass=20,nIcon=2400,nFrame=0,szName="{$1}·{$2}·{$3}",nTime=57,nRefresh=5,key="大攻防·主战场",},},},</v>
      </c>
      <c r="U115" t="s">
        <v>2525</v>
      </c>
      <c r="V115" t="s">
        <v>2526</v>
      </c>
      <c r="W115" t="s">
        <v>2527</v>
      </c>
      <c r="X115" t="s">
        <v>2528</v>
      </c>
      <c r="Y115" t="s">
        <v>2529</v>
      </c>
    </row>
    <row r="116" customFormat="1" spans="1:34">
      <c r="C116" t="s">
        <v>2530</v>
      </c>
      <c r="D116" t="s">
        <v>2531</v>
      </c>
      <c r="K116" t="s">
        <v>2033</v>
      </c>
      <c r="T116" t="str">
        <f t="shared" si="3"/>
        <v>{szContent="本场攻防“主战场”已结束，浩气盟侠士和恶人谷侠士经过一场恶战，势均力敌，最终打为平手，暂时休战！\n",szNote="主战场·平手",col={255,255,100,},[20]={},tCountdown={{nClass=20,nIcon=2400,nFrame=0,szName="主战场·平手",nTime=57,nRefresh=5,key="大攻防·主战场",},},},</v>
      </c>
      <c r="U116" t="s">
        <v>2532</v>
      </c>
    </row>
    <row r="117" customFormat="1" spans="1:34">
      <c r="C117" t="s">
        <v>2533</v>
      </c>
      <c r="D117" t="s">
        <v>2534</v>
      </c>
      <c r="K117" t="s">
        <v>2033</v>
      </c>
      <c r="T117" t="str">
        <f t="shared" si="3"/>
        <v>{szContent="本场攻防“奇袭场”已结束，浩气盟侠士和恶人谷侠士经过一场恶战，势均力敌，最终打为平手，暂时休战！\n",szNote="奇袭场·平手",col={255,255,100,},[20]={},tCountdown={{nClass=20,nIcon=2402,nFrame=4,szName="奇袭场·平手",nTime=57,nRefresh=5,key="大攻防·奇袭场",},},},</v>
      </c>
      <c r="U117" t="s">
        <v>2535</v>
      </c>
    </row>
    <row r="118" customFormat="1" spans="1:34">
      <c r="A118" t="s">
        <v>682</v>
      </c>
      <c r="B118">
        <v>22</v>
      </c>
      <c r="T118" t="str">
        <f t="shared" si="3"/>
        <v>},[22]={</v>
      </c>
    </row>
    <row r="119" customFormat="1" spans="1:34">
      <c r="C119" t="s">
        <v>2488</v>
      </c>
      <c r="D119" t="s">
        <v>2489</v>
      </c>
      <c r="G119" t="s">
        <v>2536</v>
      </c>
      <c r="K119" t="s">
        <v>2033</v>
      </c>
      <c r="M119">
        <v>1</v>
      </c>
      <c r="T119" t="str">
        <f t="shared" si="3"/>
        <v>{szContent="([浩气恶人]+)[盟谷]-位于([^%d]-)的【(.-)据点】大旗被夺",szNote="{$3}·{$1}大旗被夺",col={255,255,100,},bReg=true,[20]={},tCountdown={{nClass=20,nIcon=592,nFrame=4,szName="{$3}·大旗重置",nTime=-1,key="{$3}·大旗重置",},{nClass=20,nIcon=1465,nFrame=-1,szName=" ",nTime=-2,nRefresh=7200,key="武王城·浩气大旗",},{nClass=20,nIcon=1465,nFrame=-1,szName=" ",nTime=-2,nRefresh=7200,key="武王城·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武王城】恶人·占领剩余",nTime=600.1,nRefresh=720,key="武王城·浩气大旗",},{nClass=20,nIcon=3444,nFrame=7,szName="【武王城】浩气·占领剩余",nTime=600.1,nRefresh=720,key="武王城·恶人大旗",},},},</v>
      </c>
      <c r="U119" t="s">
        <v>2490</v>
      </c>
      <c r="V119" t="str">
        <f>"{nClass=20,nIcon=1465,nFrame=-1,szName="&amp;""" """&amp;",nTime=-2,nRefresh=7200,key="""&amp;G119&amp;"·浩气大旗"&amp;""",},"</f>
        <v>{nClass=20,nIcon=1465,nFrame=-1,szName=" ",nTime=-2,nRefresh=7200,key="武王城·浩气大旗",},</v>
      </c>
      <c r="W119" t="str">
        <f>"{nClass=20,nIcon=1465,nFrame=-1,szName="&amp;""" """&amp;",nTime=-2,nRefresh=7200,key="""&amp;G119&amp;"·恶人大旗"&amp;""",},"</f>
        <v>{nClass=20,nIcon=1465,nFrame=-1,szName=" ",nTime=-2,nRefresh=7200,key="武王城·恶人大旗",},</v>
      </c>
      <c r="X119" t="s">
        <v>2491</v>
      </c>
      <c r="Y119" t="s">
        <v>2492</v>
      </c>
      <c r="Z119" t="s">
        <v>2537</v>
      </c>
      <c r="AA119" t="s">
        <v>2538</v>
      </c>
      <c r="AB119" t="s">
        <v>2539</v>
      </c>
      <c r="AC119" t="str">
        <f>"{nClass=20,nIcon=3445,nFrame=3,szName="&amp;"""【"&amp;G119&amp;"】恶人·占领剩余"""&amp;",nTime=600.1,nRefresh=720,key="&amp;""""&amp;G119&amp;"·浩气大旗"""&amp;",},"</f>
        <v>{nClass=20,nIcon=3445,nFrame=3,szName="【武王城】恶人·占领剩余",nTime=600.1,nRefresh=720,key="武王城·浩气大旗",},</v>
      </c>
      <c r="AD119" t="str">
        <f>"{nClass=20,nIcon=3444,nFrame=7,szName="&amp;"""【"&amp;G119&amp;"】浩气·占领剩余"""&amp;",nTime=600.1,nRefresh=720,key="&amp;""""&amp;G119&amp;"·恶人大旗"""&amp;",},"</f>
        <v>{nClass=20,nIcon=3444,nFrame=7,szName="【武王城】浩气·占领剩余",nTime=600.1,nRefresh=720,key="武王城·恶人大旗",},</v>
      </c>
    </row>
    <row r="120" customFormat="1" spans="1:34">
      <c r="C120" t="s">
        <v>2540</v>
      </c>
      <c r="D120" t="s">
        <v>2541</v>
      </c>
      <c r="K120" t="s">
        <v>2033</v>
      </c>
      <c r="M120">
        <v>1</v>
      </c>
      <c r="T120" t="str">
        <f t="shared" si="3"/>
        <v>{szContent="^【(.*)】据点大旗(.*)重置回初始位置！\n",szNote="{$1}·大旗重置",col={255,255,100,},bReg=true,[20]={},tCountdown={{nClass=20,nIcon=1465,szName="武王城·大旗重置",nTime=-2,nRefresh=7200,key="武王城·大旗重置",},{nClass=20,nIcon=13,szName="【{$1}】大旗重置",nTime=-2,key="{$1}·大旗重置",},{nClass=20,nIcon=592,nFrame=4,szName="【{$1}】大旗重置",nTime=30,key="{$1}·大旗重置",},{nClass=20,nIcon=592,nFrame=4,szName="【武王城】大旗重置",nTime="180,【武王城】大旗重置;185,【武王城】大旗重置·结束",nRefresh=7200,key="武王城·大旗重置",},},},</v>
      </c>
      <c r="U120" t="s">
        <v>2542</v>
      </c>
      <c r="V120" t="s">
        <v>2543</v>
      </c>
      <c r="W120" t="s">
        <v>2544</v>
      </c>
      <c r="X120" t="s">
        <v>2545</v>
      </c>
    </row>
    <row r="121" spans="1:34">
      <c r="A121" t="s">
        <v>705</v>
      </c>
      <c r="B121">
        <v>30</v>
      </c>
      <c r="T121" t="str">
        <f t="shared" si="3"/>
        <v>},[30]={</v>
      </c>
    </row>
    <row r="122" customFormat="1" spans="1:34">
      <c r="C122" t="s">
        <v>2488</v>
      </c>
      <c r="D122" t="s">
        <v>2489</v>
      </c>
      <c r="G122" t="s">
        <v>2546</v>
      </c>
      <c r="K122" t="s">
        <v>2033</v>
      </c>
      <c r="M122">
        <v>1</v>
      </c>
      <c r="T122" t="str">
        <f t="shared" si="3"/>
        <v>{szContent="([浩气恶人]+)[盟谷]-位于([^%d]-)的【(.-)据点】大旗被夺",szNote="{$3}·{$1}大旗被夺",col={255,255,100,},bReg=true,[20]={},tCountdown={{nClass=20,nIcon=592,nFrame=4,szName="{$3}·大旗重置",nTime=-1,key="{$3}·大旗重置",},{nClass=20,nIcon=1465,nFrame=-1,szName=" ",nTime=-2,nRefresh=7200,key="凛风堡·浩气大旗",},{nClass=20,nIcon=1465,nFrame=-1,szName=" ",nTime=-2,nRefresh=7200,key="凛风堡·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凛风堡】恶人·占领剩余",nTime=600.1,nRefresh=720,key="凛风堡·浩气大旗",},{nClass=20,nIcon=3444,nFrame=7,szName="【凛风堡】浩气·占领剩余",nTime=600.1,nRefresh=720,key="凛风堡·恶人大旗",},},},</v>
      </c>
      <c r="U122" t="s">
        <v>2490</v>
      </c>
      <c r="V122" t="str">
        <f>"{nClass=20,nIcon=1465,nFrame=-1,szName="&amp;""" """&amp;",nTime=-2,nRefresh=7200,key="""&amp;G122&amp;"·浩气大旗"&amp;""",},"</f>
        <v>{nClass=20,nIcon=1465,nFrame=-1,szName=" ",nTime=-2,nRefresh=7200,key="凛风堡·浩气大旗",},</v>
      </c>
      <c r="W122" t="str">
        <f>"{nClass=20,nIcon=1465,nFrame=-1,szName="&amp;""" """&amp;",nTime=-2,nRefresh=7200,key="""&amp;G122&amp;"·恶人大旗"&amp;""",},"</f>
        <v>{nClass=20,nIcon=1465,nFrame=-1,szName=" ",nTime=-2,nRefresh=7200,key="凛风堡·恶人大旗",},</v>
      </c>
      <c r="X122" t="s">
        <v>2491</v>
      </c>
      <c r="Y122" t="s">
        <v>2492</v>
      </c>
      <c r="Z122" t="s">
        <v>2537</v>
      </c>
      <c r="AA122" t="s">
        <v>2538</v>
      </c>
      <c r="AB122" t="s">
        <v>2539</v>
      </c>
      <c r="AC122" t="str">
        <f>"{nClass=20,nIcon=3445,nFrame=3,szName="&amp;"""【"&amp;G122&amp;"】恶人·占领剩余"""&amp;",nTime=600.1,nRefresh=720,key="&amp;""""&amp;G122&amp;"·浩气大旗"""&amp;",},"</f>
        <v>{nClass=20,nIcon=3445,nFrame=3,szName="【凛风堡】恶人·占领剩余",nTime=600.1,nRefresh=720,key="凛风堡·浩气大旗",},</v>
      </c>
      <c r="AD122" t="str">
        <f>"{nClass=20,nIcon=3444,nFrame=7,szName="&amp;"""【"&amp;G122&amp;"】浩气·占领剩余"""&amp;",nTime=600.1,nRefresh=720,key="&amp;""""&amp;G122&amp;"·恶人大旗"""&amp;",},"</f>
        <v>{nClass=20,nIcon=3444,nFrame=7,szName="【凛风堡】浩气·占领剩余",nTime=600.1,nRefresh=720,key="凛风堡·恶人大旗",},</v>
      </c>
    </row>
    <row r="123" spans="1:34">
      <c r="C123" t="s">
        <v>2540</v>
      </c>
      <c r="D123" t="s">
        <v>2541</v>
      </c>
      <c r="K123" t="s">
        <v>2033</v>
      </c>
      <c r="M123">
        <v>1</v>
      </c>
      <c r="T123" t="str">
        <f t="shared" si="3"/>
        <v>{szContent="^【(.*)】据点大旗(.*)重置回初始位置！\n",szNote="{$1}·大旗重置",col={255,255,100,},bReg=true,[20]={},tCountdown={{nClass=20,nIcon=1465,szName="凛风堡·大旗重置",nTime=-2,nRefresh=7200,key="凛风堡·大旗重置",},{nClass=20,nIcon=13,szName="【{$1}】大旗重置",nTime=-2,key="{$1}·大旗重置",},{nClass=20,nIcon=592,nFrame=4,szName="【{$1}】大旗重置",nTime=30,key="{$1}·大旗重置",},{nClass=20,nIcon=592,nFrame=4,szName="【凛风堡】大旗重置",nTime="180,【凛风堡】大旗重置;185,【凛风堡】大旗重置·结束",nRefresh=7200,key="凛风堡·大旗重置",},},},</v>
      </c>
      <c r="U123" t="s">
        <v>2547</v>
      </c>
      <c r="V123" t="s">
        <v>2543</v>
      </c>
      <c r="W123" t="s">
        <v>2544</v>
      </c>
      <c r="X123" t="s">
        <v>2548</v>
      </c>
    </row>
    <row r="124" spans="1:34">
      <c r="A124" t="s">
        <v>679</v>
      </c>
      <c r="B124">
        <v>21</v>
      </c>
      <c r="T124" t="str">
        <f t="shared" si="3"/>
        <v>},[21]={</v>
      </c>
    </row>
    <row r="125" customFormat="1" spans="1:34">
      <c r="C125" t="s">
        <v>2488</v>
      </c>
      <c r="D125" t="s">
        <v>2489</v>
      </c>
      <c r="G125" t="s">
        <v>2549</v>
      </c>
      <c r="H125" t="s">
        <v>2550</v>
      </c>
      <c r="K125" t="s">
        <v>2033</v>
      </c>
      <c r="M125">
        <v>1</v>
      </c>
      <c r="T125" t="str">
        <f t="shared" si="3"/>
        <v>{szContent="([浩气恶人]+)[盟谷]-位于([^%d]-)的【(.-)据点】大旗被夺",szNote="{$3}·{$1}大旗被夺",col={255,255,100,},bReg=true,[20]={},tCountdown={{nClass=20,nIcon=592,nFrame=4,szName="{$3}·大旗重置",nTime=-1,key="{$3}·大旗重置",},{nClass=20,nIcon=1465,nFrame=-1,szName=" ",nTime=-2,nRefresh=7200,key="盘龙坞·浩气大旗",},{nClass=20,nIcon=1465,nFrame=-1,szName=" ",nTime=-2,nRefresh=7200,key="逐鹿坪·浩气大旗",},{nClass=20,nIcon=1465,nFrame=-1,szName=" ",nTime=-2,nRefresh=7200,key="盘龙坞·恶人大旗",},{nClass=20,nIcon=1465,nFrame=-1,szName=" ",nTime=-2,nRefresh=7200,key="逐鹿坪·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盘龙坞】恶人·占领剩余",nTime=600.1,nRefresh=720,key="盘龙坞·浩气大旗",},{nClass=20,nIcon=3445,nFrame=3,szName="【逐鹿坪】恶人·占领剩余",nTime=600.1,nRefresh=720,key="逐鹿坪·浩气大旗",},{nClass=20,nIcon=3444,nFrame=7,szName="【盘龙坞】浩气·占领剩余",nTime=600.1,nRefresh=720,key="盘龙坞·恶人大旗",},{nClass=20,nIcon=3444,nFrame=7,szName="【逐鹿坪】浩气·占领剩余",nTime=600.1,nRefresh=720,key="逐鹿坪·恶人大旗",},},},</v>
      </c>
      <c r="U125" t="s">
        <v>2490</v>
      </c>
      <c r="V125" t="str">
        <f>"{nClass=20,nIcon=1465,nFrame=-1,szName="&amp;""" """&amp;",nTime=-2,nRefresh=7200,key="""&amp;G125&amp;"·浩气大旗"&amp;""",},"</f>
        <v>{nClass=20,nIcon=1465,nFrame=-1,szName=" ",nTime=-2,nRefresh=7200,key="盘龙坞·浩气大旗",},</v>
      </c>
      <c r="W125" t="str">
        <f>"{nClass=20,nIcon=1465,nFrame=-1,szName="&amp;""" """&amp;",nTime=-2,nRefresh=7200,key="""&amp;H125&amp;"·浩气大旗"&amp;""",},"</f>
        <v>{nClass=20,nIcon=1465,nFrame=-1,szName=" ",nTime=-2,nRefresh=7200,key="逐鹿坪·浩气大旗",},</v>
      </c>
      <c r="X125" t="str">
        <f>"{nClass=20,nIcon=1465,nFrame=-1,szName="&amp;""" """&amp;",nTime=-2,nRefresh=7200,key="""&amp;G125&amp;"·恶人大旗"&amp;""",},"</f>
        <v>{nClass=20,nIcon=1465,nFrame=-1,szName=" ",nTime=-2,nRefresh=7200,key="盘龙坞·恶人大旗",},</v>
      </c>
      <c r="Y125" t="str">
        <f>"{nClass=20,nIcon=1465,nFrame=-1,szName="&amp;""" """&amp;",nTime=-2,nRefresh=7200,key="""&amp;H125&amp;"·恶人大旗"&amp;""",},"</f>
        <v>{nClass=20,nIcon=1465,nFrame=-1,szName=" ",nTime=-2,nRefresh=7200,key="逐鹿坪·恶人大旗",},</v>
      </c>
      <c r="Z125" t="s">
        <v>2491</v>
      </c>
      <c r="AA125" t="s">
        <v>2492</v>
      </c>
      <c r="AB125" t="s">
        <v>2537</v>
      </c>
      <c r="AC125" t="s">
        <v>2538</v>
      </c>
      <c r="AD125" t="s">
        <v>2539</v>
      </c>
      <c r="AE125" t="str">
        <f>"{nClass=20,nIcon=3445,nFrame=3,szName="&amp;"""【"&amp;G125&amp;"】恶人·占领剩余"""&amp;",nTime=600.1,nRefresh=720,key="&amp;""""&amp;G125&amp;"·浩气大旗"""&amp;",},"</f>
        <v>{nClass=20,nIcon=3445,nFrame=3,szName="【盘龙坞】恶人·占领剩余",nTime=600.1,nRefresh=720,key="盘龙坞·浩气大旗",},</v>
      </c>
      <c r="AF125" t="str">
        <f>"{nClass=20,nIcon=3445,nFrame=3,szName="&amp;"""【"&amp;H125&amp;"】恶人·占领剩余"""&amp;",nTime=600.1,nRefresh=720,key="&amp;""""&amp;H125&amp;"·浩气大旗"""&amp;",},"</f>
        <v>{nClass=20,nIcon=3445,nFrame=3,szName="【逐鹿坪】恶人·占领剩余",nTime=600.1,nRefresh=720,key="逐鹿坪·浩气大旗",},</v>
      </c>
      <c r="AG125" t="str">
        <f>"{nClass=20,nIcon=3444,nFrame=7,szName="&amp;"""【"&amp;G125&amp;"】浩气·占领剩余"""&amp;",nTime=600.1,nRefresh=720,key="&amp;""""&amp;G125&amp;"·恶人大旗"""&amp;",},"</f>
        <v>{nClass=20,nIcon=3444,nFrame=7,szName="【盘龙坞】浩气·占领剩余",nTime=600.1,nRefresh=720,key="盘龙坞·恶人大旗",},</v>
      </c>
      <c r="AH125" t="str">
        <f>"{nClass=20,nIcon=3444,nFrame=7,szName="&amp;"""【"&amp;H125&amp;"】浩气·占领剩余"""&amp;",nTime=600.1,nRefresh=720,key="&amp;""""&amp;H125&amp;"·恶人大旗"""&amp;",},"</f>
        <v>{nClass=20,nIcon=3444,nFrame=7,szName="【逐鹿坪】浩气·占领剩余",nTime=600.1,nRefresh=720,key="逐鹿坪·恶人大旗",},</v>
      </c>
    </row>
    <row r="126" spans="1:34">
      <c r="C126" t="s">
        <v>2540</v>
      </c>
      <c r="D126" t="s">
        <v>2541</v>
      </c>
      <c r="K126" t="s">
        <v>2033</v>
      </c>
      <c r="M126">
        <v>1</v>
      </c>
      <c r="T126" t="str">
        <f t="shared" si="3"/>
        <v>{szContent="^【(.*)】据点大旗(.*)重置回初始位置！\n",szNote="{$1}·大旗重置",col={255,255,100,},bReg=true,[20]={},tCountdown={{nClass=20,nIcon=1465,szName="盘龙坞·大旗重置",nTime=-2,nRefresh=7200,key="盘龙坞·大旗重置",},{nClass=20,nIcon=1465,szName="逐鹿坪·大旗重置",nTime=-2,nRefresh=7200,key="逐鹿坪·大旗重置",},{nClass=20,nIcon=13,szName="【{$1}】大旗重置",nTime=-2,key="{$1}·大旗重置",},{nClass=20,nIcon=592,nFrame=4,szName="【{$1}】大旗重置",nTime=30,key="{$1}·大旗重置",},{nClass=20,nIcon=592,nFrame=4,szName="【盘龙坞】大旗重置",nTime="180,【盘龙坞】大旗重置;185,【盘龙坞】大旗重置·结束",nRefresh=7200,key="盘龙坞·大旗重置",},{nClass=20,nIcon=592,nFrame=4,szName="【逐鹿坪】大旗重置",nTime="180,【逐鹿坪】大旗重置;185,【逐鹿坪】大旗重置·结束",nRefresh=7200,key="逐鹿坪·大旗重置",},},},</v>
      </c>
      <c r="U126" t="s">
        <v>2551</v>
      </c>
      <c r="V126" t="s">
        <v>2552</v>
      </c>
      <c r="W126" t="s">
        <v>2543</v>
      </c>
      <c r="X126" t="s">
        <v>2544</v>
      </c>
      <c r="Y126" t="s">
        <v>2553</v>
      </c>
      <c r="Z126" t="s">
        <v>2554</v>
      </c>
    </row>
    <row r="127" spans="1:34">
      <c r="A127" t="s">
        <v>685</v>
      </c>
      <c r="B127">
        <v>23</v>
      </c>
      <c r="T127" t="str">
        <f t="shared" si="3"/>
        <v>},[23]={</v>
      </c>
    </row>
    <row r="128" customFormat="1" spans="1:34">
      <c r="C128" t="s">
        <v>2488</v>
      </c>
      <c r="D128" t="s">
        <v>2489</v>
      </c>
      <c r="G128" t="s">
        <v>2555</v>
      </c>
      <c r="H128" t="s">
        <v>2556</v>
      </c>
      <c r="K128" t="s">
        <v>2033</v>
      </c>
      <c r="M128">
        <v>1</v>
      </c>
      <c r="T128" t="str">
        <f t="shared" si="3"/>
        <v>{szContent="([浩气恶人]+)[盟谷]-位于([^%d]-)的【(.-)据点】大旗被夺",szNote="{$3}·{$1}大旗被夺",col={255,255,100,},bReg=true,[20]={},tCountdown={{nClass=20,nIcon=592,nFrame=4,szName="{$3}·大旗重置",nTime=-1,key="{$3}·大旗重置",},{nClass=20,nIcon=1465,nFrame=-1,szName=" ",nTime=-2,nRefresh=7200,key="龙门镇·浩气大旗",},{nClass=20,nIcon=1465,nFrame=-1,szName=" ",nTime=-2,nRefresh=7200,key="飞沙关·浩气大旗",},{nClass=20,nIcon=1465,nFrame=-1,szName=" ",nTime=-2,nRefresh=7200,key="龙门镇·恶人大旗",},{nClass=20,nIcon=1465,nFrame=-1,szName=" ",nTime=-2,nRefresh=7200,key="飞沙关·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龙门镇】恶人·占领剩余",nTime=600.1,nRefresh=720,key="龙门镇·浩气大旗",},{nClass=20,nIcon=3445,nFrame=3,szName="【飞沙关】恶人·占领剩余",nTime=600.1,nRefresh=720,key="飞沙关·浩气大旗",},{nClass=20,nIcon=3444,nFrame=7,szName="【龙门镇】浩气·占领剩余",nTime=600.1,nRefresh=720,key="龙门镇·恶人大旗",},{nClass=20,nIcon=3444,nFrame=7,szName="【飞沙关】浩气·占领剩余",nTime=600.1,nRefresh=720,key="飞沙关·恶人大旗",},},},</v>
      </c>
      <c r="U128" t="s">
        <v>2490</v>
      </c>
      <c r="V128" t="str">
        <f>"{nClass=20,nIcon=1465,nFrame=-1,szName="&amp;""" """&amp;",nTime=-2,nRefresh=7200,key="""&amp;G128&amp;"·浩气大旗"&amp;""",},"</f>
        <v>{nClass=20,nIcon=1465,nFrame=-1,szName=" ",nTime=-2,nRefresh=7200,key="龙门镇·浩气大旗",},</v>
      </c>
      <c r="W128" t="str">
        <f>"{nClass=20,nIcon=1465,nFrame=-1,szName="&amp;""" """&amp;",nTime=-2,nRefresh=7200,key="""&amp;H128&amp;"·浩气大旗"&amp;""",},"</f>
        <v>{nClass=20,nIcon=1465,nFrame=-1,szName=" ",nTime=-2,nRefresh=7200,key="飞沙关·浩气大旗",},</v>
      </c>
      <c r="X128" t="str">
        <f>"{nClass=20,nIcon=1465,nFrame=-1,szName="&amp;""" """&amp;",nTime=-2,nRefresh=7200,key="""&amp;G128&amp;"·恶人大旗"&amp;""",},"</f>
        <v>{nClass=20,nIcon=1465,nFrame=-1,szName=" ",nTime=-2,nRefresh=7200,key="龙门镇·恶人大旗",},</v>
      </c>
      <c r="Y128" t="str">
        <f>"{nClass=20,nIcon=1465,nFrame=-1,szName="&amp;""" """&amp;",nTime=-2,nRefresh=7200,key="""&amp;H128&amp;"·恶人大旗"&amp;""",},"</f>
        <v>{nClass=20,nIcon=1465,nFrame=-1,szName=" ",nTime=-2,nRefresh=7200,key="飞沙关·恶人大旗",},</v>
      </c>
      <c r="Z128" t="s">
        <v>2491</v>
      </c>
      <c r="AA128" t="s">
        <v>2492</v>
      </c>
      <c r="AB128" t="s">
        <v>2537</v>
      </c>
      <c r="AC128" t="s">
        <v>2538</v>
      </c>
      <c r="AD128" t="s">
        <v>2539</v>
      </c>
      <c r="AE128" t="str">
        <f>"{nClass=20,nIcon=3445,nFrame=3,szName="&amp;"""【"&amp;G128&amp;"】恶人·占领剩余"""&amp;",nTime=600.1,nRefresh=720,key="&amp;""""&amp;G128&amp;"·浩气大旗"""&amp;",},"</f>
        <v>{nClass=20,nIcon=3445,nFrame=3,szName="【龙门镇】恶人·占领剩余",nTime=600.1,nRefresh=720,key="龙门镇·浩气大旗",},</v>
      </c>
      <c r="AF128" t="str">
        <f>"{nClass=20,nIcon=3445,nFrame=3,szName="&amp;"""【"&amp;H128&amp;"】恶人·占领剩余"""&amp;",nTime=600.1,nRefresh=720,key="&amp;""""&amp;H128&amp;"·浩气大旗"""&amp;",},"</f>
        <v>{nClass=20,nIcon=3445,nFrame=3,szName="【飞沙关】恶人·占领剩余",nTime=600.1,nRefresh=720,key="飞沙关·浩气大旗",},</v>
      </c>
      <c r="AG128" t="str">
        <f>"{nClass=20,nIcon=3444,nFrame=7,szName="&amp;"""【"&amp;G128&amp;"】浩气·占领剩余"""&amp;",nTime=600.1,nRefresh=720,key="&amp;""""&amp;G128&amp;"·恶人大旗"""&amp;",},"</f>
        <v>{nClass=20,nIcon=3444,nFrame=7,szName="【龙门镇】浩气·占领剩余",nTime=600.1,nRefresh=720,key="龙门镇·恶人大旗",},</v>
      </c>
      <c r="AH128" t="str">
        <f>"{nClass=20,nIcon=3444,nFrame=7,szName="&amp;"""【"&amp;H128&amp;"】浩气·占领剩余"""&amp;",nTime=600.1,nRefresh=720,key="&amp;""""&amp;H128&amp;"·恶人大旗"""&amp;",},"</f>
        <v>{nClass=20,nIcon=3444,nFrame=7,szName="【飞沙关】浩气·占领剩余",nTime=600.1,nRefresh=720,key="飞沙关·恶人大旗",},</v>
      </c>
    </row>
    <row r="129" spans="1:34">
      <c r="C129" t="s">
        <v>2540</v>
      </c>
      <c r="D129" t="s">
        <v>2541</v>
      </c>
      <c r="K129" t="s">
        <v>2033</v>
      </c>
      <c r="M129">
        <v>1</v>
      </c>
      <c r="T129" t="str">
        <f t="shared" si="3"/>
        <v>{szContent="^【(.*)】据点大旗(.*)重置回初始位置！\n",szNote="{$1}·大旗重置",col={255,255,100,},bReg=true,[20]={},tCountdown={{nClass=20,nIcon=1465,szName="龙门镇·大旗重置",nTime=-2,nRefresh=7200,key="龙门镇·大旗重置",},{nClass=20,nIcon=1465,szName="飞沙关·大旗重置",nTime=-2,nRefresh=7200,key="飞沙关·大旗重置",},{nClass=20,nIcon=13,szName="【{$1}】大旗重置",nTime=-2,key="{$1}·大旗重置",},{nClass=20,nIcon=592,nFrame=4,szName="【{$1}】大旗重置",nTime=30,key="{$1}·大旗重置",},{nClass=20,nIcon=592,nFrame=4,szName="【龙门镇】大旗重置",nTime="180,【龙门镇】大旗重置;185,【龙门镇】大旗重置·结束",nRefresh=7200,key="龙门镇·大旗重置",},{nClass=20,nIcon=592,nFrame=4,szName="【飞沙关】大旗重置",nTime="180,【飞沙关】大旗重置;185,【飞沙关】大旗重置·结束",nRefresh=7200,key="飞沙关·大旗重置",},},},</v>
      </c>
      <c r="U129" t="s">
        <v>2557</v>
      </c>
      <c r="V129" t="s">
        <v>2558</v>
      </c>
      <c r="W129" t="s">
        <v>2543</v>
      </c>
      <c r="X129" t="s">
        <v>2544</v>
      </c>
      <c r="Y129" t="s">
        <v>2559</v>
      </c>
      <c r="Z129" t="s">
        <v>2560</v>
      </c>
    </row>
    <row r="130" spans="1:34">
      <c r="A130" t="s">
        <v>633</v>
      </c>
      <c r="B130">
        <v>9</v>
      </c>
      <c r="T130" t="str">
        <f t="shared" si="3"/>
        <v>},[9]={</v>
      </c>
    </row>
    <row r="131" customFormat="1" spans="1:34">
      <c r="C131" t="s">
        <v>2488</v>
      </c>
      <c r="D131" t="s">
        <v>2489</v>
      </c>
      <c r="G131" t="s">
        <v>2561</v>
      </c>
      <c r="H131" t="s">
        <v>2562</v>
      </c>
      <c r="K131" t="s">
        <v>2033</v>
      </c>
      <c r="M131">
        <v>1</v>
      </c>
      <c r="T131" t="str">
        <f t="shared" ref="T131:T168" si="4">IF(ISBLANK(B131)=FALSE,IF(ISBLANK(B130),"},["&amp;B131&amp;"]={","["&amp;B131&amp;"]={"),IF(AND(ISBLANK(B131),ISBLANK(C131),ISBLANK(L131),ISBLANK(M131),OR(ISBLANK(B130)=FALSE,ISBLANK(C130)=FALSE,ISBLANK(L130)=FALSE,ISBLANK(M130)=FALSE)),"},},}",IF(ISBLANK(C131),"","{szContent="""&amp;C131&amp;""","&amp;IF(D131&lt;&gt;"","szNote="""&amp;D131&amp;""",","")&amp;IF(K131&lt;&gt;"","col={"&amp;K131&amp;"},","")&amp;IF(L131&gt;0,"bSearch=true,","")&amp;IF(M131&gt;0,"bReg=true,","")&amp;"[20]={"&amp;IF(N131&gt;0,"szVoice="""&amp;N131&amp;""",","")&amp;IF(O131&gt;0,"bTeamChannel=true,","")&amp;IF(P131&gt;0,"bWhisperChannel=true,","")&amp;IF(Q131&gt;0,"bCenterAlarm=true,","")&amp;IF(R131&gt;0,"bScreenHead=true,","")&amp;IF(S131&gt;0,"bFullScreen=true,","")&amp;"},"&amp;IF(U131&lt;&gt;"","tCountdown={"&amp;_xlfn.TEXTJOIN("",TRUE,U131:AAF131)&amp;"},","")&amp;"},")))</f>
        <v>{szContent="([浩气恶人]+)[盟谷]-位于([^%d]-)的【(.-)据点】大旗被夺",szNote="{$3}·{$1}大旗被夺",col={255,255,100,},bReg=true,[20]={},tCountdown={{nClass=20,nIcon=592,nFrame=4,szName="{$3}·大旗重置",nTime=-1,key="{$3}·大旗重置",},{nClass=20,nIcon=1465,nFrame=-1,szName=" ",nTime=-2,nRefresh=7200,key="红莲岗·浩气大旗",},{nClass=20,nIcon=1465,nFrame=-1,szName=" ",nTime=-2,nRefresh=7200,key="秋雨堡·浩气大旗",},{nClass=20,nIcon=1465,nFrame=-1,szName=" ",nTime=-2,nRefresh=7200,key="红莲岗·恶人大旗",},{nClass=20,nIcon=1465,nFrame=-1,szName=" ",nTime=-2,nRefresh=7200,key="秋雨堡·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红莲岗】恶人·占领剩余",nTime=600.1,nRefresh=720,key="红莲岗·浩气大旗",},{nClass=20,nIcon=3445,nFrame=3,szName="【秋雨堡】恶人·占领剩余",nTime=600.1,nRefresh=720,key="秋雨堡·浩气大旗",},{nClass=20,nIcon=3444,nFrame=7,szName="【红莲岗】浩气·占领剩余",nTime=600.1,nRefresh=720,key="红莲岗·恶人大旗",},{nClass=20,nIcon=3444,nFrame=7,szName="【秋雨堡】浩气·占领剩余",nTime=600.1,nRefresh=720,key="秋雨堡·恶人大旗",},},},</v>
      </c>
      <c r="U131" t="s">
        <v>2490</v>
      </c>
      <c r="V131" t="str">
        <f>"{nClass=20,nIcon=1465,nFrame=-1,szName="&amp;""" """&amp;",nTime=-2,nRefresh=7200,key="""&amp;G131&amp;"·浩气大旗"&amp;""",},"</f>
        <v>{nClass=20,nIcon=1465,nFrame=-1,szName=" ",nTime=-2,nRefresh=7200,key="红莲岗·浩气大旗",},</v>
      </c>
      <c r="W131" t="str">
        <f>"{nClass=20,nIcon=1465,nFrame=-1,szName="&amp;""" """&amp;",nTime=-2,nRefresh=7200,key="""&amp;H131&amp;"·浩气大旗"&amp;""",},"</f>
        <v>{nClass=20,nIcon=1465,nFrame=-1,szName=" ",nTime=-2,nRefresh=7200,key="秋雨堡·浩气大旗",},</v>
      </c>
      <c r="X131" t="str">
        <f>"{nClass=20,nIcon=1465,nFrame=-1,szName="&amp;""" """&amp;",nTime=-2,nRefresh=7200,key="""&amp;G131&amp;"·恶人大旗"&amp;""",},"</f>
        <v>{nClass=20,nIcon=1465,nFrame=-1,szName=" ",nTime=-2,nRefresh=7200,key="红莲岗·恶人大旗",},</v>
      </c>
      <c r="Y131" t="str">
        <f>"{nClass=20,nIcon=1465,nFrame=-1,szName="&amp;""" """&amp;",nTime=-2,nRefresh=7200,key="""&amp;H131&amp;"·恶人大旗"&amp;""",},"</f>
        <v>{nClass=20,nIcon=1465,nFrame=-1,szName=" ",nTime=-2,nRefresh=7200,key="秋雨堡·恶人大旗",},</v>
      </c>
      <c r="Z131" t="s">
        <v>2491</v>
      </c>
      <c r="AA131" t="s">
        <v>2492</v>
      </c>
      <c r="AB131" t="s">
        <v>2537</v>
      </c>
      <c r="AC131" t="s">
        <v>2538</v>
      </c>
      <c r="AD131" t="s">
        <v>2539</v>
      </c>
      <c r="AE131" t="str">
        <f>"{nClass=20,nIcon=3445,nFrame=3,szName="&amp;"""【"&amp;G131&amp;"】恶人·占领剩余"""&amp;",nTime=600.1,nRefresh=720,key="&amp;""""&amp;G131&amp;"·浩气大旗"""&amp;",},"</f>
        <v>{nClass=20,nIcon=3445,nFrame=3,szName="【红莲岗】恶人·占领剩余",nTime=600.1,nRefresh=720,key="红莲岗·浩气大旗",},</v>
      </c>
      <c r="AF131" t="str">
        <f>"{nClass=20,nIcon=3445,nFrame=3,szName="&amp;"""【"&amp;H131&amp;"】恶人·占领剩余"""&amp;",nTime=600.1,nRefresh=720,key="&amp;""""&amp;H131&amp;"·浩气大旗"""&amp;",},"</f>
        <v>{nClass=20,nIcon=3445,nFrame=3,szName="【秋雨堡】恶人·占领剩余",nTime=600.1,nRefresh=720,key="秋雨堡·浩气大旗",},</v>
      </c>
      <c r="AG131" t="str">
        <f>"{nClass=20,nIcon=3444,nFrame=7,szName="&amp;"""【"&amp;G131&amp;"】浩气·占领剩余"""&amp;",nTime=600.1,nRefresh=720,key="&amp;""""&amp;G131&amp;"·恶人大旗"""&amp;",},"</f>
        <v>{nClass=20,nIcon=3444,nFrame=7,szName="【红莲岗】浩气·占领剩余",nTime=600.1,nRefresh=720,key="红莲岗·恶人大旗",},</v>
      </c>
      <c r="AH131" t="str">
        <f>"{nClass=20,nIcon=3444,nFrame=7,szName="&amp;"""【"&amp;H131&amp;"】浩气·占领剩余"""&amp;",nTime=600.1,nRefresh=720,key="&amp;""""&amp;H131&amp;"·恶人大旗"""&amp;",},"</f>
        <v>{nClass=20,nIcon=3444,nFrame=7,szName="【秋雨堡】浩气·占领剩余",nTime=600.1,nRefresh=720,key="秋雨堡·恶人大旗",},</v>
      </c>
    </row>
    <row r="132" spans="1:34">
      <c r="C132" t="s">
        <v>2540</v>
      </c>
      <c r="D132" t="s">
        <v>2541</v>
      </c>
      <c r="K132" t="s">
        <v>2033</v>
      </c>
      <c r="M132">
        <v>1</v>
      </c>
      <c r="T132" t="str">
        <f t="shared" si="4"/>
        <v>{szContent="^【(.*)】据点大旗(.*)重置回初始位置！\n",szNote="{$1}·大旗重置",col={255,255,100,},bReg=true,[20]={},tCountdown={{nClass=20,nIcon=1465,szName="红莲岗·大旗重置",nTime=-2,nRefresh=7200,key="红莲岗·大旗重置",},{nClass=20,nIcon=1465,szName="秋雨堡·大旗重置",nTime=-2,nRefresh=7200,key="秋雨堡·大旗重置",},{nClass=20,nIcon=13,szName="【{$1}】大旗重置",nTime=-2,key="{$1}·大旗重置",},{nClass=20,nIcon=592,nFrame=4,szName="【{$1}】大旗重置",nTime=30,key="{$1}·大旗重置",},{nClass=20,nIcon=592,nFrame=4,szName="【红莲岗】大旗重置",nTime="180,【红莲岗】大旗重置;185,【红莲岗】大旗重置·结束",nRefresh=7200,key="红莲岗·大旗重置",},{nClass=20,nIcon=592,nFrame=4,szName="【秋雨堡】大旗重置",nTime="180,【秋雨堡】大旗重置;185,【秋雨堡】大旗重置·结束",nRefresh=7200,key="秋雨堡·大旗重置",},},},</v>
      </c>
      <c r="U132" t="s">
        <v>2563</v>
      </c>
      <c r="V132" t="s">
        <v>2564</v>
      </c>
      <c r="W132" t="s">
        <v>2543</v>
      </c>
      <c r="X132" t="s">
        <v>2544</v>
      </c>
      <c r="Y132" t="s">
        <v>2565</v>
      </c>
      <c r="Z132" t="s">
        <v>2566</v>
      </c>
    </row>
    <row r="133" spans="1:34">
      <c r="A133" t="s">
        <v>651</v>
      </c>
      <c r="B133">
        <v>13</v>
      </c>
      <c r="T133" t="str">
        <f t="shared" si="4"/>
        <v>},[13]={</v>
      </c>
    </row>
    <row r="134" customFormat="1" spans="1:34">
      <c r="C134" t="s">
        <v>2488</v>
      </c>
      <c r="D134" t="s">
        <v>2489</v>
      </c>
      <c r="G134" t="s">
        <v>2567</v>
      </c>
      <c r="H134" t="s">
        <v>2568</v>
      </c>
      <c r="K134" t="s">
        <v>2033</v>
      </c>
      <c r="M134">
        <v>1</v>
      </c>
      <c r="T134" t="str">
        <f t="shared" si="4"/>
        <v>{szContent="([浩气恶人]+)[盟谷]-位于([^%d]-)的【(.-)据点】大旗被夺",szNote="{$3}·{$1}大旗被夺",col={255,255,100,},bReg=true,[20]={},tCountdown={{nClass=20,nIcon=592,nFrame=4,szName="{$3}·大旗重置",nTime=-1,key="{$3}·大旗重置",},{nClass=20,nIcon=1465,nFrame=-1,szName=" ",nTime=-2,nRefresh=7200,key="金门关·浩气大旗",},{nClass=20,nIcon=1465,nFrame=-1,szName=" ",nTime=-2,nRefresh=7200,key="青云坞·浩气大旗",},{nClass=20,nIcon=1465,nFrame=-1,szName=" ",nTime=-2,nRefresh=7200,key="金门关·恶人大旗",},{nClass=20,nIcon=1465,nFrame=-1,szName=" ",nTime=-2,nRefresh=7200,key="青云坞·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金门关】恶人·占领剩余",nTime=600.1,nRefresh=720,key="金门关·浩气大旗",},{nClass=20,nIcon=3445,nFrame=3,szName="【青云坞】恶人·占领剩余",nTime=600.1,nRefresh=720,key="青云坞·浩气大旗",},{nClass=20,nIcon=3444,nFrame=7,szName="【金门关】浩气·占领剩余",nTime=600.1,nRefresh=720,key="金门关·恶人大旗",},{nClass=20,nIcon=3444,nFrame=7,szName="【青云坞】浩气·占领剩余",nTime=600.1,nRefresh=720,key="青云坞·恶人大旗",},},},</v>
      </c>
      <c r="U134" t="s">
        <v>2490</v>
      </c>
      <c r="V134" t="str">
        <f>"{nClass=20,nIcon=1465,nFrame=-1,szName="&amp;""" """&amp;",nTime=-2,nRefresh=7200,key="""&amp;G134&amp;"·浩气大旗"&amp;""",},"</f>
        <v>{nClass=20,nIcon=1465,nFrame=-1,szName=" ",nTime=-2,nRefresh=7200,key="金门关·浩气大旗",},</v>
      </c>
      <c r="W134" t="str">
        <f>"{nClass=20,nIcon=1465,nFrame=-1,szName="&amp;""" """&amp;",nTime=-2,nRefresh=7200,key="""&amp;H134&amp;"·浩气大旗"&amp;""",},"</f>
        <v>{nClass=20,nIcon=1465,nFrame=-1,szName=" ",nTime=-2,nRefresh=7200,key="青云坞·浩气大旗",},</v>
      </c>
      <c r="X134" t="str">
        <f>"{nClass=20,nIcon=1465,nFrame=-1,szName="&amp;""" """&amp;",nTime=-2,nRefresh=7200,key="""&amp;G134&amp;"·恶人大旗"&amp;""",},"</f>
        <v>{nClass=20,nIcon=1465,nFrame=-1,szName=" ",nTime=-2,nRefresh=7200,key="金门关·恶人大旗",},</v>
      </c>
      <c r="Y134" t="str">
        <f>"{nClass=20,nIcon=1465,nFrame=-1,szName="&amp;""" """&amp;",nTime=-2,nRefresh=7200,key="""&amp;H134&amp;"·恶人大旗"&amp;""",},"</f>
        <v>{nClass=20,nIcon=1465,nFrame=-1,szName=" ",nTime=-2,nRefresh=7200,key="青云坞·恶人大旗",},</v>
      </c>
      <c r="Z134" t="s">
        <v>2491</v>
      </c>
      <c r="AA134" t="s">
        <v>2492</v>
      </c>
      <c r="AB134" t="s">
        <v>2537</v>
      </c>
      <c r="AC134" t="s">
        <v>2538</v>
      </c>
      <c r="AD134" t="s">
        <v>2539</v>
      </c>
      <c r="AE134" t="str">
        <f>"{nClass=20,nIcon=3445,nFrame=3,szName="&amp;"""【"&amp;G134&amp;"】恶人·占领剩余"""&amp;",nTime=600.1,nRefresh=720,key="&amp;""""&amp;G134&amp;"·浩气大旗"""&amp;",},"</f>
        <v>{nClass=20,nIcon=3445,nFrame=3,szName="【金门关】恶人·占领剩余",nTime=600.1,nRefresh=720,key="金门关·浩气大旗",},</v>
      </c>
      <c r="AF134" t="str">
        <f>"{nClass=20,nIcon=3445,nFrame=3,szName="&amp;"""【"&amp;H134&amp;"】恶人·占领剩余"""&amp;",nTime=600.1,nRefresh=720,key="&amp;""""&amp;H134&amp;"·浩气大旗"""&amp;",},"</f>
        <v>{nClass=20,nIcon=3445,nFrame=3,szName="【青云坞】恶人·占领剩余",nTime=600.1,nRefresh=720,key="青云坞·浩气大旗",},</v>
      </c>
      <c r="AG134" t="str">
        <f>"{nClass=20,nIcon=3444,nFrame=7,szName="&amp;"""【"&amp;G134&amp;"】浩气·占领剩余"""&amp;",nTime=600.1,nRefresh=720,key="&amp;""""&amp;G134&amp;"·恶人大旗"""&amp;",},"</f>
        <v>{nClass=20,nIcon=3444,nFrame=7,szName="【金门关】浩气·占领剩余",nTime=600.1,nRefresh=720,key="金门关·恶人大旗",},</v>
      </c>
      <c r="AH134" t="str">
        <f>"{nClass=20,nIcon=3444,nFrame=7,szName="&amp;"""【"&amp;H134&amp;"】浩气·占领剩余"""&amp;",nTime=600.1,nRefresh=720,key="&amp;""""&amp;H134&amp;"·恶人大旗"""&amp;",},"</f>
        <v>{nClass=20,nIcon=3444,nFrame=7,szName="【青云坞】浩气·占领剩余",nTime=600.1,nRefresh=720,key="青云坞·恶人大旗",},</v>
      </c>
    </row>
    <row r="135" spans="1:34">
      <c r="C135" t="s">
        <v>2540</v>
      </c>
      <c r="D135" t="s">
        <v>2541</v>
      </c>
      <c r="K135" t="s">
        <v>2033</v>
      </c>
      <c r="M135">
        <v>1</v>
      </c>
      <c r="T135" t="str">
        <f t="shared" si="4"/>
        <v>{szContent="^【(.*)】据点大旗(.*)重置回初始位置！\n",szNote="{$1}·大旗重置",col={255,255,100,},bReg=true,[20]={},tCountdown={{nClass=20,nIcon=1465,szName="金门关·大旗重置",nTime=-2,nRefresh=7200,key="金门关·大旗重置",},{nClass=20,nIcon=1465,szName="青云坞·大旗重置",nTime=-2,nRefresh=7200,key="青云坞·大旗重置",},{nClass=20,nIcon=13,szName="【{$1}】大旗重置",nTime=-2,key="{$1}·大旗重置",},{nClass=20,nIcon=592,nFrame=4,szName="【{$1}】大旗重置",nTime=30,key="{$1}·大旗重置",},{nClass=20,nIcon=592,nFrame=4,szName="【金门关】大旗重置",nTime="180,【金门关】大旗重置;185,【金门关】大旗重置·结束",nRefresh=7200,key="金门关·大旗重置",},{nClass=20,nIcon=592,nFrame=4,szName="【青云坞】大旗重置",nTime="180,【青云坞】大旗重置;185,【青云坞】大旗重置·结束",nRefresh=7200,key="青云坞·大旗重置",},},},</v>
      </c>
      <c r="U135" t="s">
        <v>2569</v>
      </c>
      <c r="V135" t="s">
        <v>2570</v>
      </c>
      <c r="W135" t="s">
        <v>2543</v>
      </c>
      <c r="X135" t="s">
        <v>2544</v>
      </c>
      <c r="Y135" t="s">
        <v>2571</v>
      </c>
      <c r="Z135" t="s">
        <v>2572</v>
      </c>
    </row>
    <row r="136" spans="1:34">
      <c r="A136" t="s">
        <v>720</v>
      </c>
      <c r="B136">
        <v>35</v>
      </c>
      <c r="T136" t="str">
        <f t="shared" si="4"/>
        <v>},[35]={</v>
      </c>
    </row>
    <row r="137" customFormat="1" spans="1:34">
      <c r="C137" t="s">
        <v>2488</v>
      </c>
      <c r="D137" t="s">
        <v>2489</v>
      </c>
      <c r="G137" t="s">
        <v>2573</v>
      </c>
      <c r="H137" t="s">
        <v>2574</v>
      </c>
      <c r="K137" t="s">
        <v>2033</v>
      </c>
      <c r="M137">
        <v>1</v>
      </c>
      <c r="T137" t="str">
        <f t="shared" si="4"/>
        <v>{szContent="([浩气恶人]+)[盟谷]-位于([^%d]-)的【(.-)据点】大旗被夺",szNote="{$3}·{$1}大旗被夺",col={255,255,100,},bReg=true,[20]={},tCountdown={{nClass=20,nIcon=592,nFrame=4,szName="{$3}·大旗重置",nTime=-1,key="{$3}·大旗重置",},{nClass=20,nIcon=1465,nFrame=-1,szName=" ",nTime=-2,nRefresh=7200,key="激流坞·浩气大旗",},{nClass=20,nIcon=1465,nFrame=-1,szName=" ",nTime=-2,nRefresh=7200,key="不空关·浩气大旗",},{nClass=20,nIcon=1465,nFrame=-1,szName=" ",nTime=-2,nRefresh=7200,key="激流坞·恶人大旗",},{nClass=20,nIcon=1465,nFrame=-1,szName=" ",nTime=-2,nRefresh=7200,key="不空关·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激流坞】恶人·占领剩余",nTime=600.1,nRefresh=720,key="激流坞·浩气大旗",},{nClass=20,nIcon=3445,nFrame=3,szName="【不空关】恶人·占领剩余",nTime=600.1,nRefresh=720,key="不空关·浩气大旗",},{nClass=20,nIcon=3444,nFrame=7,szName="【激流坞】浩气·占领剩余",nTime=600.1,nRefresh=720,key="激流坞·恶人大旗",},{nClass=20,nIcon=3444,nFrame=7,szName="【不空关】浩气·占领剩余",nTime=600.1,nRefresh=720,key="不空关·恶人大旗",},},},</v>
      </c>
      <c r="U137" t="s">
        <v>2490</v>
      </c>
      <c r="V137" t="str">
        <f>"{nClass=20,nIcon=1465,nFrame=-1,szName="&amp;""" """&amp;",nTime=-2,nRefresh=7200,key="""&amp;G137&amp;"·浩气大旗"&amp;""",},"</f>
        <v>{nClass=20,nIcon=1465,nFrame=-1,szName=" ",nTime=-2,nRefresh=7200,key="激流坞·浩气大旗",},</v>
      </c>
      <c r="W137" t="str">
        <f>"{nClass=20,nIcon=1465,nFrame=-1,szName="&amp;""" """&amp;",nTime=-2,nRefresh=7200,key="""&amp;H137&amp;"·浩气大旗"&amp;""",},"</f>
        <v>{nClass=20,nIcon=1465,nFrame=-1,szName=" ",nTime=-2,nRefresh=7200,key="不空关·浩气大旗",},</v>
      </c>
      <c r="X137" t="str">
        <f>"{nClass=20,nIcon=1465,nFrame=-1,szName="&amp;""" """&amp;",nTime=-2,nRefresh=7200,key="""&amp;G137&amp;"·恶人大旗"&amp;""",},"</f>
        <v>{nClass=20,nIcon=1465,nFrame=-1,szName=" ",nTime=-2,nRefresh=7200,key="激流坞·恶人大旗",},</v>
      </c>
      <c r="Y137" t="str">
        <f>"{nClass=20,nIcon=1465,nFrame=-1,szName="&amp;""" """&amp;",nTime=-2,nRefresh=7200,key="""&amp;H137&amp;"·恶人大旗"&amp;""",},"</f>
        <v>{nClass=20,nIcon=1465,nFrame=-1,szName=" ",nTime=-2,nRefresh=7200,key="不空关·恶人大旗",},</v>
      </c>
      <c r="Z137" t="s">
        <v>2491</v>
      </c>
      <c r="AA137" t="s">
        <v>2492</v>
      </c>
      <c r="AB137" t="s">
        <v>2537</v>
      </c>
      <c r="AC137" t="s">
        <v>2538</v>
      </c>
      <c r="AD137" t="s">
        <v>2539</v>
      </c>
      <c r="AE137" t="str">
        <f>"{nClass=20,nIcon=3445,nFrame=3,szName="&amp;"""【"&amp;G137&amp;"】恶人·占领剩余"""&amp;",nTime=600.1,nRefresh=720,key="&amp;""""&amp;G137&amp;"·浩气大旗"""&amp;",},"</f>
        <v>{nClass=20,nIcon=3445,nFrame=3,szName="【激流坞】恶人·占领剩余",nTime=600.1,nRefresh=720,key="激流坞·浩气大旗",},</v>
      </c>
      <c r="AF137" t="str">
        <f>"{nClass=20,nIcon=3445,nFrame=3,szName="&amp;"""【"&amp;H137&amp;"】恶人·占领剩余"""&amp;",nTime=600.1,nRefresh=720,key="&amp;""""&amp;H137&amp;"·浩气大旗"""&amp;",},"</f>
        <v>{nClass=20,nIcon=3445,nFrame=3,szName="【不空关】恶人·占领剩余",nTime=600.1,nRefresh=720,key="不空关·浩气大旗",},</v>
      </c>
      <c r="AG137" t="str">
        <f>"{nClass=20,nIcon=3444,nFrame=7,szName="&amp;"""【"&amp;G137&amp;"】浩气·占领剩余"""&amp;",nTime=600.1,nRefresh=720,key="&amp;""""&amp;G137&amp;"·恶人大旗"""&amp;",},"</f>
        <v>{nClass=20,nIcon=3444,nFrame=7,szName="【激流坞】浩气·占领剩余",nTime=600.1,nRefresh=720,key="激流坞·恶人大旗",},</v>
      </c>
      <c r="AH137" t="str">
        <f>"{nClass=20,nIcon=3444,nFrame=7,szName="&amp;"""【"&amp;H137&amp;"】浩气·占领剩余"""&amp;",nTime=600.1,nRefresh=720,key="&amp;""""&amp;H137&amp;"·恶人大旗"""&amp;",},"</f>
        <v>{nClass=20,nIcon=3444,nFrame=7,szName="【不空关】浩气·占领剩余",nTime=600.1,nRefresh=720,key="不空关·恶人大旗",},</v>
      </c>
    </row>
    <row r="138" spans="1:34">
      <c r="C138" t="s">
        <v>2540</v>
      </c>
      <c r="D138" t="s">
        <v>2541</v>
      </c>
      <c r="K138" t="s">
        <v>2033</v>
      </c>
      <c r="M138">
        <v>1</v>
      </c>
      <c r="T138" t="str">
        <f t="shared" si="4"/>
        <v>{szContent="^【(.*)】据点大旗(.*)重置回初始位置！\n",szNote="{$1}·大旗重置",col={255,255,100,},bReg=true,[20]={},tCountdown={{nClass=20,nIcon=1465,szName="激流坞·大旗重置",nTime=-2,nRefresh=7200,key="激流坞·大旗重置",},{nClass=20,nIcon=1465,szName="不空关·大旗重置",nTime=-2,nRefresh=7200,key="不空关·大旗重置",},{nClass=20,nIcon=13,szName="【{$1}】大旗重置",nTime=-2,key="{$1}·大旗重置",},{nClass=20,nIcon=592,nFrame=4,szName="【{$1}】大旗重置",nTime=30,key="{$1}·大旗重置",},{nClass=20,nIcon=592,nFrame=4,szName="【激流坞】大旗重置",nTime="180,【激流坞】大旗重置;185,【激流坞】大旗重置·结束",nRefresh=7200,key="激流坞·大旗重置",},{nClass=20,nIcon=592,nFrame=4,szName="【不空关】大旗重置",nTime="180,【不空关】大旗重置;185,【不空关】大旗重置·结束",nRefresh=7200,key="不空关·大旗重置",},},},</v>
      </c>
      <c r="U138" t="s">
        <v>2575</v>
      </c>
      <c r="V138" t="s">
        <v>2576</v>
      </c>
      <c r="W138" t="s">
        <v>2543</v>
      </c>
      <c r="X138" t="s">
        <v>2544</v>
      </c>
      <c r="Y138" t="s">
        <v>2577</v>
      </c>
      <c r="Z138" t="s">
        <v>2578</v>
      </c>
    </row>
    <row r="139" spans="1:34">
      <c r="A139" t="s">
        <v>838</v>
      </c>
      <c r="B139">
        <v>100</v>
      </c>
      <c r="T139" t="str">
        <f t="shared" si="4"/>
        <v>},[100]={</v>
      </c>
    </row>
    <row r="140" customFormat="1" spans="1:34">
      <c r="C140" t="s">
        <v>2488</v>
      </c>
      <c r="D140" t="s">
        <v>2489</v>
      </c>
      <c r="G140" t="s">
        <v>2579</v>
      </c>
      <c r="H140" t="s">
        <v>2580</v>
      </c>
      <c r="K140" t="s">
        <v>2033</v>
      </c>
      <c r="M140">
        <v>1</v>
      </c>
      <c r="T140" t="str">
        <f t="shared" si="4"/>
        <v>{szContent="([浩气恶人]+)[盟谷]-位于([^%d]-)的【(.-)据点】大旗被夺",szNote="{$3}·{$1}大旗被夺",col={255,255,100,},bReg=true,[20]={},tCountdown={{nClass=20,nIcon=592,nFrame=4,szName="{$3}·大旗重置",nTime=-1,key="{$3}·大旗重置",},{nClass=20,nIcon=1465,nFrame=-1,szName=" ",nTime=-2,nRefresh=7200,key="日月崖·浩气大旗",},{nClass=20,nIcon=1465,nFrame=-1,szName=" ",nTime=-2,nRefresh=7200,key="卧龙坡·浩气大旗",},{nClass=20,nIcon=1465,nFrame=-1,szName=" ",nTime=-2,nRefresh=7200,key="日月崖·恶人大旗",},{nClass=20,nIcon=1465,nFrame=-1,szName=" ",nTime=-2,nRefresh=7200,key="卧龙坡·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日月崖】恶人·占领剩余",nTime=600.1,nRefresh=720,key="日月崖·浩气大旗",},{nClass=20,nIcon=3445,nFrame=3,szName="【卧龙坡】恶人·占领剩余",nTime=600.1,nRefresh=720,key="卧龙坡·浩气大旗",},{nClass=20,nIcon=3444,nFrame=7,szName="【日月崖】浩气·占领剩余",nTime=600.1,nRefresh=720,key="日月崖·恶人大旗",},{nClass=20,nIcon=3444,nFrame=7,szName="【卧龙坡】浩气·占领剩余",nTime=600.1,nRefresh=720,key="卧龙坡·恶人大旗",},},},</v>
      </c>
      <c r="U140" t="s">
        <v>2490</v>
      </c>
      <c r="V140" t="str">
        <f>"{nClass=20,nIcon=1465,nFrame=-1,szName="&amp;""" """&amp;",nTime=-2,nRefresh=7200,key="""&amp;G140&amp;"·浩气大旗"&amp;""",},"</f>
        <v>{nClass=20,nIcon=1465,nFrame=-1,szName=" ",nTime=-2,nRefresh=7200,key="日月崖·浩气大旗",},</v>
      </c>
      <c r="W140" t="str">
        <f>"{nClass=20,nIcon=1465,nFrame=-1,szName="&amp;""" """&amp;",nTime=-2,nRefresh=7200,key="""&amp;H140&amp;"·浩气大旗"&amp;""",},"</f>
        <v>{nClass=20,nIcon=1465,nFrame=-1,szName=" ",nTime=-2,nRefresh=7200,key="卧龙坡·浩气大旗",},</v>
      </c>
      <c r="X140" t="str">
        <f>"{nClass=20,nIcon=1465,nFrame=-1,szName="&amp;""" """&amp;",nTime=-2,nRefresh=7200,key="""&amp;G140&amp;"·恶人大旗"&amp;""",},"</f>
        <v>{nClass=20,nIcon=1465,nFrame=-1,szName=" ",nTime=-2,nRefresh=7200,key="日月崖·恶人大旗",},</v>
      </c>
      <c r="Y140" t="str">
        <f>"{nClass=20,nIcon=1465,nFrame=-1,szName="&amp;""" """&amp;",nTime=-2,nRefresh=7200,key="""&amp;H140&amp;"·恶人大旗"&amp;""",},"</f>
        <v>{nClass=20,nIcon=1465,nFrame=-1,szName=" ",nTime=-2,nRefresh=7200,key="卧龙坡·恶人大旗",},</v>
      </c>
      <c r="Z140" t="s">
        <v>2491</v>
      </c>
      <c r="AA140" t="s">
        <v>2492</v>
      </c>
      <c r="AB140" t="s">
        <v>2537</v>
      </c>
      <c r="AC140" t="s">
        <v>2538</v>
      </c>
      <c r="AD140" t="s">
        <v>2539</v>
      </c>
      <c r="AE140" t="str">
        <f>"{nClass=20,nIcon=3445,nFrame=3,szName="&amp;"""【"&amp;G140&amp;"】恶人·占领剩余"""&amp;",nTime=600.1,nRefresh=720,key="&amp;""""&amp;G140&amp;"·浩气大旗"""&amp;",},"</f>
        <v>{nClass=20,nIcon=3445,nFrame=3,szName="【日月崖】恶人·占领剩余",nTime=600.1,nRefresh=720,key="日月崖·浩气大旗",},</v>
      </c>
      <c r="AF140" t="str">
        <f>"{nClass=20,nIcon=3445,nFrame=3,szName="&amp;"""【"&amp;H140&amp;"】恶人·占领剩余"""&amp;",nTime=600.1,nRefresh=720,key="&amp;""""&amp;H140&amp;"·浩气大旗"""&amp;",},"</f>
        <v>{nClass=20,nIcon=3445,nFrame=3,szName="【卧龙坡】恶人·占领剩余",nTime=600.1,nRefresh=720,key="卧龙坡·浩气大旗",},</v>
      </c>
      <c r="AG140" t="str">
        <f>"{nClass=20,nIcon=3444,nFrame=7,szName="&amp;"""【"&amp;G140&amp;"】浩气·占领剩余"""&amp;",nTime=600.1,nRefresh=720,key="&amp;""""&amp;G140&amp;"·恶人大旗"""&amp;",},"</f>
        <v>{nClass=20,nIcon=3444,nFrame=7,szName="【日月崖】浩气·占领剩余",nTime=600.1,nRefresh=720,key="日月崖·恶人大旗",},</v>
      </c>
      <c r="AH140" t="str">
        <f>"{nClass=20,nIcon=3444,nFrame=7,szName="&amp;"""【"&amp;H140&amp;"】浩气·占领剩余"""&amp;",nTime=600.1,nRefresh=720,key="&amp;""""&amp;H140&amp;"·恶人大旗"""&amp;",},"</f>
        <v>{nClass=20,nIcon=3444,nFrame=7,szName="【卧龙坡】浩气·占领剩余",nTime=600.1,nRefresh=720,key="卧龙坡·恶人大旗",},</v>
      </c>
    </row>
    <row r="141" spans="1:34">
      <c r="C141" t="s">
        <v>2540</v>
      </c>
      <c r="D141" t="s">
        <v>2541</v>
      </c>
      <c r="K141" t="s">
        <v>2033</v>
      </c>
      <c r="M141">
        <v>1</v>
      </c>
      <c r="T141" t="str">
        <f t="shared" si="4"/>
        <v>{szContent="^【(.*)】据点大旗(.*)重置回初始位置！\n",szNote="{$1}·大旗重置",col={255,255,100,},bReg=true,[20]={},tCountdown={{nClass=20,nIcon=1465,szName="日月崖·大旗重置",nTime=-2,nRefresh=7200,key="日月崖·大旗重置",},{nClass=20,nIcon=1465,szName="卧龙坡·大旗重置",nTime=-2,nRefresh=7200,key="卧龙坡·大旗重置",},{nClass=20,nIcon=13,szName="【{$1}】大旗重置",nTime=-2,key="{$1}·大旗重置",},{nClass=20,nIcon=592,nFrame=4,szName="【{$1}】大旗重置",nTime=30,key="{$1}·大旗重置",},{nClass=20,nIcon=592,nFrame=4,szName="【日月崖】大旗重置",nTime="180,【日月崖】大旗重置;185,【日月崖】大旗重置·结束",nRefresh=7200,key="日月崖·大旗重置",},{nClass=20,nIcon=592,nFrame=4,szName="【卧龙坡】大旗重置",nTime="180,【卧龙坡】大旗重置;185,【卧龙坡】大旗重置·结束",nRefresh=7200,key="卧龙坡·大旗重置",},},},</v>
      </c>
      <c r="U141" t="s">
        <v>2581</v>
      </c>
      <c r="V141" t="s">
        <v>2582</v>
      </c>
      <c r="W141" t="s">
        <v>2543</v>
      </c>
      <c r="X141" t="s">
        <v>2544</v>
      </c>
      <c r="Y141" t="s">
        <v>2583</v>
      </c>
      <c r="Z141" t="s">
        <v>2584</v>
      </c>
    </row>
    <row r="142" spans="1:34">
      <c r="A142" t="s">
        <v>841</v>
      </c>
      <c r="B142">
        <v>101</v>
      </c>
      <c r="T142" t="str">
        <f t="shared" si="4"/>
        <v>},[101]={</v>
      </c>
    </row>
    <row r="143" customFormat="1" spans="1:34">
      <c r="C143" t="s">
        <v>2488</v>
      </c>
      <c r="D143" t="s">
        <v>2489</v>
      </c>
      <c r="G143" t="s">
        <v>2585</v>
      </c>
      <c r="H143" t="s">
        <v>2586</v>
      </c>
      <c r="K143" t="s">
        <v>2033</v>
      </c>
      <c r="M143">
        <v>1</v>
      </c>
      <c r="T143" t="str">
        <f t="shared" si="4"/>
        <v>{szContent="([浩气恶人]+)[盟谷]-位于([^%d]-)的【(.-)据点】大旗被夺",szNote="{$3}·{$1}大旗被夺",col={255,255,100,},bReg=true,[20]={},tCountdown={{nClass=20,nIcon=592,nFrame=4,szName="{$3}·大旗重置",nTime=-1,key="{$3}·大旗重置",},{nClass=20,nIcon=1465,nFrame=-1,szName=" ",nTime=-2,nRefresh=7200,key="霜戈堡·浩气大旗",},{nClass=20,nIcon=1465,nFrame=-1,szName=" ",nTime=-2,nRefresh=7200,key="澜沧城·浩气大旗",},{nClass=20,nIcon=1465,nFrame=-1,szName=" ",nTime=-2,nRefresh=7200,key="霜戈堡·恶人大旗",},{nClass=20,nIcon=1465,nFrame=-1,szName=" ",nTime=-2,nRefresh=7200,key="澜沧城·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霜戈堡】恶人·占领剩余",nTime=600.1,nRefresh=720,key="霜戈堡·浩气大旗",},{nClass=20,nIcon=3445,nFrame=3,szName="【澜沧城】恶人·占领剩余",nTime=600.1,nRefresh=720,key="澜沧城·浩气大旗",},{nClass=20,nIcon=3444,nFrame=7,szName="【霜戈堡】浩气·占领剩余",nTime=600.1,nRefresh=720,key="霜戈堡·恶人大旗",},{nClass=20,nIcon=3444,nFrame=7,szName="【澜沧城】浩气·占领剩余",nTime=600.1,nRefresh=720,key="澜沧城·恶人大旗",},},},</v>
      </c>
      <c r="U143" t="s">
        <v>2490</v>
      </c>
      <c r="V143" t="str">
        <f>"{nClass=20,nIcon=1465,nFrame=-1,szName="&amp;""" """&amp;",nTime=-2,nRefresh=7200,key="""&amp;G143&amp;"·浩气大旗"&amp;""",},"</f>
        <v>{nClass=20,nIcon=1465,nFrame=-1,szName=" ",nTime=-2,nRefresh=7200,key="霜戈堡·浩气大旗",},</v>
      </c>
      <c r="W143" t="str">
        <f>"{nClass=20,nIcon=1465,nFrame=-1,szName="&amp;""" """&amp;",nTime=-2,nRefresh=7200,key="""&amp;H143&amp;"·浩气大旗"&amp;""",},"</f>
        <v>{nClass=20,nIcon=1465,nFrame=-1,szName=" ",nTime=-2,nRefresh=7200,key="澜沧城·浩气大旗",},</v>
      </c>
      <c r="X143" t="str">
        <f>"{nClass=20,nIcon=1465,nFrame=-1,szName="&amp;""" """&amp;",nTime=-2,nRefresh=7200,key="""&amp;G143&amp;"·恶人大旗"&amp;""",},"</f>
        <v>{nClass=20,nIcon=1465,nFrame=-1,szName=" ",nTime=-2,nRefresh=7200,key="霜戈堡·恶人大旗",},</v>
      </c>
      <c r="Y143" t="str">
        <f>"{nClass=20,nIcon=1465,nFrame=-1,szName="&amp;""" """&amp;",nTime=-2,nRefresh=7200,key="""&amp;H143&amp;"·恶人大旗"&amp;""",},"</f>
        <v>{nClass=20,nIcon=1465,nFrame=-1,szName=" ",nTime=-2,nRefresh=7200,key="澜沧城·恶人大旗",},</v>
      </c>
      <c r="Z143" t="s">
        <v>2491</v>
      </c>
      <c r="AA143" t="s">
        <v>2492</v>
      </c>
      <c r="AB143" t="s">
        <v>2537</v>
      </c>
      <c r="AC143" t="s">
        <v>2538</v>
      </c>
      <c r="AD143" t="s">
        <v>2539</v>
      </c>
      <c r="AE143" t="str">
        <f>"{nClass=20,nIcon=3445,nFrame=3,szName="&amp;"""【"&amp;G143&amp;"】恶人·占领剩余"""&amp;",nTime=600.1,nRefresh=720,key="&amp;""""&amp;G143&amp;"·浩气大旗"""&amp;",},"</f>
        <v>{nClass=20,nIcon=3445,nFrame=3,szName="【霜戈堡】恶人·占领剩余",nTime=600.1,nRefresh=720,key="霜戈堡·浩气大旗",},</v>
      </c>
      <c r="AF143" t="str">
        <f>"{nClass=20,nIcon=3445,nFrame=3,szName="&amp;"""【"&amp;H143&amp;"】恶人·占领剩余"""&amp;",nTime=600.1,nRefresh=720,key="&amp;""""&amp;H143&amp;"·浩气大旗"""&amp;",},"</f>
        <v>{nClass=20,nIcon=3445,nFrame=3,szName="【澜沧城】恶人·占领剩余",nTime=600.1,nRefresh=720,key="澜沧城·浩气大旗",},</v>
      </c>
      <c r="AG143" t="str">
        <f>"{nClass=20,nIcon=3444,nFrame=7,szName="&amp;"""【"&amp;G143&amp;"】浩气·占领剩余"""&amp;",nTime=600.1,nRefresh=720,key="&amp;""""&amp;G143&amp;"·恶人大旗"""&amp;",},"</f>
        <v>{nClass=20,nIcon=3444,nFrame=7,szName="【霜戈堡】浩气·占领剩余",nTime=600.1,nRefresh=720,key="霜戈堡·恶人大旗",},</v>
      </c>
      <c r="AH143" t="str">
        <f>"{nClass=20,nIcon=3444,nFrame=7,szName="&amp;"""【"&amp;H143&amp;"】浩气·占领剩余"""&amp;",nTime=600.1,nRefresh=720,key="&amp;""""&amp;H143&amp;"·恶人大旗"""&amp;",},"</f>
        <v>{nClass=20,nIcon=3444,nFrame=7,szName="【澜沧城】浩气·占领剩余",nTime=600.1,nRefresh=720,key="澜沧城·恶人大旗",},</v>
      </c>
    </row>
    <row r="144" spans="1:34">
      <c r="C144" t="s">
        <v>2540</v>
      </c>
      <c r="D144" t="s">
        <v>2541</v>
      </c>
      <c r="K144" t="s">
        <v>2033</v>
      </c>
      <c r="M144">
        <v>1</v>
      </c>
      <c r="T144" t="str">
        <f t="shared" si="4"/>
        <v>{szContent="^【(.*)】据点大旗(.*)重置回初始位置！\n",szNote="{$1}·大旗重置",col={255,255,100,},bReg=true,[20]={},tCountdown={{nClass=20,nIcon=1465,szName="霜戈堡·大旗重置",nTime=-2,nRefresh=7200,key="霜戈堡·大旗重置",},{nClass=20,nIcon=1465,szName="澜沧城·大旗重置",nTime=-2,nRefresh=7200,key="澜沧城·大旗重置",},{nClass=20,nIcon=13,szName="【{$1}】大旗重置",nTime=-2,key="{$1}·大旗重置",},{nClass=20,nIcon=592,nFrame=4,szName="【{$1}】大旗重置",nTime=30,key="{$1}·大旗重置",},{nClass=20,nIcon=592,nFrame=4,szName="【霜戈堡】大旗重置",nTime="180,【霜戈堡】大旗重置;185,【霜戈堡】大旗重置·结束",nRefresh=7200,key="霜戈堡·大旗重置",},{nClass=20,nIcon=592,nFrame=4,szName="【澜沧城】大旗重置",nTime="180,【澜沧城】大旗重置;185,【澜沧城】大旗重置·结束",nRefresh=7200,key="澜沧城·大旗重置",},},},</v>
      </c>
      <c r="U144" t="s">
        <v>2587</v>
      </c>
      <c r="V144" t="s">
        <v>2588</v>
      </c>
      <c r="W144" t="s">
        <v>2543</v>
      </c>
      <c r="X144" t="s">
        <v>2544</v>
      </c>
      <c r="Y144" t="s">
        <v>2589</v>
      </c>
      <c r="Z144" t="s">
        <v>2590</v>
      </c>
    </row>
    <row r="145" spans="1:34">
      <c r="A145" t="s">
        <v>846</v>
      </c>
      <c r="B145">
        <v>103</v>
      </c>
      <c r="T145" t="str">
        <f t="shared" si="4"/>
        <v>},[103]={</v>
      </c>
    </row>
    <row r="146" customFormat="1" spans="1:34">
      <c r="C146" t="s">
        <v>2488</v>
      </c>
      <c r="D146" t="s">
        <v>2489</v>
      </c>
      <c r="G146" t="s">
        <v>2591</v>
      </c>
      <c r="H146" t="s">
        <v>2592</v>
      </c>
      <c r="K146" t="s">
        <v>2033</v>
      </c>
      <c r="M146">
        <v>1</v>
      </c>
      <c r="T146" t="str">
        <f t="shared" si="4"/>
        <v>{szContent="([浩气恶人]+)[盟谷]-位于([^%d]-)的【(.-)据点】大旗被夺",szNote="{$3}·{$1}大旗被夺",col={255,255,100,},bReg=true,[20]={},tCountdown={{nClass=20,nIcon=592,nFrame=4,szName="{$3}·大旗重置",nTime=-1,key="{$3}·大旗重置",},{nClass=20,nIcon=1465,nFrame=-1,szName=" ",nTime=-2,nRefresh=7200,key="神池岭·浩气大旗",},{nClass=20,nIcon=1465,nFrame=-1,szName=" ",nTime=-2,nRefresh=7200,key="烈日岗·浩气大旗",},{nClass=20,nIcon=1465,nFrame=-1,szName=" ",nTime=-2,nRefresh=7200,key="神池岭·恶人大旗",},{nClass=20,nIcon=1465,nFrame=-1,szName=" ",nTime=-2,nRefresh=7200,key="烈日岗·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神池岭】恶人·占领剩余",nTime=600.1,nRefresh=720,key="神池岭·浩气大旗",},{nClass=20,nIcon=3445,nFrame=3,szName="【烈日岗】恶人·占领剩余",nTime=600.1,nRefresh=720,key="烈日岗·浩气大旗",},{nClass=20,nIcon=3444,nFrame=7,szName="【神池岭】浩气·占领剩余",nTime=600.1,nRefresh=720,key="神池岭·恶人大旗",},{nClass=20,nIcon=3444,nFrame=7,szName="【烈日岗】浩气·占领剩余",nTime=600.1,nRefresh=720,key="烈日岗·恶人大旗",},},},</v>
      </c>
      <c r="U146" t="s">
        <v>2490</v>
      </c>
      <c r="V146" t="str">
        <f>"{nClass=20,nIcon=1465,nFrame=-1,szName="&amp;""" """&amp;",nTime=-2,nRefresh=7200,key="""&amp;G146&amp;"·浩气大旗"&amp;""",},"</f>
        <v>{nClass=20,nIcon=1465,nFrame=-1,szName=" ",nTime=-2,nRefresh=7200,key="神池岭·浩气大旗",},</v>
      </c>
      <c r="W146" t="str">
        <f>"{nClass=20,nIcon=1465,nFrame=-1,szName="&amp;""" """&amp;",nTime=-2,nRefresh=7200,key="""&amp;H146&amp;"·浩气大旗"&amp;""",},"</f>
        <v>{nClass=20,nIcon=1465,nFrame=-1,szName=" ",nTime=-2,nRefresh=7200,key="烈日岗·浩气大旗",},</v>
      </c>
      <c r="X146" t="str">
        <f>"{nClass=20,nIcon=1465,nFrame=-1,szName="&amp;""" """&amp;",nTime=-2,nRefresh=7200,key="""&amp;G146&amp;"·恶人大旗"&amp;""",},"</f>
        <v>{nClass=20,nIcon=1465,nFrame=-1,szName=" ",nTime=-2,nRefresh=7200,key="神池岭·恶人大旗",},</v>
      </c>
      <c r="Y146" t="str">
        <f>"{nClass=20,nIcon=1465,nFrame=-1,szName="&amp;""" """&amp;",nTime=-2,nRefresh=7200,key="""&amp;H146&amp;"·恶人大旗"&amp;""",},"</f>
        <v>{nClass=20,nIcon=1465,nFrame=-1,szName=" ",nTime=-2,nRefresh=7200,key="烈日岗·恶人大旗",},</v>
      </c>
      <c r="Z146" t="s">
        <v>2491</v>
      </c>
      <c r="AA146" t="s">
        <v>2492</v>
      </c>
      <c r="AB146" t="s">
        <v>2537</v>
      </c>
      <c r="AC146" t="s">
        <v>2538</v>
      </c>
      <c r="AD146" t="s">
        <v>2539</v>
      </c>
      <c r="AE146" t="str">
        <f>"{nClass=20,nIcon=3445,nFrame=3,szName="&amp;"""【"&amp;G146&amp;"】恶人·占领剩余"""&amp;",nTime=600.1,nRefresh=720,key="&amp;""""&amp;G146&amp;"·浩气大旗"""&amp;",},"</f>
        <v>{nClass=20,nIcon=3445,nFrame=3,szName="【神池岭】恶人·占领剩余",nTime=600.1,nRefresh=720,key="神池岭·浩气大旗",},</v>
      </c>
      <c r="AF146" t="str">
        <f>"{nClass=20,nIcon=3445,nFrame=3,szName="&amp;"""【"&amp;H146&amp;"】恶人·占领剩余"""&amp;",nTime=600.1,nRefresh=720,key="&amp;""""&amp;H146&amp;"·浩气大旗"""&amp;",},"</f>
        <v>{nClass=20,nIcon=3445,nFrame=3,szName="【烈日岗】恶人·占领剩余",nTime=600.1,nRefresh=720,key="烈日岗·浩气大旗",},</v>
      </c>
      <c r="AG146" t="str">
        <f>"{nClass=20,nIcon=3444,nFrame=7,szName="&amp;"""【"&amp;G146&amp;"】浩气·占领剩余"""&amp;",nTime=600.1,nRefresh=720,key="&amp;""""&amp;G146&amp;"·恶人大旗"""&amp;",},"</f>
        <v>{nClass=20,nIcon=3444,nFrame=7,szName="【神池岭】浩气·占领剩余",nTime=600.1,nRefresh=720,key="神池岭·恶人大旗",},</v>
      </c>
      <c r="AH146" t="str">
        <f>"{nClass=20,nIcon=3444,nFrame=7,szName="&amp;"""【"&amp;H146&amp;"】浩气·占领剩余"""&amp;",nTime=600.1,nRefresh=720,key="&amp;""""&amp;H146&amp;"·恶人大旗"""&amp;",},"</f>
        <v>{nClass=20,nIcon=3444,nFrame=7,szName="【烈日岗】浩气·占领剩余",nTime=600.1,nRefresh=720,key="烈日岗·恶人大旗",},</v>
      </c>
    </row>
    <row r="147" spans="1:34">
      <c r="C147" t="s">
        <v>2540</v>
      </c>
      <c r="D147" t="s">
        <v>2541</v>
      </c>
      <c r="K147" t="s">
        <v>2033</v>
      </c>
      <c r="M147">
        <v>1</v>
      </c>
      <c r="T147" t="str">
        <f t="shared" si="4"/>
        <v>{szContent="^【(.*)】据点大旗(.*)重置回初始位置！\n",szNote="{$1}·大旗重置",col={255,255,100,},bReg=true,[20]={},tCountdown={{nClass=20,nIcon=1465,szName="神池岭·大旗重置",nTime=-2,nRefresh=7200,key="神池岭·大旗重置",},{nClass=20,nIcon=1465,szName="烈日岗·大旗重置",nTime=-2,nRefresh=7200,key="烈日岗·大旗重置",},{nClass=20,nIcon=13,szName="【{$1}】大旗重置",nTime=-2,key="{$1}·大旗重置",},{nClass=20,nIcon=592,nFrame=4,szName="【{$1}】大旗重置",nTime=30,key="{$1}·大旗重置",},{nClass=20,nIcon=592,nFrame=4,szName="【神池岭】大旗重置",nTime="180,【神池岭】大旗重置;185,【神池岭】大旗重置·结束",nRefresh=7200,key="神池岭·大旗重置",},{nClass=20,nIcon=592,nFrame=4,szName="【烈日岗】大旗重置",nTime="180,【烈日岗】大旗重置;185,【烈日岗】大旗重置·结束",nRefresh=7200,key="烈日岗·大旗重置",},},},</v>
      </c>
      <c r="U147" t="s">
        <v>2593</v>
      </c>
      <c r="V147" t="s">
        <v>2594</v>
      </c>
      <c r="W147" t="s">
        <v>2543</v>
      </c>
      <c r="X147" t="s">
        <v>2544</v>
      </c>
      <c r="Y147" t="s">
        <v>2595</v>
      </c>
      <c r="Z147" t="s">
        <v>2596</v>
      </c>
    </row>
    <row r="148" spans="1:34">
      <c r="A148" t="s">
        <v>849</v>
      </c>
      <c r="B148">
        <v>104</v>
      </c>
      <c r="T148" t="str">
        <f t="shared" si="4"/>
        <v>},[104]={</v>
      </c>
    </row>
    <row r="149" customFormat="1" spans="1:34">
      <c r="C149" t="s">
        <v>2488</v>
      </c>
      <c r="D149" t="s">
        <v>2489</v>
      </c>
      <c r="G149" t="s">
        <v>2597</v>
      </c>
      <c r="H149" t="s">
        <v>2598</v>
      </c>
      <c r="K149" t="s">
        <v>2033</v>
      </c>
      <c r="M149">
        <v>1</v>
      </c>
      <c r="T149" t="str">
        <f t="shared" si="4"/>
        <v>{szContent="([浩气恶人]+)[盟谷]-位于([^%d]-)的【(.-)据点】大旗被夺",szNote="{$3}·{$1}大旗被夺",col={255,255,100,},bReg=true,[20]={},tCountdown={{nClass=20,nIcon=592,nFrame=4,szName="{$3}·大旗重置",nTime=-1,key="{$3}·大旗重置",},{nClass=20,nIcon=1465,nFrame=-1,szName=" ",nTime=-2,nRefresh=7200,key="凤鸣堡·浩气大旗",},{nClass=20,nIcon=1465,nFrame=-1,szName=" ",nTime=-2,nRefresh=7200,key="惊虬谷·浩气大旗",},{nClass=20,nIcon=1465,nFrame=-1,szName=" ",nTime=-2,nRefresh=7200,key="凤鸣堡·恶人大旗",},{nClass=20,nIcon=1465,nFrame=-1,szName=" ",nTime=-2,nRefresh=7200,key="惊虬谷·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凤鸣堡】恶人·占领剩余",nTime=600.1,nRefresh=720,key="凤鸣堡·浩气大旗",},{nClass=20,nIcon=3445,nFrame=3,szName="【惊虬谷】恶人·占领剩余",nTime=600.1,nRefresh=720,key="惊虬谷·浩气大旗",},{nClass=20,nIcon=3444,nFrame=7,szName="【凤鸣堡】浩气·占领剩余",nTime=600.1,nRefresh=720,key="凤鸣堡·恶人大旗",},{nClass=20,nIcon=3444,nFrame=7,szName="【惊虬谷】浩气·占领剩余",nTime=600.1,nRefresh=720,key="惊虬谷·恶人大旗",},},},</v>
      </c>
      <c r="U149" t="s">
        <v>2490</v>
      </c>
      <c r="V149" t="str">
        <f>"{nClass=20,nIcon=1465,nFrame=-1,szName="&amp;""" """&amp;",nTime=-2,nRefresh=7200,key="""&amp;G149&amp;"·浩气大旗"&amp;""",},"</f>
        <v>{nClass=20,nIcon=1465,nFrame=-1,szName=" ",nTime=-2,nRefresh=7200,key="凤鸣堡·浩气大旗",},</v>
      </c>
      <c r="W149" t="str">
        <f>"{nClass=20,nIcon=1465,nFrame=-1,szName="&amp;""" """&amp;",nTime=-2,nRefresh=7200,key="""&amp;H149&amp;"·浩气大旗"&amp;""",},"</f>
        <v>{nClass=20,nIcon=1465,nFrame=-1,szName=" ",nTime=-2,nRefresh=7200,key="惊虬谷·浩气大旗",},</v>
      </c>
      <c r="X149" t="str">
        <f>"{nClass=20,nIcon=1465,nFrame=-1,szName="&amp;""" """&amp;",nTime=-2,nRefresh=7200,key="""&amp;G149&amp;"·恶人大旗"&amp;""",},"</f>
        <v>{nClass=20,nIcon=1465,nFrame=-1,szName=" ",nTime=-2,nRefresh=7200,key="凤鸣堡·恶人大旗",},</v>
      </c>
      <c r="Y149" t="str">
        <f>"{nClass=20,nIcon=1465,nFrame=-1,szName="&amp;""" """&amp;",nTime=-2,nRefresh=7200,key="""&amp;H149&amp;"·恶人大旗"&amp;""",},"</f>
        <v>{nClass=20,nIcon=1465,nFrame=-1,szName=" ",nTime=-2,nRefresh=7200,key="惊虬谷·恶人大旗",},</v>
      </c>
      <c r="Z149" t="s">
        <v>2491</v>
      </c>
      <c r="AA149" t="s">
        <v>2492</v>
      </c>
      <c r="AB149" t="s">
        <v>2537</v>
      </c>
      <c r="AC149" t="s">
        <v>2538</v>
      </c>
      <c r="AD149" t="s">
        <v>2539</v>
      </c>
      <c r="AE149" t="str">
        <f>"{nClass=20,nIcon=3445,nFrame=3,szName="&amp;"""【"&amp;G149&amp;"】恶人·占领剩余"""&amp;",nTime=600.1,nRefresh=720,key="&amp;""""&amp;G149&amp;"·浩气大旗"""&amp;",},"</f>
        <v>{nClass=20,nIcon=3445,nFrame=3,szName="【凤鸣堡】恶人·占领剩余",nTime=600.1,nRefresh=720,key="凤鸣堡·浩气大旗",},</v>
      </c>
      <c r="AF149" t="str">
        <f>"{nClass=20,nIcon=3445,nFrame=3,szName="&amp;"""【"&amp;H149&amp;"】恶人·占领剩余"""&amp;",nTime=600.1,nRefresh=720,key="&amp;""""&amp;H149&amp;"·浩气大旗"""&amp;",},"</f>
        <v>{nClass=20,nIcon=3445,nFrame=3,szName="【惊虬谷】恶人·占领剩余",nTime=600.1,nRefresh=720,key="惊虬谷·浩气大旗",},</v>
      </c>
      <c r="AG149" t="str">
        <f>"{nClass=20,nIcon=3444,nFrame=7,szName="&amp;"""【"&amp;G149&amp;"】浩气·占领剩余"""&amp;",nTime=600.1,nRefresh=720,key="&amp;""""&amp;G149&amp;"·恶人大旗"""&amp;",},"</f>
        <v>{nClass=20,nIcon=3444,nFrame=7,szName="【凤鸣堡】浩气·占领剩余",nTime=600.1,nRefresh=720,key="凤鸣堡·恶人大旗",},</v>
      </c>
      <c r="AH149" t="str">
        <f>"{nClass=20,nIcon=3444,nFrame=7,szName="&amp;"""【"&amp;H149&amp;"】浩气·占领剩余"""&amp;",nTime=600.1,nRefresh=720,key="&amp;""""&amp;H149&amp;"·恶人大旗"""&amp;",},"</f>
        <v>{nClass=20,nIcon=3444,nFrame=7,szName="【惊虬谷】浩气·占领剩余",nTime=600.1,nRefresh=720,key="惊虬谷·恶人大旗",},</v>
      </c>
    </row>
    <row r="150" spans="1:34">
      <c r="C150" t="s">
        <v>2540</v>
      </c>
      <c r="D150" t="s">
        <v>2541</v>
      </c>
      <c r="K150" t="s">
        <v>2033</v>
      </c>
      <c r="M150">
        <v>1</v>
      </c>
      <c r="T150" t="str">
        <f t="shared" si="4"/>
        <v>{szContent="^【(.*)】据点大旗(.*)重置回初始位置！\n",szNote="{$1}·大旗重置",col={255,255,100,},bReg=true,[20]={},tCountdown={{nClass=20,nIcon=1465,szName="凤鸣堡·大旗重置",nTime=-2,nRefresh=7200,key="凤鸣堡·大旗重置",},{nClass=20,nIcon=1465,szName="惊虬谷·大旗重置",nTime=-2,nRefresh=7200,key="惊虬谷·大旗重置",},{nClass=20,nIcon=13,szName="【{$1}】大旗重置",nTime=-2,key="{$1}·大旗重置",},{nClass=20,nIcon=592,nFrame=4,szName="【{$1}】大旗重置",nTime=30,key="{$1}·大旗重置",},{nClass=20,nIcon=592,nFrame=4,szName="【凤鸣堡】大旗重置",nTime="180,【凤鸣堡】大旗重置;185,【凤鸣堡】大旗重置·结束",nRefresh=7200,key="凤鸣堡·大旗重置",},{nClass=20,nIcon=592,nFrame=4,szName="【惊虬谷】大旗重置",nTime="180,【惊虬谷】大旗重置;185,【惊虬谷】大旗重置·结束",nRefresh=7200,key="惊虬谷·大旗重置",},},},</v>
      </c>
      <c r="U150" t="s">
        <v>2599</v>
      </c>
      <c r="V150" t="s">
        <v>2600</v>
      </c>
      <c r="W150" t="s">
        <v>2543</v>
      </c>
      <c r="X150" t="s">
        <v>2544</v>
      </c>
      <c r="Y150" t="s">
        <v>2601</v>
      </c>
      <c r="Z150" t="s">
        <v>2602</v>
      </c>
    </row>
    <row r="151" spans="1:34">
      <c r="A151" t="s">
        <v>852</v>
      </c>
      <c r="B151">
        <v>105</v>
      </c>
      <c r="T151" t="str">
        <f t="shared" si="4"/>
        <v>},[105]={</v>
      </c>
    </row>
    <row r="152" customFormat="1" spans="1:34">
      <c r="C152" t="s">
        <v>2488</v>
      </c>
      <c r="D152" t="s">
        <v>2489</v>
      </c>
      <c r="G152" t="s">
        <v>2603</v>
      </c>
      <c r="H152" t="s">
        <v>2604</v>
      </c>
      <c r="K152" t="s">
        <v>2033</v>
      </c>
      <c r="M152">
        <v>1</v>
      </c>
      <c r="T152" t="str">
        <f t="shared" si="4"/>
        <v>{szContent="([浩气恶人]+)[盟谷]-位于([^%d]-)的【(.-)据点】大旗被夺",szNote="{$3}·{$1}大旗被夺",col={255,255,100,},bReg=true,[20]={},tCountdown={{nClass=20,nIcon=592,nFrame=4,szName="{$3}·大旗重置",nTime=-1,key="{$3}·大旗重置",},{nClass=20,nIcon=1465,nFrame=-1,szName=" ",nTime=-2,nRefresh=7200,key="大理山城·浩气大旗",},{nClass=20,nIcon=1465,nFrame=-1,szName=" ",nTime=-2,nRefresh=7200,key="千岩关·浩气大旗",},{nClass=20,nIcon=1465,nFrame=-1,szName=" ",nTime=-2,nRefresh=7200,key="大理山城·恶人大旗",},{nClass=20,nIcon=1465,nFrame=-1,szName=" ",nTime=-2,nRefresh=7200,key="千岩关·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大理山城】恶人·占领剩余",nTime=600.1,nRefresh=720,key="大理山城·浩气大旗",},{nClass=20,nIcon=3445,nFrame=3,szName="【千岩关】恶人·占领剩余",nTime=600.1,nRefresh=720,key="千岩关·浩气大旗",},{nClass=20,nIcon=3444,nFrame=7,szName="【大理山城】浩气·占领剩余",nTime=600.1,nRefresh=720,key="大理山城·恶人大旗",},{nClass=20,nIcon=3444,nFrame=7,szName="【千岩关】浩气·占领剩余",nTime=600.1,nRefresh=720,key="千岩关·恶人大旗",},},},</v>
      </c>
      <c r="U152" t="s">
        <v>2490</v>
      </c>
      <c r="V152" t="str">
        <f>"{nClass=20,nIcon=1465,nFrame=-1,szName="&amp;""" """&amp;",nTime=-2,nRefresh=7200,key="""&amp;G152&amp;"·浩气大旗"&amp;""",},"</f>
        <v>{nClass=20,nIcon=1465,nFrame=-1,szName=" ",nTime=-2,nRefresh=7200,key="大理山城·浩气大旗",},</v>
      </c>
      <c r="W152" t="str">
        <f>"{nClass=20,nIcon=1465,nFrame=-1,szName="&amp;""" """&amp;",nTime=-2,nRefresh=7200,key="""&amp;H152&amp;"·浩气大旗"&amp;""",},"</f>
        <v>{nClass=20,nIcon=1465,nFrame=-1,szName=" ",nTime=-2,nRefresh=7200,key="千岩关·浩气大旗",},</v>
      </c>
      <c r="X152" t="str">
        <f>"{nClass=20,nIcon=1465,nFrame=-1,szName="&amp;""" """&amp;",nTime=-2,nRefresh=7200,key="""&amp;G152&amp;"·恶人大旗"&amp;""",},"</f>
        <v>{nClass=20,nIcon=1465,nFrame=-1,szName=" ",nTime=-2,nRefresh=7200,key="大理山城·恶人大旗",},</v>
      </c>
      <c r="Y152" t="str">
        <f>"{nClass=20,nIcon=1465,nFrame=-1,szName="&amp;""" """&amp;",nTime=-2,nRefresh=7200,key="""&amp;H152&amp;"·恶人大旗"&amp;""",},"</f>
        <v>{nClass=20,nIcon=1465,nFrame=-1,szName=" ",nTime=-2,nRefresh=7200,key="千岩关·恶人大旗",},</v>
      </c>
      <c r="Z152" t="s">
        <v>2491</v>
      </c>
      <c r="AA152" t="s">
        <v>2492</v>
      </c>
      <c r="AB152" t="s">
        <v>2537</v>
      </c>
      <c r="AC152" t="s">
        <v>2538</v>
      </c>
      <c r="AD152" t="s">
        <v>2539</v>
      </c>
      <c r="AE152" t="str">
        <f>"{nClass=20,nIcon=3445,nFrame=3,szName="&amp;"""【"&amp;G152&amp;"】恶人·占领剩余"""&amp;",nTime=600.1,nRefresh=720,key="&amp;""""&amp;G152&amp;"·浩气大旗"""&amp;",},"</f>
        <v>{nClass=20,nIcon=3445,nFrame=3,szName="【大理山城】恶人·占领剩余",nTime=600.1,nRefresh=720,key="大理山城·浩气大旗",},</v>
      </c>
      <c r="AF152" t="str">
        <f>"{nClass=20,nIcon=3445,nFrame=3,szName="&amp;"""【"&amp;H152&amp;"】恶人·占领剩余"""&amp;",nTime=600.1,nRefresh=720,key="&amp;""""&amp;H152&amp;"·浩气大旗"""&amp;",},"</f>
        <v>{nClass=20,nIcon=3445,nFrame=3,szName="【千岩关】恶人·占领剩余",nTime=600.1,nRefresh=720,key="千岩关·浩气大旗",},</v>
      </c>
      <c r="AG152" t="str">
        <f>"{nClass=20,nIcon=3444,nFrame=7,szName="&amp;"""【"&amp;G152&amp;"】浩气·占领剩余"""&amp;",nTime=600.1,nRefresh=720,key="&amp;""""&amp;G152&amp;"·恶人大旗"""&amp;",},"</f>
        <v>{nClass=20,nIcon=3444,nFrame=7,szName="【大理山城】浩气·占领剩余",nTime=600.1,nRefresh=720,key="大理山城·恶人大旗",},</v>
      </c>
      <c r="AH152" t="str">
        <f>"{nClass=20,nIcon=3444,nFrame=7,szName="&amp;"""【"&amp;H152&amp;"】浩气·占领剩余"""&amp;",nTime=600.1,nRefresh=720,key="&amp;""""&amp;H152&amp;"·恶人大旗"""&amp;",},"</f>
        <v>{nClass=20,nIcon=3444,nFrame=7,szName="【千岩关】浩气·占领剩余",nTime=600.1,nRefresh=720,key="千岩关·恶人大旗",},</v>
      </c>
    </row>
    <row r="153" spans="1:34">
      <c r="C153" t="s">
        <v>2540</v>
      </c>
      <c r="D153" t="s">
        <v>2541</v>
      </c>
      <c r="K153" t="s">
        <v>2033</v>
      </c>
      <c r="M153">
        <v>1</v>
      </c>
      <c r="T153" t="str">
        <f t="shared" si="4"/>
        <v>{szContent="^【(.*)】据点大旗(.*)重置回初始位置！\n",szNote="{$1}·大旗重置",col={255,255,100,},bReg=true,[20]={},tCountdown={{nClass=20,nIcon=1465,szName="大理山城·大旗重置",nTime=-2,nRefresh=7200,key="大理山城·大旗重置",},{nClass=20,nIcon=1465,szName="千岩关·大旗重置",nTime=-2,nRefresh=7200,key="千岩关·大旗重置",},{nClass=20,nIcon=13,szName="【{$1}】大旗重置",nTime=-2,key="{$1}·大旗重置",},{nClass=20,nIcon=592,nFrame=4,szName="【{$1}】大旗重置",nTime=30,key="{$1}·大旗重置",},{nClass=20,nIcon=592,nFrame=4,szName="【大理山城】大旗重置",nTime="180,【大理山城】大旗重置;185,【大理山城】大旗重置·结束",nRefresh=7200,key="大理山城·大旗重置",},{nClass=20,nIcon=592,nFrame=4,szName="【千岩关】大旗重置",nTime="180,【千岩关】大旗重置;185,【千岩关】大旗重置·结束",nRefresh=7200,key="千岩关·大旗重置",},},},</v>
      </c>
      <c r="U153" t="s">
        <v>2605</v>
      </c>
      <c r="V153" t="s">
        <v>2606</v>
      </c>
      <c r="W153" t="s">
        <v>2543</v>
      </c>
      <c r="X153" t="s">
        <v>2544</v>
      </c>
      <c r="Y153" t="s">
        <v>2607</v>
      </c>
      <c r="Z153" t="s">
        <v>2608</v>
      </c>
    </row>
    <row r="154" spans="1:34">
      <c r="A154" t="s">
        <v>947</v>
      </c>
      <c r="B154">
        <v>139</v>
      </c>
      <c r="T154" t="str">
        <f t="shared" si="4"/>
        <v>},[139]={</v>
      </c>
    </row>
    <row r="155" customFormat="1" spans="1:34">
      <c r="C155" t="s">
        <v>2488</v>
      </c>
      <c r="D155" t="s">
        <v>2489</v>
      </c>
      <c r="G155" t="s">
        <v>2609</v>
      </c>
      <c r="H155" t="s">
        <v>2610</v>
      </c>
      <c r="K155" t="s">
        <v>2033</v>
      </c>
      <c r="M155">
        <v>1</v>
      </c>
      <c r="T155" t="str">
        <f t="shared" si="4"/>
        <v>{szContent="([浩气恶人]+)[盟谷]-位于([^%d]-)的【(.-)据点】大旗被夺",szNote="{$3}·{$1}大旗被夺",col={255,255,100,},bReg=true,[20]={},tCountdown={{nClass=20,nIcon=592,nFrame=4,szName="{$3}·大旗重置",nTime=-1,key="{$3}·大旗重置",},{nClass=20,nIcon=1465,nFrame=-1,szName=" ",nTime=-2,nRefresh=7200,key="枫湖寨·浩气大旗",},{nClass=20,nIcon=1465,nFrame=-1,szName=" ",nTime=-2,nRefresh=7200,key="啖杏林·浩气大旗",},{nClass=20,nIcon=1465,nFrame=-1,szName=" ",nTime=-2,nRefresh=7200,key="枫湖寨·恶人大旗",},{nClass=20,nIcon=1465,nFrame=-1,szName=" ",nTime=-2,nRefresh=7200,key="啖杏林·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枫湖寨】恶人·占领剩余",nTime=600.1,nRefresh=720,key="枫湖寨·浩气大旗",},{nClass=20,nIcon=3445,nFrame=3,szName="【啖杏林】恶人·占领剩余",nTime=600.1,nRefresh=720,key="啖杏林·浩气大旗",},{nClass=20,nIcon=3444,nFrame=7,szName="【枫湖寨】浩气·占领剩余",nTime=600.1,nRefresh=720,key="枫湖寨·恶人大旗",},{nClass=20,nIcon=3444,nFrame=7,szName="【啖杏林】浩气·占领剩余",nTime=600.1,nRefresh=720,key="啖杏林·恶人大旗",},},},</v>
      </c>
      <c r="U155" t="s">
        <v>2490</v>
      </c>
      <c r="V155" t="str">
        <f>"{nClass=20,nIcon=1465,nFrame=-1,szName="&amp;""" """&amp;",nTime=-2,nRefresh=7200,key="""&amp;G155&amp;"·浩气大旗"&amp;""",},"</f>
        <v>{nClass=20,nIcon=1465,nFrame=-1,szName=" ",nTime=-2,nRefresh=7200,key="枫湖寨·浩气大旗",},</v>
      </c>
      <c r="W155" t="str">
        <f>"{nClass=20,nIcon=1465,nFrame=-1,szName="&amp;""" """&amp;",nTime=-2,nRefresh=7200,key="""&amp;H155&amp;"·浩气大旗"&amp;""",},"</f>
        <v>{nClass=20,nIcon=1465,nFrame=-1,szName=" ",nTime=-2,nRefresh=7200,key="啖杏林·浩气大旗",},</v>
      </c>
      <c r="X155" t="str">
        <f>"{nClass=20,nIcon=1465,nFrame=-1,szName="&amp;""" """&amp;",nTime=-2,nRefresh=7200,key="""&amp;G155&amp;"·恶人大旗"&amp;""",},"</f>
        <v>{nClass=20,nIcon=1465,nFrame=-1,szName=" ",nTime=-2,nRefresh=7200,key="枫湖寨·恶人大旗",},</v>
      </c>
      <c r="Y155" t="str">
        <f>"{nClass=20,nIcon=1465,nFrame=-1,szName="&amp;""" """&amp;",nTime=-2,nRefresh=7200,key="""&amp;H155&amp;"·恶人大旗"&amp;""",},"</f>
        <v>{nClass=20,nIcon=1465,nFrame=-1,szName=" ",nTime=-2,nRefresh=7200,key="啖杏林·恶人大旗",},</v>
      </c>
      <c r="Z155" t="s">
        <v>2491</v>
      </c>
      <c r="AA155" t="s">
        <v>2492</v>
      </c>
      <c r="AB155" t="s">
        <v>2537</v>
      </c>
      <c r="AC155" t="s">
        <v>2538</v>
      </c>
      <c r="AD155" t="s">
        <v>2539</v>
      </c>
      <c r="AE155" t="str">
        <f>"{nClass=20,nIcon=3445,nFrame=3,szName="&amp;"""【"&amp;G155&amp;"】恶人·占领剩余"""&amp;",nTime=600.1,nRefresh=720,key="&amp;""""&amp;G155&amp;"·浩气大旗"""&amp;",},"</f>
        <v>{nClass=20,nIcon=3445,nFrame=3,szName="【枫湖寨】恶人·占领剩余",nTime=600.1,nRefresh=720,key="枫湖寨·浩气大旗",},</v>
      </c>
      <c r="AF155" t="str">
        <f>"{nClass=20,nIcon=3445,nFrame=3,szName="&amp;"""【"&amp;H155&amp;"】恶人·占领剩余"""&amp;",nTime=600.1,nRefresh=720,key="&amp;""""&amp;H155&amp;"·浩气大旗"""&amp;",},"</f>
        <v>{nClass=20,nIcon=3445,nFrame=3,szName="【啖杏林】恶人·占领剩余",nTime=600.1,nRefresh=720,key="啖杏林·浩气大旗",},</v>
      </c>
      <c r="AG155" t="str">
        <f>"{nClass=20,nIcon=3444,nFrame=7,szName="&amp;"""【"&amp;G155&amp;"】浩气·占领剩余"""&amp;",nTime=600.1,nRefresh=720,key="&amp;""""&amp;G155&amp;"·恶人大旗"""&amp;",},"</f>
        <v>{nClass=20,nIcon=3444,nFrame=7,szName="【枫湖寨】浩气·占领剩余",nTime=600.1,nRefresh=720,key="枫湖寨·恶人大旗",},</v>
      </c>
      <c r="AH155" t="str">
        <f>"{nClass=20,nIcon=3444,nFrame=7,szName="&amp;"""【"&amp;H155&amp;"】浩气·占领剩余"""&amp;",nTime=600.1,nRefresh=720,key="&amp;""""&amp;H155&amp;"·恶人大旗"""&amp;",},"</f>
        <v>{nClass=20,nIcon=3444,nFrame=7,szName="【啖杏林】浩气·占领剩余",nTime=600.1,nRefresh=720,key="啖杏林·恶人大旗",},</v>
      </c>
    </row>
    <row r="156" spans="1:34">
      <c r="C156" t="s">
        <v>2540</v>
      </c>
      <c r="D156" t="s">
        <v>2541</v>
      </c>
      <c r="K156" t="s">
        <v>2033</v>
      </c>
      <c r="M156">
        <v>1</v>
      </c>
      <c r="T156" t="str">
        <f t="shared" si="4"/>
        <v>{szContent="^【(.*)】据点大旗(.*)重置回初始位置！\n",szNote="{$1}·大旗重置",col={255,255,100,},bReg=true,[20]={},tCountdown={{nClass=20,nIcon=1465,szName="枫湖寨·大旗重置",nTime=-2,nRefresh=7200,key="枫湖寨·大旗重置",},{nClass=20,nIcon=1465,szName="啖杏林·大旗重置",nTime=-2,nRefresh=7200,key="啖杏林·大旗重置",},{nClass=20,nIcon=13,szName="【{$1}】大旗重置",nTime=-2,key="{$1}·大旗重置",},{nClass=20,nIcon=592,nFrame=4,szName="【{$1}】大旗重置",nTime=30,key="{$1}·大旗重置",},{nClass=20,nIcon=592,nFrame=4,szName="【枫湖寨】大旗重置",nTime="180,【枫湖寨】大旗重置;185,【枫湖寨】大旗重置·结束",nRefresh=7200,key="枫湖寨·大旗重置",},{nClass=20,nIcon=592,nFrame=4,szName="【啖杏林】大旗重置",nTime="180,【啖杏林】大旗重置;185,【啖杏林】大旗重置·结束",nRefresh=7200,key="啖杏林·大旗重置",},},},</v>
      </c>
      <c r="U156" t="s">
        <v>2611</v>
      </c>
      <c r="V156" t="s">
        <v>2612</v>
      </c>
      <c r="W156" t="s">
        <v>2543</v>
      </c>
      <c r="X156" t="s">
        <v>2544</v>
      </c>
      <c r="Y156" t="s">
        <v>2613</v>
      </c>
      <c r="Z156" t="s">
        <v>2614</v>
      </c>
    </row>
    <row r="157" spans="1:34">
      <c r="A157" t="s">
        <v>983</v>
      </c>
      <c r="B157">
        <v>153</v>
      </c>
      <c r="T157" t="str">
        <f t="shared" si="4"/>
        <v>},[153]={</v>
      </c>
    </row>
    <row r="158" customFormat="1" spans="1:34">
      <c r="C158" t="s">
        <v>2488</v>
      </c>
      <c r="D158" t="s">
        <v>2489</v>
      </c>
      <c r="G158" t="s">
        <v>2615</v>
      </c>
      <c r="H158" t="s">
        <v>2616</v>
      </c>
      <c r="K158" t="s">
        <v>2033</v>
      </c>
      <c r="M158">
        <v>1</v>
      </c>
      <c r="T158" t="str">
        <f t="shared" si="4"/>
        <v>{szContent="([浩气恶人]+)[盟谷]-位于([^%d]-)的【(.-)据点】大旗被夺",szNote="{$3}·{$1}大旗被夺",col={255,255,100,},bReg=true,[20]={},tCountdown={{nClass=20,nIcon=592,nFrame=4,szName="{$3}·大旗重置",nTime=-1,key="{$3}·大旗重置",},{nClass=20,nIcon=1465,nFrame=-1,szName=" ",nTime=-2,nRefresh=7200,key="扶风郡·浩气大旗",},{nClass=20,nIcon=1465,nFrame=-1,szName=" ",nTime=-2,nRefresh=7200,key="世外坡·浩气大旗",},{nClass=20,nIcon=1465,nFrame=-1,szName=" ",nTime=-2,nRefresh=7200,key="扶风郡·恶人大旗",},{nClass=20,nIcon=1465,nFrame=-1,szName=" ",nTime=-2,nRefresh=7200,key="世外坡·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扶风郡】恶人·占领剩余",nTime=600.1,nRefresh=720,key="扶风郡·浩气大旗",},{nClass=20,nIcon=3445,nFrame=3,szName="【世外坡】恶人·占领剩余",nTime=600.1,nRefresh=720,key="世外坡·浩气大旗",},{nClass=20,nIcon=3444,nFrame=7,szName="【扶风郡】浩气·占领剩余",nTime=600.1,nRefresh=720,key="扶风郡·恶人大旗",},{nClass=20,nIcon=3444,nFrame=7,szName="【世外坡】浩气·占领剩余",nTime=600.1,nRefresh=720,key="世外坡·恶人大旗",},},},</v>
      </c>
      <c r="U158" t="s">
        <v>2490</v>
      </c>
      <c r="V158" t="str">
        <f>"{nClass=20,nIcon=1465,nFrame=-1,szName="&amp;""" """&amp;",nTime=-2,nRefresh=7200,key="""&amp;G158&amp;"·浩气大旗"&amp;""",},"</f>
        <v>{nClass=20,nIcon=1465,nFrame=-1,szName=" ",nTime=-2,nRefresh=7200,key="扶风郡·浩气大旗",},</v>
      </c>
      <c r="W158" t="str">
        <f>"{nClass=20,nIcon=1465,nFrame=-1,szName="&amp;""" """&amp;",nTime=-2,nRefresh=7200,key="""&amp;H158&amp;"·浩气大旗"&amp;""",},"</f>
        <v>{nClass=20,nIcon=1465,nFrame=-1,szName=" ",nTime=-2,nRefresh=7200,key="世外坡·浩气大旗",},</v>
      </c>
      <c r="X158" t="str">
        <f>"{nClass=20,nIcon=1465,nFrame=-1,szName="&amp;""" """&amp;",nTime=-2,nRefresh=7200,key="""&amp;G158&amp;"·恶人大旗"&amp;""",},"</f>
        <v>{nClass=20,nIcon=1465,nFrame=-1,szName=" ",nTime=-2,nRefresh=7200,key="扶风郡·恶人大旗",},</v>
      </c>
      <c r="Y158" t="str">
        <f>"{nClass=20,nIcon=1465,nFrame=-1,szName="&amp;""" """&amp;",nTime=-2,nRefresh=7200,key="""&amp;H158&amp;"·恶人大旗"&amp;""",},"</f>
        <v>{nClass=20,nIcon=1465,nFrame=-1,szName=" ",nTime=-2,nRefresh=7200,key="世外坡·恶人大旗",},</v>
      </c>
      <c r="Z158" t="s">
        <v>2491</v>
      </c>
      <c r="AA158" t="s">
        <v>2492</v>
      </c>
      <c r="AB158" t="s">
        <v>2537</v>
      </c>
      <c r="AC158" t="s">
        <v>2538</v>
      </c>
      <c r="AD158" t="s">
        <v>2539</v>
      </c>
      <c r="AE158" t="str">
        <f>"{nClass=20,nIcon=3445,nFrame=3,szName="&amp;"""【"&amp;G158&amp;"】恶人·占领剩余"""&amp;",nTime=600.1,nRefresh=720,key="&amp;""""&amp;G158&amp;"·浩气大旗"""&amp;",},"</f>
        <v>{nClass=20,nIcon=3445,nFrame=3,szName="【扶风郡】恶人·占领剩余",nTime=600.1,nRefresh=720,key="扶风郡·浩气大旗",},</v>
      </c>
      <c r="AF158" t="str">
        <f>"{nClass=20,nIcon=3445,nFrame=3,szName="&amp;"""【"&amp;H158&amp;"】恶人·占领剩余"""&amp;",nTime=600.1,nRefresh=720,key="&amp;""""&amp;H158&amp;"·浩气大旗"""&amp;",},"</f>
        <v>{nClass=20,nIcon=3445,nFrame=3,szName="【世外坡】恶人·占领剩余",nTime=600.1,nRefresh=720,key="世外坡·浩气大旗",},</v>
      </c>
      <c r="AG158" t="str">
        <f>"{nClass=20,nIcon=3444,nFrame=7,szName="&amp;"""【"&amp;G158&amp;"】浩气·占领剩余"""&amp;",nTime=600.1,nRefresh=720,key="&amp;""""&amp;G158&amp;"·恶人大旗"""&amp;",},"</f>
        <v>{nClass=20,nIcon=3444,nFrame=7,szName="【扶风郡】浩气·占领剩余",nTime=600.1,nRefresh=720,key="扶风郡·恶人大旗",},</v>
      </c>
      <c r="AH158" t="str">
        <f>"{nClass=20,nIcon=3444,nFrame=7,szName="&amp;"""【"&amp;H158&amp;"】浩气·占领剩余"""&amp;",nTime=600.1,nRefresh=720,key="&amp;""""&amp;H158&amp;"·恶人大旗"""&amp;",},"</f>
        <v>{nClass=20,nIcon=3444,nFrame=7,szName="【世外坡】浩气·占领剩余",nTime=600.1,nRefresh=720,key="世外坡·恶人大旗",},</v>
      </c>
    </row>
    <row r="159" spans="1:34">
      <c r="C159" t="s">
        <v>2540</v>
      </c>
      <c r="D159" t="s">
        <v>2541</v>
      </c>
      <c r="K159" t="s">
        <v>2033</v>
      </c>
      <c r="M159">
        <v>1</v>
      </c>
      <c r="T159" t="str">
        <f t="shared" si="4"/>
        <v>{szContent="^【(.*)】据点大旗(.*)重置回初始位置！\n",szNote="{$1}·大旗重置",col={255,255,100,},bReg=true,[20]={},tCountdown={{nClass=20,nIcon=1465,szName="扶风郡·大旗重置",nTime=-2,nRefresh=7200,key="扶风郡·大旗重置",},{nClass=20,nIcon=1465,szName="世外坡·大旗重置",nTime=-2,nRefresh=7200,key="世外坡·大旗重置",},{nClass=20,nIcon=13,szName="【{$1}】大旗重置",nTime=-2,key="{$1}·大旗重置",},{nClass=20,nIcon=592,nFrame=4,szName="【{$1}】大旗重置",nTime=30,key="{$1}·大旗重置",},{nClass=20,nIcon=592,nFrame=4,szName="【扶风郡】大旗重置",nTime="180,【扶风郡】大旗重置;185,【扶风郡】大旗重置·结束",nRefresh=7200,key="扶风郡·大旗重置",},{nClass=20,nIcon=592,nFrame=4,szName="【世外坡】大旗重置",nTime="180,【世外坡】大旗重置;185,【世外坡】大旗重置·结束",nRefresh=7200,key="世外坡·大旗重置",},},},</v>
      </c>
      <c r="U159" t="s">
        <v>2617</v>
      </c>
      <c r="V159" t="s">
        <v>2618</v>
      </c>
      <c r="W159" t="s">
        <v>2543</v>
      </c>
      <c r="X159" t="s">
        <v>2544</v>
      </c>
      <c r="Y159" t="s">
        <v>2619</v>
      </c>
      <c r="Z159" t="s">
        <v>2620</v>
      </c>
    </row>
    <row r="160" spans="1:34">
      <c r="A160" t="s">
        <v>1061</v>
      </c>
      <c r="B160">
        <v>216</v>
      </c>
      <c r="T160" t="str">
        <f t="shared" si="4"/>
        <v>},[216]={</v>
      </c>
    </row>
    <row r="161" spans="1:26">
      <c r="C161" t="s">
        <v>2621</v>
      </c>
      <c r="D161" t="s">
        <v>2489</v>
      </c>
      <c r="G161" t="s">
        <v>2622</v>
      </c>
      <c r="H161" t="s">
        <v>2623</v>
      </c>
      <c r="K161" t="s">
        <v>2033</v>
      </c>
      <c r="M161">
        <v>1</v>
      </c>
      <c r="T161" t="str">
        <f t="shared" si="4"/>
        <v>{szContent="([浩气恶人]+)[盟谷]-位于(.-)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szName="{$3}·{$1}大旗被夺",nTime=-2,key="{$3}·{$1}大旗",},{nClass=20,nIcon=4837,nFrame=7,szName="{$2}【{$3}】浩气大旗被夺",nTime=30,nRefresh=1,key="{$3}·浩气大旗",},{nClass=20,nIcon=4838,nFrame=3,szName="{$2}【{$3}】恶人大旗被夺",nTime=30,nRefresh=1,key="{$3}·恶人大旗",},},},</v>
      </c>
      <c r="U161" t="s">
        <v>2490</v>
      </c>
      <c r="V161" t="s">
        <v>2491</v>
      </c>
      <c r="W161" t="s">
        <v>2492</v>
      </c>
      <c r="X161" t="s">
        <v>2624</v>
      </c>
      <c r="Y161" t="s">
        <v>2494</v>
      </c>
      <c r="Z161" t="s">
        <v>2495</v>
      </c>
    </row>
    <row r="162" spans="1:26">
      <c r="C162" t="s">
        <v>2540</v>
      </c>
      <c r="D162" t="s">
        <v>2541</v>
      </c>
      <c r="K162" t="s">
        <v>2033</v>
      </c>
      <c r="M162">
        <v>1</v>
      </c>
      <c r="T162" t="str">
        <f t="shared" si="4"/>
        <v>{szContent="^【(.*)】据点大旗(.*)重置回初始位置！\n",szNote="{$1}·大旗重置",col={255,255,100,},bReg=true,[20]={},tCountdown={{nClass=20,nIcon=1465,szName="云台营·大旗重置",nTime=-2,nRefresh=7200,key="云台营·大旗重置",},{nClass=20,nIcon=1465,szName="高阳营·大旗重置",nTime=-2,nRefresh=7200,key="高阳营·大旗重置",},{nClass=20,nIcon=13,szName="【{$1}】大旗重置",nTime=-2,key="{$1}·大旗重置",},{nClass=20,nIcon=592,nFrame=4,szName="【{$1}】大旗重置",nTime=30,key="{$1}·大旗重置",},{nClass=20,nIcon=592,nFrame=4,szName="【云台营】大旗重置",nTime="180,【云台营】大旗重置;185,【云台营】大旗重置·结束",nRefresh=7200,key="云台营·大旗重置",},{nClass=20,nIcon=592,nFrame=4,szName="【高阳营】大旗重置",nTime="180,【高阳营】大旗重置;185,【高阳营】大旗重置·结束",nRefresh=7200,key="高阳营·大旗重置",},},},</v>
      </c>
      <c r="U162" t="s">
        <v>2625</v>
      </c>
      <c r="V162" t="s">
        <v>2626</v>
      </c>
      <c r="W162" t="s">
        <v>2543</v>
      </c>
      <c r="X162" t="s">
        <v>2544</v>
      </c>
      <c r="Y162" t="s">
        <v>2627</v>
      </c>
      <c r="Z162" t="s">
        <v>2628</v>
      </c>
    </row>
    <row r="163" customFormat="1" spans="1:26">
      <c r="C163" s="5" t="s">
        <v>2515</v>
      </c>
      <c r="D163" t="s">
        <v>2516</v>
      </c>
      <c r="K163" t="s">
        <v>2033</v>
      </c>
      <c r="M163">
        <v>1</v>
      </c>
      <c r="T163" t="str">
        <f t="shared" si="4"/>
        <v>{szContent="^江湖快报！(.-)据点粮仓被一群([浩气恶人]+)[盟谷]-人士洗劫",szNote="{$1}·{$2}劫粮",col={255,255,100,},bReg=true,[20]={},tCountdown={{nClass=20,nIcon=2397,nFrame=-1,szName="{$1}·浩气劫粮",nTime=-1,nRefresh=2,key="{$1}·浩气劫粮",},{nClass=20,nIcon=2398,nFrame=-1,szName="{$1}·恶人劫粮",nTime=-1,nRefresh=2,key="{$1}·恶人劫粮",},{nClass=20,nIcon=2400,nFrame=7,szName="{$1}·{$2}劫粮",nTime=-2,key="{$1}·{$2}劫粮",},{nClass=20,nIcon=10449,nFrame=7,szName="【{$1}】浩气劫粮",nTime=30,nRefresh=1,key="{$1}·浩气劫粮",},{nClass=20,nIcon=10450,nFrame=3,szName="【{$1}】恶人劫粮",nTime=30,nRefresh=1,key="{$1}·恶人劫粮",},},},</v>
      </c>
      <c r="U163" t="s">
        <v>2517</v>
      </c>
      <c r="V163" t="s">
        <v>2518</v>
      </c>
      <c r="W163" t="s">
        <v>2519</v>
      </c>
      <c r="X163" t="s">
        <v>2520</v>
      </c>
      <c r="Y163" t="s">
        <v>2521</v>
      </c>
    </row>
    <row r="164" spans="1:26">
      <c r="A164" t="s">
        <v>1414</v>
      </c>
      <c r="B164">
        <v>656</v>
      </c>
      <c r="T164" t="str">
        <f t="shared" si="4"/>
        <v>},[656]={</v>
      </c>
    </row>
    <row r="165" spans="1:26">
      <c r="C165" t="s">
        <v>2621</v>
      </c>
      <c r="D165" t="s">
        <v>2489</v>
      </c>
      <c r="G165" t="s">
        <v>2622</v>
      </c>
      <c r="H165" t="s">
        <v>2623</v>
      </c>
      <c r="K165" t="s">
        <v>2033</v>
      </c>
      <c r="M165">
        <v>1</v>
      </c>
      <c r="T165" t="str">
        <f t="shared" si="4"/>
        <v>{szContent="([浩气恶人]+)[盟谷]-位于(.-)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szName="{$3}·{$1}大旗被夺",nTime=-2,key="{$3}·{$1}大旗",},{nClass=20,nIcon=4837,nFrame=7,szName="{$2}【{$3}】浩气大旗被夺",nTime=30,nRefresh=1,key="{$3}·浩气大旗",},{nClass=20,nIcon=4838,nFrame=3,szName="{$2}【{$3}】恶人大旗被夺",nTime=30,nRefresh=1,key="{$3}·恶人大旗",},},},</v>
      </c>
      <c r="U165" t="s">
        <v>2490</v>
      </c>
      <c r="V165" t="s">
        <v>2491</v>
      </c>
      <c r="W165" t="s">
        <v>2492</v>
      </c>
      <c r="X165" t="s">
        <v>2624</v>
      </c>
      <c r="Y165" t="s">
        <v>2494</v>
      </c>
      <c r="Z165" t="s">
        <v>2495</v>
      </c>
    </row>
    <row r="166" spans="1:26">
      <c r="C166" t="s">
        <v>2540</v>
      </c>
      <c r="D166" t="s">
        <v>2541</v>
      </c>
      <c r="K166" t="s">
        <v>2033</v>
      </c>
      <c r="M166">
        <v>1</v>
      </c>
      <c r="T166" t="str">
        <f t="shared" si="4"/>
        <v>{szContent="^【(.*)】据点大旗(.*)重置回初始位置！\n",szNote="{$1}·大旗重置",col={255,255,100,},bReg=true,[20]={},tCountdown={{nClass=20,nIcon=1465,szName="云台营·大旗重置",nTime=-2,nRefresh=7200,key="云台营·大旗重置",},{nClass=20,nIcon=1465,szName="高阳营·大旗重置",nTime=-2,nRefresh=7200,key="高阳营·大旗重置",},{nClass=20,nIcon=13,szName="【{$1}】大旗重置",nTime=-2,key="{$1}·大旗重置",},{nClass=20,nIcon=592,nFrame=4,szName="【{$1}】大旗重置",nTime=30,key="{$1}·大旗重置",},{nClass=20,nIcon=592,nFrame=4,szName="【云台营】大旗重置",nTime="180,【云台营】大旗重置;185,【云台营】大旗重置·结束",nRefresh=7200,key="云台营·大旗重置",},{nClass=20,nIcon=592,nFrame=4,szName="【高阳营】大旗重置",nTime="180,【高阳营】大旗重置;185,【高阳营】大旗重置·结束",nRefresh=7200,key="高阳营·大旗重置",},},},</v>
      </c>
      <c r="U166" t="s">
        <v>2625</v>
      </c>
      <c r="V166" t="s">
        <v>2626</v>
      </c>
      <c r="W166" t="s">
        <v>2543</v>
      </c>
      <c r="X166" t="s">
        <v>2544</v>
      </c>
      <c r="Y166" t="s">
        <v>2627</v>
      </c>
      <c r="Z166" t="s">
        <v>2628</v>
      </c>
    </row>
    <row r="167" customFormat="1" spans="1:26">
      <c r="C167" s="5" t="s">
        <v>2515</v>
      </c>
      <c r="D167" t="s">
        <v>2516</v>
      </c>
      <c r="K167" t="s">
        <v>2033</v>
      </c>
      <c r="M167">
        <v>1</v>
      </c>
      <c r="T167" t="str">
        <f t="shared" si="4"/>
        <v>{szContent="^江湖快报！(.-)据点粮仓被一群([浩气恶人]+)[盟谷]-人士洗劫",szNote="{$1}·{$2}劫粮",col={255,255,100,},bReg=true,[20]={},tCountdown={{nClass=20,nIcon=2397,nFrame=-1,szName="{$1}·浩气劫粮",nTime=-1,nRefresh=2,key="{$1}·浩气劫粮",},{nClass=20,nIcon=2398,nFrame=-1,szName="{$1}·恶人劫粮",nTime=-1,nRefresh=2,key="{$1}·恶人劫粮",},{nClass=20,nIcon=2400,nFrame=7,szName="{$1}·{$2}劫粮",nTime=-2,key="{$1}·{$2}劫粮",},{nClass=20,nIcon=10449,nFrame=7,szName="【{$1}】浩气劫粮",nTime=30,nRefresh=1,key="{$1}·浩气劫粮",},{nClass=20,nIcon=10450,nFrame=3,szName="【{$1}】恶人劫粮",nTime=30,nRefresh=1,key="{$1}·恶人劫粮",},},},</v>
      </c>
      <c r="U167" t="s">
        <v>2517</v>
      </c>
      <c r="V167" t="s">
        <v>2518</v>
      </c>
      <c r="W167" t="s">
        <v>2519</v>
      </c>
      <c r="X167" t="s">
        <v>2520</v>
      </c>
      <c r="Y167" t="s">
        <v>2521</v>
      </c>
    </row>
    <row r="168" spans="1:26">
      <c r="T168" t="str">
        <f t="shared" si="4"/>
        <v>},},}</v>
      </c>
    </row>
  </sheetData>
  <autoFilter xmlns:etc="http://www.wps.cn/officeDocument/2017/etCustomData" ref="A1:BG168" etc:filterBottomFollowUsedRange="0">
    <extLst/>
  </autoFilter>
  <sortState ref="A101:AH117">
    <sortCondition ref="A101:A117" descending="1"/>
  </sortState>
  <pageMargins left="0.7" right="0.7" top="0.75" bottom="0.75" header="0.3" footer="0.3"/>
  <pageSetup paperSize="9" orientation="portrait" horizontalDpi="1200" verticalDpi="12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30"/>
  <sheetViews>
    <sheetView workbookViewId="0">
      <selection activeCell="E40" sqref="E40"/>
    </sheetView>
  </sheetViews>
  <sheetFormatPr defaultColWidth="9" defaultRowHeight="13.5" outlineLevelCol="2"/>
  <cols>
    <col min="1" max="1" width="19" customWidth="1"/>
  </cols>
  <sheetData>
    <row r="3" spans="1:3">
      <c r="A3" t="s">
        <v>1806</v>
      </c>
      <c r="B3" t="s">
        <v>2536</v>
      </c>
      <c r="C3" t="s">
        <v>2629</v>
      </c>
    </row>
    <row r="4" spans="1:3">
      <c r="A4" t="s">
        <v>1812</v>
      </c>
      <c r="B4" s="1" t="s">
        <v>2546</v>
      </c>
      <c r="C4" t="s">
        <v>2630</v>
      </c>
    </row>
    <row r="5" spans="1:3">
      <c r="A5" t="s">
        <v>1821</v>
      </c>
      <c r="B5" s="1" t="s">
        <v>2549</v>
      </c>
      <c r="C5" s="1" t="s">
        <v>2631</v>
      </c>
    </row>
    <row r="6" spans="1:3">
      <c r="A6" t="s">
        <v>1825</v>
      </c>
      <c r="B6" s="1" t="s">
        <v>2550</v>
      </c>
      <c r="C6" s="1" t="s">
        <v>2632</v>
      </c>
    </row>
    <row r="7" spans="1:3">
      <c r="A7" t="s">
        <v>1831</v>
      </c>
      <c r="B7" s="1" t="s">
        <v>2555</v>
      </c>
      <c r="C7" s="1" t="s">
        <v>2633</v>
      </c>
    </row>
    <row r="8" spans="1:3">
      <c r="A8" t="s">
        <v>1835</v>
      </c>
      <c r="B8" s="1" t="s">
        <v>2556</v>
      </c>
      <c r="C8" s="1" t="s">
        <v>2634</v>
      </c>
    </row>
    <row r="9" spans="1:3">
      <c r="A9" t="s">
        <v>1846</v>
      </c>
      <c r="B9" s="1" t="s">
        <v>2561</v>
      </c>
      <c r="C9" s="1" t="s">
        <v>2635</v>
      </c>
    </row>
    <row r="10" spans="1:3">
      <c r="A10" t="s">
        <v>1850</v>
      </c>
      <c r="B10" s="1" t="s">
        <v>2562</v>
      </c>
      <c r="C10" s="1" t="s">
        <v>2636</v>
      </c>
    </row>
    <row r="11" spans="1:3">
      <c r="A11" t="s">
        <v>1856</v>
      </c>
      <c r="B11" s="1" t="s">
        <v>2567</v>
      </c>
      <c r="C11" s="1" t="s">
        <v>2637</v>
      </c>
    </row>
    <row r="12" spans="1:3">
      <c r="A12" t="s">
        <v>1860</v>
      </c>
      <c r="B12" s="1" t="s">
        <v>2568</v>
      </c>
      <c r="C12" s="1" t="s">
        <v>2638</v>
      </c>
    </row>
    <row r="13" spans="1:3">
      <c r="A13" t="s">
        <v>1864</v>
      </c>
      <c r="B13" s="1" t="s">
        <v>2573</v>
      </c>
      <c r="C13" s="1" t="s">
        <v>2639</v>
      </c>
    </row>
    <row r="14" spans="1:3">
      <c r="A14" t="s">
        <v>1868</v>
      </c>
      <c r="B14" s="1" t="s">
        <v>2574</v>
      </c>
      <c r="C14" s="1" t="s">
        <v>2640</v>
      </c>
    </row>
    <row r="15" spans="1:3">
      <c r="A15" t="s">
        <v>1874</v>
      </c>
      <c r="B15" s="1" t="s">
        <v>2579</v>
      </c>
      <c r="C15" s="1" t="s">
        <v>2641</v>
      </c>
    </row>
    <row r="16" spans="1:3">
      <c r="A16" t="s">
        <v>1878</v>
      </c>
      <c r="B16" s="1" t="s">
        <v>2580</v>
      </c>
      <c r="C16" s="1" t="s">
        <v>2642</v>
      </c>
    </row>
    <row r="17" spans="1:3">
      <c r="A17" t="s">
        <v>1882</v>
      </c>
      <c r="B17" s="1" t="s">
        <v>2585</v>
      </c>
      <c r="C17" s="1" t="s">
        <v>2643</v>
      </c>
    </row>
    <row r="18" spans="1:3">
      <c r="A18" t="s">
        <v>1886</v>
      </c>
      <c r="B18" s="1" t="s">
        <v>2586</v>
      </c>
      <c r="C18" s="1" t="s">
        <v>2644</v>
      </c>
    </row>
    <row r="19" spans="1:3">
      <c r="A19" t="s">
        <v>1892</v>
      </c>
      <c r="B19" s="1" t="s">
        <v>2591</v>
      </c>
      <c r="C19" s="1" t="s">
        <v>2645</v>
      </c>
    </row>
    <row r="20" spans="1:3">
      <c r="A20" t="s">
        <v>1896</v>
      </c>
      <c r="B20" s="1" t="s">
        <v>2592</v>
      </c>
      <c r="C20" s="1" t="s">
        <v>2646</v>
      </c>
    </row>
    <row r="21" spans="1:3">
      <c r="A21" t="s">
        <v>1902</v>
      </c>
      <c r="B21" s="1" t="s">
        <v>2597</v>
      </c>
      <c r="C21" s="1" t="s">
        <v>2647</v>
      </c>
    </row>
    <row r="22" spans="1:3">
      <c r="A22" t="s">
        <v>1906</v>
      </c>
      <c r="B22" s="1" t="s">
        <v>2598</v>
      </c>
      <c r="C22" s="1" t="s">
        <v>2648</v>
      </c>
    </row>
    <row r="23" spans="1:3">
      <c r="A23" t="s">
        <v>1910</v>
      </c>
      <c r="B23" s="1" t="s">
        <v>2603</v>
      </c>
      <c r="C23" s="1" t="s">
        <v>2649</v>
      </c>
    </row>
    <row r="24" spans="1:3">
      <c r="A24" t="s">
        <v>1914</v>
      </c>
      <c r="B24" s="1" t="s">
        <v>2604</v>
      </c>
      <c r="C24" s="1" t="s">
        <v>2650</v>
      </c>
    </row>
    <row r="25" spans="1:3">
      <c r="A25" t="s">
        <v>1924</v>
      </c>
      <c r="B25" s="1" t="s">
        <v>2609</v>
      </c>
      <c r="C25" s="1" t="s">
        <v>2651</v>
      </c>
    </row>
    <row r="26" spans="1:3">
      <c r="A26" t="s">
        <v>1928</v>
      </c>
      <c r="B26" s="1" t="s">
        <v>2610</v>
      </c>
      <c r="C26" s="1" t="s">
        <v>2652</v>
      </c>
    </row>
    <row r="27" spans="1:3">
      <c r="A27" t="s">
        <v>1932</v>
      </c>
      <c r="B27" s="1" t="s">
        <v>2615</v>
      </c>
      <c r="C27" s="1" t="s">
        <v>2653</v>
      </c>
    </row>
    <row r="28" spans="1:3">
      <c r="A28" t="s">
        <v>1936</v>
      </c>
      <c r="B28" s="1" t="s">
        <v>2616</v>
      </c>
      <c r="C28" s="1" t="s">
        <v>2654</v>
      </c>
    </row>
    <row r="29" spans="1:3">
      <c r="A29" t="s">
        <v>1948</v>
      </c>
      <c r="B29" s="1" t="s">
        <v>2622</v>
      </c>
      <c r="C29" s="1" t="s">
        <v>2655</v>
      </c>
    </row>
    <row r="30" spans="1:3">
      <c r="A30" t="s">
        <v>1952</v>
      </c>
      <c r="B30" s="1" t="s">
        <v>2623</v>
      </c>
      <c r="C30" s="1" t="s">
        <v>2656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茗伊团队监控数据总控</vt:lpstr>
      <vt:lpstr>字典</vt:lpstr>
      <vt:lpstr>有利气劲</vt:lpstr>
      <vt:lpstr>不利气劲</vt:lpstr>
      <vt:lpstr>武学招式</vt:lpstr>
      <vt:lpstr>系统角色</vt:lpstr>
      <vt:lpstr>交互物件</vt:lpstr>
      <vt:lpstr>角色喊话</vt:lpstr>
      <vt:lpstr>系统频道</vt:lpstr>
      <vt:lpstr>公式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WPS_1697651713</cp:lastModifiedBy>
  <dcterms:created xsi:type="dcterms:W3CDTF">2024-01-14T19:36:00Z</dcterms:created>
  <dcterms:modified xsi:type="dcterms:W3CDTF">2026-10-20T20:27:58Z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FCD7F5C9BC1F4210ADA9BBF0945A9500_12</vt:lpwstr>
  </property>
  <property fmtid="{D5CDD505-2E9C-101B-9397-08002B2CF9AE}" pid="4" name="KSOProductBuildVer">
    <vt:lpwstr>2052-12.1.0.25860</vt:lpwstr>
  </property>
  <property fmtid="{D5CDD505-2E9C-101B-9397-08002B2CF9AE}" pid="5" name="CalculationRule">
    <vt:i4>0</vt:i4>
  </property>
</Properties>
</file>