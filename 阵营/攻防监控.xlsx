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有利气劲!$A$1:$AS$26</definedName>
    <definedName name="_xlnm._FilterDatabase" localSheetId="3" hidden="1">不利气劲!$A$1:$BY$88</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<sst xmlns="http://schemas.openxmlformats.org/spreadsheetml/2006/main" count="5596" uniqueCount="2564">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</sst>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1788193460000,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6"/>
  <sheetViews>
    <sheetView zoomScale="90" zoomScaleNormal="90" workbookViewId="0">
      <selection activeCell="K4" sqref="K4"/>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2">
      <c r="C17" s="5">
        <v>7561</v>
      </c>
      <c r="D17">
        <v>1</v>
      </c>
      <c r="G17" t="s">
        <v>1483</v>
      </c>
      <c r="K17" t="s">
        <v>1484</v>
      </c>
      <c r="L17" t="s">
        <v>1485</v>
      </c>
      <c r="R17">
        <v>1</v>
      </c>
      <c r="S17">
        <v>1</v>
      </c>
      <c r="T17">
        <v>1</v>
      </c>
      <c r="V17">
        <v>1</v>
      </c>
      <c r="AD17">
        <v>1</v>
      </c>
      <c r="AE17" t="s">
        <v>1486</v>
      </c>
      <c r="AF17">
        <v>2</v>
      </c>
      <c r="AG17" t="s">
        <v>1487</v>
      </c>
      <c r="AH17" t="s">
        <v>1488</v>
      </c>
      <c r="AI17">
        <v>255</v>
      </c>
      <c r="AM17" t="s">
        <v>1489</v>
      </c>
      <c r="AN17"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7" t="s">
        <v>1490</v>
      </c>
      <c r="AP17" t="s">
        <v>1491</v>
      </c>
    </row>
    <row r="18" customFormat="1" spans="1:42">
      <c r="C18" s="5">
        <v>7525</v>
      </c>
      <c r="D18">
        <v>1</v>
      </c>
      <c r="G18" t="s">
        <v>1492</v>
      </c>
      <c r="K18" t="s">
        <v>1493</v>
      </c>
      <c r="L18" t="s">
        <v>1485</v>
      </c>
      <c r="R18">
        <v>1</v>
      </c>
      <c r="S18">
        <v>1</v>
      </c>
      <c r="T18">
        <v>1</v>
      </c>
      <c r="V18">
        <v>1</v>
      </c>
      <c r="AD18">
        <v>1</v>
      </c>
      <c r="AE18" t="s">
        <v>1486</v>
      </c>
      <c r="AF18">
        <v>2</v>
      </c>
      <c r="AG18" t="s">
        <v>1487</v>
      </c>
      <c r="AH18" t="s">
        <v>1488</v>
      </c>
      <c r="AI18">
        <v>255</v>
      </c>
      <c r="AM18" t="s">
        <v>1489</v>
      </c>
      <c r="AN18"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2">
      <c r="C19" s="5">
        <v>7373</v>
      </c>
      <c r="D19">
        <v>1</v>
      </c>
      <c r="F19">
        <v>134</v>
      </c>
      <c r="G19" t="s">
        <v>1467</v>
      </c>
      <c r="I19">
        <v>3</v>
      </c>
      <c r="K19" s="14" t="s">
        <v>1473</v>
      </c>
      <c r="L19" t="s">
        <v>1474</v>
      </c>
      <c r="R19">
        <v>1</v>
      </c>
      <c r="AN19" t="str">
        <f t="shared" si="0"/>
        <v>{dwID=7373,nLevel=1,nIcon=134,szName="箭弩车",nScrutinyType=3,szNote="箭弩车记录ID",col={255,50,255,},[1]={bScreenHead=true,},[2]={},},</v>
      </c>
    </row>
    <row r="20" customFormat="1" spans="1:42">
      <c r="C20" s="5">
        <v>7492</v>
      </c>
      <c r="D20">
        <v>1</v>
      </c>
      <c r="G20" t="s">
        <v>1494</v>
      </c>
      <c r="I20">
        <v>2</v>
      </c>
      <c r="K20" t="s">
        <v>1495</v>
      </c>
      <c r="L20" t="s">
        <v>1479</v>
      </c>
      <c r="T20">
        <v>1</v>
      </c>
      <c r="AN20" t="str">
        <f t="shared" si="0"/>
        <v>{dwID=7492,nLevel=1,szName="御城矛",nScrutinyType=2,szNote="御城·矛",col={0,255,0,},[1]={bBuffList=true,},[2]={},},</v>
      </c>
    </row>
    <row r="21" customFormat="1" spans="1:42">
      <c r="A21" t="s">
        <v>1414</v>
      </c>
      <c r="B21">
        <v>656</v>
      </c>
      <c r="AN21" t="str">
        <f t="shared" si="0"/>
        <v>},[656]={</v>
      </c>
    </row>
    <row r="22" customFormat="1" spans="1:42">
      <c r="C22" s="5">
        <v>7561</v>
      </c>
      <c r="D22">
        <v>1</v>
      </c>
      <c r="G22" t="s">
        <v>1483</v>
      </c>
      <c r="K22" t="s">
        <v>1484</v>
      </c>
      <c r="L22" t="s">
        <v>1485</v>
      </c>
      <c r="R22">
        <v>1</v>
      </c>
      <c r="S22">
        <v>1</v>
      </c>
      <c r="T22">
        <v>1</v>
      </c>
      <c r="V22">
        <v>1</v>
      </c>
      <c r="AD22">
        <v>1</v>
      </c>
      <c r="AE22" t="s">
        <v>1486</v>
      </c>
      <c r="AF22">
        <v>2</v>
      </c>
      <c r="AG22" t="s">
        <v>1487</v>
      </c>
      <c r="AH22" t="s">
        <v>1488</v>
      </c>
      <c r="AI22">
        <v>255</v>
      </c>
      <c r="AM22" t="s">
        <v>1489</v>
      </c>
      <c r="AN2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2" t="s">
        <v>1490</v>
      </c>
      <c r="AP22" t="s">
        <v>1491</v>
      </c>
    </row>
    <row r="23" customFormat="1" spans="1:42">
      <c r="C23" s="5">
        <v>7525</v>
      </c>
      <c r="D23">
        <v>1</v>
      </c>
      <c r="G23" t="s">
        <v>1492</v>
      </c>
      <c r="K23" t="s">
        <v>1493</v>
      </c>
      <c r="L23" t="s">
        <v>1485</v>
      </c>
      <c r="R23">
        <v>1</v>
      </c>
      <c r="S23">
        <v>1</v>
      </c>
      <c r="T23">
        <v>1</v>
      </c>
      <c r="V23">
        <v>1</v>
      </c>
      <c r="AD23">
        <v>1</v>
      </c>
      <c r="AE23" t="s">
        <v>1486</v>
      </c>
      <c r="AF23">
        <v>2</v>
      </c>
      <c r="AG23" t="s">
        <v>1487</v>
      </c>
      <c r="AH23" t="s">
        <v>1488</v>
      </c>
      <c r="AI23">
        <v>255</v>
      </c>
      <c r="AM23" t="s">
        <v>1489</v>
      </c>
      <c r="AN2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3" t="s">
        <v>1490</v>
      </c>
      <c r="AP23" t="s">
        <v>1491</v>
      </c>
    </row>
    <row r="24" customFormat="1" spans="1:42">
      <c r="C24" s="5">
        <v>7373</v>
      </c>
      <c r="D24">
        <v>1</v>
      </c>
      <c r="F24">
        <v>134</v>
      </c>
      <c r="G24" t="s">
        <v>1467</v>
      </c>
      <c r="I24">
        <v>3</v>
      </c>
      <c r="K24" t="s">
        <v>1473</v>
      </c>
      <c r="L24" t="s">
        <v>1474</v>
      </c>
      <c r="R24">
        <v>1</v>
      </c>
      <c r="AN24" t="str">
        <f t="shared" si="0"/>
        <v>{dwID=7373,nLevel=1,nIcon=134,szName="箭弩车",nScrutinyType=3,szNote="箭弩车记录ID",col={255,50,255,},[1]={bScreenHead=true,},[2]={},},</v>
      </c>
    </row>
    <row r="25" customFormat="1" spans="1:42">
      <c r="C25" s="5">
        <v>7492</v>
      </c>
      <c r="D25">
        <v>1</v>
      </c>
      <c r="G25" t="s">
        <v>1494</v>
      </c>
      <c r="I25">
        <v>2</v>
      </c>
      <c r="K25" t="s">
        <v>1495</v>
      </c>
      <c r="L25" t="s">
        <v>1479</v>
      </c>
      <c r="T25">
        <v>1</v>
      </c>
      <c r="AN25" t="str">
        <f t="shared" si="0"/>
        <v>{dwID=7492,nLevel=1,szName="御城矛",nScrutinyType=2,szNote="御城·矛",col={0,255,0,},[1]={bBuffList=true,},[2]={},},</v>
      </c>
    </row>
    <row r="26" spans="1:42">
      <c r="AN26" t="str">
        <f t="shared" si="0"/>
        <v>},},}</v>
      </c>
    </row>
  </sheetData>
  <autoFilter xmlns:etc="http://www.wps.cn/officeDocument/2017/etCustomData" ref="A1:AS2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8"/>
  <sheetViews>
    <sheetView zoomScale="90" zoomScaleNormal="90" workbookViewId="0">
      <pane ySplit="1" topLeftCell="A2" activePane="bottomLeft" state="frozen"/>
      <selection/>
      <selection pane="bottomLeft" activeCell="AN17" sqref="AN17"/>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1496</v>
      </c>
      <c r="AO1" t="s">
        <v>258</v>
      </c>
    </row>
    <row r="2" spans="1:43">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1497</v>
      </c>
      <c r="I3">
        <v>1</v>
      </c>
      <c r="K3" t="s">
        <v>1498</v>
      </c>
      <c r="L3" t="s">
        <v>1499</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1500</v>
      </c>
    </row>
    <row r="4" customFormat="1" spans="1:43">
      <c r="C4">
        <v>11559</v>
      </c>
      <c r="D4">
        <v>1</v>
      </c>
      <c r="F4">
        <v>1244</v>
      </c>
      <c r="G4" t="s">
        <v>1501</v>
      </c>
      <c r="I4">
        <v>1</v>
      </c>
      <c r="K4" t="s">
        <v>1502</v>
      </c>
      <c r="L4" t="s">
        <v>1474</v>
      </c>
      <c r="N4" t="s">
        <v>537</v>
      </c>
      <c r="O4">
        <v>1</v>
      </c>
      <c r="P4">
        <v>1</v>
      </c>
      <c r="Q4">
        <v>1</v>
      </c>
      <c r="R4">
        <v>1</v>
      </c>
      <c r="T4">
        <v>1</v>
      </c>
      <c r="U4">
        <v>1</v>
      </c>
      <c r="V4">
        <v>1</v>
      </c>
      <c r="AE4" t="s">
        <v>1503</v>
      </c>
      <c r="AF4">
        <v>3</v>
      </c>
      <c r="AG4" t="s">
        <v>1504</v>
      </c>
      <c r="AH4" t="s">
        <v>1505</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1506</v>
      </c>
    </row>
    <row r="5" customFormat="1" spans="1:43">
      <c r="C5">
        <v>30543</v>
      </c>
      <c r="D5">
        <v>1</v>
      </c>
      <c r="G5" t="s">
        <v>1507</v>
      </c>
      <c r="I5">
        <v>1</v>
      </c>
      <c r="K5" t="s">
        <v>1508</v>
      </c>
      <c r="L5" t="s">
        <v>1499</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1509</v>
      </c>
      <c r="AP5" t="s">
        <v>1510</v>
      </c>
    </row>
    <row r="6" customFormat="1" spans="1:43">
      <c r="C6">
        <v>30542</v>
      </c>
      <c r="D6">
        <v>1</v>
      </c>
      <c r="G6" t="s">
        <v>1511</v>
      </c>
      <c r="I6">
        <v>1</v>
      </c>
      <c r="K6" t="s">
        <v>1512</v>
      </c>
      <c r="L6" t="s">
        <v>1499</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1513</v>
      </c>
      <c r="AP6" t="s">
        <v>1514</v>
      </c>
    </row>
    <row r="7" customFormat="1" spans="1:43">
      <c r="C7">
        <v>30541</v>
      </c>
      <c r="D7">
        <v>1</v>
      </c>
      <c r="G7" t="s">
        <v>1515</v>
      </c>
      <c r="I7">
        <v>1</v>
      </c>
      <c r="K7" t="s">
        <v>1516</v>
      </c>
      <c r="L7" t="s">
        <v>1499</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1517</v>
      </c>
      <c r="AP7" t="s">
        <v>1518</v>
      </c>
    </row>
    <row r="8" customFormat="1" spans="1:43">
      <c r="C8">
        <v>30540</v>
      </c>
      <c r="D8">
        <v>1</v>
      </c>
      <c r="G8" t="s">
        <v>1519</v>
      </c>
      <c r="I8">
        <v>1</v>
      </c>
      <c r="K8" t="s">
        <v>1520</v>
      </c>
      <c r="L8" t="s">
        <v>1499</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1521</v>
      </c>
      <c r="AP8" t="s">
        <v>1522</v>
      </c>
    </row>
    <row r="9" customFormat="1" spans="1:43">
      <c r="C9">
        <v>30539</v>
      </c>
      <c r="D9">
        <v>1</v>
      </c>
      <c r="G9" t="s">
        <v>1523</v>
      </c>
      <c r="I9">
        <v>1</v>
      </c>
      <c r="K9" t="s">
        <v>1524</v>
      </c>
      <c r="L9" t="s">
        <v>1499</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1525</v>
      </c>
      <c r="AP9" t="s">
        <v>1526</v>
      </c>
    </row>
    <row r="10" customFormat="1" spans="1:43">
      <c r="C10">
        <v>30538</v>
      </c>
      <c r="D10">
        <v>1</v>
      </c>
      <c r="G10" t="s">
        <v>1527</v>
      </c>
      <c r="I10">
        <v>1</v>
      </c>
      <c r="K10" t="s">
        <v>1528</v>
      </c>
      <c r="L10" t="s">
        <v>1499</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1529</v>
      </c>
      <c r="AP10" t="s">
        <v>1530</v>
      </c>
    </row>
    <row r="11" customFormat="1" spans="1:43">
      <c r="C11">
        <v>10662</v>
      </c>
      <c r="D11">
        <v>1</v>
      </c>
      <c r="F11">
        <v>3287</v>
      </c>
      <c r="G11" t="s">
        <v>1531</v>
      </c>
      <c r="I11">
        <v>1</v>
      </c>
      <c r="K11" t="s">
        <v>1532</v>
      </c>
      <c r="L11" t="s">
        <v>1499</v>
      </c>
      <c r="T11">
        <v>1</v>
      </c>
      <c r="AN11" t="str">
        <f t="shared" si="0"/>
        <v>{dwID=10662,nLevel=1,nIcon=3287,szName="验战阶",nScrutinyType=1,szNote="前阶段战阶·占坑检测",col={255,255,0,},[1]={bBuffList=true,},[2]={},},</v>
      </c>
    </row>
    <row r="12" customFormat="1" spans="1:43">
      <c r="C12">
        <v>10305</v>
      </c>
      <c r="D12">
        <v>1</v>
      </c>
      <c r="G12" t="s">
        <v>1533</v>
      </c>
      <c r="I12">
        <v>1</v>
      </c>
      <c r="K12" t="s">
        <v>1534</v>
      </c>
      <c r="L12" t="s">
        <v>1474</v>
      </c>
      <c r="N12" t="s">
        <v>537</v>
      </c>
      <c r="O12">
        <v>1</v>
      </c>
      <c r="P12">
        <v>1</v>
      </c>
      <c r="Q12">
        <v>1</v>
      </c>
      <c r="T12">
        <v>1</v>
      </c>
      <c r="U12">
        <v>1</v>
      </c>
      <c r="AE12" t="s">
        <v>1535</v>
      </c>
      <c r="AF12">
        <v>2</v>
      </c>
      <c r="AG12" t="s">
        <v>1504</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1536</v>
      </c>
    </row>
    <row r="13" customFormat="1" spans="1:43">
      <c r="C13">
        <v>7756</v>
      </c>
      <c r="D13">
        <v>1</v>
      </c>
      <c r="I13">
        <v>1</v>
      </c>
      <c r="K13" t="s">
        <v>1537</v>
      </c>
      <c r="L13" t="s">
        <v>1499</v>
      </c>
      <c r="T13">
        <v>1</v>
      </c>
      <c r="AE13" t="s">
        <v>1538</v>
      </c>
      <c r="AF13">
        <v>3</v>
      </c>
      <c r="AG13" t="s">
        <v>1539</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1540</v>
      </c>
      <c r="AP13" t="s">
        <v>1541</v>
      </c>
    </row>
    <row r="14" customFormat="1" spans="1:43">
      <c r="C14">
        <v>29721</v>
      </c>
      <c r="D14">
        <v>1</v>
      </c>
      <c r="I14">
        <v>1</v>
      </c>
      <c r="K14" t="s">
        <v>1542</v>
      </c>
      <c r="L14" t="s">
        <v>1499</v>
      </c>
      <c r="AN14" t="str">
        <f t="shared" si="0"/>
        <v>{dwID=29721,nLevel=1,nScrutinyType=1,szNote="业务繁忙",col={255,255,0,},[1]={},[2]={},tCountdown={{nClass=1,nIcon=13,szName="通用事件",nTime=-1,nRefresh=99999,key="通用事件",},{nClass=2,nIcon=13,szName="通用事件",nTime=-2,key="通用事件",},},},</v>
      </c>
      <c r="AO14" t="s">
        <v>1543</v>
      </c>
      <c r="AP14" t="s">
        <v>1544</v>
      </c>
    </row>
    <row r="15" customFormat="1" spans="1:43">
      <c r="C15">
        <v>25654</v>
      </c>
      <c r="D15">
        <v>1</v>
      </c>
      <c r="I15">
        <v>1</v>
      </c>
      <c r="K15" t="s">
        <v>1545</v>
      </c>
      <c r="L15" t="s">
        <v>1499</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1546</v>
      </c>
      <c r="AP15" t="s">
        <v>1543</v>
      </c>
      <c r="AQ15" s="5" t="s">
        <v>1547</v>
      </c>
    </row>
    <row r="16" customFormat="1" spans="1:43">
      <c r="C16">
        <v>29007</v>
      </c>
      <c r="D16">
        <v>1</v>
      </c>
      <c r="I16">
        <v>1</v>
      </c>
      <c r="K16" t="s">
        <v>1548</v>
      </c>
      <c r="L16" t="s">
        <v>1549</v>
      </c>
      <c r="AN16" t="str">
        <f t="shared" si="0"/>
        <v>{dwID=29007,nLevel=1,nScrutinyType=1,szNote="九素化生·伤害距离",col={128,238,255,},[1]={},[2]={},},</v>
      </c>
    </row>
    <row r="17" spans="1:46">
      <c r="C17">
        <v>2104</v>
      </c>
      <c r="D17">
        <v>1</v>
      </c>
      <c r="I17">
        <v>1</v>
      </c>
      <c r="K17" t="s">
        <v>1550</v>
      </c>
      <c r="L17" t="s">
        <v>1499</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1551</v>
      </c>
      <c r="AP17" t="s">
        <v>1552</v>
      </c>
      <c r="AQ17" t="s">
        <v>1553</v>
      </c>
      <c r="AR17" t="s">
        <v>1554</v>
      </c>
      <c r="AS17" t="s">
        <v>1555</v>
      </c>
      <c r="AT17" s="6" t="s">
        <v>1556</v>
      </c>
    </row>
    <row r="18" spans="1:46">
      <c r="C18">
        <v>2105</v>
      </c>
      <c r="D18">
        <v>1</v>
      </c>
      <c r="I18">
        <v>1</v>
      </c>
      <c r="K18" t="s">
        <v>1557</v>
      </c>
      <c r="L18" t="s">
        <v>1499</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1558</v>
      </c>
      <c r="AP18" s="5" t="s">
        <v>1559</v>
      </c>
      <c r="AQ18" t="s">
        <v>1560</v>
      </c>
    </row>
    <row r="19" customFormat="1" spans="1:46">
      <c r="C19">
        <v>10323</v>
      </c>
      <c r="D19">
        <v>1</v>
      </c>
      <c r="F19">
        <v>18973</v>
      </c>
      <c r="G19" t="s">
        <v>1561</v>
      </c>
      <c r="I19">
        <v>1</v>
      </c>
      <c r="K19" t="s">
        <v>1562</v>
      </c>
      <c r="T19">
        <v>1</v>
      </c>
      <c r="AN19" t="str">
        <f t="shared" si="0"/>
        <v>{dwID=10323,nLevel=1,nIcon=18973,szName="重伤",nScrutinyType=1,szNote="死亡挂机",[1]={bBuffList=true,},[2]={},},</v>
      </c>
    </row>
    <row r="20" customFormat="1" spans="1:46">
      <c r="C20">
        <v>7913</v>
      </c>
      <c r="D20">
        <v>1</v>
      </c>
      <c r="I20">
        <v>2</v>
      </c>
      <c r="K20" t="s">
        <v>1563</v>
      </c>
      <c r="L20" t="s">
        <v>1469</v>
      </c>
      <c r="T20">
        <v>1</v>
      </c>
      <c r="AE20" t="s">
        <v>1564</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1565</v>
      </c>
      <c r="L21" t="s">
        <v>1474</v>
      </c>
      <c r="R21">
        <v>1</v>
      </c>
      <c r="T21">
        <v>1</v>
      </c>
      <c r="AE21" t="s">
        <v>1566</v>
      </c>
      <c r="AF21">
        <v>4</v>
      </c>
      <c r="AG21" t="s">
        <v>1504</v>
      </c>
      <c r="AH21" t="s">
        <v>1505</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1567</v>
      </c>
      <c r="L22" t="s">
        <v>1568</v>
      </c>
      <c r="R22">
        <v>1</v>
      </c>
      <c r="T22">
        <v>1</v>
      </c>
      <c r="AE22" t="s">
        <v>1569</v>
      </c>
      <c r="AF22">
        <v>15</v>
      </c>
      <c r="AG22" t="s">
        <v>1570</v>
      </c>
      <c r="AH22" t="s">
        <v>1571</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1572</v>
      </c>
      <c r="I23">
        <v>2</v>
      </c>
      <c r="K23" t="s">
        <v>1573</v>
      </c>
      <c r="L23" t="s">
        <v>1499</v>
      </c>
      <c r="R23">
        <v>1</v>
      </c>
      <c r="T23">
        <v>1</v>
      </c>
      <c r="AE23" t="s">
        <v>1574</v>
      </c>
      <c r="AF23">
        <v>13</v>
      </c>
      <c r="AG23" t="s">
        <v>1575</v>
      </c>
      <c r="AH23" t="s">
        <v>1576</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1577</v>
      </c>
      <c r="I24">
        <v>1</v>
      </c>
      <c r="K24" t="s">
        <v>1567</v>
      </c>
      <c r="L24" t="s">
        <v>1568</v>
      </c>
      <c r="R24">
        <v>1</v>
      </c>
      <c r="T24">
        <v>1</v>
      </c>
      <c r="AN24" t="str">
        <f t="shared" si="0"/>
        <v>{dwID=1499,nLevel=1,szName="锁足·呔",nScrutinyType=1,szNote="锁足·首领",col={31,63,255,},[1]={bScreenHead=true,bBuffList=true,},[2]={},},</v>
      </c>
    </row>
    <row r="25" customFormat="1" spans="1:46">
      <c r="C25">
        <v>9677</v>
      </c>
      <c r="D25">
        <v>1</v>
      </c>
      <c r="F25">
        <v>2024</v>
      </c>
      <c r="G25" t="s">
        <v>1578</v>
      </c>
      <c r="I25">
        <v>1</v>
      </c>
      <c r="K25" t="s">
        <v>1578</v>
      </c>
      <c r="L25" t="s">
        <v>1499</v>
      </c>
      <c r="T25">
        <v>1</v>
      </c>
      <c r="AN25" t="str">
        <f t="shared" si="0"/>
        <v>{dwID=9677,nLevel=1,nIcon=2024,szName="轰炸",nScrutinyType=1,szNote="轰炸",col={255,255,0,},[1]={bBuffList=true,},[2]={},},</v>
      </c>
    </row>
    <row r="26" customFormat="1" spans="1:46">
      <c r="C26">
        <v>9871</v>
      </c>
      <c r="D26">
        <v>1</v>
      </c>
      <c r="F26">
        <v>7682</v>
      </c>
      <c r="G26" t="s">
        <v>1579</v>
      </c>
      <c r="I26">
        <v>2</v>
      </c>
      <c r="K26" t="s">
        <v>1580</v>
      </c>
      <c r="L26" t="s">
        <v>1581</v>
      </c>
      <c r="R26">
        <v>1</v>
      </c>
      <c r="T26">
        <v>1</v>
      </c>
      <c r="AF26">
        <v>3</v>
      </c>
      <c r="AG26" t="s">
        <v>1582</v>
      </c>
      <c r="AH26" t="s">
        <v>1583</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1584</v>
      </c>
      <c r="L27" t="s">
        <v>1581</v>
      </c>
      <c r="T27">
        <v>1</v>
      </c>
      <c r="V27">
        <v>1</v>
      </c>
      <c r="AF27">
        <v>1</v>
      </c>
      <c r="AG27" t="s">
        <v>1585</v>
      </c>
      <c r="AI27">
        <v>221</v>
      </c>
      <c r="AN27" t="str">
        <f t="shared" si="0"/>
        <v>{dwID=9632,nLevel=1,nScrutinyType=2,szNote="神机雷",col={255,255,255,},[1]={bBuffList=true,bTeamPanel=true,},[2]={},aCataclysmBuff={{nPriority=1,col="#FFFFFFDD",nColAlpha=221,},},},</v>
      </c>
    </row>
    <row r="28" customFormat="1" spans="1:46">
      <c r="A28" t="s">
        <v>538</v>
      </c>
      <c r="B28">
        <v>-7</v>
      </c>
      <c r="AN28" t="str">
        <f t="shared" si="0"/>
        <v>},[-7]={</v>
      </c>
    </row>
    <row r="29" customFormat="1" spans="1:46">
      <c r="C29">
        <v>1499</v>
      </c>
      <c r="D29">
        <v>1</v>
      </c>
      <c r="G29" t="s">
        <v>1577</v>
      </c>
      <c r="I29">
        <v>1</v>
      </c>
      <c r="K29" t="s">
        <v>1567</v>
      </c>
      <c r="L29" t="s">
        <v>1568</v>
      </c>
      <c r="R29">
        <v>1</v>
      </c>
      <c r="T29">
        <v>1</v>
      </c>
      <c r="AN29" t="str">
        <f t="shared" si="0"/>
        <v>{dwID=1499,nLevel=1,szName="锁足·呔",nScrutinyType=1,szNote="锁足·首领",col={31,63,255,},[1]={bScreenHead=true,bBuffList=true,},[2]={},},</v>
      </c>
    </row>
    <row r="30" customFormat="1" spans="1:46">
      <c r="C30">
        <v>11579</v>
      </c>
      <c r="D30">
        <v>1</v>
      </c>
      <c r="K30" t="s">
        <v>1586</v>
      </c>
      <c r="AN30" t="str">
        <f t="shared" si="0"/>
        <v>{dwID=11579,nLevel=1,szNote="阵营惩罚",[1]={},[2]={},},</v>
      </c>
    </row>
    <row r="31" spans="1:46">
      <c r="A31" t="s">
        <v>1480</v>
      </c>
      <c r="B31">
        <v>-20</v>
      </c>
      <c r="AN31" t="str">
        <f t="shared" si="0"/>
        <v>},[-20]={</v>
      </c>
    </row>
    <row r="32" customFormat="1" spans="1:46">
      <c r="C32">
        <v>11567</v>
      </c>
      <c r="D32">
        <v>1</v>
      </c>
      <c r="F32">
        <v>1245</v>
      </c>
      <c r="G32" t="s">
        <v>1497</v>
      </c>
      <c r="I32">
        <v>1</v>
      </c>
      <c r="K32" t="s">
        <v>1498</v>
      </c>
      <c r="L32" t="s">
        <v>1499</v>
      </c>
      <c r="AN32" t="str">
        <f t="shared" si="0"/>
        <v>{dwID=11567,nLevel=1,nIcon=1245,szName="答对",nScrutinyType=1,szNote="回答奖励",col={255,255,0,},[1]={},[2]={},tCountdown={{nClass=1,nIcon=13,nFrame=1,szName="答题验证·回答正确",nTime=5,key="挂机检测",},},},</v>
      </c>
      <c r="AO32" t="s">
        <v>1500</v>
      </c>
    </row>
    <row r="33" customFormat="1" spans="3:45">
      <c r="C33">
        <v>11559</v>
      </c>
      <c r="D33">
        <v>1</v>
      </c>
      <c r="F33">
        <v>1244</v>
      </c>
      <c r="G33" t="s">
        <v>1501</v>
      </c>
      <c r="I33">
        <v>1</v>
      </c>
      <c r="K33" t="s">
        <v>1502</v>
      </c>
      <c r="L33" t="s">
        <v>1474</v>
      </c>
      <c r="N33" t="s">
        <v>537</v>
      </c>
      <c r="O33">
        <v>1</v>
      </c>
      <c r="P33">
        <v>1</v>
      </c>
      <c r="Q33">
        <v>1</v>
      </c>
      <c r="R33">
        <v>1</v>
      </c>
      <c r="T33">
        <v>1</v>
      </c>
      <c r="U33">
        <v>1</v>
      </c>
      <c r="V33">
        <v>1</v>
      </c>
      <c r="AE33" t="s">
        <v>1503</v>
      </c>
      <c r="AF33">
        <v>3</v>
      </c>
      <c r="AG33" t="s">
        <v>1504</v>
      </c>
      <c r="AH33" t="s">
        <v>1505</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1506</v>
      </c>
    </row>
    <row r="34" customFormat="1" spans="3:45">
      <c r="C34">
        <v>11565</v>
      </c>
      <c r="D34">
        <v>1</v>
      </c>
      <c r="F34">
        <v>592</v>
      </c>
      <c r="G34" t="s">
        <v>1587</v>
      </c>
      <c r="K34" t="s">
        <v>1588</v>
      </c>
      <c r="L34" t="s">
        <v>1485</v>
      </c>
      <c r="R34">
        <v>1</v>
      </c>
      <c r="AN34" t="str">
        <f t="shared" si="0"/>
        <v>{dwID=11565,nLevel=1,nIcon=592,szName="大旗手",szNote="大旗手检测",col={0,255,255,},[1]={bScreenHead=true,},[2]={},},</v>
      </c>
    </row>
    <row r="35" customFormat="1" spans="3:45">
      <c r="C35">
        <v>32813</v>
      </c>
      <c r="D35">
        <v>1</v>
      </c>
      <c r="F35">
        <v>16834</v>
      </c>
      <c r="G35" t="s">
        <v>1589</v>
      </c>
      <c r="K35" t="s">
        <v>1590</v>
      </c>
      <c r="L35" t="s">
        <v>1591</v>
      </c>
      <c r="T35">
        <v>1</v>
      </c>
      <c r="V35">
        <v>1</v>
      </c>
      <c r="AE35" t="s">
        <v>1592</v>
      </c>
      <c r="AF35">
        <v>37</v>
      </c>
      <c r="AG35" t="s">
        <v>1593</v>
      </c>
      <c r="AH35" t="s">
        <v>1594</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1595</v>
      </c>
    </row>
    <row r="36" customFormat="1" spans="3:45">
      <c r="C36">
        <v>32812</v>
      </c>
      <c r="D36">
        <v>1</v>
      </c>
      <c r="F36">
        <v>3451</v>
      </c>
      <c r="G36" t="s">
        <v>1596</v>
      </c>
      <c r="K36" t="s">
        <v>1597</v>
      </c>
      <c r="L36" t="s">
        <v>1598</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1599</v>
      </c>
    </row>
    <row r="37" customFormat="1" spans="3:45">
      <c r="C37">
        <v>31381</v>
      </c>
      <c r="D37">
        <v>1</v>
      </c>
      <c r="G37" t="s">
        <v>1600</v>
      </c>
      <c r="K37" t="s">
        <v>1601</v>
      </c>
      <c r="L37" t="s">
        <v>1474</v>
      </c>
      <c r="R37">
        <v>1</v>
      </c>
      <c r="T37">
        <v>1</v>
      </c>
      <c r="AE37" t="s">
        <v>1602</v>
      </c>
      <c r="AF37">
        <v>11</v>
      </c>
      <c r="AG37" t="s">
        <v>1504</v>
      </c>
      <c r="AH37" t="s">
        <v>1505</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1603</v>
      </c>
      <c r="AP37" t="s">
        <v>1604</v>
      </c>
    </row>
    <row r="38" customFormat="1" spans="3:45">
      <c r="C38">
        <v>12888</v>
      </c>
      <c r="D38">
        <v>1</v>
      </c>
      <c r="G38" t="s">
        <v>1605</v>
      </c>
      <c r="I38">
        <v>2</v>
      </c>
      <c r="K38" t="s">
        <v>1606</v>
      </c>
      <c r="L38" t="s">
        <v>1607</v>
      </c>
      <c r="T38">
        <v>1</v>
      </c>
      <c r="V38">
        <v>1</v>
      </c>
      <c r="AE38" t="s">
        <v>1608</v>
      </c>
      <c r="AF38">
        <v>29</v>
      </c>
      <c r="AG38" t="s">
        <v>1609</v>
      </c>
      <c r="AH38" t="s">
        <v>1610</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1533</v>
      </c>
      <c r="I39">
        <v>1</v>
      </c>
      <c r="K39" t="s">
        <v>1611</v>
      </c>
      <c r="L39" t="s">
        <v>1474</v>
      </c>
      <c r="N39" t="s">
        <v>537</v>
      </c>
      <c r="O39">
        <v>1</v>
      </c>
      <c r="P39">
        <v>1</v>
      </c>
      <c r="Q39">
        <v>1</v>
      </c>
      <c r="T39">
        <v>1</v>
      </c>
      <c r="U39">
        <v>1</v>
      </c>
      <c r="AE39" t="s">
        <v>1535</v>
      </c>
      <c r="AF39">
        <v>2</v>
      </c>
      <c r="AG39" t="s">
        <v>1504</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1536</v>
      </c>
    </row>
    <row r="40" customFormat="1" spans="3:45">
      <c r="C40">
        <v>7913</v>
      </c>
      <c r="D40">
        <v>1</v>
      </c>
      <c r="I40">
        <v>2</v>
      </c>
      <c r="K40" t="s">
        <v>1563</v>
      </c>
      <c r="L40" t="s">
        <v>1469</v>
      </c>
      <c r="T40">
        <v>1</v>
      </c>
      <c r="AD40">
        <v>1</v>
      </c>
      <c r="AE40" t="s">
        <v>1564</v>
      </c>
      <c r="AF40">
        <v>3</v>
      </c>
      <c r="AG40" t="s">
        <v>1471</v>
      </c>
      <c r="AH40" t="s">
        <v>1472</v>
      </c>
      <c r="AI40">
        <v>255</v>
      </c>
      <c r="AJ40">
        <v>1</v>
      </c>
      <c r="AM40" t="s">
        <v>1612</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1565</v>
      </c>
      <c r="L41" t="s">
        <v>1474</v>
      </c>
      <c r="R41">
        <v>1</v>
      </c>
      <c r="T41">
        <v>1</v>
      </c>
      <c r="AE41" t="s">
        <v>1566</v>
      </c>
      <c r="AF41">
        <v>4</v>
      </c>
      <c r="AG41" t="s">
        <v>1504</v>
      </c>
      <c r="AH41" t="s">
        <v>1505</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1537</v>
      </c>
      <c r="L42" t="s">
        <v>1499</v>
      </c>
      <c r="T42">
        <v>1</v>
      </c>
      <c r="AE42" t="s">
        <v>1538</v>
      </c>
      <c r="AF42">
        <v>3</v>
      </c>
      <c r="AG42" t="s">
        <v>1539</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1540</v>
      </c>
      <c r="AP42" t="s">
        <v>1541</v>
      </c>
    </row>
    <row r="43" customFormat="1" spans="3:45">
      <c r="C43">
        <v>7497</v>
      </c>
      <c r="D43">
        <v>1</v>
      </c>
      <c r="G43" t="s">
        <v>1613</v>
      </c>
      <c r="I43">
        <v>2</v>
      </c>
      <c r="K43" t="s">
        <v>1614</v>
      </c>
      <c r="L43" t="s">
        <v>1499</v>
      </c>
      <c r="R43">
        <v>1</v>
      </c>
      <c r="T43">
        <v>1</v>
      </c>
      <c r="AE43" t="s">
        <v>1574</v>
      </c>
      <c r="AF43">
        <v>13</v>
      </c>
      <c r="AG43" t="s">
        <v>1575</v>
      </c>
      <c r="AH43" t="s">
        <v>1576</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1615</v>
      </c>
      <c r="I44">
        <v>2</v>
      </c>
      <c r="K44" t="s">
        <v>1616</v>
      </c>
      <c r="L44" t="s">
        <v>1499</v>
      </c>
      <c r="R44">
        <v>1</v>
      </c>
      <c r="T44">
        <v>1</v>
      </c>
      <c r="AE44" t="s">
        <v>1574</v>
      </c>
      <c r="AF44">
        <v>13</v>
      </c>
      <c r="AG44" t="s">
        <v>1575</v>
      </c>
      <c r="AH44" t="s">
        <v>1576</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1617</v>
      </c>
      <c r="I45">
        <v>1</v>
      </c>
      <c r="K45" t="s">
        <v>1618</v>
      </c>
      <c r="L45" t="s">
        <v>1568</v>
      </c>
      <c r="T45">
        <v>1</v>
      </c>
      <c r="V45">
        <v>1</v>
      </c>
      <c r="AF45">
        <v>37</v>
      </c>
      <c r="AG45" t="s">
        <v>1619</v>
      </c>
      <c r="AH45" t="s">
        <v>1571</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1567</v>
      </c>
      <c r="L46" t="s">
        <v>1568</v>
      </c>
      <c r="R46">
        <v>1</v>
      </c>
      <c r="T46">
        <v>1</v>
      </c>
      <c r="AE46" t="s">
        <v>1569</v>
      </c>
      <c r="AF46">
        <v>15</v>
      </c>
      <c r="AG46" t="s">
        <v>1570</v>
      </c>
      <c r="AH46" t="s">
        <v>1571</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1548</v>
      </c>
      <c r="L47" t="s">
        <v>1549</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1558</v>
      </c>
      <c r="AP47" s="5" t="s">
        <v>1559</v>
      </c>
      <c r="AQ47" s="5" t="s">
        <v>1547</v>
      </c>
      <c r="AR47" s="4" t="s">
        <v>1620</v>
      </c>
      <c r="AS47" s="4" t="s">
        <v>1621</v>
      </c>
    </row>
    <row r="48" customFormat="1" spans="3:45">
      <c r="C48">
        <v>11561</v>
      </c>
      <c r="D48">
        <v>1</v>
      </c>
      <c r="G48" t="s">
        <v>1622</v>
      </c>
      <c r="I48">
        <v>1</v>
      </c>
      <c r="K48" t="s">
        <v>1623</v>
      </c>
      <c r="L48" t="s">
        <v>1624</v>
      </c>
      <c r="AN48" t="str">
        <f t="shared" si="1"/>
        <v>{dwID=11561,nLevel=1,szName="据点内",nScrutinyType=1,szNote="判断是否在大旗附近",col={80,231,236,},[1]={},[2]={},tCountdown={{nClass=1,nIcon=1272,nFrame=2,szName="据点大旗·旗手提示",nTime=-1,key="据点大旗·旗手提示",},},},</v>
      </c>
      <c r="AO48" t="s">
        <v>1625</v>
      </c>
      <c r="AP48" s="7"/>
      <c r="AQ48" s="7"/>
      <c r="AR48" s="7"/>
    </row>
    <row r="49" spans="1:42">
      <c r="C49">
        <v>7723</v>
      </c>
      <c r="D49">
        <v>1</v>
      </c>
      <c r="I49">
        <v>2</v>
      </c>
      <c r="K49" t="s">
        <v>1584</v>
      </c>
      <c r="L49" t="s">
        <v>1581</v>
      </c>
      <c r="T49">
        <v>1</v>
      </c>
      <c r="V49">
        <v>1</v>
      </c>
      <c r="AF49">
        <v>1</v>
      </c>
      <c r="AG49" t="s">
        <v>1585</v>
      </c>
      <c r="AI49">
        <v>221</v>
      </c>
      <c r="AN49" t="str">
        <f t="shared" si="1"/>
        <v>{dwID=7723,nLevel=1,nScrutinyType=2,szNote="神机雷",col={255,255,255,},[1]={bBuffList=true,bTeamPanel=true,},[2]={},aCataclysmBuff={{nPriority=1,col="#FFFFFFDD",nColAlpha=221,},},},</v>
      </c>
    </row>
    <row r="50" spans="1:42">
      <c r="A50" t="s">
        <v>1061</v>
      </c>
      <c r="B50">
        <v>216</v>
      </c>
      <c r="AN50" t="str">
        <f t="shared" si="1"/>
        <v>},[216]={</v>
      </c>
    </row>
    <row r="51" customFormat="1" spans="1:42">
      <c r="C51" s="5">
        <v>11567</v>
      </c>
      <c r="D51">
        <v>1</v>
      </c>
      <c r="F51">
        <v>1245</v>
      </c>
      <c r="G51" t="s">
        <v>1497</v>
      </c>
      <c r="I51">
        <v>1</v>
      </c>
      <c r="K51" t="s">
        <v>1498</v>
      </c>
      <c r="L51" t="s">
        <v>1499</v>
      </c>
      <c r="AN51" t="str">
        <f t="shared" si="1"/>
        <v>{dwID=11567,nLevel=1,nIcon=1245,szName="答对",nScrutinyType=1,szNote="回答奖励",col={255,255,0,},[1]={},[2]={},tCountdown={{nClass=1,nIcon=13,nFrame=1,szName="答题验证·回答正确",nTime=5,key="挂机检测",},},},</v>
      </c>
      <c r="AO51" t="s">
        <v>1500</v>
      </c>
    </row>
    <row r="52" customFormat="1" spans="1:42">
      <c r="C52" s="5">
        <v>11559</v>
      </c>
      <c r="D52">
        <v>1</v>
      </c>
      <c r="F52">
        <v>1244</v>
      </c>
      <c r="G52" t="s">
        <v>1501</v>
      </c>
      <c r="I52">
        <v>1</v>
      </c>
      <c r="K52" t="s">
        <v>1502</v>
      </c>
      <c r="L52" t="s">
        <v>1474</v>
      </c>
      <c r="N52" t="s">
        <v>537</v>
      </c>
      <c r="O52">
        <v>1</v>
      </c>
      <c r="P52">
        <v>1</v>
      </c>
      <c r="Q52">
        <v>1</v>
      </c>
      <c r="R52">
        <v>1</v>
      </c>
      <c r="T52">
        <v>1</v>
      </c>
      <c r="U52">
        <v>1</v>
      </c>
      <c r="V52">
        <v>1</v>
      </c>
      <c r="AE52" t="s">
        <v>1503</v>
      </c>
      <c r="AF52">
        <v>3</v>
      </c>
      <c r="AG52" t="s">
        <v>1504</v>
      </c>
      <c r="AH52" t="s">
        <v>1505</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1506</v>
      </c>
    </row>
    <row r="53" customFormat="1" spans="1:42">
      <c r="C53" s="5">
        <v>11565</v>
      </c>
      <c r="D53">
        <v>1</v>
      </c>
      <c r="F53">
        <v>592</v>
      </c>
      <c r="G53" t="s">
        <v>1587</v>
      </c>
      <c r="K53" t="s">
        <v>1588</v>
      </c>
      <c r="L53" t="s">
        <v>1485</v>
      </c>
      <c r="R53">
        <v>1</v>
      </c>
      <c r="AN53" t="str">
        <f t="shared" si="1"/>
        <v>{dwID=11565,nLevel=1,nIcon=592,szName="大旗手",szNote="大旗手检测",col={0,255,255,},[1]={bScreenHead=true,},[2]={},},</v>
      </c>
    </row>
    <row r="54" customFormat="1" spans="1:42">
      <c r="C54" s="5">
        <v>32813</v>
      </c>
      <c r="D54">
        <v>1</v>
      </c>
      <c r="F54">
        <v>16834</v>
      </c>
      <c r="G54" t="s">
        <v>1589</v>
      </c>
      <c r="K54" t="s">
        <v>1590</v>
      </c>
      <c r="L54" t="s">
        <v>1591</v>
      </c>
      <c r="T54">
        <v>1</v>
      </c>
      <c r="V54">
        <v>1</v>
      </c>
      <c r="AE54" t="s">
        <v>1592</v>
      </c>
      <c r="AF54">
        <v>37</v>
      </c>
      <c r="AG54" t="s">
        <v>1593</v>
      </c>
      <c r="AH54" t="s">
        <v>1594</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1595</v>
      </c>
    </row>
    <row r="55" customFormat="1" spans="1:42">
      <c r="C55" s="5">
        <v>32812</v>
      </c>
      <c r="D55">
        <v>1</v>
      </c>
      <c r="F55">
        <v>3451</v>
      </c>
      <c r="G55" t="s">
        <v>1596</v>
      </c>
      <c r="K55" t="s">
        <v>1597</v>
      </c>
      <c r="L55" t="s">
        <v>1598</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1599</v>
      </c>
    </row>
    <row r="56" customFormat="1" spans="1:42">
      <c r="C56" s="5">
        <v>31381</v>
      </c>
      <c r="D56">
        <v>1</v>
      </c>
      <c r="G56" t="s">
        <v>1600</v>
      </c>
      <c r="K56" t="s">
        <v>1601</v>
      </c>
      <c r="L56" t="s">
        <v>1474</v>
      </c>
      <c r="R56">
        <v>1</v>
      </c>
      <c r="T56">
        <v>1</v>
      </c>
      <c r="AE56" t="s">
        <v>1602</v>
      </c>
      <c r="AF56">
        <v>11</v>
      </c>
      <c r="AG56" t="s">
        <v>1504</v>
      </c>
      <c r="AH56" t="s">
        <v>1505</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1603</v>
      </c>
      <c r="AP56" t="s">
        <v>1604</v>
      </c>
    </row>
    <row r="57" customFormat="1" spans="1:42">
      <c r="C57" s="5">
        <v>12888</v>
      </c>
      <c r="D57">
        <v>1</v>
      </c>
      <c r="G57" t="s">
        <v>1605</v>
      </c>
      <c r="I57">
        <v>2</v>
      </c>
      <c r="K57" t="s">
        <v>1606</v>
      </c>
      <c r="L57" t="s">
        <v>1607</v>
      </c>
      <c r="T57">
        <v>1</v>
      </c>
      <c r="V57">
        <v>1</v>
      </c>
      <c r="AE57" t="s">
        <v>1608</v>
      </c>
      <c r="AF57">
        <v>29</v>
      </c>
      <c r="AG57" t="s">
        <v>1609</v>
      </c>
      <c r="AH57" t="s">
        <v>1610</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1533</v>
      </c>
      <c r="I58">
        <v>1</v>
      </c>
      <c r="K58" t="s">
        <v>1611</v>
      </c>
      <c r="L58" t="s">
        <v>1474</v>
      </c>
      <c r="N58" t="s">
        <v>537</v>
      </c>
      <c r="O58">
        <v>1</v>
      </c>
      <c r="P58">
        <v>1</v>
      </c>
      <c r="Q58">
        <v>1</v>
      </c>
      <c r="T58">
        <v>1</v>
      </c>
      <c r="U58">
        <v>1</v>
      </c>
      <c r="AE58" t="s">
        <v>1535</v>
      </c>
      <c r="AF58">
        <v>2</v>
      </c>
      <c r="AG58" t="s">
        <v>1504</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1536</v>
      </c>
    </row>
    <row r="59" customFormat="1" spans="1:42">
      <c r="C59" s="5">
        <v>7913</v>
      </c>
      <c r="D59">
        <v>1</v>
      </c>
      <c r="I59">
        <v>2</v>
      </c>
      <c r="K59" t="s">
        <v>1563</v>
      </c>
      <c r="L59" t="s">
        <v>1469</v>
      </c>
      <c r="T59">
        <v>1</v>
      </c>
      <c r="AD59">
        <v>1</v>
      </c>
      <c r="AE59" t="s">
        <v>1564</v>
      </c>
      <c r="AF59">
        <v>3</v>
      </c>
      <c r="AG59" t="s">
        <v>1471</v>
      </c>
      <c r="AH59" t="s">
        <v>1472</v>
      </c>
      <c r="AI59">
        <v>255</v>
      </c>
      <c r="AJ59">
        <v>1</v>
      </c>
      <c r="AM59" t="s">
        <v>1612</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1565</v>
      </c>
      <c r="L60" t="s">
        <v>1474</v>
      </c>
      <c r="R60">
        <v>1</v>
      </c>
      <c r="T60">
        <v>1</v>
      </c>
      <c r="AE60" t="s">
        <v>1566</v>
      </c>
      <c r="AF60">
        <v>4</v>
      </c>
      <c r="AG60" t="s">
        <v>1504</v>
      </c>
      <c r="AH60" t="s">
        <v>1505</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1537</v>
      </c>
      <c r="L61" t="s">
        <v>1499</v>
      </c>
      <c r="T61">
        <v>1</v>
      </c>
      <c r="AE61" t="s">
        <v>1538</v>
      </c>
      <c r="AF61">
        <v>3</v>
      </c>
      <c r="AG61" t="s">
        <v>1539</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1540</v>
      </c>
      <c r="AP61" t="s">
        <v>1541</v>
      </c>
    </row>
    <row r="62" customFormat="1" spans="1:42">
      <c r="C62" s="5">
        <v>7497</v>
      </c>
      <c r="D62">
        <v>1</v>
      </c>
      <c r="G62" t="s">
        <v>1613</v>
      </c>
      <c r="I62">
        <v>2</v>
      </c>
      <c r="K62" t="s">
        <v>1614</v>
      </c>
      <c r="L62" t="s">
        <v>1499</v>
      </c>
      <c r="R62">
        <v>1</v>
      </c>
      <c r="T62">
        <v>1</v>
      </c>
      <c r="AE62" t="s">
        <v>1574</v>
      </c>
      <c r="AF62">
        <v>13</v>
      </c>
      <c r="AG62" t="s">
        <v>1575</v>
      </c>
      <c r="AH62" t="s">
        <v>1576</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1615</v>
      </c>
      <c r="I63">
        <v>2</v>
      </c>
      <c r="K63" t="s">
        <v>1616</v>
      </c>
      <c r="L63" t="s">
        <v>1499</v>
      </c>
      <c r="R63">
        <v>1</v>
      </c>
      <c r="T63">
        <v>1</v>
      </c>
      <c r="AE63" t="s">
        <v>1574</v>
      </c>
      <c r="AF63">
        <v>13</v>
      </c>
      <c r="AG63" t="s">
        <v>1575</v>
      </c>
      <c r="AH63" t="s">
        <v>1576</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1617</v>
      </c>
      <c r="I64">
        <v>1</v>
      </c>
      <c r="K64" t="s">
        <v>1618</v>
      </c>
      <c r="L64" t="s">
        <v>1568</v>
      </c>
      <c r="T64">
        <v>1</v>
      </c>
      <c r="V64">
        <v>1</v>
      </c>
      <c r="AF64">
        <v>37</v>
      </c>
      <c r="AG64" t="s">
        <v>1619</v>
      </c>
      <c r="AH64" t="s">
        <v>1571</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1567</v>
      </c>
      <c r="L65" t="s">
        <v>1568</v>
      </c>
      <c r="R65">
        <v>1</v>
      </c>
      <c r="T65">
        <v>1</v>
      </c>
      <c r="AE65" t="s">
        <v>1569</v>
      </c>
      <c r="AF65">
        <v>15</v>
      </c>
      <c r="AG65" t="s">
        <v>1570</v>
      </c>
      <c r="AH65" t="s">
        <v>1571</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1548</v>
      </c>
      <c r="L66" t="s">
        <v>1549</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1558</v>
      </c>
      <c r="AP66" s="5" t="s">
        <v>1559</v>
      </c>
      <c r="AQ66" s="5" t="s">
        <v>1547</v>
      </c>
      <c r="AR66" s="4" t="s">
        <v>1620</v>
      </c>
      <c r="AS66" s="4" t="s">
        <v>1621</v>
      </c>
    </row>
    <row r="67" customFormat="1" spans="1:45">
      <c r="C67" s="5">
        <v>11561</v>
      </c>
      <c r="D67">
        <v>1</v>
      </c>
      <c r="G67" t="s">
        <v>1622</v>
      </c>
      <c r="I67">
        <v>1</v>
      </c>
      <c r="K67" t="s">
        <v>1623</v>
      </c>
      <c r="L67" t="s">
        <v>1624</v>
      </c>
      <c r="AN67" t="str">
        <f t="shared" ref="AN67:AN8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{dwID=11561,nLevel=1,szName="据点内",nScrutinyType=1,szNote="判断是否在大旗附近",col={80,231,236,},[1]={},[2]={},tCountdown={{nClass=1,nIcon=1272,nFrame=2,szName="据点大旗·旗手提示",nTime=-1,key="据点大旗·旗手提示",},},},</v>
      </c>
      <c r="AO67" t="s">
        <v>1625</v>
      </c>
      <c r="AP67" s="7"/>
      <c r="AQ67" s="7"/>
      <c r="AR67" s="7"/>
    </row>
    <row r="68" customFormat="1" spans="1:45">
      <c r="C68" s="5">
        <v>7723</v>
      </c>
      <c r="D68">
        <v>1</v>
      </c>
      <c r="I68">
        <v>2</v>
      </c>
      <c r="K68" t="s">
        <v>1584</v>
      </c>
      <c r="L68" t="s">
        <v>1581</v>
      </c>
      <c r="T68">
        <v>1</v>
      </c>
      <c r="V68">
        <v>1</v>
      </c>
      <c r="AF68">
        <v>1</v>
      </c>
      <c r="AG68" t="s">
        <v>1585</v>
      </c>
      <c r="AI68">
        <v>221</v>
      </c>
      <c r="AN68" t="str">
        <f t="shared" si="2"/>
        <v>{dwID=7723,nLevel=1,nScrutinyType=2,szNote="神机雷",col={255,255,255,},[1]={bBuffList=true,bTeamPanel=true,},[2]={},aCataclysmBuff={{nPriority=1,col="#FFFFFFDD",nColAlpha=221,},},},</v>
      </c>
    </row>
    <row r="69" customFormat="1" spans="1:45">
      <c r="A69" t="s">
        <v>1414</v>
      </c>
      <c r="B69">
        <v>656</v>
      </c>
      <c r="AN69" t="str">
        <f t="shared" si="2"/>
        <v>},[656]={</v>
      </c>
    </row>
    <row r="70" customFormat="1" spans="1:45">
      <c r="C70" s="5">
        <v>11567</v>
      </c>
      <c r="D70">
        <v>1</v>
      </c>
      <c r="F70">
        <v>1245</v>
      </c>
      <c r="G70" t="s">
        <v>1497</v>
      </c>
      <c r="I70">
        <v>1</v>
      </c>
      <c r="K70" t="s">
        <v>1498</v>
      </c>
      <c r="L70" t="s">
        <v>1499</v>
      </c>
      <c r="AN70" t="str">
        <f t="shared" si="2"/>
        <v>{dwID=11567,nLevel=1,nIcon=1245,szName="答对",nScrutinyType=1,szNote="回答奖励",col={255,255,0,},[1]={},[2]={},tCountdown={{nClass=1,nIcon=13,nFrame=1,szName="答题验证·回答正确",nTime=5,key="挂机检测",},},},</v>
      </c>
      <c r="AO70" t="s">
        <v>1500</v>
      </c>
    </row>
    <row r="71" customFormat="1" spans="1:45">
      <c r="C71" s="5">
        <v>11559</v>
      </c>
      <c r="D71">
        <v>1</v>
      </c>
      <c r="F71">
        <v>1244</v>
      </c>
      <c r="G71" t="s">
        <v>1501</v>
      </c>
      <c r="I71">
        <v>1</v>
      </c>
      <c r="K71" t="s">
        <v>1502</v>
      </c>
      <c r="L71" t="s">
        <v>1474</v>
      </c>
      <c r="N71" t="s">
        <v>537</v>
      </c>
      <c r="O71">
        <v>1</v>
      </c>
      <c r="P71">
        <v>1</v>
      </c>
      <c r="Q71">
        <v>1</v>
      </c>
      <c r="R71">
        <v>1</v>
      </c>
      <c r="T71">
        <v>1</v>
      </c>
      <c r="U71">
        <v>1</v>
      </c>
      <c r="V71">
        <v>1</v>
      </c>
      <c r="AE71" t="s">
        <v>1503</v>
      </c>
      <c r="AF71">
        <v>3</v>
      </c>
      <c r="AG71" t="s">
        <v>1504</v>
      </c>
      <c r="AH71" t="s">
        <v>1505</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1506</v>
      </c>
    </row>
    <row r="72" customFormat="1" spans="1:45">
      <c r="C72" s="5">
        <v>11565</v>
      </c>
      <c r="D72">
        <v>1</v>
      </c>
      <c r="F72">
        <v>592</v>
      </c>
      <c r="G72" t="s">
        <v>1587</v>
      </c>
      <c r="K72" t="s">
        <v>1588</v>
      </c>
      <c r="L72" t="s">
        <v>1485</v>
      </c>
      <c r="R72">
        <v>1</v>
      </c>
      <c r="AN72" t="str">
        <f t="shared" si="2"/>
        <v>{dwID=11565,nLevel=1,nIcon=592,szName="大旗手",szNote="大旗手检测",col={0,255,255,},[1]={bScreenHead=true,},[2]={},},</v>
      </c>
    </row>
    <row r="73" customFormat="1" spans="1:45">
      <c r="C73" s="5">
        <v>32813</v>
      </c>
      <c r="D73">
        <v>1</v>
      </c>
      <c r="F73">
        <v>16834</v>
      </c>
      <c r="G73" t="s">
        <v>1589</v>
      </c>
      <c r="K73" t="s">
        <v>1590</v>
      </c>
      <c r="L73" t="s">
        <v>1591</v>
      </c>
      <c r="T73">
        <v>1</v>
      </c>
      <c r="V73">
        <v>1</v>
      </c>
      <c r="AE73" t="s">
        <v>1592</v>
      </c>
      <c r="AF73">
        <v>37</v>
      </c>
      <c r="AG73" t="s">
        <v>1593</v>
      </c>
      <c r="AH73" t="s">
        <v>1594</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1595</v>
      </c>
    </row>
    <row r="74" customFormat="1" spans="1:45">
      <c r="C74" s="5">
        <v>32812</v>
      </c>
      <c r="D74">
        <v>1</v>
      </c>
      <c r="F74">
        <v>3451</v>
      </c>
      <c r="G74" t="s">
        <v>1596</v>
      </c>
      <c r="K74" t="s">
        <v>1597</v>
      </c>
      <c r="L74" t="s">
        <v>1598</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1599</v>
      </c>
    </row>
    <row r="75" customFormat="1" spans="1:45">
      <c r="C75" s="5">
        <v>31381</v>
      </c>
      <c r="D75">
        <v>1</v>
      </c>
      <c r="G75" t="s">
        <v>1600</v>
      </c>
      <c r="K75" t="s">
        <v>1601</v>
      </c>
      <c r="L75" t="s">
        <v>1474</v>
      </c>
      <c r="R75">
        <v>1</v>
      </c>
      <c r="T75">
        <v>1</v>
      </c>
      <c r="AE75" t="s">
        <v>1602</v>
      </c>
      <c r="AF75">
        <v>11</v>
      </c>
      <c r="AG75" t="s">
        <v>1504</v>
      </c>
      <c r="AH75" t="s">
        <v>1505</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1603</v>
      </c>
      <c r="AP75" t="s">
        <v>1604</v>
      </c>
    </row>
    <row r="76" customFormat="1" spans="1:45">
      <c r="C76" s="5">
        <v>12888</v>
      </c>
      <c r="D76">
        <v>1</v>
      </c>
      <c r="G76" t="s">
        <v>1605</v>
      </c>
      <c r="I76">
        <v>2</v>
      </c>
      <c r="K76" t="s">
        <v>1606</v>
      </c>
      <c r="L76" t="s">
        <v>1607</v>
      </c>
      <c r="T76">
        <v>1</v>
      </c>
      <c r="V76">
        <v>1</v>
      </c>
      <c r="AE76" t="s">
        <v>1608</v>
      </c>
      <c r="AF76">
        <v>29</v>
      </c>
      <c r="AG76" t="s">
        <v>1609</v>
      </c>
      <c r="AH76" t="s">
        <v>1610</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1533</v>
      </c>
      <c r="I77">
        <v>1</v>
      </c>
      <c r="K77" t="s">
        <v>1611</v>
      </c>
      <c r="L77" t="s">
        <v>1474</v>
      </c>
      <c r="N77" t="s">
        <v>537</v>
      </c>
      <c r="O77">
        <v>1</v>
      </c>
      <c r="P77">
        <v>1</v>
      </c>
      <c r="Q77">
        <v>1</v>
      </c>
      <c r="T77">
        <v>1</v>
      </c>
      <c r="U77">
        <v>1</v>
      </c>
      <c r="AE77" t="s">
        <v>1535</v>
      </c>
      <c r="AF77">
        <v>2</v>
      </c>
      <c r="AG77" t="s">
        <v>1504</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1536</v>
      </c>
    </row>
    <row r="78" customFormat="1" spans="1:45">
      <c r="C78" s="5">
        <v>7913</v>
      </c>
      <c r="D78">
        <v>1</v>
      </c>
      <c r="I78">
        <v>2</v>
      </c>
      <c r="K78" t="s">
        <v>1563</v>
      </c>
      <c r="L78" t="s">
        <v>1469</v>
      </c>
      <c r="T78">
        <v>1</v>
      </c>
      <c r="AD78">
        <v>1</v>
      </c>
      <c r="AE78" t="s">
        <v>1564</v>
      </c>
      <c r="AF78">
        <v>3</v>
      </c>
      <c r="AG78" t="s">
        <v>1471</v>
      </c>
      <c r="AH78" t="s">
        <v>1472</v>
      </c>
      <c r="AI78">
        <v>255</v>
      </c>
      <c r="AJ78">
        <v>1</v>
      </c>
      <c r="AM78" t="s">
        <v>1612</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1565</v>
      </c>
      <c r="L79" t="s">
        <v>1474</v>
      </c>
      <c r="R79">
        <v>1</v>
      </c>
      <c r="T79">
        <v>1</v>
      </c>
      <c r="AE79" t="s">
        <v>1566</v>
      </c>
      <c r="AF79">
        <v>4</v>
      </c>
      <c r="AG79" t="s">
        <v>1504</v>
      </c>
      <c r="AH79" t="s">
        <v>1505</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1537</v>
      </c>
      <c r="L80" t="s">
        <v>1499</v>
      </c>
      <c r="T80">
        <v>1</v>
      </c>
      <c r="AE80" t="s">
        <v>1538</v>
      </c>
      <c r="AF80">
        <v>3</v>
      </c>
      <c r="AG80" t="s">
        <v>1539</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1540</v>
      </c>
      <c r="AP80" t="s">
        <v>1541</v>
      </c>
    </row>
    <row r="81" customFormat="1" spans="3:45">
      <c r="C81" s="5">
        <v>7497</v>
      </c>
      <c r="D81">
        <v>1</v>
      </c>
      <c r="G81" t="s">
        <v>1613</v>
      </c>
      <c r="I81">
        <v>2</v>
      </c>
      <c r="K81" t="s">
        <v>1614</v>
      </c>
      <c r="L81" t="s">
        <v>1499</v>
      </c>
      <c r="R81">
        <v>1</v>
      </c>
      <c r="T81">
        <v>1</v>
      </c>
      <c r="AE81" t="s">
        <v>1574</v>
      </c>
      <c r="AF81">
        <v>13</v>
      </c>
      <c r="AG81" t="s">
        <v>1575</v>
      </c>
      <c r="AH81" t="s">
        <v>1576</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1615</v>
      </c>
      <c r="I82">
        <v>2</v>
      </c>
      <c r="K82" t="s">
        <v>1616</v>
      </c>
      <c r="L82" t="s">
        <v>1499</v>
      </c>
      <c r="R82">
        <v>1</v>
      </c>
      <c r="T82">
        <v>1</v>
      </c>
      <c r="AE82" t="s">
        <v>1574</v>
      </c>
      <c r="AF82">
        <v>13</v>
      </c>
      <c r="AG82" t="s">
        <v>1575</v>
      </c>
      <c r="AH82" t="s">
        <v>1576</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1617</v>
      </c>
      <c r="I83">
        <v>1</v>
      </c>
      <c r="K83" t="s">
        <v>1618</v>
      </c>
      <c r="L83" t="s">
        <v>1568</v>
      </c>
      <c r="T83">
        <v>1</v>
      </c>
      <c r="V83">
        <v>1</v>
      </c>
      <c r="AF83">
        <v>37</v>
      </c>
      <c r="AG83" t="s">
        <v>1619</v>
      </c>
      <c r="AH83" t="s">
        <v>1571</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1567</v>
      </c>
      <c r="L84" t="s">
        <v>1568</v>
      </c>
      <c r="R84">
        <v>1</v>
      </c>
      <c r="T84">
        <v>1</v>
      </c>
      <c r="AE84" t="s">
        <v>1569</v>
      </c>
      <c r="AF84">
        <v>15</v>
      </c>
      <c r="AG84" t="s">
        <v>1570</v>
      </c>
      <c r="AH84" t="s">
        <v>1571</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1548</v>
      </c>
      <c r="L85" t="s">
        <v>1549</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1558</v>
      </c>
      <c r="AP85" s="5" t="s">
        <v>1559</v>
      </c>
      <c r="AQ85" s="5" t="s">
        <v>1547</v>
      </c>
      <c r="AR85" s="4" t="s">
        <v>1620</v>
      </c>
      <c r="AS85" s="4" t="s">
        <v>1621</v>
      </c>
    </row>
    <row r="86" customFormat="1" spans="3:45">
      <c r="C86" s="5">
        <v>11561</v>
      </c>
      <c r="D86">
        <v>1</v>
      </c>
      <c r="G86" t="s">
        <v>1622</v>
      </c>
      <c r="I86">
        <v>1</v>
      </c>
      <c r="K86" t="s">
        <v>1623</v>
      </c>
      <c r="L86" t="s">
        <v>1624</v>
      </c>
      <c r="AN86" t="str">
        <f t="shared" si="2"/>
        <v>{dwID=11561,nLevel=1,szName="据点内",nScrutinyType=1,szNote="判断是否在大旗附近",col={80,231,236,},[1]={},[2]={},tCountdown={{nClass=1,nIcon=1272,nFrame=2,szName="据点大旗·旗手提示",nTime=-1,key="据点大旗·旗手提示",},},},</v>
      </c>
      <c r="AO86" t="s">
        <v>1625</v>
      </c>
      <c r="AP86" s="7"/>
      <c r="AQ86" s="7"/>
      <c r="AR86" s="7"/>
    </row>
    <row r="87" customFormat="1" spans="3:45">
      <c r="C87" s="5">
        <v>7723</v>
      </c>
      <c r="D87">
        <v>1</v>
      </c>
      <c r="I87">
        <v>2</v>
      </c>
      <c r="K87" t="s">
        <v>1584</v>
      </c>
      <c r="L87" t="s">
        <v>1581</v>
      </c>
      <c r="T87">
        <v>1</v>
      </c>
      <c r="V87">
        <v>1</v>
      </c>
      <c r="AF87">
        <v>1</v>
      </c>
      <c r="AG87" t="s">
        <v>1585</v>
      </c>
      <c r="AI87">
        <v>221</v>
      </c>
      <c r="AN87" t="str">
        <f t="shared" si="2"/>
        <v>{dwID=7723,nLevel=1,nScrutinyType=2,szNote="神机雷",col={255,255,255,},[1]={bBuffList=true,bTeamPanel=true,},[2]={},aCataclysmBuff={{nPriority=1,col="#FFFFFFDD",nColAlpha=221,},},},</v>
      </c>
    </row>
    <row r="88" spans="3:45">
      <c r="AN88" t="str">
        <f t="shared" si="2"/>
        <v>},},}</v>
      </c>
    </row>
  </sheetData>
  <autoFilter xmlns:etc="http://www.wps.cn/officeDocument/2017/etCustomData" ref="A1:BY8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1626</v>
      </c>
      <c r="M1" t="s">
        <v>1627</v>
      </c>
      <c r="N1" t="s">
        <v>1628</v>
      </c>
      <c r="O1" t="s">
        <v>1629</v>
      </c>
      <c r="P1" t="s">
        <v>1630</v>
      </c>
      <c r="Q1" t="s">
        <v>1631</v>
      </c>
      <c r="R1" t="s">
        <v>1632</v>
      </c>
      <c r="S1" t="s">
        <v>1633</v>
      </c>
      <c r="T1" t="s">
        <v>1634</v>
      </c>
      <c r="U1" t="s">
        <v>1635</v>
      </c>
      <c r="V1" t="s">
        <v>1636</v>
      </c>
      <c r="W1" t="s">
        <v>1637</v>
      </c>
      <c r="X1" t="s">
        <v>1638</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1639</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1640</v>
      </c>
      <c r="Z3" t="s">
        <v>1641</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1642</v>
      </c>
      <c r="F1" t="s">
        <v>1643</v>
      </c>
      <c r="G1" t="s">
        <v>1426</v>
      </c>
      <c r="H1" t="s">
        <v>1429</v>
      </c>
      <c r="I1" t="s">
        <v>44</v>
      </c>
      <c r="J1" t="s">
        <v>1430</v>
      </c>
      <c r="K1" t="s">
        <v>1644</v>
      </c>
      <c r="L1" t="s">
        <v>1645</v>
      </c>
      <c r="M1" t="s">
        <v>1646</v>
      </c>
      <c r="N1" t="s">
        <v>1647</v>
      </c>
      <c r="O1" t="s">
        <v>1648</v>
      </c>
      <c r="P1" t="s">
        <v>1649</v>
      </c>
      <c r="Q1" t="s">
        <v>1650</v>
      </c>
      <c r="R1" t="s">
        <v>1651</v>
      </c>
      <c r="S1" t="s">
        <v>1652</v>
      </c>
      <c r="T1" t="s">
        <v>1653</v>
      </c>
      <c r="U1" t="s">
        <v>239</v>
      </c>
      <c r="V1" t="s">
        <v>1654</v>
      </c>
      <c r="W1" t="s">
        <v>258</v>
      </c>
    </row>
    <row r="2" customFormat="1" spans="1:23">
      <c r="A2" t="s">
        <v>1655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1656</v>
      </c>
      <c r="U3" t="s">
        <v>1657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1658</v>
      </c>
      <c r="U4" t="s">
        <v>1657</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1659</v>
      </c>
      <c r="J6" s="9" t="s">
        <v>642</v>
      </c>
      <c r="P6">
        <v>1</v>
      </c>
      <c r="V6" t="str">
        <f t="shared" si="0"/>
        <v>{dwID=59858,nFrame=47,szNote="恶人谷精锐队长",col={255,120,31,},[3]={bScreenHead=true,},[4]={},},</v>
      </c>
    </row>
    <row r="7" customFormat="1" spans="1:23">
      <c r="C7">
        <v>59845</v>
      </c>
      <c r="D7">
        <v>47</v>
      </c>
      <c r="I7" s="7" t="s">
        <v>1660</v>
      </c>
      <c r="J7" s="10" t="s">
        <v>647</v>
      </c>
      <c r="P7">
        <v>1</v>
      </c>
      <c r="V7" t="str">
        <f t="shared" si="0"/>
        <v>{dwID=59845,nFrame=47,szNote="浩气盟精锐队长",col={31,230,255,},[3]={bScreenHead=true,},[4]={},},</v>
      </c>
    </row>
    <row r="8" spans="1:23">
      <c r="C8">
        <v>30201</v>
      </c>
      <c r="D8">
        <v>52</v>
      </c>
      <c r="I8" t="s">
        <v>1661</v>
      </c>
      <c r="U8" t="s">
        <v>1662</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1661</v>
      </c>
      <c r="U9" t="s">
        <v>1662</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1661</v>
      </c>
      <c r="U10" t="s">
        <v>1662</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1661</v>
      </c>
      <c r="U11" t="s">
        <v>1662</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1661</v>
      </c>
      <c r="U12" t="s">
        <v>1662</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1661</v>
      </c>
      <c r="U13" t="s">
        <v>1662</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1663</v>
      </c>
      <c r="U14" t="s">
        <v>1662</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1663</v>
      </c>
      <c r="U15" t="s">
        <v>1662</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1663</v>
      </c>
      <c r="U16" t="s">
        <v>1662</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1663</v>
      </c>
      <c r="U17" t="s">
        <v>1662</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1663</v>
      </c>
      <c r="U18" t="s">
        <v>1662</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1663</v>
      </c>
      <c r="U19" t="s">
        <v>1662</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1663</v>
      </c>
      <c r="U20" t="s">
        <v>1662</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1663</v>
      </c>
      <c r="U21" t="s">
        <v>1662</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1664</v>
      </c>
      <c r="U22" t="s">
        <v>1665</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1664</v>
      </c>
      <c r="U23" t="s">
        <v>1665</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1664</v>
      </c>
      <c r="U24" t="s">
        <v>1665</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1664</v>
      </c>
      <c r="U25" t="s">
        <v>1665</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1664</v>
      </c>
      <c r="U26" t="s">
        <v>1665</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1664</v>
      </c>
      <c r="U27" t="s">
        <v>1665</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1664</v>
      </c>
      <c r="U28" t="s">
        <v>1665</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1664</v>
      </c>
      <c r="U29" t="s">
        <v>1665</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1664</v>
      </c>
      <c r="U30" t="s">
        <v>1665</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1664</v>
      </c>
      <c r="U31" t="s">
        <v>1665</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1664</v>
      </c>
      <c r="U32" t="s">
        <v>1665</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1664</v>
      </c>
      <c r="U33" t="s">
        <v>1665</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1664</v>
      </c>
      <c r="U34" t="s">
        <v>1665</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1664</v>
      </c>
      <c r="U35" t="s">
        <v>1665</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1664</v>
      </c>
      <c r="U36" t="s">
        <v>1665</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1664</v>
      </c>
      <c r="U37" t="s">
        <v>1665</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1664</v>
      </c>
      <c r="U38" t="s">
        <v>1665</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1666</v>
      </c>
      <c r="U39" t="s">
        <v>1667</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1668</v>
      </c>
    </row>
    <row r="40" customFormat="1" spans="3:23">
      <c r="C40">
        <v>30004</v>
      </c>
      <c r="D40">
        <v>52</v>
      </c>
      <c r="I40" t="s">
        <v>1666</v>
      </c>
      <c r="U40" t="s">
        <v>1667</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1668</v>
      </c>
    </row>
    <row r="41" customFormat="1" spans="3:23">
      <c r="C41">
        <v>30003</v>
      </c>
      <c r="D41">
        <v>52</v>
      </c>
      <c r="I41" t="s">
        <v>1666</v>
      </c>
      <c r="U41" t="s">
        <v>1667</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1668</v>
      </c>
    </row>
    <row r="42" customFormat="1" spans="3:23">
      <c r="C42">
        <v>30002</v>
      </c>
      <c r="D42">
        <v>52</v>
      </c>
      <c r="I42" t="s">
        <v>1666</v>
      </c>
      <c r="U42" t="s">
        <v>1667</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1668</v>
      </c>
    </row>
    <row r="43" customFormat="1" spans="3:23">
      <c r="C43">
        <v>30001</v>
      </c>
      <c r="D43">
        <v>52</v>
      </c>
      <c r="I43" t="s">
        <v>1666</v>
      </c>
      <c r="U43" t="s">
        <v>1667</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1668</v>
      </c>
    </row>
    <row r="44" customFormat="1" spans="3:23">
      <c r="C44">
        <v>66809</v>
      </c>
      <c r="D44">
        <v>57</v>
      </c>
      <c r="G44" t="s">
        <v>1669</v>
      </c>
      <c r="I44" t="s">
        <v>1670</v>
      </c>
      <c r="O44">
        <v>1</v>
      </c>
      <c r="U44" t="s">
        <v>1671</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1672</v>
      </c>
      <c r="I45" t="s">
        <v>1673</v>
      </c>
      <c r="J45" s="9" t="s">
        <v>642</v>
      </c>
      <c r="O45">
        <v>1</v>
      </c>
      <c r="P45">
        <v>1</v>
      </c>
      <c r="U45" t="s">
        <v>1674</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1675</v>
      </c>
    </row>
    <row r="46" customFormat="1" spans="3:23">
      <c r="C46">
        <v>36823</v>
      </c>
      <c r="D46">
        <v>52</v>
      </c>
      <c r="G46" t="s">
        <v>1676</v>
      </c>
      <c r="I46" t="s">
        <v>1677</v>
      </c>
      <c r="J46" s="10" t="s">
        <v>647</v>
      </c>
      <c r="O46">
        <v>1</v>
      </c>
      <c r="P46">
        <v>1</v>
      </c>
      <c r="U46" t="s">
        <v>1678</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1679</v>
      </c>
    </row>
    <row r="47" customFormat="1" spans="3:23">
      <c r="C47">
        <v>36825</v>
      </c>
      <c r="D47">
        <v>52</v>
      </c>
      <c r="G47" t="s">
        <v>1680</v>
      </c>
      <c r="I47" t="s">
        <v>1680</v>
      </c>
      <c r="J47" t="s">
        <v>1474</v>
      </c>
      <c r="P47">
        <v>1</v>
      </c>
      <c r="U47" t="s">
        <v>1681</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1682</v>
      </c>
      <c r="J48" t="s">
        <v>1474</v>
      </c>
      <c r="P48">
        <v>1</v>
      </c>
      <c r="U48" t="s">
        <v>1683</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1684</v>
      </c>
    </row>
    <row r="49" customFormat="1" spans="1:23">
      <c r="C49">
        <v>36467</v>
      </c>
      <c r="D49">
        <v>52</v>
      </c>
      <c r="G49" t="s">
        <v>1685</v>
      </c>
      <c r="I49" t="s">
        <v>1686</v>
      </c>
      <c r="J49" s="9" t="s">
        <v>642</v>
      </c>
      <c r="P49">
        <v>1</v>
      </c>
      <c r="V49" t="str">
        <f t="shared" si="0"/>
        <v>{dwID=36467,nFrame=52,szName="恶人·神机车",szNote="恶人·神机车·底座",col={255,120,31,},[3]={bScreenHead=true,},[4]={},},</v>
      </c>
    </row>
    <row r="50" customFormat="1" spans="1:23">
      <c r="C50">
        <v>27617</v>
      </c>
      <c r="D50">
        <v>52</v>
      </c>
      <c r="G50" t="s">
        <v>1687</v>
      </c>
      <c r="I50" t="s">
        <v>1688</v>
      </c>
      <c r="J50" s="10" t="s">
        <v>647</v>
      </c>
      <c r="P50">
        <v>1</v>
      </c>
      <c r="V50" t="str">
        <f t="shared" si="0"/>
        <v>{dwID=27617,nFrame=52,szName="浩气·神机车",szNote="浩气·神机车·底座",col={31,230,255,},[3]={bScreenHead=true,},[4]={},},</v>
      </c>
    </row>
    <row r="51" customFormat="1" spans="1:23">
      <c r="C51">
        <v>36562</v>
      </c>
      <c r="D51">
        <v>52</v>
      </c>
      <c r="G51" t="s">
        <v>1689</v>
      </c>
      <c r="I51" t="s">
        <v>1690</v>
      </c>
      <c r="J51" s="9" t="s">
        <v>642</v>
      </c>
      <c r="P51">
        <v>1</v>
      </c>
      <c r="V51" t="str">
        <f t="shared" si="0"/>
        <v>{dwID=36562,nFrame=52,szName="恶人·组装神机车",szNote="恶人·神机车·组装中",col={255,120,31,},[3]={bScreenHead=true,},[4]={},},</v>
      </c>
    </row>
    <row r="52" customFormat="1" spans="1:23">
      <c r="C52">
        <v>36561</v>
      </c>
      <c r="D52">
        <v>52</v>
      </c>
      <c r="G52" t="s">
        <v>1691</v>
      </c>
      <c r="I52" t="s">
        <v>1692</v>
      </c>
      <c r="J52" s="10" t="s">
        <v>647</v>
      </c>
      <c r="P52">
        <v>1</v>
      </c>
      <c r="V52" t="str">
        <f t="shared" si="0"/>
        <v>{dwID=36561,nFrame=52,szName="浩气·组装神机车",szNote="浩气·神机车·组装中",col={31,230,255,},[3]={bScreenHead=true,},[4]={},},</v>
      </c>
    </row>
    <row r="53" customFormat="1" spans="1:23">
      <c r="C53">
        <v>36396</v>
      </c>
      <c r="D53">
        <v>52</v>
      </c>
      <c r="G53" t="s">
        <v>1693</v>
      </c>
      <c r="I53" t="s">
        <v>1694</v>
      </c>
      <c r="O53">
        <v>1</v>
      </c>
      <c r="P53">
        <v>1</v>
      </c>
      <c r="U53" t="s">
        <v>1695</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1696</v>
      </c>
    </row>
    <row r="54" customFormat="1" spans="1:23">
      <c r="C54">
        <v>36005</v>
      </c>
      <c r="D54">
        <v>52</v>
      </c>
      <c r="I54" t="s">
        <v>1697</v>
      </c>
      <c r="P54">
        <v>1</v>
      </c>
      <c r="U54" t="s">
        <v>1698</v>
      </c>
      <c r="V54" t="str">
        <f t="shared" si="0"/>
        <v>{dwID=36005,nFrame=52,szNote="神机台·没人状态",[3]={bScreenHead=true,},[4]={},aFocus={{dwMapID=-1,nMaxDistance=-1,tRelation={bAll=true,bEnemy=true,bAlly=true,},tLife={bEnable=true,szOperator="&lt;",nValue=10,},},},},</v>
      </c>
    </row>
    <row r="55" customFormat="1" spans="1:23">
      <c r="C55">
        <v>100133</v>
      </c>
      <c r="D55">
        <v>57</v>
      </c>
      <c r="I55" t="s">
        <v>1699</v>
      </c>
      <c r="P55">
        <v>1</v>
      </c>
      <c r="U55" t="s">
        <v>1700</v>
      </c>
      <c r="V55" t="str">
        <f t="shared" si="0"/>
        <v>{dwID=100133,nFrame=57,szNote="狼牙先锋首领",[3]={bScreenHead=true,},[4]={},aFocus={{dwMapID=-1,nMaxDistance=90,tRelation={bAll=false,bEnemy=true,bAlly=false,},tLife={bEnable=false,szOperator="&gt;",nValue=0,},},},},</v>
      </c>
    </row>
    <row r="56" customFormat="1" spans="1:23">
      <c r="C56">
        <v>30310</v>
      </c>
      <c r="D56">
        <v>47</v>
      </c>
      <c r="I56" t="s">
        <v>1701</v>
      </c>
      <c r="P56">
        <v>1</v>
      </c>
      <c r="U56" t="s">
        <v>1702</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1703</v>
      </c>
    </row>
    <row r="57" customFormat="1" spans="1:23">
      <c r="C57">
        <v>30322</v>
      </c>
      <c r="D57">
        <v>47</v>
      </c>
      <c r="I57" t="s">
        <v>1704</v>
      </c>
      <c r="P57">
        <v>1</v>
      </c>
      <c r="U57" t="s">
        <v>1702</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1705</v>
      </c>
    </row>
    <row r="58" customFormat="1" spans="1:23">
      <c r="C58">
        <v>30597</v>
      </c>
      <c r="D58">
        <v>47</v>
      </c>
      <c r="I58" t="s">
        <v>1706</v>
      </c>
      <c r="J58" s="9" t="s">
        <v>642</v>
      </c>
      <c r="P58">
        <v>1</v>
      </c>
      <c r="V58" t="str">
        <f t="shared" si="0"/>
        <v>{dwID=30597,nFrame=47,szNote="恶人谷货郎",col={255,120,31,},[3]={bScreenHead=true,},[4]={},},</v>
      </c>
    </row>
    <row r="59" customFormat="1" spans="1:23">
      <c r="C59">
        <v>30596</v>
      </c>
      <c r="D59">
        <v>47</v>
      </c>
      <c r="I59" t="s">
        <v>1707</v>
      </c>
      <c r="J59" s="10" t="s">
        <v>647</v>
      </c>
      <c r="P59">
        <v>1</v>
      </c>
      <c r="V59" t="str">
        <f t="shared" si="0"/>
        <v>{dwID=30596,nFrame=47,szNote="浩气盟货郎",col={31,230,255,},[3]={bScreenHead=true,},[4]={},},</v>
      </c>
    </row>
    <row r="60" customFormat="1" spans="1:23">
      <c r="C60">
        <v>30537</v>
      </c>
      <c r="D60">
        <v>47</v>
      </c>
      <c r="I60" t="s">
        <v>1708</v>
      </c>
      <c r="J60" t="s">
        <v>1709</v>
      </c>
      <c r="P60">
        <v>1</v>
      </c>
      <c r="U60" t="s">
        <v>1710</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1711</v>
      </c>
      <c r="P61">
        <v>1</v>
      </c>
      <c r="U61" t="s">
        <v>1712</v>
      </c>
      <c r="V61" t="str">
        <f t="shared" si="0"/>
        <v>{dwID=36388,nFrame=47,szNote="浩气·据点总管",[3]={bScreenHead=true,},[4]={},aFocus={{dwMapID=-1,nMaxDistance=6,tRelation={bAll=false,bEnemy=false,bAlly=true,},tLife={bEnable=false,szOperator="&gt;",nValue=0,},},},},</v>
      </c>
    </row>
    <row r="62" customFormat="1" spans="1:23">
      <c r="C62">
        <v>36387</v>
      </c>
      <c r="D62">
        <v>47</v>
      </c>
      <c r="I62" t="s">
        <v>1713</v>
      </c>
      <c r="P62">
        <v>1</v>
      </c>
      <c r="U62" t="s">
        <v>1712</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1672</v>
      </c>
      <c r="I64" t="s">
        <v>1714</v>
      </c>
      <c r="J64" s="9" t="s">
        <v>642</v>
      </c>
      <c r="O64">
        <v>1</v>
      </c>
      <c r="P64">
        <v>1</v>
      </c>
      <c r="U64" t="s">
        <v>1674</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1675</v>
      </c>
    </row>
    <row r="65" customFormat="1" spans="1:23">
      <c r="C65">
        <v>46195</v>
      </c>
      <c r="D65">
        <v>52</v>
      </c>
      <c r="G65" t="s">
        <v>1676</v>
      </c>
      <c r="I65" t="s">
        <v>1715</v>
      </c>
      <c r="J65" s="10" t="s">
        <v>647</v>
      </c>
      <c r="O65">
        <v>1</v>
      </c>
      <c r="P65">
        <v>1</v>
      </c>
      <c r="U65" t="s">
        <v>1678</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1679</v>
      </c>
    </row>
    <row r="66" customFormat="1" spans="1:23">
      <c r="C66">
        <v>46193</v>
      </c>
      <c r="D66">
        <v>52</v>
      </c>
      <c r="I66" t="s">
        <v>1682</v>
      </c>
      <c r="J66" t="s">
        <v>1474</v>
      </c>
      <c r="P66">
        <v>1</v>
      </c>
      <c r="U66" t="s">
        <v>1716</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1684</v>
      </c>
    </row>
    <row r="67" customFormat="1" spans="1:23">
      <c r="C67">
        <v>45171</v>
      </c>
      <c r="D67">
        <v>52</v>
      </c>
      <c r="G67" t="s">
        <v>1693</v>
      </c>
      <c r="I67" t="s">
        <v>1717</v>
      </c>
      <c r="O67">
        <v>1</v>
      </c>
      <c r="P67">
        <v>1</v>
      </c>
      <c r="U67" t="s">
        <v>1695</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1696</v>
      </c>
    </row>
    <row r="68" customFormat="1" spans="1:23">
      <c r="C68">
        <v>45170</v>
      </c>
      <c r="D68">
        <v>52</v>
      </c>
      <c r="I68" t="s">
        <v>1718</v>
      </c>
      <c r="P68">
        <v>1</v>
      </c>
      <c r="U68" t="s">
        <v>1698</v>
      </c>
      <c r="V68" t="str">
        <f t="shared" si="1"/>
        <v>{dwID=45170,nFrame=52,szNote="神机台·无人状态",[3]={bScreenHead=true,},[4]={},aFocus={{dwMapID=-1,nMaxDistance=-1,tRelation={bAll=true,bEnemy=true,bAlly=true,},tLife={bEnable=true,szOperator="&lt;",nValue=10,},},},},</v>
      </c>
    </row>
    <row r="69" spans="1:23">
      <c r="C69">
        <v>46057</v>
      </c>
      <c r="D69">
        <v>47</v>
      </c>
      <c r="I69" t="s">
        <v>1719</v>
      </c>
      <c r="J69" s="9" t="s">
        <v>642</v>
      </c>
      <c r="P69">
        <v>1</v>
      </c>
      <c r="U69" t="s">
        <v>1710</v>
      </c>
      <c r="V69" t="str">
        <f t="shared" si="1"/>
        <v>{dwID=46057,nFrame=47,szNote="恶人谷伍长",col={255,120,31,},[3]={bScreenHead=true,},[4]={},aFocus={{dwMapID=-1,nMaxDistance=10,tRelation={bAll=false,bEnemy=false,bAlly=true,},tLife={bEnable=false,szOperator="&gt;",nValue=0,},},},},</v>
      </c>
    </row>
    <row r="70" spans="1:23">
      <c r="C70">
        <v>46058</v>
      </c>
      <c r="D70">
        <v>47</v>
      </c>
      <c r="I70" t="s">
        <v>1720</v>
      </c>
      <c r="J70" s="10" t="s">
        <v>647</v>
      </c>
      <c r="P70">
        <v>1</v>
      </c>
      <c r="U70" t="s">
        <v>1710</v>
      </c>
      <c r="V70" t="str">
        <f t="shared" si="1"/>
        <v>{dwID=46058,nFrame=47,szNote="浩气盟伍长",col={31,230,255,},[3]={bScreenHead=true,},[4]={},aFocus={{dwMapID=-1,nMaxDistance=10,tRelation={bAll=false,bEnemy=false,bAlly=true,},tLife={bEnable=false,szOperator="&gt;",nValue=0,},},},},</v>
      </c>
    </row>
    <row r="71" spans="1:23">
      <c r="C71">
        <v>46268</v>
      </c>
      <c r="D71">
        <v>47</v>
      </c>
      <c r="I71" t="s">
        <v>1721</v>
      </c>
      <c r="J71" t="s">
        <v>1474</v>
      </c>
      <c r="K71" t="s">
        <v>1722</v>
      </c>
      <c r="P71">
        <v>1</v>
      </c>
      <c r="U71" t="s">
        <v>1723</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1711</v>
      </c>
      <c r="P73">
        <v>1</v>
      </c>
      <c r="U73" t="s">
        <v>1712</v>
      </c>
      <c r="V73" t="str">
        <f t="shared" si="1"/>
        <v>{dwID=36388,nFrame=47,szNote="浩气·据点总管",[3]={bScreenHead=true,},[4]={},aFocus={{dwMapID=-1,nMaxDistance=6,tRelation={bAll=false,bEnemy=false,bAlly=true,},tLife={bEnable=false,szOperator="&gt;",nValue=0,},},},},</v>
      </c>
    </row>
    <row r="74" customFormat="1" spans="1:23">
      <c r="C74">
        <v>5724</v>
      </c>
      <c r="D74">
        <v>47</v>
      </c>
      <c r="I74" t="s">
        <v>1724</v>
      </c>
      <c r="J74" t="s">
        <v>1725</v>
      </c>
      <c r="P74">
        <v>1</v>
      </c>
      <c r="U74" t="s">
        <v>1726</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1727</v>
      </c>
    </row>
    <row r="75" spans="1:23">
      <c r="C75">
        <v>105586</v>
      </c>
      <c r="D75">
        <v>47</v>
      </c>
      <c r="I75" t="s">
        <v>1728</v>
      </c>
      <c r="J75" t="s">
        <v>1581</v>
      </c>
      <c r="P75">
        <v>1</v>
      </c>
      <c r="U75" t="s">
        <v>1729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1730</v>
      </c>
      <c r="J76" t="s">
        <v>1581</v>
      </c>
      <c r="P76">
        <v>1</v>
      </c>
      <c r="U76" t="s">
        <v>1729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1730</v>
      </c>
      <c r="J77" t="s">
        <v>1581</v>
      </c>
      <c r="P77">
        <v>1</v>
      </c>
      <c r="U77" t="s">
        <v>1729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1731</v>
      </c>
      <c r="J78" t="s">
        <v>1581</v>
      </c>
      <c r="P78">
        <v>1</v>
      </c>
      <c r="U78" t="s">
        <v>1729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1732</v>
      </c>
      <c r="J79" t="s">
        <v>1581</v>
      </c>
      <c r="P79">
        <v>1</v>
      </c>
      <c r="U79" t="s">
        <v>1729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1733</v>
      </c>
      <c r="J80" t="s">
        <v>1581</v>
      </c>
      <c r="P80">
        <v>1</v>
      </c>
      <c r="U80" t="s">
        <v>1729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1733</v>
      </c>
      <c r="J81" t="s">
        <v>1581</v>
      </c>
      <c r="P81">
        <v>1</v>
      </c>
      <c r="U81" t="s">
        <v>1729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1734</v>
      </c>
      <c r="J82" t="s">
        <v>1581</v>
      </c>
      <c r="P82">
        <v>1</v>
      </c>
      <c r="U82" t="s">
        <v>1729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1735</v>
      </c>
      <c r="J83" t="s">
        <v>1581</v>
      </c>
      <c r="P83">
        <v>1</v>
      </c>
      <c r="U83" t="s">
        <v>1729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1735</v>
      </c>
      <c r="J84" t="s">
        <v>1581</v>
      </c>
      <c r="P84">
        <v>1</v>
      </c>
      <c r="U84" t="s">
        <v>1729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1736</v>
      </c>
      <c r="J85" t="s">
        <v>1581</v>
      </c>
      <c r="P85">
        <v>1</v>
      </c>
      <c r="U85" t="s">
        <v>1729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1736</v>
      </c>
      <c r="J86" t="s">
        <v>1581</v>
      </c>
      <c r="P86">
        <v>1</v>
      </c>
      <c r="U86" t="s">
        <v>1729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1737</v>
      </c>
      <c r="J87" t="s">
        <v>1581</v>
      </c>
      <c r="P87">
        <v>1</v>
      </c>
      <c r="U87" t="s">
        <v>1729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1738</v>
      </c>
      <c r="J88" t="s">
        <v>1581</v>
      </c>
      <c r="P88">
        <v>1</v>
      </c>
      <c r="U88" t="s">
        <v>1729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1739</v>
      </c>
      <c r="J89" t="s">
        <v>1581</v>
      </c>
      <c r="P89">
        <v>1</v>
      </c>
      <c r="U89" t="s">
        <v>1729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1740</v>
      </c>
      <c r="J90" t="s">
        <v>1581</v>
      </c>
      <c r="P90">
        <v>1</v>
      </c>
      <c r="U90" t="s">
        <v>1729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1740</v>
      </c>
      <c r="J91" t="s">
        <v>1581</v>
      </c>
      <c r="P91">
        <v>1</v>
      </c>
      <c r="U91" t="s">
        <v>1729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1741</v>
      </c>
      <c r="J92" t="s">
        <v>1581</v>
      </c>
      <c r="P92">
        <v>1</v>
      </c>
      <c r="U92" t="s">
        <v>1729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1741</v>
      </c>
      <c r="J93" t="s">
        <v>1581</v>
      </c>
      <c r="P93">
        <v>1</v>
      </c>
      <c r="U93" t="s">
        <v>1729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1742</v>
      </c>
      <c r="J94" t="s">
        <v>1581</v>
      </c>
      <c r="K94" t="s">
        <v>1722</v>
      </c>
      <c r="P94">
        <v>1</v>
      </c>
      <c r="U94" t="s">
        <v>1729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1743</v>
      </c>
      <c r="J95" t="s">
        <v>1581</v>
      </c>
      <c r="K95" t="s">
        <v>1722</v>
      </c>
      <c r="P95">
        <v>1</v>
      </c>
      <c r="U95" t="s">
        <v>1729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1744</v>
      </c>
      <c r="J96" t="s">
        <v>1581</v>
      </c>
      <c r="K96" t="s">
        <v>1722</v>
      </c>
      <c r="P96">
        <v>1</v>
      </c>
      <c r="U96" t="s">
        <v>1729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1745</v>
      </c>
      <c r="J97" t="s">
        <v>1581</v>
      </c>
      <c r="K97" t="s">
        <v>1722</v>
      </c>
      <c r="P97">
        <v>1</v>
      </c>
      <c r="U97" t="s">
        <v>1729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1746</v>
      </c>
      <c r="J98" t="s">
        <v>1581</v>
      </c>
      <c r="K98" t="s">
        <v>1722</v>
      </c>
      <c r="P98">
        <v>1</v>
      </c>
      <c r="U98" t="s">
        <v>1729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1747</v>
      </c>
      <c r="J99" t="s">
        <v>1581</v>
      </c>
      <c r="K99" t="s">
        <v>1722</v>
      </c>
      <c r="P99">
        <v>1</v>
      </c>
      <c r="U99" t="s">
        <v>1729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1748</v>
      </c>
      <c r="J100" t="s">
        <v>1581</v>
      </c>
      <c r="K100" t="s">
        <v>1722</v>
      </c>
      <c r="P100">
        <v>1</v>
      </c>
      <c r="U100" t="s">
        <v>1729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1749</v>
      </c>
      <c r="J101" t="s">
        <v>1581</v>
      </c>
      <c r="K101" t="s">
        <v>1722</v>
      </c>
      <c r="P101">
        <v>1</v>
      </c>
      <c r="U101" t="s">
        <v>1729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1750</v>
      </c>
      <c r="J102" t="s">
        <v>1581</v>
      </c>
      <c r="K102" t="s">
        <v>1722</v>
      </c>
      <c r="P102">
        <v>1</v>
      </c>
      <c r="U102" t="s">
        <v>1729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1751</v>
      </c>
      <c r="J103" t="s">
        <v>1581</v>
      </c>
      <c r="K103" t="s">
        <v>1722</v>
      </c>
      <c r="P103">
        <v>1</v>
      </c>
      <c r="U103" t="s">
        <v>1729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1752</v>
      </c>
      <c r="J104" t="s">
        <v>1581</v>
      </c>
      <c r="K104" t="s">
        <v>1722</v>
      </c>
      <c r="P104">
        <v>1</v>
      </c>
      <c r="U104" t="s">
        <v>1729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1753</v>
      </c>
      <c r="J105" t="s">
        <v>1581</v>
      </c>
      <c r="K105" t="s">
        <v>1722</v>
      </c>
      <c r="P105">
        <v>1</v>
      </c>
      <c r="U105" t="s">
        <v>1729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1754</v>
      </c>
      <c r="J106" t="s">
        <v>1581</v>
      </c>
      <c r="P106">
        <v>1</v>
      </c>
      <c r="U106" t="s">
        <v>1729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1755</v>
      </c>
      <c r="X106" t="s">
        <v>1756</v>
      </c>
    </row>
    <row r="107" spans="3:24">
      <c r="C107">
        <v>17238</v>
      </c>
      <c r="D107">
        <v>47</v>
      </c>
      <c r="I107" t="s">
        <v>1757</v>
      </c>
      <c r="J107" t="s">
        <v>1581</v>
      </c>
      <c r="P107">
        <v>1</v>
      </c>
      <c r="U107" t="s">
        <v>1729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1755</v>
      </c>
      <c r="X107" t="s">
        <v>1756</v>
      </c>
    </row>
    <row r="108" spans="3:24">
      <c r="C108">
        <v>17240</v>
      </c>
      <c r="D108">
        <v>47</v>
      </c>
      <c r="I108" t="s">
        <v>1758</v>
      </c>
      <c r="J108" t="s">
        <v>1581</v>
      </c>
      <c r="P108">
        <v>1</v>
      </c>
      <c r="U108" t="s">
        <v>1729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1755</v>
      </c>
      <c r="X108" t="s">
        <v>1756</v>
      </c>
    </row>
    <row r="109" spans="3:24">
      <c r="C109">
        <v>17239</v>
      </c>
      <c r="D109">
        <v>47</v>
      </c>
      <c r="I109" t="s">
        <v>1759</v>
      </c>
      <c r="J109" t="s">
        <v>1581</v>
      </c>
      <c r="P109">
        <v>1</v>
      </c>
      <c r="U109" t="s">
        <v>1729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1755</v>
      </c>
      <c r="X109" t="s">
        <v>1756</v>
      </c>
    </row>
    <row r="110" spans="3:24">
      <c r="C110">
        <v>8954</v>
      </c>
      <c r="D110">
        <v>47</v>
      </c>
      <c r="I110" t="s">
        <v>1760</v>
      </c>
      <c r="J110" t="s">
        <v>1581</v>
      </c>
      <c r="P110">
        <v>1</v>
      </c>
      <c r="U110" t="s">
        <v>1729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1755</v>
      </c>
      <c r="X110" t="s">
        <v>1756</v>
      </c>
    </row>
    <row r="111" spans="3:24">
      <c r="C111">
        <v>6230</v>
      </c>
      <c r="D111">
        <v>47</v>
      </c>
      <c r="I111" t="s">
        <v>1761</v>
      </c>
      <c r="J111" t="s">
        <v>1581</v>
      </c>
      <c r="P111">
        <v>1</v>
      </c>
      <c r="U111" t="s">
        <v>1729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1755</v>
      </c>
      <c r="X111" t="s">
        <v>1756</v>
      </c>
    </row>
    <row r="112" spans="3:24">
      <c r="C112">
        <v>8952</v>
      </c>
      <c r="D112">
        <v>47</v>
      </c>
      <c r="I112" t="s">
        <v>1762</v>
      </c>
      <c r="J112" t="s">
        <v>1581</v>
      </c>
      <c r="P112">
        <v>1</v>
      </c>
      <c r="U112" t="s">
        <v>1729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1755</v>
      </c>
      <c r="X112" t="s">
        <v>1756</v>
      </c>
    </row>
    <row r="113" spans="1:24">
      <c r="C113">
        <v>8953</v>
      </c>
      <c r="D113">
        <v>47</v>
      </c>
      <c r="I113" t="s">
        <v>1763</v>
      </c>
      <c r="J113" t="s">
        <v>1581</v>
      </c>
      <c r="P113">
        <v>1</v>
      </c>
      <c r="U113" t="s">
        <v>1729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1755</v>
      </c>
      <c r="X113" t="s">
        <v>1756</v>
      </c>
    </row>
    <row r="114" spans="1:24">
      <c r="A114" t="s">
        <v>328</v>
      </c>
      <c r="B114">
        <v>27</v>
      </c>
      <c r="V114" t="str">
        <f t="shared" si="1"/>
        <v>},[27]={</v>
      </c>
    </row>
    <row r="115" customFormat="1" spans="1:24">
      <c r="C115">
        <v>36387</v>
      </c>
      <c r="D115">
        <v>47</v>
      </c>
      <c r="I115" t="s">
        <v>1713</v>
      </c>
      <c r="P115">
        <v>1</v>
      </c>
      <c r="U115" t="s">
        <v>1712</v>
      </c>
      <c r="V115" t="str">
        <f t="shared" si="1"/>
        <v>{dwID=36387,nFrame=47,szNote="恶人·据点总管",[3]={bScreenHead=true,},[4]={},aFocus={{dwMapID=-1,nMaxDistance=6,tRelation={bAll=false,bEnemy=false,bAlly=true,},tLife={bEnable=false,szOperator="&gt;",nValue=0,},},},},</v>
      </c>
    </row>
    <row r="116" spans="1:24">
      <c r="C116">
        <v>105586</v>
      </c>
      <c r="D116">
        <v>47</v>
      </c>
      <c r="I116" t="s">
        <v>1728</v>
      </c>
      <c r="J116" t="s">
        <v>1581</v>
      </c>
      <c r="P116">
        <v>1</v>
      </c>
      <c r="U116" t="s">
        <v>1729</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1764</v>
      </c>
      <c r="J117" t="s">
        <v>1581</v>
      </c>
      <c r="P117">
        <v>1</v>
      </c>
      <c r="U117" t="s">
        <v>1729</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1730</v>
      </c>
      <c r="J118" t="s">
        <v>1581</v>
      </c>
      <c r="P118">
        <v>1</v>
      </c>
      <c r="U118" t="s">
        <v>1729</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1731</v>
      </c>
      <c r="J119" t="s">
        <v>1581</v>
      </c>
      <c r="P119">
        <v>1</v>
      </c>
      <c r="U119" t="s">
        <v>1729</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1732</v>
      </c>
      <c r="J120" t="s">
        <v>1581</v>
      </c>
      <c r="P120">
        <v>1</v>
      </c>
      <c r="U120" t="s">
        <v>1729</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1733</v>
      </c>
      <c r="J121" t="s">
        <v>1581</v>
      </c>
      <c r="P121">
        <v>1</v>
      </c>
      <c r="U121" t="s">
        <v>1729</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1733</v>
      </c>
      <c r="J122" t="s">
        <v>1581</v>
      </c>
      <c r="P122">
        <v>1</v>
      </c>
      <c r="U122" t="s">
        <v>1729</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1735</v>
      </c>
      <c r="J123" t="s">
        <v>1581</v>
      </c>
      <c r="P123">
        <v>1</v>
      </c>
      <c r="U123" t="s">
        <v>1729</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1735</v>
      </c>
      <c r="J124" t="s">
        <v>1581</v>
      </c>
      <c r="P124">
        <v>1</v>
      </c>
      <c r="U124" t="s">
        <v>1729</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1736</v>
      </c>
      <c r="J125" t="s">
        <v>1581</v>
      </c>
      <c r="P125">
        <v>1</v>
      </c>
      <c r="U125" t="s">
        <v>1729</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1736</v>
      </c>
      <c r="J126" t="s">
        <v>1581</v>
      </c>
      <c r="P126">
        <v>1</v>
      </c>
      <c r="U126" t="s">
        <v>1729</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1765</v>
      </c>
      <c r="J127" t="s">
        <v>1581</v>
      </c>
      <c r="P127">
        <v>1</v>
      </c>
      <c r="U127" t="s">
        <v>1729</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1766</v>
      </c>
      <c r="J128" t="s">
        <v>1581</v>
      </c>
      <c r="P128">
        <v>1</v>
      </c>
      <c r="U128" t="s">
        <v>1729</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1738</v>
      </c>
      <c r="J129" t="s">
        <v>1581</v>
      </c>
      <c r="P129">
        <v>1</v>
      </c>
      <c r="U129" t="s">
        <v>1729</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1739</v>
      </c>
      <c r="J130" t="s">
        <v>1581</v>
      </c>
      <c r="P130">
        <v>1</v>
      </c>
      <c r="U130" t="s">
        <v>1729</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1740</v>
      </c>
      <c r="J131" t="s">
        <v>1581</v>
      </c>
      <c r="P131">
        <v>1</v>
      </c>
      <c r="U131" t="s">
        <v>1729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1740</v>
      </c>
      <c r="J132" t="s">
        <v>1581</v>
      </c>
      <c r="P132">
        <v>1</v>
      </c>
      <c r="U132" t="s">
        <v>1729</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1741</v>
      </c>
      <c r="J133" t="s">
        <v>1581</v>
      </c>
      <c r="P133">
        <v>1</v>
      </c>
      <c r="U133" t="s">
        <v>1729</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1741</v>
      </c>
      <c r="J134" t="s">
        <v>1581</v>
      </c>
      <c r="P134">
        <v>1</v>
      </c>
      <c r="U134" t="s">
        <v>1729</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1742</v>
      </c>
      <c r="J135" t="s">
        <v>1581</v>
      </c>
      <c r="K135" t="s">
        <v>1722</v>
      </c>
      <c r="P135">
        <v>1</v>
      </c>
      <c r="U135" t="s">
        <v>1729</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1743</v>
      </c>
      <c r="J136" t="s">
        <v>1581</v>
      </c>
      <c r="K136" t="s">
        <v>1722</v>
      </c>
      <c r="P136">
        <v>1</v>
      </c>
      <c r="U136" t="s">
        <v>1729</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1744</v>
      </c>
      <c r="J137" t="s">
        <v>1581</v>
      </c>
      <c r="K137" t="s">
        <v>1722</v>
      </c>
      <c r="P137">
        <v>1</v>
      </c>
      <c r="U137" t="s">
        <v>1729</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1745</v>
      </c>
      <c r="J138" t="s">
        <v>1581</v>
      </c>
      <c r="K138" t="s">
        <v>1722</v>
      </c>
      <c r="P138">
        <v>1</v>
      </c>
      <c r="U138" t="s">
        <v>1729</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1746</v>
      </c>
      <c r="J139" t="s">
        <v>1581</v>
      </c>
      <c r="K139" t="s">
        <v>1722</v>
      </c>
      <c r="P139">
        <v>1</v>
      </c>
      <c r="U139" t="s">
        <v>1729</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1747</v>
      </c>
      <c r="J140" t="s">
        <v>1581</v>
      </c>
      <c r="K140" t="s">
        <v>1722</v>
      </c>
      <c r="P140">
        <v>1</v>
      </c>
      <c r="U140" t="s">
        <v>1729</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1748</v>
      </c>
      <c r="J141" t="s">
        <v>1581</v>
      </c>
      <c r="K141" t="s">
        <v>1722</v>
      </c>
      <c r="P141">
        <v>1</v>
      </c>
      <c r="U141" t="s">
        <v>1729</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1767</v>
      </c>
      <c r="J142" t="s">
        <v>1581</v>
      </c>
      <c r="K142" t="s">
        <v>1722</v>
      </c>
      <c r="P142">
        <v>1</v>
      </c>
      <c r="U142" t="s">
        <v>1729</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1768</v>
      </c>
      <c r="J143" t="s">
        <v>1581</v>
      </c>
      <c r="K143" t="s">
        <v>1722</v>
      </c>
      <c r="P143">
        <v>1</v>
      </c>
      <c r="U143" t="s">
        <v>1729</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1751</v>
      </c>
      <c r="J144" t="s">
        <v>1581</v>
      </c>
      <c r="K144" t="s">
        <v>1722</v>
      </c>
      <c r="P144">
        <v>1</v>
      </c>
      <c r="U144" t="s">
        <v>1729</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1752</v>
      </c>
      <c r="J145" t="s">
        <v>1581</v>
      </c>
      <c r="K145" t="s">
        <v>1722</v>
      </c>
      <c r="P145">
        <v>1</v>
      </c>
      <c r="U145" t="s">
        <v>1729</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1753</v>
      </c>
      <c r="J146" t="s">
        <v>1581</v>
      </c>
      <c r="K146" t="s">
        <v>1722</v>
      </c>
      <c r="P146">
        <v>1</v>
      </c>
      <c r="U146" t="s">
        <v>1729</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1754</v>
      </c>
      <c r="J147" t="s">
        <v>1581</v>
      </c>
      <c r="P147">
        <v>1</v>
      </c>
      <c r="U147" t="s">
        <v>1729</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1755</v>
      </c>
      <c r="X147" t="s">
        <v>1756</v>
      </c>
    </row>
    <row r="148" spans="1:24">
      <c r="C148">
        <v>8956</v>
      </c>
      <c r="D148">
        <v>47</v>
      </c>
      <c r="I148" t="s">
        <v>1757</v>
      </c>
      <c r="J148" t="s">
        <v>1581</v>
      </c>
      <c r="P148">
        <v>1</v>
      </c>
      <c r="U148" t="s">
        <v>1729</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1755</v>
      </c>
      <c r="X148" t="s">
        <v>1756</v>
      </c>
    </row>
    <row r="149" spans="1:24">
      <c r="C149">
        <v>8955</v>
      </c>
      <c r="D149">
        <v>47</v>
      </c>
      <c r="I149" t="s">
        <v>1758</v>
      </c>
      <c r="J149" t="s">
        <v>1581</v>
      </c>
      <c r="P149">
        <v>1</v>
      </c>
      <c r="U149" t="s">
        <v>1729</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1755</v>
      </c>
      <c r="X149" t="s">
        <v>1756</v>
      </c>
    </row>
    <row r="150" spans="1:24">
      <c r="C150">
        <v>8957</v>
      </c>
      <c r="D150">
        <v>47</v>
      </c>
      <c r="I150" t="s">
        <v>1759</v>
      </c>
      <c r="J150" t="s">
        <v>1581</v>
      </c>
      <c r="P150">
        <v>1</v>
      </c>
      <c r="U150" t="s">
        <v>1729</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1755</v>
      </c>
      <c r="X150" t="s">
        <v>1756</v>
      </c>
    </row>
    <row r="151" spans="1:24">
      <c r="C151">
        <v>17234</v>
      </c>
      <c r="D151">
        <v>47</v>
      </c>
      <c r="I151" t="s">
        <v>1760</v>
      </c>
      <c r="J151" t="s">
        <v>1581</v>
      </c>
      <c r="P151">
        <v>1</v>
      </c>
      <c r="U151" t="s">
        <v>1729</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1755</v>
      </c>
      <c r="X151" t="s">
        <v>1756</v>
      </c>
    </row>
    <row r="152" spans="1:24">
      <c r="C152">
        <v>17233</v>
      </c>
      <c r="D152">
        <v>47</v>
      </c>
      <c r="I152" t="s">
        <v>1761</v>
      </c>
      <c r="J152" t="s">
        <v>1581</v>
      </c>
      <c r="P152">
        <v>1</v>
      </c>
      <c r="U152" t="s">
        <v>1729</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1755</v>
      </c>
      <c r="X152" t="s">
        <v>1756</v>
      </c>
    </row>
    <row r="153" spans="1:24">
      <c r="C153">
        <v>17236</v>
      </c>
      <c r="D153">
        <v>47</v>
      </c>
      <c r="I153" t="s">
        <v>1762</v>
      </c>
      <c r="J153" t="s">
        <v>1581</v>
      </c>
      <c r="P153">
        <v>1</v>
      </c>
      <c r="U153" t="s">
        <v>1729</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1755</v>
      </c>
      <c r="X153" t="s">
        <v>1756</v>
      </c>
    </row>
    <row r="154" spans="1:24">
      <c r="C154">
        <v>17235</v>
      </c>
      <c r="D154">
        <v>47</v>
      </c>
      <c r="I154" t="s">
        <v>1763</v>
      </c>
      <c r="J154" t="s">
        <v>1581</v>
      </c>
      <c r="P154">
        <v>1</v>
      </c>
      <c r="U154" t="s">
        <v>1729</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1755</v>
      </c>
      <c r="X154" t="s">
        <v>1756</v>
      </c>
    </row>
    <row r="155" spans="1:24">
      <c r="A155" t="s">
        <v>682</v>
      </c>
      <c r="B155">
        <v>22</v>
      </c>
      <c r="V155" t="str">
        <f t="shared" si="2"/>
        <v>},[22]={</v>
      </c>
    </row>
    <row r="156" spans="1:24">
      <c r="C156">
        <v>36413</v>
      </c>
      <c r="D156">
        <v>52</v>
      </c>
      <c r="I156" t="s">
        <v>1769</v>
      </c>
      <c r="J156" t="s">
        <v>1479</v>
      </c>
      <c r="U156" t="s">
        <v>1770</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1771</v>
      </c>
      <c r="X156" t="s">
        <v>1772</v>
      </c>
    </row>
    <row r="157" spans="1:24">
      <c r="A157" t="s">
        <v>705</v>
      </c>
      <c r="B157">
        <v>30</v>
      </c>
      <c r="V157" t="str">
        <f t="shared" si="2"/>
        <v>},[30]={</v>
      </c>
    </row>
    <row r="158" spans="1:24">
      <c r="C158">
        <v>36412</v>
      </c>
      <c r="D158">
        <v>52</v>
      </c>
      <c r="I158" t="s">
        <v>1773</v>
      </c>
      <c r="J158" t="s">
        <v>1479</v>
      </c>
      <c r="U158" t="s">
        <v>1774</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1775</v>
      </c>
      <c r="X158" t="s">
        <v>1776</v>
      </c>
    </row>
    <row r="159" customFormat="1" spans="1:24">
      <c r="C159">
        <v>30041</v>
      </c>
      <c r="D159">
        <v>52</v>
      </c>
      <c r="I159" t="s">
        <v>1777</v>
      </c>
      <c r="U159" t="s">
        <v>1667</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1668</v>
      </c>
    </row>
    <row r="160" customFormat="1" spans="1:24">
      <c r="C160">
        <v>29801</v>
      </c>
      <c r="D160">
        <v>52</v>
      </c>
      <c r="I160" t="s">
        <v>1778</v>
      </c>
      <c r="U160" t="s">
        <v>1665</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1778</v>
      </c>
      <c r="U161" t="s">
        <v>1665</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1778</v>
      </c>
      <c r="U162" t="s">
        <v>1665</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1778</v>
      </c>
      <c r="U163" t="s">
        <v>1665</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1779</v>
      </c>
      <c r="U164" t="s">
        <v>1665</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1779</v>
      </c>
      <c r="U165" t="s">
        <v>1665</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1779</v>
      </c>
      <c r="U166" t="s">
        <v>1665</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1779</v>
      </c>
      <c r="U167" t="s">
        <v>1665</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1779</v>
      </c>
      <c r="U168" t="s">
        <v>1665</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1779</v>
      </c>
      <c r="U169" t="s">
        <v>1665</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1780</v>
      </c>
      <c r="J171" t="s">
        <v>1479</v>
      </c>
      <c r="U171" t="s">
        <v>1781</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1782</v>
      </c>
      <c r="X171" t="s">
        <v>1783</v>
      </c>
    </row>
    <row r="172" spans="1:24">
      <c r="C172">
        <v>36435</v>
      </c>
      <c r="D172">
        <v>52</v>
      </c>
      <c r="I172" t="s">
        <v>1784</v>
      </c>
      <c r="J172" t="s">
        <v>1479</v>
      </c>
      <c r="U172" t="s">
        <v>1785</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1786</v>
      </c>
      <c r="X172" t="s">
        <v>1787</v>
      </c>
    </row>
    <row r="173" spans="1:24">
      <c r="A173" t="s">
        <v>685</v>
      </c>
      <c r="B173">
        <v>23</v>
      </c>
      <c r="V173" t="str">
        <f t="shared" si="2"/>
        <v>},[23]={</v>
      </c>
    </row>
    <row r="174" spans="1:24">
      <c r="C174">
        <v>36414</v>
      </c>
      <c r="D174">
        <v>52</v>
      </c>
      <c r="I174" t="s">
        <v>1788</v>
      </c>
      <c r="J174" t="s">
        <v>1479</v>
      </c>
      <c r="U174" t="s">
        <v>1789</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1790</v>
      </c>
      <c r="X174" t="s">
        <v>1791</v>
      </c>
    </row>
    <row r="175" spans="1:24">
      <c r="C175">
        <v>36415</v>
      </c>
      <c r="D175">
        <v>52</v>
      </c>
      <c r="I175" t="s">
        <v>1792</v>
      </c>
      <c r="J175" t="s">
        <v>1479</v>
      </c>
      <c r="U175" t="s">
        <v>1793</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1794</v>
      </c>
      <c r="X175" t="s">
        <v>1795</v>
      </c>
    </row>
    <row r="176" customFormat="1" spans="1:24">
      <c r="C176">
        <v>30021</v>
      </c>
      <c r="D176">
        <v>52</v>
      </c>
      <c r="I176" t="s">
        <v>1796</v>
      </c>
      <c r="U176" t="s">
        <v>1667</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1668</v>
      </c>
    </row>
    <row r="177" customFormat="1" spans="3:23">
      <c r="C177">
        <v>30022</v>
      </c>
      <c r="D177">
        <v>52</v>
      </c>
      <c r="I177" t="s">
        <v>1796</v>
      </c>
      <c r="U177" t="s">
        <v>1667</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1668</v>
      </c>
    </row>
    <row r="178" customFormat="1" spans="3:23">
      <c r="C178">
        <v>30023</v>
      </c>
      <c r="D178">
        <v>52</v>
      </c>
      <c r="I178" t="s">
        <v>1796</v>
      </c>
      <c r="U178" t="s">
        <v>1667</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1668</v>
      </c>
    </row>
    <row r="179" customFormat="1" spans="3:23">
      <c r="C179">
        <v>30024</v>
      </c>
      <c r="D179">
        <v>52</v>
      </c>
      <c r="I179" t="s">
        <v>1796</v>
      </c>
      <c r="U179" t="s">
        <v>1667</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1668</v>
      </c>
    </row>
    <row r="180" customFormat="1" spans="3:23">
      <c r="C180">
        <v>30221</v>
      </c>
      <c r="D180">
        <v>52</v>
      </c>
      <c r="I180" t="s">
        <v>1797</v>
      </c>
      <c r="U180" t="s">
        <v>1662</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1797</v>
      </c>
      <c r="U181" t="s">
        <v>1662</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1797</v>
      </c>
      <c r="U182" t="s">
        <v>1662</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1797</v>
      </c>
      <c r="U183" t="s">
        <v>1662</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1798</v>
      </c>
      <c r="U184" t="s">
        <v>1662</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1798</v>
      </c>
      <c r="U185" t="s">
        <v>1662</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1798</v>
      </c>
      <c r="U186" t="s">
        <v>1662</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1799</v>
      </c>
      <c r="U187" t="s">
        <v>1665</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1799</v>
      </c>
      <c r="U188" t="s">
        <v>1665</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1799</v>
      </c>
      <c r="U189" t="s">
        <v>1665</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1799</v>
      </c>
      <c r="U190" t="s">
        <v>1665</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1799</v>
      </c>
      <c r="U191" t="s">
        <v>1665</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1799</v>
      </c>
      <c r="U192" t="s">
        <v>1665</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1799</v>
      </c>
      <c r="U193" t="s">
        <v>1665</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1799</v>
      </c>
      <c r="U194" t="s">
        <v>1665</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1799</v>
      </c>
      <c r="U195" t="s">
        <v>1665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1799</v>
      </c>
      <c r="U196" t="s">
        <v>1665</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1800</v>
      </c>
      <c r="U197" t="s">
        <v>1665</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1799</v>
      </c>
      <c r="U198" t="s">
        <v>1665</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1801</v>
      </c>
      <c r="J200" t="s">
        <v>1479</v>
      </c>
      <c r="U200" t="s">
        <v>1802</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1803</v>
      </c>
      <c r="X200" t="s">
        <v>1804</v>
      </c>
    </row>
    <row r="201" spans="1:24">
      <c r="C201">
        <v>36432</v>
      </c>
      <c r="D201">
        <v>52</v>
      </c>
      <c r="I201" t="s">
        <v>1805</v>
      </c>
      <c r="J201" t="s">
        <v>1479</v>
      </c>
      <c r="U201" t="s">
        <v>1806</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1807</v>
      </c>
      <c r="X201" t="s">
        <v>1808</v>
      </c>
    </row>
    <row r="202" spans="1:24">
      <c r="A202" t="s">
        <v>651</v>
      </c>
      <c r="B202">
        <v>13</v>
      </c>
      <c r="V202" t="str">
        <f t="shared" si="3"/>
        <v>},[13]={</v>
      </c>
    </row>
    <row r="203" spans="1:24">
      <c r="C203">
        <v>36430</v>
      </c>
      <c r="D203">
        <v>52</v>
      </c>
      <c r="I203" t="s">
        <v>1809</v>
      </c>
      <c r="J203" t="s">
        <v>1479</v>
      </c>
      <c r="U203" t="s">
        <v>1810</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1811</v>
      </c>
      <c r="X203" t="s">
        <v>1812</v>
      </c>
    </row>
    <row r="204" spans="1:24">
      <c r="C204">
        <v>36431</v>
      </c>
      <c r="D204">
        <v>52</v>
      </c>
      <c r="I204" t="s">
        <v>1813</v>
      </c>
      <c r="J204" t="s">
        <v>1479</v>
      </c>
      <c r="U204" t="s">
        <v>1814</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1815</v>
      </c>
      <c r="X204" t="s">
        <v>1816</v>
      </c>
    </row>
    <row r="205" spans="1:24">
      <c r="A205" t="s">
        <v>720</v>
      </c>
      <c r="B205">
        <v>35</v>
      </c>
      <c r="V205" t="str">
        <f t="shared" si="3"/>
        <v>},[35]={</v>
      </c>
    </row>
    <row r="206" spans="1:24">
      <c r="C206">
        <v>36425</v>
      </c>
      <c r="D206">
        <v>52</v>
      </c>
      <c r="I206" t="s">
        <v>1817</v>
      </c>
      <c r="J206" t="s">
        <v>1479</v>
      </c>
      <c r="U206" t="s">
        <v>1818</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1819</v>
      </c>
      <c r="X206" t="s">
        <v>1820</v>
      </c>
    </row>
    <row r="207" spans="1:24">
      <c r="C207">
        <v>36424</v>
      </c>
      <c r="D207">
        <v>52</v>
      </c>
      <c r="I207" t="s">
        <v>1821</v>
      </c>
      <c r="J207" t="s">
        <v>1479</v>
      </c>
      <c r="U207" t="s">
        <v>1822</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1823</v>
      </c>
      <c r="X207" t="s">
        <v>1824</v>
      </c>
    </row>
    <row r="208" customFormat="1" spans="1:24">
      <c r="C208" s="5">
        <v>29202</v>
      </c>
      <c r="D208">
        <v>52</v>
      </c>
      <c r="I208" t="s">
        <v>1825</v>
      </c>
      <c r="U208" t="s">
        <v>1665</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1826</v>
      </c>
      <c r="U209" t="s">
        <v>1665</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1826</v>
      </c>
      <c r="U210" t="s">
        <v>1665</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1826</v>
      </c>
      <c r="U211" t="s">
        <v>1665</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1826</v>
      </c>
      <c r="U212" t="s">
        <v>1665</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1827</v>
      </c>
      <c r="J214" t="s">
        <v>1479</v>
      </c>
      <c r="U214" t="s">
        <v>1828</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1829</v>
      </c>
      <c r="X214" t="s">
        <v>1830</v>
      </c>
    </row>
    <row r="215" spans="1:24">
      <c r="C215">
        <v>36426</v>
      </c>
      <c r="D215">
        <v>52</v>
      </c>
      <c r="I215" t="s">
        <v>1831</v>
      </c>
      <c r="J215" t="s">
        <v>1479</v>
      </c>
      <c r="U215" t="s">
        <v>1832</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1833</v>
      </c>
      <c r="X215" t="s">
        <v>1834</v>
      </c>
    </row>
    <row r="216" spans="1:24">
      <c r="A216" t="s">
        <v>841</v>
      </c>
      <c r="B216">
        <v>101</v>
      </c>
      <c r="V216" t="str">
        <f t="shared" si="3"/>
        <v>},[101]={</v>
      </c>
    </row>
    <row r="217" spans="1:24">
      <c r="C217">
        <v>36428</v>
      </c>
      <c r="D217">
        <v>52</v>
      </c>
      <c r="I217" t="s">
        <v>1835</v>
      </c>
      <c r="J217" t="s">
        <v>1479</v>
      </c>
      <c r="U217" t="s">
        <v>1836</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1837</v>
      </c>
      <c r="X217" t="s">
        <v>1838</v>
      </c>
    </row>
    <row r="218" spans="1:24">
      <c r="C218">
        <v>36429</v>
      </c>
      <c r="D218">
        <v>52</v>
      </c>
      <c r="I218" t="s">
        <v>1839</v>
      </c>
      <c r="J218" t="s">
        <v>1479</v>
      </c>
      <c r="U218" t="s">
        <v>1840</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1841</v>
      </c>
      <c r="X218" t="s">
        <v>1842</v>
      </c>
    </row>
    <row r="219" customFormat="1" spans="1:24">
      <c r="C219">
        <v>30006</v>
      </c>
      <c r="D219">
        <v>52</v>
      </c>
      <c r="I219" t="s">
        <v>1843</v>
      </c>
      <c r="U219" t="s">
        <v>1667</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1668</v>
      </c>
    </row>
    <row r="220" customFormat="1" spans="1:24">
      <c r="C220">
        <v>30007</v>
      </c>
      <c r="D220">
        <v>52</v>
      </c>
      <c r="I220" t="s">
        <v>1843</v>
      </c>
      <c r="U220" t="s">
        <v>1667</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1668</v>
      </c>
    </row>
    <row r="221" customFormat="1" spans="1:24">
      <c r="C221">
        <v>30008</v>
      </c>
      <c r="D221">
        <v>52</v>
      </c>
      <c r="I221" t="s">
        <v>1843</v>
      </c>
      <c r="U221" t="s">
        <v>1667</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1668</v>
      </c>
    </row>
    <row r="222" customFormat="1" spans="1:24">
      <c r="C222">
        <v>29014</v>
      </c>
      <c r="D222">
        <v>52</v>
      </c>
      <c r="I222" t="s">
        <v>1844</v>
      </c>
      <c r="U222" t="s">
        <v>1665</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1845</v>
      </c>
      <c r="J224" t="s">
        <v>1479</v>
      </c>
      <c r="U224" t="s">
        <v>1846</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1847</v>
      </c>
      <c r="X224" t="s">
        <v>1848</v>
      </c>
    </row>
    <row r="225" spans="1:24">
      <c r="C225">
        <v>36419</v>
      </c>
      <c r="D225">
        <v>52</v>
      </c>
      <c r="I225" t="s">
        <v>1849</v>
      </c>
      <c r="J225" t="s">
        <v>1479</v>
      </c>
      <c r="U225" t="s">
        <v>1850</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1851</v>
      </c>
      <c r="X225" t="s">
        <v>1852</v>
      </c>
    </row>
    <row r="226" spans="1:24">
      <c r="A226" t="s">
        <v>849</v>
      </c>
      <c r="B226">
        <v>104</v>
      </c>
      <c r="V226" t="str">
        <f t="shared" si="3"/>
        <v>},[104]={</v>
      </c>
    </row>
    <row r="227" spans="1:24">
      <c r="C227">
        <v>36421</v>
      </c>
      <c r="D227">
        <v>52</v>
      </c>
      <c r="I227" t="s">
        <v>1853</v>
      </c>
      <c r="J227" t="s">
        <v>1479</v>
      </c>
      <c r="U227" t="s">
        <v>1854</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1855</v>
      </c>
      <c r="X227" t="s">
        <v>1856</v>
      </c>
    </row>
    <row r="228" spans="1:24">
      <c r="C228">
        <v>36420</v>
      </c>
      <c r="D228">
        <v>52</v>
      </c>
      <c r="I228" t="s">
        <v>1857</v>
      </c>
      <c r="J228" t="s">
        <v>1479</v>
      </c>
      <c r="U228" t="s">
        <v>1858</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1859</v>
      </c>
      <c r="X228" t="s">
        <v>1860</v>
      </c>
    </row>
    <row r="229" spans="1:24">
      <c r="A229" t="s">
        <v>852</v>
      </c>
      <c r="B229">
        <v>105</v>
      </c>
      <c r="V229" t="str">
        <f t="shared" si="3"/>
        <v>},[105]={</v>
      </c>
    </row>
    <row r="230" spans="1:24">
      <c r="C230">
        <v>36436</v>
      </c>
      <c r="D230">
        <v>52</v>
      </c>
      <c r="I230" t="s">
        <v>1861</v>
      </c>
      <c r="J230" t="s">
        <v>1479</v>
      </c>
      <c r="U230" t="s">
        <v>1862</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1863</v>
      </c>
      <c r="X230" t="s">
        <v>1864</v>
      </c>
    </row>
    <row r="231" spans="1:24">
      <c r="C231">
        <v>36437</v>
      </c>
      <c r="D231">
        <v>52</v>
      </c>
      <c r="I231" t="s">
        <v>1865</v>
      </c>
      <c r="J231" t="s">
        <v>1479</v>
      </c>
      <c r="U231" t="s">
        <v>1866</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1867</v>
      </c>
      <c r="X231" t="s">
        <v>1868</v>
      </c>
    </row>
    <row r="232" customFormat="1" spans="1:24">
      <c r="C232">
        <v>30045</v>
      </c>
      <c r="D232">
        <v>52</v>
      </c>
      <c r="I232" t="s">
        <v>1869</v>
      </c>
      <c r="U232" t="s">
        <v>1667</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1668</v>
      </c>
    </row>
    <row r="233" customFormat="1" spans="1:24">
      <c r="C233">
        <v>30044</v>
      </c>
      <c r="D233">
        <v>52</v>
      </c>
      <c r="I233" t="s">
        <v>1869</v>
      </c>
      <c r="U233" t="s">
        <v>1667</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1668</v>
      </c>
    </row>
    <row r="234" customFormat="1" spans="1:24">
      <c r="C234">
        <v>30043</v>
      </c>
      <c r="D234">
        <v>52</v>
      </c>
      <c r="I234" t="s">
        <v>1869</v>
      </c>
      <c r="U234" t="s">
        <v>1667</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1668</v>
      </c>
    </row>
    <row r="235" customFormat="1" spans="1:24">
      <c r="C235">
        <v>30042</v>
      </c>
      <c r="D235">
        <v>52</v>
      </c>
      <c r="I235" t="s">
        <v>1869</v>
      </c>
      <c r="U235" t="s">
        <v>1667</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1668</v>
      </c>
    </row>
    <row r="236" customFormat="1" spans="1:24">
      <c r="C236">
        <v>30041</v>
      </c>
      <c r="D236">
        <v>52</v>
      </c>
      <c r="I236" t="s">
        <v>1869</v>
      </c>
      <c r="U236" t="s">
        <v>1667</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1668</v>
      </c>
    </row>
    <row r="237" customFormat="1" spans="1:24">
      <c r="C237">
        <v>30242</v>
      </c>
      <c r="D237">
        <v>52</v>
      </c>
      <c r="I237" t="s">
        <v>1870</v>
      </c>
      <c r="U237" t="s">
        <v>1662</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1870</v>
      </c>
      <c r="U238" t="s">
        <v>1662</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1871</v>
      </c>
      <c r="U239" t="s">
        <v>1662</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1871</v>
      </c>
      <c r="U240" t="s">
        <v>1662</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1779</v>
      </c>
      <c r="U241" t="s">
        <v>1665</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1779</v>
      </c>
      <c r="U242" t="s">
        <v>1665</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1779</v>
      </c>
      <c r="U243" t="s">
        <v>1665</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1779</v>
      </c>
      <c r="U244" t="s">
        <v>1665</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1779</v>
      </c>
      <c r="U245" t="s">
        <v>1665</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1779</v>
      </c>
      <c r="U246" t="s">
        <v>1665</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1872</v>
      </c>
      <c r="U247" t="s">
        <v>1665</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1872</v>
      </c>
      <c r="U248" t="s">
        <v>1665</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1872</v>
      </c>
      <c r="U249" t="s">
        <v>1665</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1872</v>
      </c>
      <c r="U250" t="s">
        <v>1665</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1872</v>
      </c>
      <c r="U251" t="s">
        <v>1665</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1872</v>
      </c>
      <c r="U252" t="s">
        <v>1665</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1872</v>
      </c>
      <c r="U253" t="s">
        <v>1665</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1872</v>
      </c>
      <c r="U254" t="s">
        <v>1665</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1873</v>
      </c>
      <c r="J256" t="s">
        <v>1479</v>
      </c>
      <c r="U256" t="s">
        <v>1874</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1875</v>
      </c>
      <c r="X256" t="s">
        <v>1876</v>
      </c>
    </row>
    <row r="257" customFormat="1" spans="1:24">
      <c r="C257">
        <v>36422</v>
      </c>
      <c r="D257">
        <v>52</v>
      </c>
      <c r="I257" t="s">
        <v>1877</v>
      </c>
      <c r="J257" t="s">
        <v>1479</v>
      </c>
      <c r="U257" t="s">
        <v>1878</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1879</v>
      </c>
      <c r="X257" t="s">
        <v>1880</v>
      </c>
    </row>
    <row r="258" customFormat="1" spans="1:24">
      <c r="C258" s="5">
        <v>29202</v>
      </c>
      <c r="D258">
        <v>52</v>
      </c>
      <c r="I258" t="s">
        <v>1825</v>
      </c>
      <c r="U258" t="s">
        <v>1665</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1881</v>
      </c>
      <c r="J260" t="s">
        <v>1479</v>
      </c>
      <c r="U260" t="s">
        <v>1882</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1883</v>
      </c>
      <c r="X260" t="s">
        <v>1884</v>
      </c>
    </row>
    <row r="261" spans="1:24">
      <c r="C261">
        <v>36416</v>
      </c>
      <c r="D261">
        <v>52</v>
      </c>
      <c r="I261" t="s">
        <v>1885</v>
      </c>
      <c r="J261" t="s">
        <v>1479</v>
      </c>
      <c r="U261" t="s">
        <v>1886</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1887</v>
      </c>
      <c r="X261" t="s">
        <v>1888</v>
      </c>
    </row>
    <row r="262" customFormat="1" spans="1:24">
      <c r="C262">
        <v>30063</v>
      </c>
      <c r="D262">
        <v>52</v>
      </c>
      <c r="I262" t="s">
        <v>1889</v>
      </c>
      <c r="U262" t="s">
        <v>1667</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1668</v>
      </c>
    </row>
    <row r="263" customFormat="1" spans="1:24">
      <c r="C263">
        <v>30062</v>
      </c>
      <c r="D263">
        <v>52</v>
      </c>
      <c r="I263" t="s">
        <v>1889</v>
      </c>
      <c r="U263" t="s">
        <v>1667</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1668</v>
      </c>
    </row>
    <row r="264" customFormat="1" spans="1:24">
      <c r="C264">
        <v>30061</v>
      </c>
      <c r="D264">
        <v>52</v>
      </c>
      <c r="I264" t="s">
        <v>1889</v>
      </c>
      <c r="U264" t="s">
        <v>1667</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1668</v>
      </c>
    </row>
    <row r="265" customFormat="1" spans="1:24">
      <c r="C265">
        <v>30103</v>
      </c>
      <c r="D265">
        <v>52</v>
      </c>
      <c r="I265" t="s">
        <v>1890</v>
      </c>
      <c r="U265" t="s">
        <v>1662</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1800</v>
      </c>
      <c r="U266" t="s">
        <v>1665</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1891</v>
      </c>
      <c r="J268" s="9" t="s">
        <v>642</v>
      </c>
      <c r="P268">
        <v>1</v>
      </c>
      <c r="U268" t="s">
        <v>1892</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1893</v>
      </c>
      <c r="J269" s="10" t="s">
        <v>647</v>
      </c>
      <c r="P269">
        <v>1</v>
      </c>
      <c r="U269" t="s">
        <v>1894</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1895</v>
      </c>
      <c r="J271" t="s">
        <v>1479</v>
      </c>
      <c r="O271">
        <v>1</v>
      </c>
      <c r="P271">
        <v>1</v>
      </c>
      <c r="U271" t="s">
        <v>1896</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1897</v>
      </c>
      <c r="X271" t="s">
        <v>1898</v>
      </c>
    </row>
    <row r="272" spans="1:24">
      <c r="C272">
        <v>123841</v>
      </c>
      <c r="D272">
        <v>52</v>
      </c>
      <c r="I272" t="s">
        <v>1899</v>
      </c>
      <c r="J272" t="s">
        <v>1479</v>
      </c>
      <c r="O272">
        <v>1</v>
      </c>
      <c r="P272">
        <v>1</v>
      </c>
      <c r="U272" t="s">
        <v>1900</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1901</v>
      </c>
      <c r="X272" t="s">
        <v>1902</v>
      </c>
    </row>
    <row r="273" spans="3:23">
      <c r="C273">
        <v>101012</v>
      </c>
      <c r="D273">
        <v>47</v>
      </c>
      <c r="I273" t="s">
        <v>1891</v>
      </c>
      <c r="J273" s="9" t="s">
        <v>642</v>
      </c>
      <c r="P273">
        <v>1</v>
      </c>
      <c r="U273" t="s">
        <v>1892</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1893</v>
      </c>
      <c r="J274" s="10" t="s">
        <v>647</v>
      </c>
      <c r="P274">
        <v>1</v>
      </c>
      <c r="U274" t="s">
        <v>1894</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1903</v>
      </c>
      <c r="P275">
        <v>1</v>
      </c>
      <c r="U275" t="s">
        <v>1904</v>
      </c>
      <c r="V275" t="str">
        <f t="shared" si="4"/>
        <v>{dwID=56526,nFrame=52,szNote="浩气牛车",[3]={bScreenHead=true,},[4]={},aFocus={{dwMapID=-1,nMaxDistance=40,tRelation={bAll=true,bEnemy=false,bAlly=false,},tLife={bEnable=false,szOperator="&gt;",nValue=0,},},},},</v>
      </c>
    </row>
    <row r="276" spans="3:23">
      <c r="C276">
        <v>56527</v>
      </c>
      <c r="D276">
        <v>52</v>
      </c>
      <c r="I276" t="s">
        <v>1905</v>
      </c>
      <c r="P276">
        <v>1</v>
      </c>
      <c r="U276" t="s">
        <v>1904</v>
      </c>
      <c r="V276" t="str">
        <f t="shared" si="4"/>
        <v>{dwID=56527,nFrame=52,szNote="恶人牛车",[3]={bScreenHead=true,},[4]={},aFocus={{dwMapID=-1,nMaxDistance=40,tRelation={bAll=true,bEnemy=false,bAlly=false,},tLife={bEnable=false,szOperator="&gt;",nValue=0,},},},},</v>
      </c>
    </row>
    <row r="277" spans="3:23">
      <c r="C277">
        <v>123976</v>
      </c>
      <c r="D277">
        <v>47</v>
      </c>
      <c r="I277" t="s">
        <v>1701</v>
      </c>
      <c r="P277">
        <v>1</v>
      </c>
      <c r="U277" t="s">
        <v>1906</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1703</v>
      </c>
    </row>
    <row r="278" spans="3:23">
      <c r="C278">
        <v>123975</v>
      </c>
      <c r="D278">
        <v>47</v>
      </c>
      <c r="I278" t="s">
        <v>1704</v>
      </c>
      <c r="P278">
        <v>1</v>
      </c>
      <c r="U278" t="s">
        <v>1906</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1705</v>
      </c>
    </row>
    <row r="279" customFormat="1" spans="3:23">
      <c r="C279">
        <v>124104</v>
      </c>
      <c r="D279">
        <v>52</v>
      </c>
      <c r="I279" t="s">
        <v>1907</v>
      </c>
      <c r="U279" t="s">
        <v>1667</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1668</v>
      </c>
    </row>
    <row r="280" customFormat="1" spans="3:23">
      <c r="C280">
        <v>124103</v>
      </c>
      <c r="D280">
        <v>52</v>
      </c>
      <c r="I280" t="s">
        <v>1907</v>
      </c>
      <c r="U280" t="s">
        <v>1667</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1668</v>
      </c>
    </row>
    <row r="281" customFormat="1" spans="3:23">
      <c r="C281">
        <v>124102</v>
      </c>
      <c r="D281">
        <v>52</v>
      </c>
      <c r="I281" t="s">
        <v>1907</v>
      </c>
      <c r="U281" t="s">
        <v>1667</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1668</v>
      </c>
    </row>
    <row r="282" customFormat="1" spans="3:23">
      <c r="C282">
        <v>124101</v>
      </c>
      <c r="D282">
        <v>52</v>
      </c>
      <c r="I282" t="s">
        <v>1907</v>
      </c>
      <c r="U282" t="s">
        <v>1667</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1668</v>
      </c>
    </row>
    <row r="283" spans="3:23">
      <c r="C283">
        <v>124280</v>
      </c>
      <c r="D283">
        <v>52</v>
      </c>
      <c r="I283" t="s">
        <v>1908</v>
      </c>
      <c r="U283" t="s">
        <v>1662</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1908</v>
      </c>
      <c r="U284" t="s">
        <v>1662</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1908</v>
      </c>
      <c r="U285" t="s">
        <v>1662</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1908</v>
      </c>
      <c r="U286" t="s">
        <v>1662</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1909</v>
      </c>
      <c r="U287" t="s">
        <v>1662</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1909</v>
      </c>
      <c r="U288" t="s">
        <v>1662</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1909</v>
      </c>
      <c r="U289" t="s">
        <v>1662</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1909</v>
      </c>
      <c r="U290" t="s">
        <v>1662</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1910</v>
      </c>
      <c r="U291" t="s">
        <v>1665</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1910</v>
      </c>
      <c r="U292" t="s">
        <v>1665</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1910</v>
      </c>
      <c r="U293" t="s">
        <v>1665</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1910</v>
      </c>
      <c r="U294" t="s">
        <v>1665</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1910</v>
      </c>
      <c r="U295" t="s">
        <v>1665</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1910</v>
      </c>
      <c r="U296" t="s">
        <v>1665</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1910</v>
      </c>
      <c r="U297" t="s">
        <v>1665</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1910</v>
      </c>
      <c r="U298" t="s">
        <v>1665</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1910</v>
      </c>
      <c r="U299" t="s">
        <v>1665</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1910</v>
      </c>
      <c r="U300" t="s">
        <v>1665</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1910</v>
      </c>
      <c r="U301" t="s">
        <v>1665</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1910</v>
      </c>
      <c r="U302" t="s">
        <v>1665</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1910</v>
      </c>
      <c r="U303" t="s">
        <v>1665</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1910</v>
      </c>
      <c r="U304" t="s">
        <v>1665</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1910</v>
      </c>
      <c r="U305" t="s">
        <v>1665</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1910</v>
      </c>
      <c r="U306" t="s">
        <v>1665</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1656</v>
      </c>
      <c r="U307" t="s">
        <v>1911</v>
      </c>
      <c r="V307" t="str">
        <f t="shared" si="4"/>
        <v>{dwID=123871,nFrame=47,szNote="小珍",[3]={},[4]={},aFocus={{dwMapID=-1,szDisplay="分线·传送",nMaxDistance=12,tRelation={bAll=false,bEnemy=false,bAlly=true,},tLife={bEnable=false,szOperator="&gt;",nValue=0,},},},},</v>
      </c>
    </row>
    <row r="308" spans="1:23">
      <c r="C308">
        <v>123867</v>
      </c>
      <c r="D308">
        <v>47</v>
      </c>
      <c r="I308" t="s">
        <v>1658</v>
      </c>
      <c r="U308" t="s">
        <v>1911</v>
      </c>
      <c r="V308" t="str">
        <f t="shared" si="4"/>
        <v>{dwID=123867,nFrame=47,szNote="小曾",[3]={},[4]={},aFocus={{dwMapID=-1,szDisplay="分线·传送",nMaxDistance=12,tRelation={bAll=false,bEnemy=false,bAlly=true,},tLife={bEnable=false,szOperator="&gt;",nValue=0,},},},},</v>
      </c>
    </row>
    <row r="309" customFormat="1" spans="1:23">
      <c r="C309" s="5">
        <v>66809</v>
      </c>
      <c r="D309">
        <v>57</v>
      </c>
      <c r="G309" t="s">
        <v>1669</v>
      </c>
      <c r="I309" t="s">
        <v>1670</v>
      </c>
      <c r="O309">
        <v>1</v>
      </c>
      <c r="U309" t="s">
        <v>1671</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1693</v>
      </c>
      <c r="I310" t="s">
        <v>1694</v>
      </c>
      <c r="O310">
        <v>1</v>
      </c>
      <c r="P310">
        <v>1</v>
      </c>
      <c r="U310" t="s">
        <v>1695</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1696</v>
      </c>
    </row>
    <row r="311" customFormat="1" spans="1:23">
      <c r="C311" s="5">
        <v>36005</v>
      </c>
      <c r="D311">
        <v>52</v>
      </c>
      <c r="I311" t="s">
        <v>1697</v>
      </c>
      <c r="P311">
        <v>1</v>
      </c>
      <c r="U311" t="s">
        <v>1698</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1699</v>
      </c>
      <c r="P312">
        <v>1</v>
      </c>
      <c r="U312" t="s">
        <v>1700</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1708</v>
      </c>
      <c r="J313" t="s">
        <v>1709</v>
      </c>
      <c r="P313">
        <v>1</v>
      </c>
      <c r="U313" t="s">
        <v>1710</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1895</v>
      </c>
      <c r="J315" t="s">
        <v>1479</v>
      </c>
      <c r="O315">
        <v>1</v>
      </c>
      <c r="P315">
        <v>1</v>
      </c>
      <c r="U315" t="s">
        <v>1896</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1899</v>
      </c>
      <c r="J316" t="s">
        <v>1479</v>
      </c>
      <c r="O316">
        <v>1</v>
      </c>
      <c r="P316">
        <v>1</v>
      </c>
      <c r="U316" t="s">
        <v>1900</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1701</v>
      </c>
      <c r="P317">
        <v>1</v>
      </c>
      <c r="U317" t="s">
        <v>1906</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1703</v>
      </c>
    </row>
    <row r="318" spans="1:23">
      <c r="C318">
        <v>123975</v>
      </c>
      <c r="D318">
        <v>47</v>
      </c>
      <c r="I318" t="s">
        <v>1704</v>
      </c>
      <c r="P318">
        <v>1</v>
      </c>
      <c r="U318" t="s">
        <v>1906</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1705</v>
      </c>
    </row>
    <row r="319" customFormat="1" spans="1:23">
      <c r="C319">
        <v>124104</v>
      </c>
      <c r="D319">
        <v>52</v>
      </c>
      <c r="I319" t="s">
        <v>1912</v>
      </c>
      <c r="U319" t="s">
        <v>1667</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1668</v>
      </c>
    </row>
    <row r="320" customFormat="1" spans="1:23">
      <c r="C320">
        <v>124103</v>
      </c>
      <c r="D320">
        <v>52</v>
      </c>
      <c r="I320" t="s">
        <v>1912</v>
      </c>
      <c r="U320" t="s">
        <v>1667</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1668</v>
      </c>
    </row>
    <row r="321" customFormat="1" spans="3:23">
      <c r="C321">
        <v>124102</v>
      </c>
      <c r="D321">
        <v>52</v>
      </c>
      <c r="I321" t="s">
        <v>1912</v>
      </c>
      <c r="U321" t="s">
        <v>1667</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1668</v>
      </c>
    </row>
    <row r="322" customFormat="1" spans="3:23">
      <c r="C322">
        <v>124101</v>
      </c>
      <c r="D322">
        <v>52</v>
      </c>
      <c r="I322" t="s">
        <v>1912</v>
      </c>
      <c r="U322" t="s">
        <v>1667</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1668</v>
      </c>
    </row>
    <row r="323" spans="3:23">
      <c r="C323">
        <v>124280</v>
      </c>
      <c r="D323">
        <v>52</v>
      </c>
      <c r="I323" t="s">
        <v>1913</v>
      </c>
      <c r="U323" t="s">
        <v>1662</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1913</v>
      </c>
      <c r="U324" t="s">
        <v>1662</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1913</v>
      </c>
      <c r="U325" t="s">
        <v>1662</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1913</v>
      </c>
      <c r="U326" t="s">
        <v>1662</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1914</v>
      </c>
      <c r="U327" t="s">
        <v>1662</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1914</v>
      </c>
      <c r="U328" t="s">
        <v>1662</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1914</v>
      </c>
      <c r="U329" t="s">
        <v>1662</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1914</v>
      </c>
      <c r="U330" t="s">
        <v>1662</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1915</v>
      </c>
      <c r="U331" t="s">
        <v>1665</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1915</v>
      </c>
      <c r="U332" t="s">
        <v>1665</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1915</v>
      </c>
      <c r="U333" t="s">
        <v>1665</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1915</v>
      </c>
      <c r="U334" t="s">
        <v>1665</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1915</v>
      </c>
      <c r="U335" t="s">
        <v>1665</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1915</v>
      </c>
      <c r="U336" t="s">
        <v>1665</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1915</v>
      </c>
      <c r="U337" t="s">
        <v>1665</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1915</v>
      </c>
      <c r="U338" t="s">
        <v>1665</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1915</v>
      </c>
      <c r="U339" t="s">
        <v>1665</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1915</v>
      </c>
      <c r="U340" t="s">
        <v>1665</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1915</v>
      </c>
      <c r="U341" t="s">
        <v>1665</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1915</v>
      </c>
      <c r="U342" t="s">
        <v>1665</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1915</v>
      </c>
      <c r="U343" t="s">
        <v>1665</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1915</v>
      </c>
      <c r="U344" t="s">
        <v>1665</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1915</v>
      </c>
      <c r="U345" t="s">
        <v>1665</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1915</v>
      </c>
      <c r="U346" t="s">
        <v>1665</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1656</v>
      </c>
      <c r="U347" t="s">
        <v>1911</v>
      </c>
      <c r="V347" t="str">
        <f t="shared" si="5"/>
        <v>{dwID=123871,nFrame=47,szNote="小珍",[3]={},[4]={},aFocus={{dwMapID=-1,szDisplay="分线·传送",nMaxDistance=12,tRelation={bAll=false,bEnemy=false,bAlly=true,},tLife={bEnable=false,szOperator="&gt;",nValue=0,},},},},</v>
      </c>
    </row>
    <row r="348" spans="3:23">
      <c r="C348">
        <v>123867</v>
      </c>
      <c r="D348">
        <v>47</v>
      </c>
      <c r="I348" t="s">
        <v>1658</v>
      </c>
      <c r="U348" t="s">
        <v>1911</v>
      </c>
      <c r="V348" t="str">
        <f t="shared" si="5"/>
        <v>{dwID=123867,nFrame=47,szNote="小曾",[3]={},[4]={},aFocus={{dwMapID=-1,szDisplay="分线·传送",nMaxDistance=12,tRelation={bAll=false,bEnemy=false,bAlly=true,},tLife={bEnable=false,szOperator="&gt;",nValue=0,},},},},</v>
      </c>
    </row>
    <row r="349" customFormat="1" spans="3:23">
      <c r="C349" s="5">
        <v>66809</v>
      </c>
      <c r="D349">
        <v>57</v>
      </c>
      <c r="G349" t="s">
        <v>1669</v>
      </c>
      <c r="I349" t="s">
        <v>1670</v>
      </c>
      <c r="O349">
        <v>1</v>
      </c>
      <c r="U349" t="s">
        <v>1671</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1693</v>
      </c>
      <c r="I350" t="s">
        <v>1694</v>
      </c>
      <c r="O350">
        <v>1</v>
      </c>
      <c r="P350">
        <v>1</v>
      </c>
      <c r="U350" t="s">
        <v>1695</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1696</v>
      </c>
    </row>
    <row r="351" customFormat="1" spans="3:23">
      <c r="C351" s="5">
        <v>36005</v>
      </c>
      <c r="D351">
        <v>52</v>
      </c>
      <c r="I351" t="s">
        <v>1697</v>
      </c>
      <c r="P351">
        <v>1</v>
      </c>
      <c r="U351" t="s">
        <v>1698</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1699</v>
      </c>
      <c r="P352">
        <v>1</v>
      </c>
      <c r="U352" t="s">
        <v>1700</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1708</v>
      </c>
      <c r="J353" t="s">
        <v>1709</v>
      </c>
      <c r="P353">
        <v>1</v>
      </c>
      <c r="U353" t="s">
        <v>1710</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1642</v>
      </c>
      <c r="E1" t="s">
        <v>1643</v>
      </c>
      <c r="F1" t="s">
        <v>1426</v>
      </c>
      <c r="G1" t="s">
        <v>1429</v>
      </c>
      <c r="H1" t="s">
        <v>44</v>
      </c>
      <c r="I1" t="s">
        <v>1430</v>
      </c>
      <c r="J1" t="s">
        <v>1916</v>
      </c>
      <c r="K1" t="s">
        <v>1917</v>
      </c>
      <c r="L1" t="s">
        <v>1918</v>
      </c>
      <c r="M1" t="s">
        <v>1919</v>
      </c>
      <c r="N1" t="s">
        <v>1920</v>
      </c>
      <c r="O1" t="s">
        <v>1921</v>
      </c>
      <c r="P1" t="s">
        <v>1922</v>
      </c>
      <c r="Q1" t="s">
        <v>1923</v>
      </c>
      <c r="R1" t="s">
        <v>1924</v>
      </c>
      <c r="S1" t="s">
        <v>1925</v>
      </c>
      <c r="T1" t="s">
        <v>239</v>
      </c>
      <c r="U1" t="s">
        <v>1926</v>
      </c>
      <c r="V1" t="s">
        <v>258</v>
      </c>
    </row>
    <row r="2" spans="1:22">
      <c r="A2" t="s">
        <v>1927</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1928</v>
      </c>
      <c r="I3" t="s">
        <v>1709</v>
      </c>
      <c r="N3">
        <v>1</v>
      </c>
      <c r="T3" t="s">
        <v>1929</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1930</v>
      </c>
      <c r="I4" t="s">
        <v>1709</v>
      </c>
      <c r="N4">
        <v>1</v>
      </c>
      <c r="T4" t="s">
        <v>1931</v>
      </c>
      <c r="U4" t="str">
        <f t="shared" si="0"/>
        <v>{dwID=5625,szName="物资箱·复活点",col={100,255,100,},[17]={bScreenHead=true,},[18]={},aFocus={{dwMapID=-1,szDisplay="物资箱·复活点",nMaxDistance=30,tRelation={bAll=true,bEnemy=false,bAlly=false,},tLife={bEnable=false,szOperator="&gt;",nValue=0,},},},},</v>
      </c>
    </row>
    <row r="5" spans="1:22">
      <c r="C5">
        <v>7518</v>
      </c>
      <c r="F5" t="s">
        <v>1932</v>
      </c>
      <c r="I5" t="s">
        <v>1709</v>
      </c>
      <c r="M5">
        <v>1</v>
      </c>
      <c r="N5">
        <v>1</v>
      </c>
      <c r="T5" t="s">
        <v>1933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1934</v>
      </c>
      <c r="I6" t="s">
        <v>1709</v>
      </c>
      <c r="M6">
        <v>1</v>
      </c>
      <c r="N6">
        <v>1</v>
      </c>
      <c r="T6" t="s">
        <v>1935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1936</v>
      </c>
      <c r="I8" s="9" t="s">
        <v>642</v>
      </c>
      <c r="N8">
        <v>1</v>
      </c>
      <c r="T8" t="s">
        <v>1937</v>
      </c>
      <c r="U8" t="str">
        <f t="shared" si="0"/>
        <v>{dwID=7011,szNote="祭天护送恶人宝箱",col={255,120,31,},[17]={bScreenHead=true,},[18]={},aFocus={{dwMapID=-1,nMaxDistance=60,tRelation={bAll=true,bEnemy=false,bAlly=false,},tLife={bEnable=false,szOperator="&gt;",nValue=0,},},},},</v>
      </c>
    </row>
    <row r="9" spans="1:22">
      <c r="C9">
        <v>7010</v>
      </c>
      <c r="H9" t="s">
        <v>1938</v>
      </c>
      <c r="I9" s="10" t="s">
        <v>647</v>
      </c>
      <c r="N9">
        <v>1</v>
      </c>
      <c r="T9" t="s">
        <v>1937</v>
      </c>
      <c r="U9" t="str">
        <f t="shared" si="0"/>
        <v>{dwID=7010,szNote="祭天护送浩气宝箱",col={31,230,255,},[17]={bScreenHead=true,},[18]={},aFocus={{dwMapID=-1,nMaxDistance=60,tRelation={bAll=true,bEnemy=false,bAlly=false,},tLife={bEnable=false,szOperator="&gt;",nValue=0,},},},},</v>
      </c>
    </row>
    <row r="10" spans="1:22">
      <c r="C10">
        <v>8418</v>
      </c>
      <c r="F10" t="s">
        <v>1939</v>
      </c>
      <c r="I10" t="s">
        <v>1709</v>
      </c>
      <c r="M10">
        <v>1</v>
      </c>
      <c r="N10">
        <v>1</v>
      </c>
      <c r="T10" t="s">
        <v>1940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1941</v>
      </c>
      <c r="I11" t="s">
        <v>1709</v>
      </c>
      <c r="M11">
        <v>1</v>
      </c>
      <c r="N11">
        <v>1</v>
      </c>
      <c r="T11" t="s">
        <v>1942</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1939</v>
      </c>
      <c r="I13" t="s">
        <v>1709</v>
      </c>
      <c r="M13">
        <v>1</v>
      </c>
      <c r="N13">
        <v>1</v>
      </c>
      <c r="T13" t="s">
        <v>1940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1941</v>
      </c>
      <c r="I14" t="s">
        <v>1709</v>
      </c>
      <c r="M14">
        <v>1</v>
      </c>
      <c r="N14">
        <v>1</v>
      </c>
      <c r="T14" t="s">
        <v>1942</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1939</v>
      </c>
      <c r="I16" t="s">
        <v>1709</v>
      </c>
      <c r="M16">
        <v>1</v>
      </c>
      <c r="N16">
        <v>1</v>
      </c>
      <c r="T16" t="s">
        <v>1940</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1941</v>
      </c>
      <c r="I17" t="s">
        <v>1709</v>
      </c>
      <c r="M17">
        <v>1</v>
      </c>
      <c r="N17">
        <v>1</v>
      </c>
      <c r="T17" t="s">
        <v>1942</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tabSelected="1" zoomScale="80" zoomScaleNormal="80" topLeftCell="R1" workbookViewId="0">
      <pane ySplit="1" topLeftCell="A125" activePane="bottomLeft" state="frozen"/>
      <selection/>
      <selection pane="bottomLeft" activeCell="X167" sqref="X16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1943</v>
      </c>
      <c r="E1" t="s">
        <v>44</v>
      </c>
      <c r="F1" t="s">
        <v>1944</v>
      </c>
      <c r="G1" t="s">
        <v>1945</v>
      </c>
      <c r="H1" t="s">
        <v>1946</v>
      </c>
      <c r="I1" t="s">
        <v>1947</v>
      </c>
      <c r="J1" t="s">
        <v>1948</v>
      </c>
      <c r="K1" t="s">
        <v>1949</v>
      </c>
      <c r="L1" t="s">
        <v>1950</v>
      </c>
      <c r="M1" t="s">
        <v>1430</v>
      </c>
      <c r="N1" t="s">
        <v>1951</v>
      </c>
      <c r="O1" t="s">
        <v>1952</v>
      </c>
      <c r="P1" t="s">
        <v>1953</v>
      </c>
      <c r="Q1" t="s">
        <v>1954</v>
      </c>
      <c r="R1" t="s">
        <v>1955</v>
      </c>
      <c r="S1" t="s">
        <v>1956</v>
      </c>
      <c r="T1" t="s">
        <v>1957</v>
      </c>
      <c r="U1" t="s">
        <v>1958</v>
      </c>
      <c r="V1" t="s">
        <v>1959</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1960</v>
      </c>
      <c r="E3" t="s">
        <v>1961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1962</v>
      </c>
    </row>
    <row r="4" customFormat="1" spans="1:28">
      <c r="D4" t="s">
        <v>1963</v>
      </c>
      <c r="E4" t="s">
        <v>1961</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1962</v>
      </c>
    </row>
    <row r="5" customFormat="1" spans="1:28">
      <c r="D5" t="s">
        <v>1964</v>
      </c>
      <c r="E5" t="s">
        <v>1965</v>
      </c>
      <c r="V5" t="str">
        <f t="shared" si="0"/>
        <v>{szContent="你获得了100点威名、100点战阶。",szNote="堆堆·助战首领",[14]={},tCountdown={{nClass=14,nIcon=13564,nFrame=1,szName="拾取间隔",nTime="300,助战堆·拾取物资·间隔剩余;310,助战堆·可以拾取物资了",nRefresh=1,key="首领拾取间隔",},},},</v>
      </c>
      <c r="W5" t="s">
        <v>1966</v>
      </c>
    </row>
    <row r="6" customFormat="1" spans="1:28">
      <c r="D6" t="s">
        <v>1967</v>
      </c>
      <c r="E6" t="s">
        <v>1968</v>
      </c>
      <c r="V6" t="str">
        <f t="shared" si="0"/>
        <v>{szContent="你获得了200点威名、200点战阶。受到了鼓舞，气力值消耗减少一段时间。",szNote="堆堆·驻场首领",[14]={},},</v>
      </c>
      <c r="AB6" s="7"/>
    </row>
    <row r="7" customFormat="1" spans="1:28">
      <c r="C7" t="s">
        <v>1969</v>
      </c>
      <c r="D7" s="8" t="s">
        <v>1970</v>
      </c>
      <c r="E7" t="s">
        <v>1971</v>
      </c>
      <c r="M7" t="s">
        <v>1972</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1973</v>
      </c>
      <c r="AB7" s="7"/>
    </row>
    <row r="8" customFormat="1" spans="1:28">
      <c r="C8" t="s">
        <v>1969</v>
      </c>
      <c r="D8" s="8" t="s">
        <v>1974</v>
      </c>
      <c r="E8" t="s">
        <v>1975</v>
      </c>
      <c r="M8" t="s">
        <v>1976</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1977</v>
      </c>
      <c r="AB8" s="7"/>
    </row>
    <row r="9" customFormat="1" spans="1:28">
      <c r="C9" t="s">
        <v>1969</v>
      </c>
      <c r="D9" s="8" t="s">
        <v>1978</v>
      </c>
      <c r="E9" t="s">
        <v>1979</v>
      </c>
      <c r="M9" t="s">
        <v>1980</v>
      </c>
      <c r="V9" t="str">
        <f t="shared" si="0"/>
        <v>{szContent="奇袭场战阶达到4000后，战阶换算贡献比例降低为10:1",szTarget="%",szNote="奇袭·贡献值·限速90%",col={255,255,100,},[14]={},tCountdown={{nClass=14,nIcon=13,szName="首领拾取间隔",nTime=-1,nRefresh=7200,key="首领拾取间隔",},},},</v>
      </c>
      <c r="W9" t="s">
        <v>1981</v>
      </c>
      <c r="AB9" s="7"/>
    </row>
    <row r="10" spans="1:28">
      <c r="C10" t="s">
        <v>1969</v>
      </c>
      <c r="D10" s="8" t="s">
        <v>1982</v>
      </c>
      <c r="E10" t="s">
        <v>1983</v>
      </c>
      <c r="M10" t="s">
        <v>1980</v>
      </c>
      <c r="V10" t="str">
        <f t="shared" si="0"/>
        <v>{szContent="奇袭场战阶达到2000后，战阶换算贡献比例降低为2:1",szTarget="%",szNote="奇袭·贡献值·限速50%",col={255,255,100,},[14]={},tCountdown={{nClass=14,nIcon=13,szName="首领拾取间隔",nTime=-1,nRefresh=7200,key="首领拾取间隔",},},},</v>
      </c>
      <c r="W10" t="s">
        <v>1981</v>
      </c>
      <c r="AB10" s="7"/>
    </row>
    <row r="11" spans="1:28">
      <c r="C11" t="s">
        <v>1969</v>
      </c>
      <c r="D11" s="8" t="s">
        <v>1984</v>
      </c>
      <c r="E11" t="s">
        <v>1985</v>
      </c>
      <c r="M11" t="s">
        <v>1972</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1986</v>
      </c>
    </row>
    <row r="12" spans="1:28">
      <c r="C12" t="s">
        <v>1969</v>
      </c>
      <c r="D12" s="8" t="s">
        <v>1987</v>
      </c>
      <c r="E12" t="s">
        <v>1988</v>
      </c>
      <c r="M12" t="s">
        <v>1976</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1989</v>
      </c>
    </row>
    <row r="13" customFormat="1" spans="1:28">
      <c r="C13" t="s">
        <v>1990</v>
      </c>
      <c r="D13" t="s">
        <v>1991</v>
      </c>
      <c r="E13" t="s">
        <v>1992</v>
      </c>
      <c r="F13" t="s">
        <v>1990</v>
      </c>
      <c r="G13" t="s">
        <v>1993</v>
      </c>
      <c r="I13" t="s">
        <v>1994</v>
      </c>
      <c r="J13" t="s">
        <v>1995</v>
      </c>
      <c r="K13" t="s">
        <v>1996</v>
      </c>
      <c r="L13" t="s">
        <v>1997</v>
      </c>
      <c r="M13" t="s">
        <v>1976</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1998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1990</v>
      </c>
      <c r="D14" t="s">
        <v>1999</v>
      </c>
      <c r="E14" t="s">
        <v>2000</v>
      </c>
      <c r="F14" t="s">
        <v>1990</v>
      </c>
      <c r="G14" t="s">
        <v>1993</v>
      </c>
      <c r="I14" t="s">
        <v>1994</v>
      </c>
      <c r="J14" t="s">
        <v>2001</v>
      </c>
      <c r="K14" t="s">
        <v>1996</v>
      </c>
      <c r="L14" t="s">
        <v>2002</v>
      </c>
      <c r="M14" t="s">
        <v>1976</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1998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1990</v>
      </c>
      <c r="D15" t="s">
        <v>2003</v>
      </c>
      <c r="E15" t="s">
        <v>2004</v>
      </c>
      <c r="F15" t="s">
        <v>1990</v>
      </c>
      <c r="G15" t="s">
        <v>1993</v>
      </c>
      <c r="I15" t="s">
        <v>1994</v>
      </c>
      <c r="J15" t="s">
        <v>2005</v>
      </c>
      <c r="K15" t="s">
        <v>1996</v>
      </c>
      <c r="L15" t="s">
        <v>2006</v>
      </c>
      <c r="M15" t="s">
        <v>1976</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1998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1990</v>
      </c>
      <c r="D16" t="s">
        <v>2007</v>
      </c>
      <c r="E16" t="s">
        <v>2008</v>
      </c>
      <c r="F16" t="s">
        <v>1990</v>
      </c>
      <c r="G16" t="s">
        <v>1993</v>
      </c>
      <c r="I16" t="s">
        <v>1994</v>
      </c>
      <c r="J16" t="s">
        <v>2009</v>
      </c>
      <c r="K16" t="s">
        <v>1996</v>
      </c>
      <c r="L16" t="s">
        <v>2010</v>
      </c>
      <c r="M16" t="s">
        <v>1976</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1998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1990</v>
      </c>
      <c r="D17" s="7" t="s">
        <v>2011</v>
      </c>
      <c r="E17" t="s">
        <v>2012</v>
      </c>
      <c r="F17" t="s">
        <v>1990</v>
      </c>
      <c r="G17" t="s">
        <v>1993</v>
      </c>
      <c r="H17"/>
      <c r="I17" t="s">
        <v>1994</v>
      </c>
      <c r="J17" t="s">
        <v>2013</v>
      </c>
      <c r="K17" t="s">
        <v>1996</v>
      </c>
      <c r="L17" t="s">
        <v>2014</v>
      </c>
      <c r="M17" t="s">
        <v>1976</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1998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1993</v>
      </c>
      <c r="D18" t="s">
        <v>2015</v>
      </c>
      <c r="E18" t="s">
        <v>2016</v>
      </c>
      <c r="F18" t="s">
        <v>1993</v>
      </c>
      <c r="G18" t="s">
        <v>1990</v>
      </c>
      <c r="H18"/>
      <c r="I18" t="s">
        <v>1996</v>
      </c>
      <c r="J18" t="s">
        <v>1997</v>
      </c>
      <c r="K18" t="s">
        <v>1994</v>
      </c>
      <c r="L18" t="s">
        <v>1995</v>
      </c>
      <c r="M18" t="s">
        <v>1972</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2017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1993</v>
      </c>
      <c r="D19" s="7" t="s">
        <v>2018</v>
      </c>
      <c r="E19" t="s">
        <v>2019</v>
      </c>
      <c r="F19" t="s">
        <v>1993</v>
      </c>
      <c r="G19" t="s">
        <v>1990</v>
      </c>
      <c r="H19"/>
      <c r="I19" t="s">
        <v>1996</v>
      </c>
      <c r="J19" t="s">
        <v>2002</v>
      </c>
      <c r="K19" t="s">
        <v>1994</v>
      </c>
      <c r="L19" t="s">
        <v>2001</v>
      </c>
      <c r="M19" t="s">
        <v>1972</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2017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1993</v>
      </c>
      <c r="D20" t="s">
        <v>2020</v>
      </c>
      <c r="E20" t="s">
        <v>2021</v>
      </c>
      <c r="F20" t="s">
        <v>1993</v>
      </c>
      <c r="G20" t="s">
        <v>1990</v>
      </c>
      <c r="H20"/>
      <c r="I20" t="s">
        <v>1996</v>
      </c>
      <c r="J20" t="s">
        <v>2006</v>
      </c>
      <c r="K20" t="s">
        <v>1994</v>
      </c>
      <c r="L20" t="s">
        <v>2005</v>
      </c>
      <c r="M20" t="s">
        <v>1972</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2017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1993</v>
      </c>
      <c r="D21" s="7" t="s">
        <v>2022</v>
      </c>
      <c r="E21" t="s">
        <v>2023</v>
      </c>
      <c r="F21" t="s">
        <v>1993</v>
      </c>
      <c r="G21" t="s">
        <v>1990</v>
      </c>
      <c r="H21"/>
      <c r="I21" t="s">
        <v>1996</v>
      </c>
      <c r="J21" t="s">
        <v>2010</v>
      </c>
      <c r="K21" t="s">
        <v>1994</v>
      </c>
      <c r="L21" t="s">
        <v>2009</v>
      </c>
      <c r="M21" t="s">
        <v>1972</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2017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1993</v>
      </c>
      <c r="D22" t="s">
        <v>2024</v>
      </c>
      <c r="E22" t="s">
        <v>2025</v>
      </c>
      <c r="F22" t="s">
        <v>1993</v>
      </c>
      <c r="G22" t="s">
        <v>1990</v>
      </c>
      <c r="H22"/>
      <c r="I22" t="s">
        <v>1996</v>
      </c>
      <c r="J22" t="s">
        <v>2014</v>
      </c>
      <c r="K22" t="s">
        <v>1994</v>
      </c>
      <c r="L22" t="s">
        <v>2013</v>
      </c>
      <c r="M22" t="s">
        <v>1972</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2017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2026</v>
      </c>
      <c r="E23" s="7" t="str">
        <f t="shared" ref="E23:E36" si="4">K23&amp;"·"&amp;L23&amp;"·败退"</f>
        <v>恶人·白某·败退</v>
      </c>
      <c r="F23" s="7" t="s">
        <v>1993</v>
      </c>
      <c r="G23" s="7" t="s">
        <v>1990</v>
      </c>
      <c r="I23" s="7" t="s">
        <v>1996</v>
      </c>
      <c r="J23" s="7" t="s">
        <v>2027</v>
      </c>
      <c r="K23" s="7" t="s">
        <v>1994</v>
      </c>
      <c r="L23" s="7" t="s">
        <v>2028</v>
      </c>
      <c r="M23" s="7" t="s">
        <v>1972</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2026</v>
      </c>
      <c r="E24" s="7" t="str">
        <f t="shared" si="4"/>
        <v>恶人·烟·败退</v>
      </c>
      <c r="F24" s="7" t="s">
        <v>1993</v>
      </c>
      <c r="G24" s="7" t="s">
        <v>1990</v>
      </c>
      <c r="I24" s="7" t="s">
        <v>1996</v>
      </c>
      <c r="J24" s="7" t="s">
        <v>2029</v>
      </c>
      <c r="K24" s="7" t="s">
        <v>1994</v>
      </c>
      <c r="L24" s="7" t="s">
        <v>2030</v>
      </c>
      <c r="M24" s="7" t="s">
        <v>1972</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2026</v>
      </c>
      <c r="E25" s="7" t="str">
        <f t="shared" si="4"/>
        <v>恶人·岳琅·败退</v>
      </c>
      <c r="F25" s="7" t="s">
        <v>1993</v>
      </c>
      <c r="G25" s="7" t="s">
        <v>1990</v>
      </c>
      <c r="I25" s="7" t="s">
        <v>1996</v>
      </c>
      <c r="J25" s="7" t="s">
        <v>2031</v>
      </c>
      <c r="K25" s="7" t="s">
        <v>1994</v>
      </c>
      <c r="L25" s="7" t="s">
        <v>2032</v>
      </c>
      <c r="M25" s="7" t="s">
        <v>1972</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2026</v>
      </c>
      <c r="E26" s="7" t="str">
        <f t="shared" si="4"/>
        <v>恶人·独孤修·败退</v>
      </c>
      <c r="F26" s="7" t="s">
        <v>1993</v>
      </c>
      <c r="G26" s="7" t="s">
        <v>1990</v>
      </c>
      <c r="I26" s="7" t="s">
        <v>1996</v>
      </c>
      <c r="J26" s="7" t="s">
        <v>2033</v>
      </c>
      <c r="K26" s="7" t="s">
        <v>1994</v>
      </c>
      <c r="L26" s="7" t="s">
        <v>2034</v>
      </c>
      <c r="M26" s="7" t="s">
        <v>1972</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2026</v>
      </c>
      <c r="E27" s="7" t="str">
        <f t="shared" si="4"/>
        <v>恶人·丁丁·败退</v>
      </c>
      <c r="F27" s="7" t="s">
        <v>1993</v>
      </c>
      <c r="G27" s="7" t="s">
        <v>1990</v>
      </c>
      <c r="I27" s="7" t="s">
        <v>1996</v>
      </c>
      <c r="J27" s="7" t="s">
        <v>2035</v>
      </c>
      <c r="K27" s="7" t="s">
        <v>1994</v>
      </c>
      <c r="L27" s="7" t="s">
        <v>2036</v>
      </c>
      <c r="M27" s="7" t="s">
        <v>1972</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2026</v>
      </c>
      <c r="E28" s="7" t="str">
        <f t="shared" si="4"/>
        <v>恶人·伊夜·败退</v>
      </c>
      <c r="F28" s="7" t="s">
        <v>1993</v>
      </c>
      <c r="G28" s="7" t="s">
        <v>1990</v>
      </c>
      <c r="I28" s="7" t="s">
        <v>1996</v>
      </c>
      <c r="J28" s="7" t="s">
        <v>2037</v>
      </c>
      <c r="K28" s="7" t="s">
        <v>1994</v>
      </c>
      <c r="L28" s="7" t="s">
        <v>2038</v>
      </c>
      <c r="M28" s="7" t="s">
        <v>1972</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2026</v>
      </c>
      <c r="E29" s="7" t="str">
        <f t="shared" si="4"/>
        <v>浩气·郭珠·败退</v>
      </c>
      <c r="F29" s="7" t="s">
        <v>1990</v>
      </c>
      <c r="G29" s="7" t="s">
        <v>1993</v>
      </c>
      <c r="I29" s="7" t="s">
        <v>1994</v>
      </c>
      <c r="J29" s="7" t="s">
        <v>2028</v>
      </c>
      <c r="K29" s="7" t="s">
        <v>1996</v>
      </c>
      <c r="L29" s="7" t="s">
        <v>2027</v>
      </c>
      <c r="M29" s="7" t="s">
        <v>1976</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2026</v>
      </c>
      <c r="E30" s="7" t="str">
        <f t="shared" si="4"/>
        <v>浩气·谢铃儿·败退</v>
      </c>
      <c r="F30" s="7" t="s">
        <v>1990</v>
      </c>
      <c r="G30" s="7" t="s">
        <v>1993</v>
      </c>
      <c r="I30" s="7" t="s">
        <v>1994</v>
      </c>
      <c r="J30" s="7" t="s">
        <v>2030</v>
      </c>
      <c r="K30" s="7" t="s">
        <v>1996</v>
      </c>
      <c r="L30" s="7" t="s">
        <v>2029</v>
      </c>
      <c r="M30" s="7" t="s">
        <v>1976</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2026</v>
      </c>
      <c r="E31" s="7" t="str">
        <f t="shared" si="4"/>
        <v>浩气·叶镜池·败退</v>
      </c>
      <c r="F31" s="7" t="s">
        <v>1990</v>
      </c>
      <c r="G31" s="7" t="s">
        <v>1993</v>
      </c>
      <c r="H31" s="7"/>
      <c r="I31" s="7" t="s">
        <v>1994</v>
      </c>
      <c r="J31" s="7" t="s">
        <v>2032</v>
      </c>
      <c r="K31" s="7" t="s">
        <v>1996</v>
      </c>
      <c r="L31" s="7" t="s">
        <v>2031</v>
      </c>
      <c r="M31" s="7" t="s">
        <v>1976</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2026</v>
      </c>
      <c r="E32" s="7" t="str">
        <f t="shared" si="4"/>
        <v>浩气·影·败退</v>
      </c>
      <c r="F32" s="7" t="s">
        <v>1990</v>
      </c>
      <c r="G32" s="7" t="s">
        <v>1993</v>
      </c>
      <c r="H32" s="7"/>
      <c r="I32" s="7" t="s">
        <v>1994</v>
      </c>
      <c r="J32" s="7" t="s">
        <v>2034</v>
      </c>
      <c r="K32" s="7" t="s">
        <v>1996</v>
      </c>
      <c r="L32" s="7" t="s">
        <v>2033</v>
      </c>
      <c r="M32" s="7" t="s">
        <v>1976</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2026</v>
      </c>
      <c r="E33" s="7" t="str">
        <f t="shared" si="4"/>
        <v>浩气·赵紫儿·败退</v>
      </c>
      <c r="F33" s="7" t="s">
        <v>1990</v>
      </c>
      <c r="G33" s="7" t="s">
        <v>1993</v>
      </c>
      <c r="H33" s="7"/>
      <c r="I33" s="7" t="s">
        <v>1994</v>
      </c>
      <c r="J33" s="7" t="s">
        <v>2036</v>
      </c>
      <c r="K33" s="7" t="s">
        <v>1996</v>
      </c>
      <c r="L33" s="7" t="s">
        <v>2035</v>
      </c>
      <c r="M33" s="7" t="s">
        <v>1976</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2026</v>
      </c>
      <c r="E34" s="7" t="str">
        <f t="shared" si="4"/>
        <v>浩气·小七·败退</v>
      </c>
      <c r="F34" s="7" t="s">
        <v>1990</v>
      </c>
      <c r="G34" s="7" t="s">
        <v>1993</v>
      </c>
      <c r="H34" s="7"/>
      <c r="I34" s="7" t="s">
        <v>1994</v>
      </c>
      <c r="J34" s="7" t="s">
        <v>2038</v>
      </c>
      <c r="K34" s="7" t="s">
        <v>1996</v>
      </c>
      <c r="L34" s="7" t="s">
        <v>2037</v>
      </c>
      <c r="M34" s="7" t="s">
        <v>1976</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2026</v>
      </c>
      <c r="E35" s="7" t="str">
        <f t="shared" si="4"/>
        <v>恶人·王遗风·败退</v>
      </c>
      <c r="F35" s="7" t="s">
        <v>1993</v>
      </c>
      <c r="G35" s="7" t="s">
        <v>1990</v>
      </c>
      <c r="H35" s="7"/>
      <c r="I35" s="7" t="s">
        <v>1996</v>
      </c>
      <c r="J35" s="7" t="s">
        <v>1990</v>
      </c>
      <c r="K35" s="7" t="s">
        <v>1994</v>
      </c>
      <c r="L35" s="7" t="s">
        <v>1993</v>
      </c>
      <c r="M35" s="7" t="s">
        <v>1972</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2026</v>
      </c>
      <c r="E36" s="7" t="str">
        <f t="shared" si="4"/>
        <v>浩气·谢渊·败退</v>
      </c>
      <c r="F36" s="7" t="s">
        <v>1990</v>
      </c>
      <c r="G36" s="7" t="s">
        <v>1993</v>
      </c>
      <c r="H36" s="7"/>
      <c r="I36" s="7" t="s">
        <v>1994</v>
      </c>
      <c r="J36" s="7" t="s">
        <v>1993</v>
      </c>
      <c r="K36" s="7" t="s">
        <v>1996</v>
      </c>
      <c r="L36" s="7" t="s">
        <v>1990</v>
      </c>
      <c r="M36" s="7" t="s">
        <v>1976</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1969</v>
      </c>
      <c r="D37" t="s">
        <v>2026</v>
      </c>
      <c r="E37" t="s">
        <v>2039</v>
      </c>
      <c r="F37"/>
      <c r="G37"/>
      <c r="M37" t="s">
        <v>1980</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2040</v>
      </c>
      <c r="X37" t="s">
        <v>2041</v>
      </c>
    </row>
    <row r="38" customFormat="1" spans="2:28">
      <c r="C38" t="s">
        <v>1969</v>
      </c>
      <c r="D38" t="s">
        <v>2042</v>
      </c>
      <c r="E38" t="s">
        <v>2043</v>
      </c>
      <c r="F38"/>
      <c r="G38"/>
      <c r="M38" t="s">
        <v>1980</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2044</v>
      </c>
      <c r="X38" t="s">
        <v>2045</v>
      </c>
      <c r="Y38" t="s">
        <v>2046</v>
      </c>
    </row>
    <row r="39" customFormat="1" spans="2:28">
      <c r="C39" t="s">
        <v>1969</v>
      </c>
      <c r="D39" t="s">
        <v>2047</v>
      </c>
      <c r="E39" t="s">
        <v>2048</v>
      </c>
      <c r="F39"/>
      <c r="G39"/>
      <c r="M39" t="s">
        <v>1980</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2049</v>
      </c>
      <c r="X39" t="s">
        <v>2050</v>
      </c>
      <c r="Y39" t="s">
        <v>2051</v>
      </c>
      <c r="Z39" t="s">
        <v>2052</v>
      </c>
      <c r="AA39" t="s">
        <v>2053</v>
      </c>
    </row>
    <row r="40" customFormat="1" spans="2:28">
      <c r="C40" t="s">
        <v>1969</v>
      </c>
      <c r="D40" t="s">
        <v>2054</v>
      </c>
      <c r="E40" t="s">
        <v>2055</v>
      </c>
      <c r="F40"/>
      <c r="G40"/>
      <c r="M40" t="s">
        <v>1980</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2056</v>
      </c>
      <c r="X40" t="s">
        <v>2057</v>
      </c>
      <c r="Y40" t="s">
        <v>2058</v>
      </c>
    </row>
    <row r="41" customFormat="1" spans="2:28">
      <c r="C41" t="s">
        <v>1969</v>
      </c>
      <c r="D41" t="s">
        <v>2059</v>
      </c>
      <c r="E41" t="s">
        <v>2060</v>
      </c>
      <c r="M41" t="s">
        <v>1980</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2056</v>
      </c>
      <c r="X41" t="s">
        <v>2057</v>
      </c>
      <c r="Y41" t="s">
        <v>2061</v>
      </c>
    </row>
    <row r="42" customFormat="1" spans="2:28">
      <c r="C42" t="s">
        <v>1969</v>
      </c>
      <c r="D42" t="s">
        <v>2062</v>
      </c>
      <c r="E42" t="s">
        <v>2063</v>
      </c>
      <c r="M42" t="s">
        <v>1980</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2064</v>
      </c>
      <c r="X42" t="s">
        <v>2065</v>
      </c>
      <c r="Y42" t="s">
        <v>2066</v>
      </c>
    </row>
    <row r="43" customFormat="1" spans="2:28">
      <c r="C43" t="s">
        <v>1969</v>
      </c>
      <c r="D43" t="s">
        <v>2067</v>
      </c>
      <c r="E43" t="s">
        <v>2068</v>
      </c>
      <c r="M43" t="s">
        <v>1980</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2064</v>
      </c>
      <c r="X43" t="s">
        <v>2065</v>
      </c>
      <c r="Y43" t="s">
        <v>2069</v>
      </c>
    </row>
    <row r="44" customFormat="1" spans="2:28">
      <c r="C44" t="s">
        <v>1969</v>
      </c>
      <c r="D44" t="s">
        <v>2070</v>
      </c>
      <c r="E44" t="s">
        <v>2071</v>
      </c>
      <c r="M44" t="s">
        <v>1980</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2072</v>
      </c>
    </row>
    <row r="45" customFormat="1" spans="2:28">
      <c r="C45" t="s">
        <v>1969</v>
      </c>
      <c r="D45" s="8" t="s">
        <v>2073</v>
      </c>
      <c r="E45" t="s">
        <v>2074</v>
      </c>
      <c r="M45" t="s">
        <v>1980</v>
      </c>
      <c r="S45">
        <v>1</v>
      </c>
      <c r="V45" t="str">
        <f t="shared" si="11"/>
        <v>{szContent="本周累计从奇袭场奖励堆获得战阶：20000/20000",szTarget="%",szNote="奇袭场·奖励堆·战阶已上限",col={255,255,100,},[14]={bCenterAlarm=true,},},</v>
      </c>
    </row>
    <row r="46" customFormat="1" spans="2:28">
      <c r="C46" t="s">
        <v>1969</v>
      </c>
      <c r="D46" s="8" t="s">
        <v>2075</v>
      </c>
      <c r="E46" t="s">
        <v>2076</v>
      </c>
      <c r="M46" t="s">
        <v>1980</v>
      </c>
      <c r="O46">
        <v>1</v>
      </c>
      <c r="S46">
        <v>1</v>
      </c>
      <c r="V46" t="str">
        <f t="shared" si="11"/>
        <v>{szContent="^本周累计从(.-)奖励堆获得战阶：(%d-)/(%d+)",szTarget="%",szNote="{$1}·累计奖励堆·[{$2}/{$3}]",col={255,255,100,},bReg=true,[14]={bCenterAlarm=true,},},</v>
      </c>
    </row>
    <row r="47" customFormat="1" spans="2:28">
      <c r="C47" t="s">
        <v>1969</v>
      </c>
      <c r="D47" s="8" t="s">
        <v>2077</v>
      </c>
      <c r="E47" t="s">
        <v>2078</v>
      </c>
      <c r="M47" t="s">
        <v>1980</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2079</v>
      </c>
      <c r="X47" t="s">
        <v>2080</v>
      </c>
      <c r="Y47" t="s">
        <v>2081</v>
      </c>
      <c r="Z47" t="s">
        <v>2082</v>
      </c>
      <c r="AA47" t="s">
        <v>2083</v>
      </c>
      <c r="AB47" t="s">
        <v>2084</v>
      </c>
    </row>
    <row r="48" customFormat="1" spans="2:28">
      <c r="D48" t="s">
        <v>2085</v>
      </c>
      <c r="E48" t="s">
        <v>2086</v>
      </c>
      <c r="M48" t="s">
        <v>1980</v>
      </c>
      <c r="V48" t="str">
        <f t="shared" si="11"/>
        <v>{szContent="五分钟内只可拾取一次对立阵营首领仓皇撤退留下的物资。",szNote="主场·助战首领堆·拾取间隔",col={255,255,100,},[14]={},tCountdown={{nClass=14,nIcon=13,szName="首领拾取间隔",nTime=-2,key="首领拾取间隔",},},},</v>
      </c>
      <c r="W48" t="s">
        <v>2087</v>
      </c>
    </row>
    <row r="49" spans="1:27">
      <c r="D49" t="s">
        <v>2088</v>
      </c>
      <c r="E49" t="s">
        <v>2089</v>
      </c>
      <c r="M49" t="s">
        <v>1980</v>
      </c>
      <c r="O49">
        <v>1</v>
      </c>
      <c r="V49" t="str">
        <f t="shared" si="11"/>
        <v>{szContent="放置一辆摧城车，本日本阵营还可放置(%d-)辆摧城车。",szNote="放置·摧城车",col={255,255,100,},bReg=true,[14]={},tCountdown={{nClass=14,nIcon=6158,nFrame=1,szName="摧城车·本日剩余·{$1}辆",nTime=10,key="摧城车",},},},</v>
      </c>
      <c r="W49" t="s">
        <v>2090</v>
      </c>
    </row>
    <row r="50" spans="1:27">
      <c r="D50" t="s">
        <v>2091</v>
      </c>
      <c r="E50" t="s">
        <v>2092</v>
      </c>
      <c r="M50" t="s">
        <v>1980</v>
      </c>
      <c r="V50" t="str">
        <f t="shared" si="11"/>
        <v>{szContent="当前分线即将关闭，请离场景内所有侠士。",szNote="分线关闭·请离侠士",col={255,255,100,},[14]={},},</v>
      </c>
    </row>
    <row r="51" spans="1:27">
      <c r="A51" t="s">
        <v>311</v>
      </c>
      <c r="B51">
        <v>25</v>
      </c>
      <c r="V51" t="str">
        <f t="shared" si="11"/>
        <v>},[25]={</v>
      </c>
    </row>
    <row r="52" customFormat="1" spans="1:27">
      <c r="C52" t="s">
        <v>1969</v>
      </c>
      <c r="D52" s="8" t="s">
        <v>2093</v>
      </c>
      <c r="E52" t="s">
        <v>2094</v>
      </c>
      <c r="F52"/>
      <c r="G52"/>
      <c r="H52"/>
      <c r="I52"/>
      <c r="J52"/>
      <c r="K52"/>
      <c r="L52"/>
      <c r="M52" t="s">
        <v>1976</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2095</v>
      </c>
      <c r="X52"/>
      <c r="Y52"/>
      <c r="Z52"/>
      <c r="AA52" s="7"/>
    </row>
    <row r="53" customFormat="1" spans="1:27">
      <c r="C53" t="s">
        <v>1969</v>
      </c>
      <c r="D53" s="8" t="s">
        <v>2096</v>
      </c>
      <c r="E53" t="s">
        <v>2097</v>
      </c>
      <c r="F53"/>
      <c r="G53"/>
      <c r="H53"/>
      <c r="I53"/>
      <c r="J53"/>
      <c r="K53"/>
      <c r="L53"/>
      <c r="M53" t="s">
        <v>1972</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2098</v>
      </c>
      <c r="X53"/>
      <c r="Y53"/>
      <c r="Z53"/>
      <c r="AA53" s="7"/>
    </row>
    <row r="54" customFormat="1" spans="1:27">
      <c r="C54" t="s">
        <v>1969</v>
      </c>
      <c r="D54" s="8" t="s">
        <v>2099</v>
      </c>
      <c r="E54" t="s">
        <v>2100</v>
      </c>
      <c r="F54"/>
      <c r="G54"/>
      <c r="H54"/>
      <c r="I54"/>
      <c r="J54"/>
      <c r="K54"/>
      <c r="L54"/>
      <c r="M54" t="s">
        <v>1976</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2101</v>
      </c>
      <c r="X54" t="s">
        <v>2102</v>
      </c>
      <c r="Y54"/>
      <c r="Z54"/>
      <c r="AA54" s="7"/>
    </row>
    <row r="55" customFormat="1" spans="1:27">
      <c r="C55" t="s">
        <v>1990</v>
      </c>
      <c r="D55" t="s">
        <v>2103</v>
      </c>
      <c r="E55" t="str">
        <f t="shared" ref="E55:E70" si="12">K55&amp;"·"&amp;L55&amp;"·"&amp;H55&amp;"·"&amp;"败退"</f>
        <v>浩气·周峰·漓水河岸·败退</v>
      </c>
      <c r="F55" t="s">
        <v>1990</v>
      </c>
      <c r="G55" t="s">
        <v>1993</v>
      </c>
      <c r="H55" t="s">
        <v>2104</v>
      </c>
      <c r="I55" t="s">
        <v>1994</v>
      </c>
      <c r="J55" t="s">
        <v>2105</v>
      </c>
      <c r="K55" t="s">
        <v>1996</v>
      </c>
      <c r="L55" t="s">
        <v>2106</v>
      </c>
      <c r="M55" t="s">
        <v>1976</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1990</v>
      </c>
      <c r="D56" t="s">
        <v>2107</v>
      </c>
      <c r="E56" t="str">
        <f t="shared" si="12"/>
        <v>浩气·郑鸥·栖霞幻境·败退</v>
      </c>
      <c r="F56" t="s">
        <v>1990</v>
      </c>
      <c r="G56" t="s">
        <v>1993</v>
      </c>
      <c r="H56" t="s">
        <v>2108</v>
      </c>
      <c r="I56" t="s">
        <v>1994</v>
      </c>
      <c r="J56" t="s">
        <v>2109</v>
      </c>
      <c r="K56" t="s">
        <v>1996</v>
      </c>
      <c r="L56" t="s">
        <v>2110</v>
      </c>
      <c r="M56" t="s">
        <v>1976</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1990</v>
      </c>
      <c r="D57" t="s">
        <v>2111</v>
      </c>
      <c r="E57" t="str">
        <f t="shared" si="12"/>
        <v>浩气·陶杰·七星岩·败退</v>
      </c>
      <c r="F57" t="s">
        <v>1990</v>
      </c>
      <c r="G57" t="s">
        <v>1993</v>
      </c>
      <c r="H57" t="s">
        <v>2112</v>
      </c>
      <c r="I57" t="s">
        <v>1994</v>
      </c>
      <c r="J57" t="s">
        <v>2113</v>
      </c>
      <c r="K57" t="s">
        <v>1996</v>
      </c>
      <c r="L57" t="s">
        <v>2114</v>
      </c>
      <c r="M57" t="s">
        <v>1976</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1990</v>
      </c>
      <c r="D58" t="s">
        <v>2115</v>
      </c>
      <c r="E58" t="str">
        <f t="shared" si="12"/>
        <v>浩气·谢烟客·烟雨居舍·败退</v>
      </c>
      <c r="F58" t="s">
        <v>1990</v>
      </c>
      <c r="G58" t="s">
        <v>1993</v>
      </c>
      <c r="H58" t="s">
        <v>2116</v>
      </c>
      <c r="I58" t="s">
        <v>1996</v>
      </c>
      <c r="J58" t="s">
        <v>2117</v>
      </c>
      <c r="K58" t="s">
        <v>1996</v>
      </c>
      <c r="L58" t="s">
        <v>2118</v>
      </c>
      <c r="M58" t="s">
        <v>1976</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1993</v>
      </c>
      <c r="D59" t="s">
        <v>2119</v>
      </c>
      <c r="E59" t="str">
        <f t="shared" si="12"/>
        <v>恶人·张一洋·漓水河岸·败退</v>
      </c>
      <c r="F59" t="s">
        <v>1993</v>
      </c>
      <c r="G59" t="s">
        <v>1990</v>
      </c>
      <c r="H59" t="s">
        <v>2104</v>
      </c>
      <c r="I59" t="s">
        <v>1996</v>
      </c>
      <c r="J59" t="s">
        <v>2106</v>
      </c>
      <c r="K59" t="s">
        <v>1994</v>
      </c>
      <c r="L59" t="s">
        <v>2105</v>
      </c>
      <c r="M59" t="s">
        <v>1972</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1993</v>
      </c>
      <c r="D60" t="s">
        <v>2120</v>
      </c>
      <c r="E60" t="str">
        <f t="shared" si="12"/>
        <v>恶人·陶国栋·栖霞幻境·败退</v>
      </c>
      <c r="F60" t="s">
        <v>1993</v>
      </c>
      <c r="G60" t="s">
        <v>1990</v>
      </c>
      <c r="H60" t="s">
        <v>2108</v>
      </c>
      <c r="I60" t="s">
        <v>1996</v>
      </c>
      <c r="J60" t="s">
        <v>2110</v>
      </c>
      <c r="K60" t="s">
        <v>1994</v>
      </c>
      <c r="L60" t="s">
        <v>2109</v>
      </c>
      <c r="M60" t="s">
        <v>1972</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1993</v>
      </c>
      <c r="D61" t="s">
        <v>2121</v>
      </c>
      <c r="E61" t="str">
        <f t="shared" si="12"/>
        <v>恶人·吕沛杰·七星岩·败退</v>
      </c>
      <c r="F61" t="s">
        <v>1993</v>
      </c>
      <c r="G61" t="s">
        <v>1990</v>
      </c>
      <c r="H61" t="s">
        <v>2112</v>
      </c>
      <c r="I61" t="s">
        <v>1996</v>
      </c>
      <c r="J61" t="s">
        <v>2114</v>
      </c>
      <c r="K61" t="s">
        <v>1994</v>
      </c>
      <c r="L61" t="s">
        <v>2113</v>
      </c>
      <c r="M61" t="s">
        <v>1972</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1993</v>
      </c>
      <c r="D62" t="s">
        <v>2122</v>
      </c>
      <c r="E62" t="str">
        <f t="shared" si="12"/>
        <v>恶人·顾延恶·烟雨居舍·败退</v>
      </c>
      <c r="F62" t="s">
        <v>1993</v>
      </c>
      <c r="G62" t="s">
        <v>1990</v>
      </c>
      <c r="H62" t="s">
        <v>2116</v>
      </c>
      <c r="I62" t="s">
        <v>1996</v>
      </c>
      <c r="J62" t="s">
        <v>2118</v>
      </c>
      <c r="K62" t="s">
        <v>1994</v>
      </c>
      <c r="L62" t="s">
        <v>2117</v>
      </c>
      <c r="M62" t="s">
        <v>1972</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2106</v>
      </c>
      <c r="D63" t="s">
        <v>2026</v>
      </c>
      <c r="E63" t="str">
        <f t="shared" si="12"/>
        <v>浩气·周峰·漓水河岸·败退</v>
      </c>
      <c r="F63" t="s">
        <v>1990</v>
      </c>
      <c r="G63" t="s">
        <v>1993</v>
      </c>
      <c r="H63" t="s">
        <v>2104</v>
      </c>
      <c r="I63" t="s">
        <v>1994</v>
      </c>
      <c r="J63" t="s">
        <v>2105</v>
      </c>
      <c r="K63" t="s">
        <v>1996</v>
      </c>
      <c r="L63" t="s">
        <v>2106</v>
      </c>
      <c r="M63" t="s">
        <v>1976</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2110</v>
      </c>
      <c r="D64" t="s">
        <v>2026</v>
      </c>
      <c r="E64" t="str">
        <f t="shared" si="12"/>
        <v>浩气·郑鸥·栖霞幻境·败退</v>
      </c>
      <c r="F64" t="s">
        <v>1990</v>
      </c>
      <c r="G64" t="s">
        <v>1993</v>
      </c>
      <c r="H64" t="s">
        <v>2108</v>
      </c>
      <c r="I64" t="s">
        <v>1994</v>
      </c>
      <c r="J64" t="s">
        <v>2109</v>
      </c>
      <c r="K64" t="s">
        <v>1996</v>
      </c>
      <c r="L64" t="s">
        <v>2110</v>
      </c>
      <c r="M64" t="s">
        <v>1976</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2114</v>
      </c>
      <c r="D65" t="s">
        <v>2026</v>
      </c>
      <c r="E65" t="str">
        <f t="shared" si="12"/>
        <v>浩气·陶杰·七星岩·败退</v>
      </c>
      <c r="F65" t="s">
        <v>1990</v>
      </c>
      <c r="G65" t="s">
        <v>1993</v>
      </c>
      <c r="H65" t="s">
        <v>2112</v>
      </c>
      <c r="I65" t="s">
        <v>1994</v>
      </c>
      <c r="J65" t="s">
        <v>2113</v>
      </c>
      <c r="K65" t="s">
        <v>1996</v>
      </c>
      <c r="L65" t="s">
        <v>2114</v>
      </c>
      <c r="M65" t="s">
        <v>1976</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2118</v>
      </c>
      <c r="D66" t="s">
        <v>2026</v>
      </c>
      <c r="E66" t="str">
        <f t="shared" si="12"/>
        <v>浩气·谢烟客·烟雨居舍·败退</v>
      </c>
      <c r="F66" t="s">
        <v>1990</v>
      </c>
      <c r="G66" t="s">
        <v>1993</v>
      </c>
      <c r="H66" t="s">
        <v>2116</v>
      </c>
      <c r="I66" t="s">
        <v>1996</v>
      </c>
      <c r="J66" t="s">
        <v>2117</v>
      </c>
      <c r="K66" t="s">
        <v>1996</v>
      </c>
      <c r="L66" t="s">
        <v>2118</v>
      </c>
      <c r="M66" t="s">
        <v>1976</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2105</v>
      </c>
      <c r="D67" t="s">
        <v>2026</v>
      </c>
      <c r="E67" t="str">
        <f t="shared" si="12"/>
        <v>恶人·张一洋·漓水河岸·败退</v>
      </c>
      <c r="F67" t="s">
        <v>1993</v>
      </c>
      <c r="G67" t="s">
        <v>1990</v>
      </c>
      <c r="H67" t="s">
        <v>2104</v>
      </c>
      <c r="I67" t="s">
        <v>1996</v>
      </c>
      <c r="J67" t="s">
        <v>2106</v>
      </c>
      <c r="K67" t="s">
        <v>1994</v>
      </c>
      <c r="L67" t="s">
        <v>2105</v>
      </c>
      <c r="M67" t="s">
        <v>1972</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2109</v>
      </c>
      <c r="D68" t="s">
        <v>2026</v>
      </c>
      <c r="E68" t="str">
        <f t="shared" si="12"/>
        <v>恶人·陶国栋·栖霞幻境·败退</v>
      </c>
      <c r="F68" t="s">
        <v>1993</v>
      </c>
      <c r="G68" t="s">
        <v>1990</v>
      </c>
      <c r="H68" t="s">
        <v>2108</v>
      </c>
      <c r="I68" t="s">
        <v>1996</v>
      </c>
      <c r="J68" t="s">
        <v>2110</v>
      </c>
      <c r="K68" t="s">
        <v>1994</v>
      </c>
      <c r="L68" t="s">
        <v>2109</v>
      </c>
      <c r="M68" t="s">
        <v>1972</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2113</v>
      </c>
      <c r="D69" t="s">
        <v>2026</v>
      </c>
      <c r="E69" t="str">
        <f t="shared" si="12"/>
        <v>恶人·吕沛杰·七星岩·败退</v>
      </c>
      <c r="F69" t="s">
        <v>1993</v>
      </c>
      <c r="G69" t="s">
        <v>1990</v>
      </c>
      <c r="H69" t="s">
        <v>2112</v>
      </c>
      <c r="I69" t="s">
        <v>1996</v>
      </c>
      <c r="J69" t="s">
        <v>2114</v>
      </c>
      <c r="K69" t="s">
        <v>1994</v>
      </c>
      <c r="L69" t="s">
        <v>2113</v>
      </c>
      <c r="M69" t="s">
        <v>1972</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2117</v>
      </c>
      <c r="D70" t="s">
        <v>2026</v>
      </c>
      <c r="E70" t="str">
        <f t="shared" si="12"/>
        <v>恶人·顾延恶·烟雨居舍·败退</v>
      </c>
      <c r="F70" t="s">
        <v>1993</v>
      </c>
      <c r="G70" t="s">
        <v>1990</v>
      </c>
      <c r="H70" t="s">
        <v>2116</v>
      </c>
      <c r="I70" t="s">
        <v>1996</v>
      </c>
      <c r="J70" t="s">
        <v>2118</v>
      </c>
      <c r="K70" t="s">
        <v>1994</v>
      </c>
      <c r="L70" t="s">
        <v>2117</v>
      </c>
      <c r="M70" t="s">
        <v>1972</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1969</v>
      </c>
      <c r="D72" s="8" t="s">
        <v>2093</v>
      </c>
      <c r="E72" t="s">
        <v>2094</v>
      </c>
      <c r="F72"/>
      <c r="G72"/>
      <c r="H72"/>
      <c r="I72"/>
      <c r="J72"/>
      <c r="K72"/>
      <c r="L72"/>
      <c r="M72" t="s">
        <v>1976</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2123</v>
      </c>
      <c r="X72"/>
      <c r="Y72"/>
      <c r="Z72"/>
      <c r="AA72" s="7"/>
    </row>
    <row r="73" customFormat="1" spans="1:27">
      <c r="C73" t="s">
        <v>1969</v>
      </c>
      <c r="D73" s="8" t="s">
        <v>2096</v>
      </c>
      <c r="E73" t="s">
        <v>2097</v>
      </c>
      <c r="F73"/>
      <c r="G73"/>
      <c r="H73"/>
      <c r="I73"/>
      <c r="J73"/>
      <c r="K73"/>
      <c r="L73"/>
      <c r="M73" t="s">
        <v>1972</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2124</v>
      </c>
      <c r="X73"/>
      <c r="Y73"/>
      <c r="Z73"/>
      <c r="AA73" s="7"/>
    </row>
    <row r="74" customFormat="1" spans="1:27">
      <c r="C74" t="s">
        <v>1969</v>
      </c>
      <c r="D74" s="8" t="s">
        <v>2125</v>
      </c>
      <c r="E74" t="s">
        <v>2100</v>
      </c>
      <c r="F74"/>
      <c r="G74"/>
      <c r="H74"/>
      <c r="I74"/>
      <c r="J74"/>
      <c r="K74"/>
      <c r="L74"/>
      <c r="M74" t="s">
        <v>1976</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2101</v>
      </c>
      <c r="X74" t="s">
        <v>2102</v>
      </c>
      <c r="Y74"/>
      <c r="Z74"/>
      <c r="AA74" s="7"/>
    </row>
    <row r="75" customFormat="1" spans="1:27">
      <c r="C75" t="s">
        <v>1990</v>
      </c>
      <c r="D75" t="s">
        <v>2103</v>
      </c>
      <c r="E75" t="str">
        <f t="shared" ref="E75:E90" si="16">K75&amp;"·"&amp;L75&amp;"·"&amp;H75&amp;"·"&amp;"败退"</f>
        <v>浩气·周峰·丐王坡·败退</v>
      </c>
      <c r="F75" t="s">
        <v>1990</v>
      </c>
      <c r="G75" t="s">
        <v>1993</v>
      </c>
      <c r="H75" t="s">
        <v>2126</v>
      </c>
      <c r="I75" t="s">
        <v>1994</v>
      </c>
      <c r="J75" t="s">
        <v>2105</v>
      </c>
      <c r="K75" t="s">
        <v>1996</v>
      </c>
      <c r="L75" t="s">
        <v>2106</v>
      </c>
      <c r="M75" t="s">
        <v>1976</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1990</v>
      </c>
      <c r="D76" t="s">
        <v>2107</v>
      </c>
      <c r="E76" t="str">
        <f t="shared" si="16"/>
        <v>浩气·郑鸥·白骨陵园·败退</v>
      </c>
      <c r="F76" t="s">
        <v>1990</v>
      </c>
      <c r="G76" t="s">
        <v>1993</v>
      </c>
      <c r="H76" t="s">
        <v>2127</v>
      </c>
      <c r="I76" t="s">
        <v>1994</v>
      </c>
      <c r="J76" t="s">
        <v>2109</v>
      </c>
      <c r="K76" t="s">
        <v>1996</v>
      </c>
      <c r="L76" t="s">
        <v>2110</v>
      </c>
      <c r="M76" t="s">
        <v>1976</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1990</v>
      </c>
      <c r="D77" t="s">
        <v>2111</v>
      </c>
      <c r="E77" t="str">
        <f t="shared" si="16"/>
        <v>浩气·陶杰·炎狱山·败退</v>
      </c>
      <c r="F77" t="s">
        <v>1990</v>
      </c>
      <c r="G77" t="s">
        <v>1993</v>
      </c>
      <c r="H77" t="s">
        <v>2128</v>
      </c>
      <c r="I77" t="s">
        <v>1994</v>
      </c>
      <c r="J77" t="s">
        <v>2113</v>
      </c>
      <c r="K77" t="s">
        <v>1996</v>
      </c>
      <c r="L77" t="s">
        <v>2114</v>
      </c>
      <c r="M77" t="s">
        <v>1976</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1990</v>
      </c>
      <c r="D78" t="s">
        <v>2115</v>
      </c>
      <c r="E78" t="str">
        <f t="shared" si="16"/>
        <v>浩气·谢烟客·平安客栈·败退</v>
      </c>
      <c r="F78" t="s">
        <v>1990</v>
      </c>
      <c r="G78" t="s">
        <v>1993</v>
      </c>
      <c r="H78" t="s">
        <v>2129</v>
      </c>
      <c r="I78" t="s">
        <v>1994</v>
      </c>
      <c r="J78" t="s">
        <v>2117</v>
      </c>
      <c r="K78" t="s">
        <v>1996</v>
      </c>
      <c r="L78" t="s">
        <v>2118</v>
      </c>
      <c r="M78" t="s">
        <v>1976</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1993</v>
      </c>
      <c r="D79" t="s">
        <v>2119</v>
      </c>
      <c r="E79" t="str">
        <f t="shared" si="16"/>
        <v>恶人·张一洋·丐王坡·败退</v>
      </c>
      <c r="F79" t="s">
        <v>1993</v>
      </c>
      <c r="G79" t="s">
        <v>1990</v>
      </c>
      <c r="H79" t="s">
        <v>2126</v>
      </c>
      <c r="I79" t="s">
        <v>1996</v>
      </c>
      <c r="J79" t="s">
        <v>2106</v>
      </c>
      <c r="K79" t="s">
        <v>1994</v>
      </c>
      <c r="L79" t="s">
        <v>2105</v>
      </c>
      <c r="M79" t="s">
        <v>1972</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1993</v>
      </c>
      <c r="D80" t="s">
        <v>2120</v>
      </c>
      <c r="E80" t="str">
        <f t="shared" si="16"/>
        <v>恶人·陶国栋·白骨陵园·败退</v>
      </c>
      <c r="F80" t="s">
        <v>1993</v>
      </c>
      <c r="G80" t="s">
        <v>1990</v>
      </c>
      <c r="H80" t="s">
        <v>2127</v>
      </c>
      <c r="I80" t="s">
        <v>1996</v>
      </c>
      <c r="J80" t="s">
        <v>2110</v>
      </c>
      <c r="K80" t="s">
        <v>1994</v>
      </c>
      <c r="L80" t="s">
        <v>2109</v>
      </c>
      <c r="M80" t="s">
        <v>1972</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1993</v>
      </c>
      <c r="D81" t="s">
        <v>2121</v>
      </c>
      <c r="E81" t="str">
        <f t="shared" si="16"/>
        <v>恶人·吕沛杰·炎狱山·败退</v>
      </c>
      <c r="F81" t="s">
        <v>1993</v>
      </c>
      <c r="G81" t="s">
        <v>1990</v>
      </c>
      <c r="H81" t="s">
        <v>2128</v>
      </c>
      <c r="I81" t="s">
        <v>1996</v>
      </c>
      <c r="J81" t="s">
        <v>2114</v>
      </c>
      <c r="K81" t="s">
        <v>1994</v>
      </c>
      <c r="L81" t="s">
        <v>2113</v>
      </c>
      <c r="M81" t="s">
        <v>1972</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1993</v>
      </c>
      <c r="D82" t="s">
        <v>2122</v>
      </c>
      <c r="E82" t="str">
        <f t="shared" si="16"/>
        <v>恶人·顾延恶·平安客栈·败退</v>
      </c>
      <c r="F82" t="s">
        <v>1993</v>
      </c>
      <c r="G82" t="s">
        <v>1990</v>
      </c>
      <c r="H82" t="s">
        <v>2129</v>
      </c>
      <c r="I82" t="s">
        <v>1996</v>
      </c>
      <c r="J82" t="s">
        <v>2118</v>
      </c>
      <c r="K82" t="s">
        <v>1994</v>
      </c>
      <c r="L82" t="s">
        <v>2117</v>
      </c>
      <c r="M82" t="s">
        <v>1972</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2106</v>
      </c>
      <c r="D83" t="s">
        <v>2026</v>
      </c>
      <c r="E83" t="str">
        <f t="shared" si="16"/>
        <v>浩气·周峰·丐王坡·败退</v>
      </c>
      <c r="F83" t="s">
        <v>1990</v>
      </c>
      <c r="G83" t="s">
        <v>1993</v>
      </c>
      <c r="H83" t="s">
        <v>2126</v>
      </c>
      <c r="I83" t="s">
        <v>1994</v>
      </c>
      <c r="J83" t="s">
        <v>2105</v>
      </c>
      <c r="K83" t="s">
        <v>1996</v>
      </c>
      <c r="L83" t="s">
        <v>2106</v>
      </c>
      <c r="M83" t="s">
        <v>1976</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2110</v>
      </c>
      <c r="D84" t="s">
        <v>2026</v>
      </c>
      <c r="E84" t="str">
        <f t="shared" si="16"/>
        <v>浩气·郑鸥·白骨陵园·败退</v>
      </c>
      <c r="F84" t="s">
        <v>1990</v>
      </c>
      <c r="G84" t="s">
        <v>1993</v>
      </c>
      <c r="H84" t="s">
        <v>2127</v>
      </c>
      <c r="I84" t="s">
        <v>1994</v>
      </c>
      <c r="J84" t="s">
        <v>2109</v>
      </c>
      <c r="K84" t="s">
        <v>1996</v>
      </c>
      <c r="L84" t="s">
        <v>2110</v>
      </c>
      <c r="M84" t="s">
        <v>1976</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2114</v>
      </c>
      <c r="D85" t="s">
        <v>2026</v>
      </c>
      <c r="E85" t="str">
        <f t="shared" si="16"/>
        <v>浩气·陶杰·炎狱山·败退</v>
      </c>
      <c r="F85" t="s">
        <v>1990</v>
      </c>
      <c r="G85" t="s">
        <v>1993</v>
      </c>
      <c r="H85" t="s">
        <v>2128</v>
      </c>
      <c r="I85" t="s">
        <v>1994</v>
      </c>
      <c r="J85" t="s">
        <v>2113</v>
      </c>
      <c r="K85" t="s">
        <v>1996</v>
      </c>
      <c r="L85" t="s">
        <v>2114</v>
      </c>
      <c r="M85" t="s">
        <v>1976</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2118</v>
      </c>
      <c r="D86" t="s">
        <v>2026</v>
      </c>
      <c r="E86" t="str">
        <f t="shared" si="16"/>
        <v>浩气·谢烟客·平安客栈·败退</v>
      </c>
      <c r="F86" t="s">
        <v>1990</v>
      </c>
      <c r="G86" t="s">
        <v>1993</v>
      </c>
      <c r="H86" t="s">
        <v>2129</v>
      </c>
      <c r="I86" t="s">
        <v>1994</v>
      </c>
      <c r="J86" t="s">
        <v>2117</v>
      </c>
      <c r="K86" t="s">
        <v>1996</v>
      </c>
      <c r="L86" t="s">
        <v>2118</v>
      </c>
      <c r="M86" t="s">
        <v>1976</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2105</v>
      </c>
      <c r="D87" t="s">
        <v>2026</v>
      </c>
      <c r="E87" t="str">
        <f t="shared" si="16"/>
        <v>恶人·张一洋·丐王坡·败退</v>
      </c>
      <c r="F87" t="s">
        <v>1993</v>
      </c>
      <c r="G87" t="s">
        <v>1990</v>
      </c>
      <c r="H87" t="s">
        <v>2126</v>
      </c>
      <c r="I87" t="s">
        <v>1996</v>
      </c>
      <c r="J87" t="s">
        <v>2106</v>
      </c>
      <c r="K87" t="s">
        <v>1994</v>
      </c>
      <c r="L87" t="s">
        <v>2105</v>
      </c>
      <c r="M87" t="s">
        <v>1972</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2109</v>
      </c>
      <c r="D88" t="s">
        <v>2026</v>
      </c>
      <c r="E88" t="str">
        <f t="shared" si="16"/>
        <v>恶人·陶国栋·白骨陵园·败退</v>
      </c>
      <c r="F88" t="s">
        <v>1993</v>
      </c>
      <c r="G88" t="s">
        <v>1990</v>
      </c>
      <c r="H88" t="s">
        <v>2127</v>
      </c>
      <c r="I88" t="s">
        <v>1996</v>
      </c>
      <c r="J88" t="s">
        <v>2110</v>
      </c>
      <c r="K88" t="s">
        <v>1994</v>
      </c>
      <c r="L88" t="s">
        <v>2109</v>
      </c>
      <c r="M88" t="s">
        <v>1972</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2113</v>
      </c>
      <c r="D89" t="s">
        <v>2026</v>
      </c>
      <c r="E89" t="str">
        <f t="shared" si="16"/>
        <v>恶人·吕沛杰·炎狱山·败退</v>
      </c>
      <c r="F89" t="s">
        <v>1993</v>
      </c>
      <c r="G89" t="s">
        <v>1990</v>
      </c>
      <c r="H89" t="s">
        <v>2128</v>
      </c>
      <c r="I89" t="s">
        <v>1996</v>
      </c>
      <c r="J89" t="s">
        <v>2114</v>
      </c>
      <c r="K89" t="s">
        <v>1994</v>
      </c>
      <c r="L89" t="s">
        <v>2113</v>
      </c>
      <c r="M89" t="s">
        <v>1972</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2117</v>
      </c>
      <c r="D90" t="s">
        <v>2026</v>
      </c>
      <c r="E90" t="str">
        <f t="shared" si="16"/>
        <v>恶人·顾延恶·平安客栈·败退</v>
      </c>
      <c r="F90" t="s">
        <v>1993</v>
      </c>
      <c r="G90" t="s">
        <v>1990</v>
      </c>
      <c r="H90" t="s">
        <v>2129</v>
      </c>
      <c r="I90" t="s">
        <v>1996</v>
      </c>
      <c r="J90" t="s">
        <v>2118</v>
      </c>
      <c r="K90" t="s">
        <v>1994</v>
      </c>
      <c r="L90" t="s">
        <v>2117</v>
      </c>
      <c r="M90" t="s">
        <v>1972</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2130</v>
      </c>
      <c r="B91">
        <v>-21</v>
      </c>
      <c r="V91" t="str">
        <f t="shared" si="15"/>
        <v>},[-21]={</v>
      </c>
    </row>
    <row r="92" customFormat="1" spans="1:27">
      <c r="D92" t="s">
        <v>2131</v>
      </c>
      <c r="M92" t="s">
        <v>1972</v>
      </c>
      <c r="V92" t="str">
        <f t="shared" si="15"/>
        <v>{szContent="分流活动已开启，大侠可以前往龙门荒漠接取阵营攻防前置任务",col={255,100,100,},[14]={},tCountdown={{nClass=14,nIcon=3536,nFrame=3,szName="龙门·攻防前置分流",nTime=30,nRefresh=1800,key="分流活动",},},},</v>
      </c>
      <c r="W92" t="s">
        <v>2132</v>
      </c>
    </row>
    <row r="93" customFormat="1" spans="1:27">
      <c r="D93" t="s">
        <v>2133</v>
      </c>
      <c r="M93" t="s">
        <v>1976</v>
      </c>
      <c r="V93" t="str">
        <f t="shared" si="15"/>
        <v>{szContent="分流活动已开启，大侠可以前往巴陵县接取阵营攻防前置任务",col={100,100,255,},[14]={},tCountdown={{nClass=14,nIcon=3536,nFrame=7,szName="巴陵·攻防前置分流",nTime=30,nRefresh=1800,key="分流活动",},},},</v>
      </c>
      <c r="W93" t="s">
        <v>2134</v>
      </c>
    </row>
    <row r="94" customFormat="1" spans="1:27">
      <c r="A94" t="s">
        <v>1655</v>
      </c>
      <c r="B94">
        <v>-2</v>
      </c>
      <c r="V94" t="str">
        <f t="shared" si="15"/>
        <v>},[-2]={</v>
      </c>
    </row>
    <row r="95" customFormat="1" spans="1:27">
      <c r="D95" t="s">
        <v>2131</v>
      </c>
      <c r="M95" t="s">
        <v>1972</v>
      </c>
      <c r="V95" t="str">
        <f t="shared" si="15"/>
        <v>{szContent="分流活动已开启，大侠可以前往龙门荒漠接取阵营攻防前置任务",col={255,100,100,},[14]={},tCountdown={{nClass=14,nIcon=3536,nFrame=3,szName="龙门·攻防前置分流",nTime=30,nRefresh=1800,key="分流活动",},},},</v>
      </c>
      <c r="W95" t="s">
        <v>2132</v>
      </c>
    </row>
    <row r="96" customFormat="1" spans="1:27">
      <c r="D96" t="s">
        <v>2133</v>
      </c>
      <c r="M96" t="s">
        <v>1976</v>
      </c>
      <c r="V96" t="str">
        <f t="shared" si="15"/>
        <v>{szContent="分流活动已开启，大侠可以前往巴陵县接取阵营攻防前置任务",col={100,100,255,},[14]={},tCountdown={{nClass=14,nIcon=3536,nFrame=7,szName="巴陵·攻防前置分流",nTime=30,nRefresh=1800,key="分流活动",},},},</v>
      </c>
      <c r="W96" t="s">
        <v>2134</v>
      </c>
    </row>
    <row r="97" spans="1:27">
      <c r="A97" t="s">
        <v>538</v>
      </c>
      <c r="B97">
        <v>-7</v>
      </c>
      <c r="V97" t="str">
        <f t="shared" si="15"/>
        <v>},[-7]={</v>
      </c>
    </row>
    <row r="98" customFormat="1" spans="1:27">
      <c r="D98" t="s">
        <v>2131</v>
      </c>
      <c r="M98" t="s">
        <v>1972</v>
      </c>
      <c r="V98" t="str">
        <f t="shared" si="15"/>
        <v>{szContent="分流活动已开启，大侠可以前往龙门荒漠接取阵营攻防前置任务",col={255,100,100,},[14]={},tCountdown={{nClass=14,nIcon=3536,nFrame=3,szName="龙门·攻防前置分流",nTime=30,nRefresh=1800,key="分流活动",},},},</v>
      </c>
      <c r="W98" t="s">
        <v>2132</v>
      </c>
    </row>
    <row r="99" customFormat="1" spans="1:27">
      <c r="D99" t="s">
        <v>2133</v>
      </c>
      <c r="M99" t="s">
        <v>1976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2134</v>
      </c>
    </row>
    <row r="100" customFormat="1" spans="1:27">
      <c r="A100" t="s">
        <v>1480</v>
      </c>
      <c r="B100">
        <v>-20</v>
      </c>
      <c r="V100" t="str">
        <f t="shared" si="19"/>
        <v>},[-20]={</v>
      </c>
    </row>
    <row r="101" customFormat="1" spans="1:27">
      <c r="C101" t="s">
        <v>1699</v>
      </c>
      <c r="D101" t="s">
        <v>2135</v>
      </c>
      <c r="E101" t="s">
        <v>2136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2137</v>
      </c>
      <c r="X101" s="5" t="s">
        <v>2138</v>
      </c>
      <c r="Y101" s="5" t="s">
        <v>2139</v>
      </c>
    </row>
    <row r="102" customFormat="1" spans="1:27">
      <c r="C102" t="s">
        <v>1699</v>
      </c>
      <c r="D102" t="s">
        <v>2140</v>
      </c>
      <c r="E102" t="s">
        <v>2141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2142</v>
      </c>
      <c r="X102" s="5" t="s">
        <v>2138</v>
      </c>
      <c r="Y102" s="5" t="s">
        <v>2139</v>
      </c>
    </row>
    <row r="103" customFormat="1" spans="1:27">
      <c r="C103" t="s">
        <v>1699</v>
      </c>
      <c r="D103" t="s">
        <v>2143</v>
      </c>
      <c r="E103" t="s">
        <v>2144</v>
      </c>
      <c r="V103" t="str">
        <f t="shared" si="19"/>
        <v>{szContent="哼，打扰本大爷休息！",szTarget="狼牙先锋首领",szNote="狼牙先锋首领·刷新喊话1",[14]={},tCountdown={{nClass=14,nIcon=3556,nFrame=1,szName="狼牙先锋首领·已经刷新",nTime=10,nRefresh=120,key="狼牙先锋首领",},},},</v>
      </c>
      <c r="W103" t="s">
        <v>2142</v>
      </c>
    </row>
    <row r="104" customFormat="1" spans="1:27">
      <c r="C104" t="s">
        <v>1699</v>
      </c>
      <c r="D104" t="s">
        <v>2145</v>
      </c>
      <c r="E104" t="s">
        <v>2146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2147</v>
      </c>
      <c r="X104" s="4" t="s">
        <v>2148</v>
      </c>
      <c r="Y104" s="4" t="s">
        <v>2149</v>
      </c>
    </row>
    <row r="105" customFormat="1" spans="1:27">
      <c r="C105" t="s">
        <v>1969</v>
      </c>
      <c r="D105" t="s">
        <v>2150</v>
      </c>
      <c r="E105" t="s">
        <v>2151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2152</v>
      </c>
      <c r="X105" s="5" t="s">
        <v>2153</v>
      </c>
      <c r="Y105" s="5" t="s">
        <v>2138</v>
      </c>
      <c r="Z105" s="5" t="s">
        <v>2139</v>
      </c>
    </row>
    <row r="106" customFormat="1" spans="1:27">
      <c r="C106" t="s">
        <v>1969</v>
      </c>
      <c r="D106" t="s">
        <v>2154</v>
      </c>
      <c r="E106" t="s">
        <v>2155</v>
      </c>
      <c r="M106" t="s">
        <v>1980</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2156</v>
      </c>
      <c r="X106" t="s">
        <v>2157</v>
      </c>
      <c r="Y106" t="s">
        <v>2158</v>
      </c>
      <c r="Z106" t="s">
        <v>2159</v>
      </c>
      <c r="AA106" t="s">
        <v>2160</v>
      </c>
    </row>
    <row r="107" customFormat="1" spans="1:27">
      <c r="C107" t="s">
        <v>1969</v>
      </c>
      <c r="D107" t="s">
        <v>2161</v>
      </c>
      <c r="E107"/>
      <c r="M107" t="s">
        <v>1972</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07" t="s">
        <v>2162</v>
      </c>
      <c r="X107" t="s">
        <v>2163</v>
      </c>
    </row>
    <row r="108" customFormat="1" spans="1:27">
      <c r="C108" t="s">
        <v>1969</v>
      </c>
      <c r="D108" t="s">
        <v>2164</v>
      </c>
      <c r="E108"/>
      <c r="M108" t="s">
        <v>1976</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08" t="s">
        <v>2162</v>
      </c>
      <c r="X108" t="s">
        <v>2165</v>
      </c>
    </row>
    <row r="109" customFormat="1" spans="1:27">
      <c r="C109" t="s">
        <v>1969</v>
      </c>
      <c r="D109" t="s">
        <v>2166</v>
      </c>
      <c r="E109" t="s">
        <v>2167</v>
      </c>
      <c r="M109" t="s">
        <v>1474</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2168</v>
      </c>
    </row>
    <row r="110" customFormat="1" spans="1:27">
      <c r="C110" t="s">
        <v>1969</v>
      </c>
      <c r="D110" t="s">
        <v>2169</v>
      </c>
      <c r="E110" t="s">
        <v>2170</v>
      </c>
      <c r="M110" t="s">
        <v>1474</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2171</v>
      </c>
      <c r="X110" t="s">
        <v>2172</v>
      </c>
    </row>
    <row r="111" customFormat="1" spans="1:27">
      <c r="C111" t="s">
        <v>2173</v>
      </c>
      <c r="D111" t="s">
        <v>2174</v>
      </c>
      <c r="E111"/>
      <c r="M111" t="s">
        <v>1980</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2175</v>
      </c>
      <c r="X111" t="s">
        <v>2176</v>
      </c>
    </row>
    <row r="112" customFormat="1" spans="1:27">
      <c r="C112" t="s">
        <v>2173</v>
      </c>
      <c r="D112" t="s">
        <v>2177</v>
      </c>
      <c r="E112" t="s">
        <v>2178</v>
      </c>
      <c r="M112" t="s">
        <v>1709</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2175</v>
      </c>
      <c r="X112" t="s">
        <v>2179</v>
      </c>
    </row>
    <row r="113" customFormat="1" spans="1:27">
      <c r="C113" t="s">
        <v>1969</v>
      </c>
      <c r="D113" t="s">
        <v>2180</v>
      </c>
      <c r="E113" t="s">
        <v>2181</v>
      </c>
      <c r="M113" t="s">
        <v>1980</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2182</v>
      </c>
    </row>
    <row r="114" customFormat="1" spans="1:27">
      <c r="C114" t="s">
        <v>1969</v>
      </c>
      <c r="D114" t="s">
        <v>2183</v>
      </c>
      <c r="E114" t="s">
        <v>2184</v>
      </c>
      <c r="M114" t="s">
        <v>1980</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2185</v>
      </c>
      <c r="X114" t="s">
        <v>2186</v>
      </c>
      <c r="Y114" t="s">
        <v>2187</v>
      </c>
      <c r="Z114" t="s">
        <v>2188</v>
      </c>
      <c r="AA114" t="s">
        <v>2189</v>
      </c>
    </row>
    <row r="115" customFormat="1" spans="1:27">
      <c r="D115" t="s">
        <v>2190</v>
      </c>
      <c r="E115" t="s">
        <v>2191</v>
      </c>
      <c r="M115" t="s">
        <v>1980</v>
      </c>
      <c r="Q115">
        <v>1</v>
      </c>
      <c r="S115">
        <v>1</v>
      </c>
      <c r="V115" t="str">
        <f t="shared" si="19"/>
        <v>{szContent="身负据点大旗，当心被夺！",szNote="[{$me}]·扛起大旗",col={255,255,100,},[14]={bTeamChannel=true,bCenterAlarm=true,},tCountdown={{nClass=14,nIcon=592,nFrame=8,szName="【{$me}】·拾取大旗",nTime=30,key="拾取大旗·{$me}",},},},</v>
      </c>
      <c r="W115" t="s">
        <v>2192</v>
      </c>
    </row>
    <row r="116" customFormat="1" spans="1:27">
      <c r="D116" t="s">
        <v>2193</v>
      </c>
      <c r="E116"/>
      <c r="M116" t="s">
        <v>1980</v>
      </c>
      <c r="V116" t="str">
        <f t="shared" si="19"/>
        <v>{szContent="你已经离开据点，10秒内未进入据点，则据点旗帜重置。",col={255,255,100,},[14]={},tCountdown={{nClass=14,nIcon=592,nFrame=2,szName="据点大旗·重置剩余",nTime=10,key="据点大旗·旗手提示",},},},</v>
      </c>
      <c r="W116" t="s">
        <v>2194</v>
      </c>
    </row>
    <row r="117" customFormat="1" spans="1:27">
      <c r="D117" t="s">
        <v>2195</v>
      </c>
      <c r="E117" t="s">
        <v>2196</v>
      </c>
      <c r="M117" t="s">
        <v>1474</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2197</v>
      </c>
    </row>
    <row r="118" spans="1:27">
      <c r="D118" t="s">
        <v>2198</v>
      </c>
      <c r="E118" t="s">
        <v>2199</v>
      </c>
      <c r="M118" t="s">
        <v>1474</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2200</v>
      </c>
    </row>
    <row r="119" spans="1:27">
      <c r="D119" t="s">
        <v>2201</v>
      </c>
      <c r="E119" t="s">
        <v>2202</v>
      </c>
      <c r="M119" t="s">
        <v>1474</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2203</v>
      </c>
    </row>
    <row r="120" spans="1:27">
      <c r="D120" t="s">
        <v>2204</v>
      </c>
      <c r="E120" t="s">
        <v>2205</v>
      </c>
      <c r="M120" t="s">
        <v>1474</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2206</v>
      </c>
      <c r="D122" t="s">
        <v>2207</v>
      </c>
      <c r="E122" t="s">
        <v>2208</v>
      </c>
      <c r="M122" t="s">
        <v>1976</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2209</v>
      </c>
    </row>
    <row r="123" spans="1:27">
      <c r="A123" t="s">
        <v>705</v>
      </c>
      <c r="B123">
        <v>30</v>
      </c>
      <c r="V123" t="str">
        <f t="shared" si="19"/>
        <v>},[30]={</v>
      </c>
    </row>
    <row r="124" customFormat="1" spans="1:27">
      <c r="C124" t="s">
        <v>2210</v>
      </c>
      <c r="D124" t="s">
        <v>2211</v>
      </c>
      <c r="E124" t="s">
        <v>2212</v>
      </c>
      <c r="M124" t="s">
        <v>1972</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2213</v>
      </c>
    </row>
    <row r="125" customFormat="1" spans="1:27">
      <c r="A125" t="s">
        <v>679</v>
      </c>
      <c r="B125">
        <v>21</v>
      </c>
      <c r="V125" t="str">
        <f t="shared" si="19"/>
        <v>},[21]={</v>
      </c>
    </row>
    <row r="126" customFormat="1" spans="1:27">
      <c r="C126" t="s">
        <v>2206</v>
      </c>
      <c r="D126" t="s">
        <v>2214</v>
      </c>
      <c r="E126" t="s">
        <v>2215</v>
      </c>
      <c r="M126" t="s">
        <v>1976</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2216</v>
      </c>
    </row>
    <row r="127" customFormat="1" spans="1:27">
      <c r="C127" t="s">
        <v>2206</v>
      </c>
      <c r="D127" t="s">
        <v>2217</v>
      </c>
      <c r="E127" t="s">
        <v>2218</v>
      </c>
      <c r="M127" t="s">
        <v>1976</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2219</v>
      </c>
    </row>
    <row r="128" spans="1:27">
      <c r="A128" t="s">
        <v>685</v>
      </c>
      <c r="B128">
        <v>23</v>
      </c>
      <c r="V128" t="str">
        <f t="shared" si="19"/>
        <v>},[23]={</v>
      </c>
    </row>
    <row r="129" customFormat="1" spans="1:25">
      <c r="C129" t="s">
        <v>2210</v>
      </c>
      <c r="D129" t="s">
        <v>2220</v>
      </c>
      <c r="E129" t="s">
        <v>2221</v>
      </c>
      <c r="M129" t="s">
        <v>1972</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2222</v>
      </c>
    </row>
    <row r="130" customFormat="1" spans="1:25">
      <c r="C130" t="s">
        <v>2210</v>
      </c>
      <c r="D130" t="s">
        <v>2223</v>
      </c>
      <c r="E130" t="s">
        <v>2224</v>
      </c>
      <c r="M130" t="s">
        <v>1972</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2225</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2206</v>
      </c>
      <c r="D132" t="s">
        <v>2226</v>
      </c>
      <c r="E132" t="s">
        <v>2227</v>
      </c>
      <c r="M132" t="s">
        <v>1976</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2228</v>
      </c>
    </row>
    <row r="133" customFormat="1" spans="1:25">
      <c r="C133" t="s">
        <v>2206</v>
      </c>
      <c r="D133" t="s">
        <v>2229</v>
      </c>
      <c r="E133" t="s">
        <v>2230</v>
      </c>
      <c r="M133" t="s">
        <v>1976</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2231</v>
      </c>
    </row>
    <row r="134" spans="1:25">
      <c r="A134" t="s">
        <v>846</v>
      </c>
      <c r="B134">
        <v>103</v>
      </c>
      <c r="V134" t="str">
        <f t="shared" si="20"/>
        <v>},[103]={</v>
      </c>
    </row>
    <row r="135" customFormat="1" spans="1:25">
      <c r="C135" t="s">
        <v>2210</v>
      </c>
      <c r="D135" t="s">
        <v>2232</v>
      </c>
      <c r="E135" t="s">
        <v>2233</v>
      </c>
      <c r="M135" t="s">
        <v>1972</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2234</v>
      </c>
    </row>
    <row r="136" customFormat="1" spans="1:25">
      <c r="C136" t="s">
        <v>2210</v>
      </c>
      <c r="D136" t="s">
        <v>2235</v>
      </c>
      <c r="E136" t="s">
        <v>2236</v>
      </c>
      <c r="M136" t="s">
        <v>1972</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2237</v>
      </c>
    </row>
    <row r="137" spans="1:25">
      <c r="A137" t="s">
        <v>852</v>
      </c>
      <c r="B137">
        <v>105</v>
      </c>
      <c r="V137" t="str">
        <f t="shared" si="20"/>
        <v>},[105]={</v>
      </c>
    </row>
    <row r="138" customFormat="1" spans="1:25">
      <c r="C138" t="s">
        <v>2206</v>
      </c>
      <c r="D138" t="s">
        <v>2238</v>
      </c>
      <c r="E138" t="s">
        <v>2239</v>
      </c>
      <c r="M138" t="s">
        <v>1976</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2240</v>
      </c>
    </row>
    <row r="139" customFormat="1" spans="1:25">
      <c r="C139" t="s">
        <v>2206</v>
      </c>
      <c r="D139" t="s">
        <v>2241</v>
      </c>
      <c r="E139" t="s">
        <v>2242</v>
      </c>
      <c r="M139" t="s">
        <v>1976</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2243</v>
      </c>
    </row>
    <row r="140" spans="1:25">
      <c r="A140" t="s">
        <v>983</v>
      </c>
      <c r="B140">
        <v>153</v>
      </c>
      <c r="V140" t="str">
        <f t="shared" si="20"/>
        <v>},[153]={</v>
      </c>
    </row>
    <row r="141" customFormat="1" spans="1:25">
      <c r="C141" t="s">
        <v>2210</v>
      </c>
      <c r="D141" t="s">
        <v>2244</v>
      </c>
      <c r="E141" t="s">
        <v>2245</v>
      </c>
      <c r="M141" t="s">
        <v>1972</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2246</v>
      </c>
    </row>
    <row r="142" customFormat="1" spans="1:25">
      <c r="C142" t="s">
        <v>2210</v>
      </c>
      <c r="D142" t="s">
        <v>2247</v>
      </c>
      <c r="E142" t="s">
        <v>2248</v>
      </c>
      <c r="M142" t="s">
        <v>1972</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2249</v>
      </c>
    </row>
    <row r="143" spans="1:25">
      <c r="A143" t="s">
        <v>1061</v>
      </c>
      <c r="B143">
        <v>216</v>
      </c>
      <c r="V143" t="str">
        <f t="shared" si="20"/>
        <v>},[216]={</v>
      </c>
    </row>
    <row r="144" customFormat="1" spans="1:25">
      <c r="C144" s="5" t="s">
        <v>1699</v>
      </c>
      <c r="D144" t="s">
        <v>2135</v>
      </c>
      <c r="E144" t="s">
        <v>2136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2137</v>
      </c>
      <c r="X144" s="5" t="s">
        <v>2138</v>
      </c>
      <c r="Y144" s="5" t="s">
        <v>2139</v>
      </c>
    </row>
    <row r="145" customFormat="1" spans="1:27">
      <c r="C145" s="5" t="s">
        <v>1699</v>
      </c>
      <c r="D145" t="s">
        <v>2140</v>
      </c>
      <c r="E145" t="s">
        <v>2141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2142</v>
      </c>
      <c r="X145" s="5" t="s">
        <v>2138</v>
      </c>
      <c r="Y145" s="5" t="s">
        <v>2139</v>
      </c>
    </row>
    <row r="146" customFormat="1" spans="1:27">
      <c r="C146" s="5" t="s">
        <v>1699</v>
      </c>
      <c r="D146" t="s">
        <v>2143</v>
      </c>
      <c r="E146" t="s">
        <v>2144</v>
      </c>
      <c r="V146" t="str">
        <f t="shared" si="20"/>
        <v>{szContent="哼，打扰本大爷休息！",szTarget="狼牙先锋首领",szNote="狼牙先锋首领·刷新喊话1",[14]={},tCountdown={{nClass=14,nIcon=3556,nFrame=1,szName="狼牙先锋首领·已经刷新",nTime=10,nRefresh=120,key="狼牙先锋首领",},},},</v>
      </c>
      <c r="W146" t="s">
        <v>2142</v>
      </c>
    </row>
    <row r="147" customFormat="1" spans="1:27">
      <c r="C147" s="5" t="s">
        <v>1699</v>
      </c>
      <c r="D147" t="s">
        <v>2145</v>
      </c>
      <c r="E147" t="s">
        <v>2146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2147</v>
      </c>
      <c r="X147" s="4" t="s">
        <v>2148</v>
      </c>
      <c r="Y147" s="4" t="s">
        <v>2149</v>
      </c>
    </row>
    <row r="148" customFormat="1" spans="1:27">
      <c r="C148" s="5"/>
      <c r="D148" t="s">
        <v>2193</v>
      </c>
      <c r="E148"/>
      <c r="M148" t="s">
        <v>1980</v>
      </c>
      <c r="V148" t="str">
        <f t="shared" si="20"/>
        <v>{szContent="你已经离开据点，10秒内未进入据点，则据点旗帜重置。",col={255,255,100,},[14]={},tCountdown={{nClass=14,nIcon=592,nFrame=2,szName="据点大旗·重置剩余",nTime=10,key="离开据点·大旗重置",},},},</v>
      </c>
      <c r="W148" t="s">
        <v>2250</v>
      </c>
    </row>
    <row r="149" customFormat="1" spans="1:27">
      <c r="C149" s="5"/>
      <c r="D149" t="s">
        <v>2195</v>
      </c>
      <c r="E149" t="s">
        <v>2196</v>
      </c>
      <c r="M149" t="s">
        <v>1474</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2197</v>
      </c>
    </row>
    <row r="150" customFormat="1" spans="1:27">
      <c r="C150" s="5" t="s">
        <v>1969</v>
      </c>
      <c r="D150" t="s">
        <v>2169</v>
      </c>
      <c r="E150" t="s">
        <v>2170</v>
      </c>
      <c r="M150" t="s">
        <v>1474</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2171</v>
      </c>
      <c r="X150" t="s">
        <v>2251</v>
      </c>
    </row>
    <row r="151" customFormat="1" spans="1:27">
      <c r="C151" s="5" t="s">
        <v>1969</v>
      </c>
      <c r="D151" t="s">
        <v>2180</v>
      </c>
      <c r="E151" t="s">
        <v>2181</v>
      </c>
      <c r="M151" t="s">
        <v>1980</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2182</v>
      </c>
    </row>
    <row r="152" customFormat="1" spans="1:27">
      <c r="C152" s="5" t="s">
        <v>1969</v>
      </c>
      <c r="D152" t="s">
        <v>2154</v>
      </c>
      <c r="E152" t="s">
        <v>2155</v>
      </c>
      <c r="M152" t="s">
        <v>1980</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2156</v>
      </c>
      <c r="X152" t="s">
        <v>2157</v>
      </c>
      <c r="Y152" t="s">
        <v>2158</v>
      </c>
      <c r="Z152" t="s">
        <v>2159</v>
      </c>
      <c r="AA152" t="s">
        <v>2160</v>
      </c>
    </row>
    <row r="153" customFormat="1" spans="1:27">
      <c r="C153" s="5" t="s">
        <v>1969</v>
      </c>
      <c r="D153" t="s">
        <v>2161</v>
      </c>
      <c r="E153"/>
      <c r="M153" t="s">
        <v>1972</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53" t="s">
        <v>2162</v>
      </c>
      <c r="X153" t="s">
        <v>2163</v>
      </c>
    </row>
    <row r="154" customFormat="1" spans="1:27">
      <c r="C154" s="5" t="s">
        <v>1969</v>
      </c>
      <c r="D154" t="s">
        <v>2164</v>
      </c>
      <c r="E154"/>
      <c r="M154" t="s">
        <v>1976</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54" t="s">
        <v>2162</v>
      </c>
      <c r="X154" t="s">
        <v>2165</v>
      </c>
    </row>
    <row r="155" customFormat="1" spans="1:27">
      <c r="C155" t="s">
        <v>1969</v>
      </c>
      <c r="D155" s="8" t="s">
        <v>2252</v>
      </c>
      <c r="E155" t="s">
        <v>2253</v>
      </c>
      <c r="M155" t="s">
        <v>1980</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2254</v>
      </c>
      <c r="X155" t="s">
        <v>2255</v>
      </c>
      <c r="Y155" t="s">
        <v>2256</v>
      </c>
    </row>
    <row r="156" spans="1:27">
      <c r="A156" t="s">
        <v>1414</v>
      </c>
      <c r="B156">
        <v>656</v>
      </c>
      <c r="V156" t="str">
        <f t="shared" si="20"/>
        <v>},[656]={</v>
      </c>
    </row>
    <row r="157" customFormat="1" spans="1:27">
      <c r="C157" s="5" t="s">
        <v>1699</v>
      </c>
      <c r="D157" t="s">
        <v>2135</v>
      </c>
      <c r="E157" t="s">
        <v>2136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2137</v>
      </c>
      <c r="X157" s="5" t="s">
        <v>2138</v>
      </c>
      <c r="Y157" s="5" t="s">
        <v>2139</v>
      </c>
    </row>
    <row r="158" customFormat="1" spans="1:27">
      <c r="C158" s="5" t="s">
        <v>1699</v>
      </c>
      <c r="D158" t="s">
        <v>2140</v>
      </c>
      <c r="E158" t="s">
        <v>2141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2142</v>
      </c>
      <c r="X158" s="5" t="s">
        <v>2138</v>
      </c>
      <c r="Y158" s="5" t="s">
        <v>2139</v>
      </c>
    </row>
    <row r="159" customFormat="1" spans="1:27">
      <c r="C159" s="5" t="s">
        <v>1699</v>
      </c>
      <c r="D159" t="s">
        <v>2143</v>
      </c>
      <c r="E159" t="s">
        <v>2144</v>
      </c>
      <c r="V159" t="str">
        <f t="shared" si="20"/>
        <v>{szContent="哼，打扰本大爷休息！",szTarget="狼牙先锋首领",szNote="狼牙先锋首领·刷新喊话1",[14]={},tCountdown={{nClass=14,nIcon=3556,nFrame=1,szName="狼牙先锋首领·已经刷新",nTime=10,nRefresh=120,key="狼牙先锋首领",},},},</v>
      </c>
      <c r="W159" t="s">
        <v>2142</v>
      </c>
    </row>
    <row r="160" customFormat="1" spans="1:27">
      <c r="C160" s="5" t="s">
        <v>1699</v>
      </c>
      <c r="D160" t="s">
        <v>2145</v>
      </c>
      <c r="E160" t="s">
        <v>2146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2147</v>
      </c>
      <c r="X160" s="4" t="s">
        <v>2148</v>
      </c>
      <c r="Y160" s="4" t="s">
        <v>2149</v>
      </c>
    </row>
    <row r="161" customFormat="1" spans="3:27">
      <c r="C161" s="5"/>
      <c r="D161" t="s">
        <v>2193</v>
      </c>
      <c r="E161"/>
      <c r="M161" t="s">
        <v>1980</v>
      </c>
      <c r="V161" t="str">
        <f t="shared" si="20"/>
        <v>{szContent="你已经离开据点，10秒内未进入据点，则据点旗帜重置。",col={255,255,100,},[14]={},tCountdown={{nClass=14,nIcon=592,nFrame=2,szName="据点大旗·重置剩余",nTime=10,key="离开据点·大旗重置",},},},</v>
      </c>
      <c r="W161" t="s">
        <v>2250</v>
      </c>
    </row>
    <row r="162" customFormat="1" spans="3:27">
      <c r="C162" s="5"/>
      <c r="D162" t="s">
        <v>2195</v>
      </c>
      <c r="E162" t="s">
        <v>2196</v>
      </c>
      <c r="M162" t="s">
        <v>1474</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2197</v>
      </c>
    </row>
    <row r="163" customFormat="1" spans="3:27">
      <c r="C163" s="5" t="s">
        <v>1969</v>
      </c>
      <c r="D163" t="s">
        <v>2169</v>
      </c>
      <c r="E163" t="s">
        <v>2170</v>
      </c>
      <c r="M163" t="s">
        <v>1474</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2171</v>
      </c>
      <c r="X163" t="s">
        <v>2251</v>
      </c>
    </row>
    <row r="164" customFormat="1" spans="3:27">
      <c r="C164" s="5" t="s">
        <v>1969</v>
      </c>
      <c r="D164" t="s">
        <v>2180</v>
      </c>
      <c r="E164" t="s">
        <v>2181</v>
      </c>
      <c r="M164" t="s">
        <v>1980</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2182</v>
      </c>
    </row>
    <row r="165" customFormat="1" spans="3:27">
      <c r="C165" s="5" t="s">
        <v>1969</v>
      </c>
      <c r="D165" t="s">
        <v>2154</v>
      </c>
      <c r="E165" t="s">
        <v>2155</v>
      </c>
      <c r="M165" t="s">
        <v>1980</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2156</v>
      </c>
      <c r="X165" t="s">
        <v>2157</v>
      </c>
      <c r="Y165" t="s">
        <v>2158</v>
      </c>
      <c r="Z165" t="s">
        <v>2159</v>
      </c>
      <c r="AA165" t="s">
        <v>2160</v>
      </c>
    </row>
    <row r="166" customFormat="1" spans="3:27">
      <c r="C166" s="5" t="s">
        <v>1969</v>
      </c>
      <c r="D166" t="s">
        <v>2161</v>
      </c>
      <c r="E166"/>
      <c r="M166" t="s">
        <v>1972</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6" t="s">
        <v>2162</v>
      </c>
      <c r="X166" t="s">
        <v>2163</v>
      </c>
    </row>
    <row r="167" customFormat="1" spans="3:27">
      <c r="C167" s="5" t="s">
        <v>1969</v>
      </c>
      <c r="D167" t="s">
        <v>2164</v>
      </c>
      <c r="E167"/>
      <c r="M167" t="s">
        <v>1976</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7" t="s">
        <v>2162</v>
      </c>
      <c r="X167" t="s">
        <v>2165</v>
      </c>
    </row>
    <row r="168" customFormat="1" spans="3:27">
      <c r="C168" t="s">
        <v>1969</v>
      </c>
      <c r="D168" s="8" t="s">
        <v>2252</v>
      </c>
      <c r="E168" t="s">
        <v>2253</v>
      </c>
      <c r="M168" t="s">
        <v>1980</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2254</v>
      </c>
      <c r="X168" t="s">
        <v>2255</v>
      </c>
      <c r="Y168" t="s">
        <v>2256</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D1" workbookViewId="0">
      <pane ySplit="1" topLeftCell="A2" activePane="bottomLeft" state="frozen"/>
      <selection/>
      <selection pane="bottomLeft" activeCell="T7" sqref="T7"/>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1943</v>
      </c>
      <c r="D1" t="s">
        <v>44</v>
      </c>
      <c r="E1" t="s">
        <v>2257</v>
      </c>
      <c r="F1" t="s">
        <v>2258</v>
      </c>
      <c r="G1" t="s">
        <v>1947</v>
      </c>
      <c r="H1" t="s">
        <v>1948</v>
      </c>
      <c r="I1" t="s">
        <v>1949</v>
      </c>
      <c r="J1" t="s">
        <v>1950</v>
      </c>
      <c r="K1" t="s">
        <v>1430</v>
      </c>
      <c r="L1" t="s">
        <v>1951</v>
      </c>
      <c r="M1" t="s">
        <v>1952</v>
      </c>
      <c r="N1" t="s">
        <v>1953</v>
      </c>
      <c r="O1" t="s">
        <v>1954</v>
      </c>
      <c r="P1" t="s">
        <v>1955</v>
      </c>
      <c r="Q1" t="s">
        <v>1956</v>
      </c>
      <c r="R1" t="s">
        <v>1957</v>
      </c>
      <c r="S1" t="s">
        <v>1958</v>
      </c>
      <c r="T1" t="s">
        <v>2259</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2260</v>
      </c>
      <c r="D3" t="s">
        <v>2261</v>
      </c>
      <c r="E3" t="s">
        <v>1990</v>
      </c>
      <c r="F3" t="s">
        <v>2262</v>
      </c>
      <c r="G3" t="s">
        <v>1996</v>
      </c>
      <c r="H3" t="s">
        <v>1990</v>
      </c>
      <c r="I3" t="s">
        <v>1994</v>
      </c>
      <c r="J3" t="s">
        <v>1993</v>
      </c>
      <c r="K3" t="s">
        <v>1976</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2263</v>
      </c>
      <c r="D4" t="s">
        <v>2264</v>
      </c>
      <c r="E4" t="s">
        <v>1993</v>
      </c>
      <c r="F4" t="s">
        <v>2262</v>
      </c>
      <c r="G4" t="s">
        <v>1994</v>
      </c>
      <c r="H4" t="s">
        <v>1993</v>
      </c>
      <c r="I4" t="s">
        <v>1996</v>
      </c>
      <c r="J4" t="s">
        <v>1990</v>
      </c>
      <c r="K4" t="s">
        <v>1972</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2265</v>
      </c>
      <c r="D5" t="s">
        <v>2266</v>
      </c>
      <c r="K5" t="s">
        <v>1980</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2267</v>
      </c>
    </row>
    <row r="6" customFormat="1" spans="1:33">
      <c r="C6" t="s">
        <v>2268</v>
      </c>
      <c r="D6" t="s">
        <v>2269</v>
      </c>
      <c r="K6" t="s">
        <v>1980</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2270</v>
      </c>
      <c r="V6" s="3" t="s">
        <v>2271</v>
      </c>
    </row>
    <row r="7" spans="1:33">
      <c r="C7" t="s">
        <v>2272</v>
      </c>
      <c r="D7" t="s">
        <v>2269</v>
      </c>
      <c r="K7" t="s">
        <v>1980</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2270</v>
      </c>
      <c r="V7" s="3" t="s">
        <v>2271</v>
      </c>
    </row>
    <row r="8" spans="1:33">
      <c r="C8" t="s">
        <v>2273</v>
      </c>
      <c r="D8" t="s">
        <v>2274</v>
      </c>
      <c r="K8" t="s">
        <v>1980</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2275</v>
      </c>
      <c r="V8" s="4" t="s">
        <v>2276</v>
      </c>
      <c r="W8" s="4" t="s">
        <v>2277</v>
      </c>
    </row>
    <row r="9" spans="1:33">
      <c r="C9" t="s">
        <v>2278</v>
      </c>
      <c r="D9" t="s">
        <v>2279</v>
      </c>
      <c r="K9" t="s">
        <v>1980</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2280</v>
      </c>
      <c r="V9" t="s">
        <v>2281</v>
      </c>
      <c r="W9" t="s">
        <v>2282</v>
      </c>
      <c r="X9" t="s">
        <v>2283</v>
      </c>
      <c r="Y9" t="s">
        <v>2284</v>
      </c>
      <c r="Z9" t="s">
        <v>2285</v>
      </c>
      <c r="AA9" t="s">
        <v>2286</v>
      </c>
      <c r="AB9" t="s">
        <v>2287</v>
      </c>
      <c r="AC9" t="s">
        <v>2288</v>
      </c>
      <c r="AD9" t="s">
        <v>2289</v>
      </c>
      <c r="AE9" t="s">
        <v>2290</v>
      </c>
      <c r="AF9" t="s">
        <v>2291</v>
      </c>
      <c r="AG9" s="5" t="s">
        <v>2292</v>
      </c>
    </row>
    <row r="10" customFormat="1" spans="1:33">
      <c r="C10" t="s">
        <v>2293</v>
      </c>
      <c r="D10" t="s">
        <v>2294</v>
      </c>
      <c r="K10" t="s">
        <v>1980</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2295</v>
      </c>
      <c r="V10" t="s">
        <v>2285</v>
      </c>
      <c r="W10" t="s">
        <v>2286</v>
      </c>
      <c r="X10" t="s">
        <v>2287</v>
      </c>
      <c r="Y10" t="s">
        <v>2288</v>
      </c>
      <c r="Z10" t="s">
        <v>2289</v>
      </c>
      <c r="AA10" t="s">
        <v>2290</v>
      </c>
      <c r="AB10" t="s">
        <v>2291</v>
      </c>
      <c r="AC10" s="6" t="s">
        <v>2292</v>
      </c>
    </row>
    <row r="11" spans="1:33">
      <c r="C11" t="s">
        <v>2296</v>
      </c>
      <c r="D11" t="s">
        <v>2297</v>
      </c>
      <c r="K11" t="s">
        <v>1980</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2298</v>
      </c>
      <c r="V11" t="s">
        <v>2285</v>
      </c>
      <c r="W11" t="s">
        <v>2286</v>
      </c>
      <c r="X11" t="s">
        <v>2287</v>
      </c>
      <c r="Y11" t="s">
        <v>2288</v>
      </c>
      <c r="Z11" t="s">
        <v>2289</v>
      </c>
      <c r="AA11" t="s">
        <v>2290</v>
      </c>
      <c r="AB11" t="s">
        <v>2291</v>
      </c>
      <c r="AC11" s="6" t="s">
        <v>2292</v>
      </c>
    </row>
    <row r="12" spans="1:33">
      <c r="C12" t="s">
        <v>2299</v>
      </c>
      <c r="D12" t="s">
        <v>2300</v>
      </c>
      <c r="K12" t="s">
        <v>1976</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2301</v>
      </c>
    </row>
    <row r="13" spans="1:33">
      <c r="C13" t="s">
        <v>2302</v>
      </c>
      <c r="D13" t="s">
        <v>2303</v>
      </c>
      <c r="K13" t="s">
        <v>1972</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2304</v>
      </c>
    </row>
    <row r="14" spans="1:33">
      <c r="C14" t="s">
        <v>2305</v>
      </c>
      <c r="D14" t="s">
        <v>2306</v>
      </c>
      <c r="K14" t="s">
        <v>1980</v>
      </c>
      <c r="T14" t="str">
        <f t="shared" si="0"/>
        <v>{szContent="驿马快报！本周浩气盟和恶人谷最终战为平手，未分胜负！\n",szNote="阵营事件·本周战平",col={255,255,100,},[20]={},tCountdown={{nClass=20,nIcon=13354,nFrame=4,szName="阵营事件·本周战平",nTime=60,key="阵营活动",},},},</v>
      </c>
      <c r="U14" t="s">
        <v>2307</v>
      </c>
    </row>
    <row r="15" spans="1:33">
      <c r="C15" t="s">
        <v>2308</v>
      </c>
      <c r="D15" t="s">
        <v>2309</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2310</v>
      </c>
      <c r="V15" s="5" t="s">
        <v>2311</v>
      </c>
    </row>
    <row r="16" spans="1:33">
      <c r="A16" t="s">
        <v>311</v>
      </c>
      <c r="B16">
        <v>25</v>
      </c>
      <c r="T16" t="str">
        <f t="shared" si="0"/>
        <v>},[25]={</v>
      </c>
    </row>
    <row r="17" spans="1:26">
      <c r="C17" t="s">
        <v>2312</v>
      </c>
      <c r="D17" t="s">
        <v>2309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2313</v>
      </c>
      <c r="V17" t="s">
        <v>2314</v>
      </c>
      <c r="W17" t="s">
        <v>2315</v>
      </c>
      <c r="X17" t="s">
        <v>2316</v>
      </c>
      <c r="Y17" t="s">
        <v>2317</v>
      </c>
      <c r="Z17" s="5" t="s">
        <v>2311</v>
      </c>
    </row>
    <row r="18" customFormat="1" spans="1:26">
      <c r="C18" t="s">
        <v>2318</v>
      </c>
      <c r="D18" t="s">
        <v>2319</v>
      </c>
      <c r="K18" t="s">
        <v>1980</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2320</v>
      </c>
      <c r="V18" t="s">
        <v>2321</v>
      </c>
      <c r="W18" s="5" t="s">
        <v>2310</v>
      </c>
      <c r="X18" t="s">
        <v>2322</v>
      </c>
    </row>
    <row r="19" spans="1:26">
      <c r="C19" t="s">
        <v>2323</v>
      </c>
      <c r="D19" t="s">
        <v>2324</v>
      </c>
      <c r="K19" t="s">
        <v>1980</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2325</v>
      </c>
      <c r="V19" t="s">
        <v>2326</v>
      </c>
      <c r="W19" t="s">
        <v>2327</v>
      </c>
      <c r="X19" s="5" t="s">
        <v>2310</v>
      </c>
      <c r="Y19" t="s">
        <v>2322</v>
      </c>
    </row>
    <row r="20" spans="1:26">
      <c r="A20" t="s">
        <v>328</v>
      </c>
      <c r="B20">
        <v>27</v>
      </c>
      <c r="T20" t="str">
        <f t="shared" si="0"/>
        <v>},[27]={</v>
      </c>
    </row>
    <row r="21" spans="1:26">
      <c r="C21" t="s">
        <v>2328</v>
      </c>
      <c r="D21" t="s">
        <v>2309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2313</v>
      </c>
      <c r="V21" t="s">
        <v>2314</v>
      </c>
      <c r="W21" t="s">
        <v>2315</v>
      </c>
      <c r="X21" t="s">
        <v>2316</v>
      </c>
      <c r="Y21" t="s">
        <v>2317</v>
      </c>
      <c r="Z21" s="5" t="s">
        <v>2311</v>
      </c>
    </row>
    <row r="22" customFormat="1" spans="1:26">
      <c r="C22" t="s">
        <v>2329</v>
      </c>
      <c r="D22" t="s">
        <v>2319</v>
      </c>
      <c r="K22" t="s">
        <v>1980</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2320</v>
      </c>
      <c r="V22" t="s">
        <v>2321</v>
      </c>
      <c r="W22" s="5" t="s">
        <v>2310</v>
      </c>
      <c r="X22" t="s">
        <v>2322</v>
      </c>
    </row>
    <row r="23" spans="1:26">
      <c r="C23" t="s">
        <v>2330</v>
      </c>
      <c r="D23" t="s">
        <v>2324</v>
      </c>
      <c r="K23" t="s">
        <v>1980</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2325</v>
      </c>
      <c r="V23" t="s">
        <v>2326</v>
      </c>
      <c r="W23" t="s">
        <v>2327</v>
      </c>
      <c r="X23" s="5" t="s">
        <v>2310</v>
      </c>
      <c r="Y23" t="s">
        <v>2322</v>
      </c>
    </row>
    <row r="24" customFormat="1" spans="1:26">
      <c r="A24" t="s">
        <v>2331</v>
      </c>
      <c r="B24">
        <v>-1</v>
      </c>
      <c r="T24" t="str">
        <f t="shared" si="0"/>
        <v>},[-1]={</v>
      </c>
    </row>
    <row r="25" customFormat="1" spans="1:26">
      <c r="C25" t="s">
        <v>2332</v>
      </c>
      <c r="D25"/>
      <c r="K25" t="s">
        <v>1976</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2333</v>
      </c>
      <c r="V25" t="s">
        <v>2334</v>
      </c>
      <c r="W25" t="s">
        <v>2335</v>
      </c>
    </row>
    <row r="26" spans="1:26">
      <c r="C26" t="s">
        <v>2336</v>
      </c>
      <c r="K26" t="s">
        <v>1972</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2333</v>
      </c>
      <c r="V26" t="s">
        <v>2337</v>
      </c>
      <c r="W26" t="s">
        <v>2338</v>
      </c>
    </row>
    <row r="27" spans="1:26">
      <c r="C27" t="s">
        <v>2339</v>
      </c>
      <c r="K27" t="s">
        <v>1976</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2340</v>
      </c>
    </row>
    <row r="28" spans="1:26">
      <c r="C28" t="s">
        <v>2341</v>
      </c>
      <c r="K28" t="s">
        <v>1976</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2342</v>
      </c>
    </row>
    <row r="29" spans="1:26">
      <c r="C29" t="s">
        <v>2343</v>
      </c>
      <c r="K29" t="s">
        <v>1972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2344</v>
      </c>
    </row>
    <row r="30" spans="1:26">
      <c r="C30" t="s">
        <v>2345</v>
      </c>
      <c r="K30" t="s">
        <v>1972</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2346</v>
      </c>
    </row>
    <row r="31" spans="1:26">
      <c r="C31" t="s">
        <v>2347</v>
      </c>
      <c r="K31" t="s">
        <v>1980</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2348</v>
      </c>
    </row>
    <row r="32" spans="1:26">
      <c r="C32" t="s">
        <v>2349</v>
      </c>
      <c r="K32" t="s">
        <v>1980</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2350</v>
      </c>
    </row>
    <row r="33" spans="1:22">
      <c r="C33" t="s">
        <v>2351</v>
      </c>
      <c r="D33" t="s">
        <v>2352</v>
      </c>
      <c r="K33" t="s">
        <v>1980</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2353</v>
      </c>
    </row>
    <row r="34" spans="1:22">
      <c r="A34" t="s">
        <v>1655</v>
      </c>
      <c r="B34">
        <v>-2</v>
      </c>
      <c r="T34" t="str">
        <f t="shared" si="0"/>
        <v>},[-2]={</v>
      </c>
    </row>
    <row r="35" customFormat="1" spans="1:22">
      <c r="C35" t="s">
        <v>2354</v>
      </c>
      <c r="D35" t="s">
        <v>2355</v>
      </c>
      <c r="K35" t="s">
        <v>1980</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2356</v>
      </c>
    </row>
    <row r="36" customFormat="1" spans="1:22">
      <c r="C36" t="s">
        <v>2357</v>
      </c>
      <c r="D36" t="s">
        <v>2358</v>
      </c>
      <c r="K36" t="s">
        <v>1980</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2359</v>
      </c>
    </row>
    <row r="37" customFormat="1" spans="1:22">
      <c r="C37" t="s">
        <v>2360</v>
      </c>
      <c r="D37" t="s">
        <v>2361</v>
      </c>
      <c r="K37" t="s">
        <v>1980</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2362</v>
      </c>
      <c r="V37" t="s">
        <v>2363</v>
      </c>
    </row>
    <row r="38" customFormat="1" spans="1:22">
      <c r="C38" t="s">
        <v>2364</v>
      </c>
      <c r="D38" t="s">
        <v>2365</v>
      </c>
      <c r="K38" t="s">
        <v>1980</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2366</v>
      </c>
    </row>
    <row r="39" customFormat="1" spans="1:22">
      <c r="C39" t="s">
        <v>2367</v>
      </c>
      <c r="D39" t="s">
        <v>2368</v>
      </c>
      <c r="K39" t="s">
        <v>1980</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2362</v>
      </c>
      <c r="V39" t="s">
        <v>2369</v>
      </c>
    </row>
    <row r="40" customFormat="1" spans="1:22">
      <c r="C40" t="s">
        <v>2370</v>
      </c>
      <c r="D40" t="s">
        <v>2371</v>
      </c>
      <c r="K40" t="s">
        <v>1980</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2372</v>
      </c>
      <c r="V40" s="3" t="s">
        <v>2373</v>
      </c>
    </row>
    <row r="41" customFormat="1" spans="1:22">
      <c r="C41" t="s">
        <v>2273</v>
      </c>
      <c r="D41" t="s">
        <v>2274</v>
      </c>
      <c r="K41" t="s">
        <v>1980</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2275</v>
      </c>
      <c r="V41" s="7"/>
    </row>
    <row r="42" customFormat="1" spans="1:22">
      <c r="C42" t="s">
        <v>2374</v>
      </c>
      <c r="D42" t="s">
        <v>2375</v>
      </c>
      <c r="K42" t="s">
        <v>1980</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2376</v>
      </c>
      <c r="V42" s="7"/>
    </row>
    <row r="43" customFormat="1" spans="1:22">
      <c r="C43" t="s">
        <v>2377</v>
      </c>
      <c r="D43" t="s">
        <v>2378</v>
      </c>
      <c r="K43" t="s">
        <v>1976</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2379</v>
      </c>
    </row>
    <row r="44" customFormat="1" spans="1:22">
      <c r="C44" t="s">
        <v>2380</v>
      </c>
      <c r="D44" t="s">
        <v>2381</v>
      </c>
      <c r="K44" t="s">
        <v>1976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2382</v>
      </c>
    </row>
    <row r="45" customFormat="1" spans="1:22">
      <c r="C45" t="s">
        <v>2383</v>
      </c>
      <c r="D45" t="s">
        <v>2384</v>
      </c>
      <c r="K45" t="s">
        <v>1976</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2385</v>
      </c>
    </row>
    <row r="46" customFormat="1" spans="1:22">
      <c r="C46" t="s">
        <v>2386</v>
      </c>
      <c r="D46" t="s">
        <v>2387</v>
      </c>
      <c r="K46" t="s">
        <v>1972</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2388</v>
      </c>
    </row>
    <row r="47" customFormat="1" spans="1:22">
      <c r="C47" t="s">
        <v>2389</v>
      </c>
      <c r="D47" t="s">
        <v>2390</v>
      </c>
      <c r="K47" t="s">
        <v>1972</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2391</v>
      </c>
    </row>
    <row r="48" customFormat="1" spans="1:22">
      <c r="C48" t="s">
        <v>2392</v>
      </c>
      <c r="D48" t="s">
        <v>2393</v>
      </c>
      <c r="K48" t="s">
        <v>1972</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2394</v>
      </c>
    </row>
    <row r="49" spans="1:26">
      <c r="C49" t="s">
        <v>2395</v>
      </c>
      <c r="D49" t="s">
        <v>2396</v>
      </c>
      <c r="K49" t="s">
        <v>1980</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2397</v>
      </c>
    </row>
    <row r="50" spans="1:26">
      <c r="C50" t="s">
        <v>2299</v>
      </c>
      <c r="D50" t="s">
        <v>2300</v>
      </c>
      <c r="K50" t="s">
        <v>1976</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2301</v>
      </c>
    </row>
    <row r="51" spans="1:26">
      <c r="C51" t="s">
        <v>2302</v>
      </c>
      <c r="D51" t="s">
        <v>2303</v>
      </c>
      <c r="K51" t="s">
        <v>1972</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2304</v>
      </c>
    </row>
    <row r="52" spans="1:26">
      <c r="C52" t="s">
        <v>2398</v>
      </c>
      <c r="D52" t="s">
        <v>2399</v>
      </c>
      <c r="K52" t="s">
        <v>1980</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2400</v>
      </c>
      <c r="V52" t="s">
        <v>2401</v>
      </c>
      <c r="W52" t="s">
        <v>2402</v>
      </c>
      <c r="X52" t="s">
        <v>2403</v>
      </c>
      <c r="Y52" t="s">
        <v>2404</v>
      </c>
      <c r="Z52" t="s">
        <v>2405</v>
      </c>
    </row>
    <row r="53" spans="1:26">
      <c r="C53" t="s">
        <v>2406</v>
      </c>
      <c r="D53" t="s">
        <v>2407</v>
      </c>
      <c r="K53" t="s">
        <v>1980</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2408</v>
      </c>
      <c r="V53" t="s">
        <v>2409</v>
      </c>
      <c r="W53" t="s">
        <v>2410</v>
      </c>
      <c r="X53" t="s">
        <v>2411</v>
      </c>
      <c r="Y53" t="s">
        <v>2412</v>
      </c>
    </row>
    <row r="54" s="2" customFormat="1" spans="1:26">
      <c r="A54" s="2" t="s">
        <v>538</v>
      </c>
      <c r="B54" s="2">
        <v>-7</v>
      </c>
      <c r="T54" t="str">
        <f t="shared" si="1"/>
        <v>},[-7]={</v>
      </c>
    </row>
    <row r="55" spans="1:26">
      <c r="C55" t="s">
        <v>2354</v>
      </c>
      <c r="D55" t="s">
        <v>2355</v>
      </c>
      <c r="K55" t="s">
        <v>1980</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2356</v>
      </c>
    </row>
    <row r="56" customFormat="1" spans="1:26">
      <c r="C56" t="s">
        <v>2357</v>
      </c>
      <c r="D56" t="s">
        <v>2358</v>
      </c>
      <c r="K56" t="s">
        <v>1980</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2359</v>
      </c>
    </row>
    <row r="57" customFormat="1" spans="1:26">
      <c r="C57" t="s">
        <v>2413</v>
      </c>
      <c r="D57" t="s">
        <v>2151</v>
      </c>
      <c r="K57" t="s">
        <v>1980</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2414</v>
      </c>
    </row>
    <row r="58" customFormat="1" spans="1:26">
      <c r="C58" t="s">
        <v>2360</v>
      </c>
      <c r="D58" t="s">
        <v>2361</v>
      </c>
      <c r="K58" t="s">
        <v>1980</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2362</v>
      </c>
      <c r="V58" t="s">
        <v>2363</v>
      </c>
    </row>
    <row r="59" spans="1:26">
      <c r="C59" t="s">
        <v>2367</v>
      </c>
      <c r="D59" t="s">
        <v>2368</v>
      </c>
      <c r="K59" t="s">
        <v>1980</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2362</v>
      </c>
      <c r="V59" t="s">
        <v>2369</v>
      </c>
    </row>
    <row r="60" customFormat="1" spans="1:26">
      <c r="C60" t="s">
        <v>2370</v>
      </c>
      <c r="D60" t="s">
        <v>2371</v>
      </c>
      <c r="K60" t="s">
        <v>1980</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2415</v>
      </c>
      <c r="V60" t="s">
        <v>2416</v>
      </c>
      <c r="W60" t="s">
        <v>2417</v>
      </c>
      <c r="X60" s="3" t="s">
        <v>2373</v>
      </c>
    </row>
    <row r="61" customFormat="1" spans="1:26">
      <c r="C61" t="s">
        <v>2377</v>
      </c>
      <c r="D61" t="s">
        <v>2378</v>
      </c>
      <c r="K61" t="s">
        <v>1976</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2379</v>
      </c>
    </row>
    <row r="62" customFormat="1" spans="1:26">
      <c r="C62" t="s">
        <v>2380</v>
      </c>
      <c r="D62" t="s">
        <v>2381</v>
      </c>
      <c r="K62" t="s">
        <v>1976</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2382</v>
      </c>
    </row>
    <row r="63" customFormat="1" spans="1:26">
      <c r="C63" t="s">
        <v>2383</v>
      </c>
      <c r="D63" t="s">
        <v>2384</v>
      </c>
      <c r="K63" t="s">
        <v>1976</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2385</v>
      </c>
    </row>
    <row r="64" customFormat="1" spans="1:26">
      <c r="C64" t="s">
        <v>2386</v>
      </c>
      <c r="D64" t="s">
        <v>2387</v>
      </c>
      <c r="K64" t="s">
        <v>1972</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2388</v>
      </c>
    </row>
    <row r="65" customFormat="1" spans="1:26">
      <c r="C65" t="s">
        <v>2389</v>
      </c>
      <c r="D65" t="s">
        <v>2390</v>
      </c>
      <c r="K65" t="s">
        <v>1972</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2391</v>
      </c>
    </row>
    <row r="66" customFormat="1" spans="1:26">
      <c r="C66" t="s">
        <v>2392</v>
      </c>
      <c r="D66" t="s">
        <v>2393</v>
      </c>
      <c r="K66" t="s">
        <v>1972</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2394</v>
      </c>
    </row>
    <row r="67" customFormat="1" spans="1:26">
      <c r="C67" t="s">
        <v>2395</v>
      </c>
      <c r="D67" t="s">
        <v>2396</v>
      </c>
      <c r="K67" t="s">
        <v>1980</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2397</v>
      </c>
    </row>
    <row r="68" customFormat="1" spans="1:26">
      <c r="C68" t="s">
        <v>2273</v>
      </c>
      <c r="D68" t="s">
        <v>2274</v>
      </c>
      <c r="K68" t="s">
        <v>1980</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2275</v>
      </c>
      <c r="V68" s="7"/>
    </row>
    <row r="69" spans="1:26">
      <c r="C69" t="s">
        <v>2374</v>
      </c>
      <c r="D69" t="s">
        <v>2375</v>
      </c>
      <c r="K69" t="s">
        <v>1980</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2376</v>
      </c>
      <c r="V69" s="4" t="s">
        <v>2276</v>
      </c>
      <c r="W69" s="4" t="s">
        <v>2277</v>
      </c>
    </row>
    <row r="70" spans="1:26">
      <c r="C70" t="s">
        <v>2418</v>
      </c>
      <c r="D70" t="s">
        <v>2419</v>
      </c>
      <c r="K70" t="s">
        <v>1980</v>
      </c>
      <c r="Q70">
        <v>1</v>
      </c>
      <c r="T70" t="str">
        <f t="shared" si="2"/>
        <v>{szContent="本场贡献值进入前1200名，额外获得3000威名，可通过邮件领取\n",szNote="据点攻防·进入前1200名",col={255,255,100,},[20]={bCenterAlarm=true,},},</v>
      </c>
    </row>
    <row r="71" spans="1:26">
      <c r="C71" t="s">
        <v>2299</v>
      </c>
      <c r="D71" t="s">
        <v>2300</v>
      </c>
      <c r="K71" t="s">
        <v>1976</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2301</v>
      </c>
    </row>
    <row r="72" spans="1:26">
      <c r="C72" t="s">
        <v>2302</v>
      </c>
      <c r="D72" t="s">
        <v>2303</v>
      </c>
      <c r="K72" t="s">
        <v>1972</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2304</v>
      </c>
    </row>
    <row r="73" customFormat="1" spans="1:26">
      <c r="C73" t="s">
        <v>2398</v>
      </c>
      <c r="D73" t="s">
        <v>2399</v>
      </c>
      <c r="K73" t="s">
        <v>1980</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2400</v>
      </c>
      <c r="V73" t="s">
        <v>2401</v>
      </c>
      <c r="W73" t="s">
        <v>2402</v>
      </c>
      <c r="X73" t="s">
        <v>2403</v>
      </c>
      <c r="Y73" t="s">
        <v>2404</v>
      </c>
      <c r="Z73" t="s">
        <v>2405</v>
      </c>
    </row>
    <row r="74" customFormat="1" spans="1:26">
      <c r="C74" t="s">
        <v>2406</v>
      </c>
      <c r="D74" t="s">
        <v>2407</v>
      </c>
      <c r="K74" t="s">
        <v>1980</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2420</v>
      </c>
      <c r="V74" t="s">
        <v>2421</v>
      </c>
      <c r="W74" t="s">
        <v>2422</v>
      </c>
      <c r="X74" t="s">
        <v>2423</v>
      </c>
      <c r="Y74" t="s">
        <v>2424</v>
      </c>
    </row>
    <row r="75" customFormat="1" spans="1:26">
      <c r="A75" t="s">
        <v>1480</v>
      </c>
      <c r="B75">
        <v>-20</v>
      </c>
      <c r="T75" t="str">
        <f t="shared" si="2"/>
        <v>},[-20]={</v>
      </c>
    </row>
    <row r="76" customFormat="1" spans="1:26">
      <c r="C76" t="s">
        <v>2425</v>
      </c>
      <c r="D76" t="s">
        <v>2426</v>
      </c>
      <c r="K76" t="s">
        <v>1980</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2427</v>
      </c>
      <c r="V76" t="s">
        <v>2428</v>
      </c>
      <c r="W76" t="s">
        <v>2429</v>
      </c>
      <c r="X76" t="s">
        <v>2430</v>
      </c>
      <c r="Y76" t="s">
        <v>2431</v>
      </c>
    </row>
    <row r="77" customFormat="1" spans="1:26">
      <c r="A77" t="s">
        <v>2130</v>
      </c>
      <c r="B77">
        <v>-21</v>
      </c>
      <c r="T77" t="str">
        <f t="shared" si="2"/>
        <v>},[-21]={</v>
      </c>
    </row>
    <row r="78" customFormat="1" spans="1:26">
      <c r="C78" t="s">
        <v>2354</v>
      </c>
      <c r="D78" t="s">
        <v>2355</v>
      </c>
      <c r="K78" t="s">
        <v>1980</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2356</v>
      </c>
    </row>
    <row r="79" customFormat="1" spans="1:26">
      <c r="C79" t="s">
        <v>2357</v>
      </c>
      <c r="D79" t="s">
        <v>2358</v>
      </c>
      <c r="K79" t="s">
        <v>1980</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2359</v>
      </c>
    </row>
    <row r="80" customFormat="1" spans="1:26">
      <c r="C80" t="s">
        <v>2360</v>
      </c>
      <c r="D80" t="s">
        <v>2361</v>
      </c>
      <c r="K80" t="s">
        <v>1980</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2362</v>
      </c>
      <c r="V80" t="s">
        <v>2363</v>
      </c>
    </row>
    <row r="81" customFormat="1" spans="3:26">
      <c r="C81" t="s">
        <v>2364</v>
      </c>
      <c r="D81" t="s">
        <v>2365</v>
      </c>
      <c r="K81" t="s">
        <v>1980</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2366</v>
      </c>
    </row>
    <row r="82" customFormat="1" spans="3:26">
      <c r="C82" t="s">
        <v>2367</v>
      </c>
      <c r="D82" t="s">
        <v>2368</v>
      </c>
      <c r="K82" t="s">
        <v>1980</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2362</v>
      </c>
      <c r="V82" t="s">
        <v>2369</v>
      </c>
    </row>
    <row r="83" customFormat="1" spans="3:26">
      <c r="C83" t="s">
        <v>2370</v>
      </c>
      <c r="D83" t="s">
        <v>2371</v>
      </c>
      <c r="K83" t="s">
        <v>1980</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2372</v>
      </c>
      <c r="V83" s="3" t="s">
        <v>2373</v>
      </c>
    </row>
    <row r="84" customFormat="1" spans="3:26">
      <c r="C84" t="s">
        <v>2377</v>
      </c>
      <c r="D84" t="s">
        <v>2378</v>
      </c>
      <c r="K84" t="s">
        <v>1976</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2379</v>
      </c>
    </row>
    <row r="85" customFormat="1" spans="3:26">
      <c r="C85" t="s">
        <v>2380</v>
      </c>
      <c r="D85" t="s">
        <v>2381</v>
      </c>
      <c r="K85" t="s">
        <v>1976</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2382</v>
      </c>
    </row>
    <row r="86" customFormat="1" spans="3:26">
      <c r="C86" t="s">
        <v>2383</v>
      </c>
      <c r="D86" t="s">
        <v>2384</v>
      </c>
      <c r="K86" t="s">
        <v>1976</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2385</v>
      </c>
    </row>
    <row r="87" customFormat="1" spans="3:26">
      <c r="C87" t="s">
        <v>2386</v>
      </c>
      <c r="D87" t="s">
        <v>2387</v>
      </c>
      <c r="K87" t="s">
        <v>1972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2388</v>
      </c>
    </row>
    <row r="88" customFormat="1" spans="3:26">
      <c r="C88" t="s">
        <v>2389</v>
      </c>
      <c r="D88" t="s">
        <v>2390</v>
      </c>
      <c r="K88" t="s">
        <v>1972</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2391</v>
      </c>
    </row>
    <row r="89" customFormat="1" spans="3:26">
      <c r="C89" t="s">
        <v>2392</v>
      </c>
      <c r="D89" t="s">
        <v>2393</v>
      </c>
      <c r="K89" t="s">
        <v>1972</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2394</v>
      </c>
    </row>
    <row r="90" customFormat="1" spans="3:26">
      <c r="C90" t="s">
        <v>2395</v>
      </c>
      <c r="D90" t="s">
        <v>2396</v>
      </c>
      <c r="K90" t="s">
        <v>1980</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2397</v>
      </c>
    </row>
    <row r="91" customFormat="1" spans="3:26">
      <c r="C91" t="s">
        <v>2273</v>
      </c>
      <c r="D91" t="s">
        <v>2274</v>
      </c>
      <c r="K91" t="s">
        <v>1980</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2275</v>
      </c>
      <c r="V91" s="7"/>
    </row>
    <row r="92" customFormat="1" spans="3:26">
      <c r="C92" t="s">
        <v>2374</v>
      </c>
      <c r="D92" t="s">
        <v>2375</v>
      </c>
      <c r="K92" t="s">
        <v>1980</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2376</v>
      </c>
      <c r="V92" s="7"/>
    </row>
    <row r="93" customFormat="1" spans="3:26">
      <c r="C93" t="s">
        <v>2299</v>
      </c>
      <c r="D93" t="s">
        <v>2300</v>
      </c>
      <c r="K93" t="s">
        <v>1976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2301</v>
      </c>
    </row>
    <row r="94" customFormat="1" spans="3:26">
      <c r="C94" t="s">
        <v>2302</v>
      </c>
      <c r="D94" t="s">
        <v>2303</v>
      </c>
      <c r="K94" t="s">
        <v>1972</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2304</v>
      </c>
    </row>
    <row r="95" customFormat="1" spans="3:26">
      <c r="C95" t="s">
        <v>2398</v>
      </c>
      <c r="D95" t="s">
        <v>2399</v>
      </c>
      <c r="K95" t="s">
        <v>1980</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2400</v>
      </c>
      <c r="V95" t="s">
        <v>2401</v>
      </c>
      <c r="W95" t="s">
        <v>2402</v>
      </c>
      <c r="X95" t="s">
        <v>2403</v>
      </c>
      <c r="Y95" t="s">
        <v>2404</v>
      </c>
      <c r="Z95" t="s">
        <v>2405</v>
      </c>
    </row>
    <row r="96" customFormat="1" spans="3:26">
      <c r="C96" t="s">
        <v>2406</v>
      </c>
      <c r="D96" t="s">
        <v>2407</v>
      </c>
      <c r="K96" t="s">
        <v>1980</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2408</v>
      </c>
      <c r="V96" t="s">
        <v>2409</v>
      </c>
      <c r="W96" t="s">
        <v>2410</v>
      </c>
      <c r="X96" t="s">
        <v>2411</v>
      </c>
      <c r="Y96" t="s">
        <v>2412</v>
      </c>
    </row>
    <row r="97" customFormat="1" spans="1:22">
      <c r="A97" t="s">
        <v>2432</v>
      </c>
      <c r="B97">
        <v>-3</v>
      </c>
      <c r="T97" t="str">
        <f t="shared" si="2"/>
        <v>},[-3]={</v>
      </c>
    </row>
    <row r="98" customFormat="1" spans="1:22">
      <c r="C98" t="s">
        <v>2336</v>
      </c>
      <c r="K98" t="s">
        <v>1972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2433</v>
      </c>
    </row>
    <row r="99" customFormat="1" spans="1:22">
      <c r="C99" t="s">
        <v>2332</v>
      </c>
      <c r="K99" t="s">
        <v>1976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2434</v>
      </c>
    </row>
    <row r="100" customFormat="1" spans="1:22">
      <c r="A100" t="s">
        <v>832</v>
      </c>
      <c r="B100">
        <v>74</v>
      </c>
      <c r="T100" t="str">
        <f t="shared" si="3"/>
        <v>},[74]={</v>
      </c>
    </row>
    <row r="101" customFormat="1" spans="1:22">
      <c r="C101" t="s">
        <v>2273</v>
      </c>
      <c r="D101" t="s">
        <v>2274</v>
      </c>
      <c r="K101" t="s">
        <v>1980</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2275</v>
      </c>
      <c r="V101" s="7"/>
    </row>
    <row r="102" customFormat="1" spans="1:22">
      <c r="C102" t="s">
        <v>2374</v>
      </c>
      <c r="D102" t="s">
        <v>2375</v>
      </c>
      <c r="K102" t="s">
        <v>1980</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2376</v>
      </c>
      <c r="V102" s="7"/>
    </row>
    <row r="103" customFormat="1" spans="1:22">
      <c r="C103" t="s">
        <v>2370</v>
      </c>
      <c r="D103" t="s">
        <v>2371</v>
      </c>
      <c r="K103" t="s">
        <v>1980</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2372</v>
      </c>
      <c r="V103" s="3" t="s">
        <v>2373</v>
      </c>
    </row>
    <row r="104" customFormat="1" spans="1:22">
      <c r="C104" t="s">
        <v>2377</v>
      </c>
      <c r="D104" t="s">
        <v>2378</v>
      </c>
      <c r="K104" t="s">
        <v>1976</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2379</v>
      </c>
    </row>
    <row r="105" customFormat="1" spans="1:22">
      <c r="C105" t="s">
        <v>2380</v>
      </c>
      <c r="D105" t="s">
        <v>2381</v>
      </c>
      <c r="K105" t="s">
        <v>1976</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2382</v>
      </c>
    </row>
    <row r="106" customFormat="1" spans="1:22">
      <c r="C106" t="s">
        <v>2383</v>
      </c>
      <c r="D106" t="s">
        <v>2384</v>
      </c>
      <c r="K106" t="s">
        <v>1976</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2385</v>
      </c>
    </row>
    <row r="107" customFormat="1" spans="1:22">
      <c r="C107" t="s">
        <v>2386</v>
      </c>
      <c r="D107" t="s">
        <v>2387</v>
      </c>
      <c r="K107" t="s">
        <v>1972</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2388</v>
      </c>
    </row>
    <row r="108" customFormat="1" spans="1:22">
      <c r="C108" t="s">
        <v>2389</v>
      </c>
      <c r="D108" t="s">
        <v>2390</v>
      </c>
      <c r="K108" t="s">
        <v>1972</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2391</v>
      </c>
    </row>
    <row r="109" customFormat="1" spans="1:22">
      <c r="C109" t="s">
        <v>2392</v>
      </c>
      <c r="D109" t="s">
        <v>2393</v>
      </c>
      <c r="K109" t="s">
        <v>1972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2394</v>
      </c>
    </row>
    <row r="110" customFormat="1" spans="1:22">
      <c r="C110" t="s">
        <v>2395</v>
      </c>
      <c r="D110" t="s">
        <v>2396</v>
      </c>
      <c r="K110" t="s">
        <v>1980</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2397</v>
      </c>
    </row>
    <row r="111" customFormat="1" spans="1:22">
      <c r="C111" t="s">
        <v>2299</v>
      </c>
      <c r="D111" t="s">
        <v>2300</v>
      </c>
      <c r="K111" t="s">
        <v>1976</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2301</v>
      </c>
    </row>
    <row r="112" customFormat="1" spans="1:22">
      <c r="C112" t="s">
        <v>2302</v>
      </c>
      <c r="D112" t="s">
        <v>2303</v>
      </c>
      <c r="K112" t="s">
        <v>1972</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2304</v>
      </c>
    </row>
    <row r="113" customFormat="1" spans="1:34">
      <c r="C113" t="s">
        <v>2398</v>
      </c>
      <c r="D113" t="s">
        <v>2399</v>
      </c>
      <c r="K113" t="s">
        <v>1980</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2400</v>
      </c>
      <c r="V113" t="s">
        <v>2401</v>
      </c>
      <c r="W113" t="s">
        <v>2402</v>
      </c>
      <c r="X113" t="s">
        <v>2403</v>
      </c>
      <c r="Y113" t="s">
        <v>2404</v>
      </c>
      <c r="Z113" t="s">
        <v>2405</v>
      </c>
    </row>
    <row r="114" customFormat="1" spans="1:34">
      <c r="C114" t="s">
        <v>2406</v>
      </c>
      <c r="D114" t="s">
        <v>2407</v>
      </c>
      <c r="K114" t="s">
        <v>1980</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2408</v>
      </c>
      <c r="V114" t="s">
        <v>2409</v>
      </c>
      <c r="W114" t="s">
        <v>2410</v>
      </c>
      <c r="X114" t="s">
        <v>2411</v>
      </c>
      <c r="Y114" t="s">
        <v>2412</v>
      </c>
    </row>
    <row r="115" customFormat="1" spans="1:34">
      <c r="C115" t="s">
        <v>2278</v>
      </c>
      <c r="D115" t="s">
        <v>2279</v>
      </c>
      <c r="K115" t="s">
        <v>1980</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2280</v>
      </c>
      <c r="V115" t="s">
        <v>2281</v>
      </c>
      <c r="W115" t="s">
        <v>2282</v>
      </c>
      <c r="X115" t="s">
        <v>2435</v>
      </c>
      <c r="Y115" t="s">
        <v>2436</v>
      </c>
    </row>
    <row r="116" customFormat="1" spans="1:34">
      <c r="C116" t="s">
        <v>2437</v>
      </c>
      <c r="D116" t="s">
        <v>2438</v>
      </c>
      <c r="K116" t="s">
        <v>1980</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2439</v>
      </c>
    </row>
    <row r="117" customFormat="1" spans="1:34">
      <c r="C117" t="s">
        <v>2440</v>
      </c>
      <c r="D117" t="s">
        <v>2441</v>
      </c>
      <c r="K117" t="s">
        <v>1980</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2442</v>
      </c>
    </row>
    <row r="118" customFormat="1" spans="1:34">
      <c r="A118" t="s">
        <v>682</v>
      </c>
      <c r="B118">
        <v>22</v>
      </c>
      <c r="T118" t="str">
        <f t="shared" si="3"/>
        <v>},[22]={</v>
      </c>
    </row>
    <row r="119" customFormat="1" spans="1:34">
      <c r="C119" t="s">
        <v>2398</v>
      </c>
      <c r="D119" t="s">
        <v>2399</v>
      </c>
      <c r="G119" t="s">
        <v>2443</v>
      </c>
      <c r="K119" t="s">
        <v>1980</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2401</v>
      </c>
      <c r="Y119" t="s">
        <v>2402</v>
      </c>
      <c r="Z119" t="s">
        <v>2444</v>
      </c>
      <c r="AA119" t="s">
        <v>2445</v>
      </c>
      <c r="AB119" t="s">
        <v>2446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2447</v>
      </c>
      <c r="D120" t="s">
        <v>2448</v>
      </c>
      <c r="K120" t="s">
        <v>1980</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2449</v>
      </c>
      <c r="V120" t="s">
        <v>2450</v>
      </c>
      <c r="W120" t="s">
        <v>2451</v>
      </c>
      <c r="X120" t="s">
        <v>2452</v>
      </c>
    </row>
    <row r="121" spans="1:34">
      <c r="A121" t="s">
        <v>705</v>
      </c>
      <c r="B121">
        <v>30</v>
      </c>
      <c r="T121" t="str">
        <f t="shared" si="3"/>
        <v>},[30]={</v>
      </c>
    </row>
    <row r="122" customFormat="1" spans="1:34">
      <c r="C122" t="s">
        <v>2398</v>
      </c>
      <c r="D122" t="s">
        <v>2399</v>
      </c>
      <c r="G122" t="s">
        <v>2453</v>
      </c>
      <c r="K122" t="s">
        <v>1980</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2401</v>
      </c>
      <c r="Y122" t="s">
        <v>2402</v>
      </c>
      <c r="Z122" t="s">
        <v>2444</v>
      </c>
      <c r="AA122" t="s">
        <v>2445</v>
      </c>
      <c r="AB122" t="s">
        <v>2446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2447</v>
      </c>
      <c r="D123" t="s">
        <v>2448</v>
      </c>
      <c r="K123" t="s">
        <v>1980</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2454</v>
      </c>
      <c r="V123" t="s">
        <v>2450</v>
      </c>
      <c r="W123" t="s">
        <v>2451</v>
      </c>
      <c r="X123" t="s">
        <v>2455</v>
      </c>
    </row>
    <row r="124" spans="1:34">
      <c r="A124" t="s">
        <v>679</v>
      </c>
      <c r="B124">
        <v>21</v>
      </c>
      <c r="T124" t="str">
        <f t="shared" si="3"/>
        <v>},[21]={</v>
      </c>
    </row>
    <row r="125" customFormat="1" spans="1:34">
      <c r="C125" t="s">
        <v>2398</v>
      </c>
      <c r="D125" t="s">
        <v>2399</v>
      </c>
      <c r="G125" t="s">
        <v>2456</v>
      </c>
      <c r="H125" t="s">
        <v>2457</v>
      </c>
      <c r="K125" t="s">
        <v>1980</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2401</v>
      </c>
      <c r="AA125" t="s">
        <v>2402</v>
      </c>
      <c r="AB125" t="s">
        <v>2444</v>
      </c>
      <c r="AC125" t="s">
        <v>2445</v>
      </c>
      <c r="AD125" t="s">
        <v>2446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2447</v>
      </c>
      <c r="D126" t="s">
        <v>2448</v>
      </c>
      <c r="K126" t="s">
        <v>1980</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2458</v>
      </c>
      <c r="V126" t="s">
        <v>2459</v>
      </c>
      <c r="W126" t="s">
        <v>2450</v>
      </c>
      <c r="X126" t="s">
        <v>2451</v>
      </c>
      <c r="Y126" t="s">
        <v>2460</v>
      </c>
      <c r="Z126" t="s">
        <v>2461</v>
      </c>
    </row>
    <row r="127" spans="1:34">
      <c r="A127" t="s">
        <v>685</v>
      </c>
      <c r="B127">
        <v>23</v>
      </c>
      <c r="T127" t="str">
        <f t="shared" si="3"/>
        <v>},[23]={</v>
      </c>
    </row>
    <row r="128" customFormat="1" spans="1:34">
      <c r="C128" t="s">
        <v>2398</v>
      </c>
      <c r="D128" t="s">
        <v>2399</v>
      </c>
      <c r="G128" t="s">
        <v>2462</v>
      </c>
      <c r="H128" t="s">
        <v>2463</v>
      </c>
      <c r="K128" t="s">
        <v>1980</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2401</v>
      </c>
      <c r="AA128" t="s">
        <v>2402</v>
      </c>
      <c r="AB128" t="s">
        <v>2444</v>
      </c>
      <c r="AC128" t="s">
        <v>2445</v>
      </c>
      <c r="AD128" t="s">
        <v>2446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2447</v>
      </c>
      <c r="D129" t="s">
        <v>2448</v>
      </c>
      <c r="K129" t="s">
        <v>1980</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2464</v>
      </c>
      <c r="V129" t="s">
        <v>2465</v>
      </c>
      <c r="W129" t="s">
        <v>2450</v>
      </c>
      <c r="X129" t="s">
        <v>2451</v>
      </c>
      <c r="Y129" t="s">
        <v>2466</v>
      </c>
      <c r="Z129" t="s">
        <v>2467</v>
      </c>
    </row>
    <row r="130" spans="1:34">
      <c r="A130" t="s">
        <v>633</v>
      </c>
      <c r="B130">
        <v>9</v>
      </c>
      <c r="T130" t="str">
        <f t="shared" si="3"/>
        <v>},[9]={</v>
      </c>
    </row>
    <row r="131" customFormat="1" spans="1:34">
      <c r="C131" t="s">
        <v>2398</v>
      </c>
      <c r="D131" t="s">
        <v>2399</v>
      </c>
      <c r="G131" t="s">
        <v>2468</v>
      </c>
      <c r="H131" t="s">
        <v>2469</v>
      </c>
      <c r="K131" t="s">
        <v>1980</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2401</v>
      </c>
      <c r="AA131" t="s">
        <v>2402</v>
      </c>
      <c r="AB131" t="s">
        <v>2444</v>
      </c>
      <c r="AC131" t="s">
        <v>2445</v>
      </c>
      <c r="AD131" t="s">
        <v>2446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2447</v>
      </c>
      <c r="D132" t="s">
        <v>2448</v>
      </c>
      <c r="K132" t="s">
        <v>1980</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2470</v>
      </c>
      <c r="V132" t="s">
        <v>2471</v>
      </c>
      <c r="W132" t="s">
        <v>2450</v>
      </c>
      <c r="X132" t="s">
        <v>2451</v>
      </c>
      <c r="Y132" t="s">
        <v>2472</v>
      </c>
      <c r="Z132" t="s">
        <v>2473</v>
      </c>
    </row>
    <row r="133" spans="1:34">
      <c r="A133" t="s">
        <v>651</v>
      </c>
      <c r="B133">
        <v>13</v>
      </c>
      <c r="T133" t="str">
        <f t="shared" si="4"/>
        <v>},[13]={</v>
      </c>
    </row>
    <row r="134" customFormat="1" spans="1:34">
      <c r="C134" t="s">
        <v>2398</v>
      </c>
      <c r="D134" t="s">
        <v>2399</v>
      </c>
      <c r="G134" t="s">
        <v>2474</v>
      </c>
      <c r="H134" t="s">
        <v>2475</v>
      </c>
      <c r="K134" t="s">
        <v>1980</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2401</v>
      </c>
      <c r="AA134" t="s">
        <v>2402</v>
      </c>
      <c r="AB134" t="s">
        <v>2444</v>
      </c>
      <c r="AC134" t="s">
        <v>2445</v>
      </c>
      <c r="AD134" t="s">
        <v>2446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2447</v>
      </c>
      <c r="D135" t="s">
        <v>2448</v>
      </c>
      <c r="K135" t="s">
        <v>1980</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2476</v>
      </c>
      <c r="V135" t="s">
        <v>2477</v>
      </c>
      <c r="W135" t="s">
        <v>2450</v>
      </c>
      <c r="X135" t="s">
        <v>2451</v>
      </c>
      <c r="Y135" t="s">
        <v>2478</v>
      </c>
      <c r="Z135" t="s">
        <v>2479</v>
      </c>
    </row>
    <row r="136" spans="1:34">
      <c r="A136" t="s">
        <v>720</v>
      </c>
      <c r="B136">
        <v>35</v>
      </c>
      <c r="T136" t="str">
        <f t="shared" si="4"/>
        <v>},[35]={</v>
      </c>
    </row>
    <row r="137" customFormat="1" spans="1:34">
      <c r="C137" t="s">
        <v>2398</v>
      </c>
      <c r="D137" t="s">
        <v>2399</v>
      </c>
      <c r="G137" t="s">
        <v>2480</v>
      </c>
      <c r="H137" t="s">
        <v>2481</v>
      </c>
      <c r="K137" t="s">
        <v>1980</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2401</v>
      </c>
      <c r="AA137" t="s">
        <v>2402</v>
      </c>
      <c r="AB137" t="s">
        <v>2444</v>
      </c>
      <c r="AC137" t="s">
        <v>2445</v>
      </c>
      <c r="AD137" t="s">
        <v>2446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2447</v>
      </c>
      <c r="D138" t="s">
        <v>2448</v>
      </c>
      <c r="K138" t="s">
        <v>1980</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2482</v>
      </c>
      <c r="V138" t="s">
        <v>2483</v>
      </c>
      <c r="W138" t="s">
        <v>2450</v>
      </c>
      <c r="X138" t="s">
        <v>2451</v>
      </c>
      <c r="Y138" t="s">
        <v>2484</v>
      </c>
      <c r="Z138" t="s">
        <v>2485</v>
      </c>
    </row>
    <row r="139" spans="1:34">
      <c r="A139" t="s">
        <v>838</v>
      </c>
      <c r="B139">
        <v>100</v>
      </c>
      <c r="T139" t="str">
        <f t="shared" si="4"/>
        <v>},[100]={</v>
      </c>
    </row>
    <row r="140" customFormat="1" spans="1:34">
      <c r="C140" t="s">
        <v>2398</v>
      </c>
      <c r="D140" t="s">
        <v>2399</v>
      </c>
      <c r="G140" t="s">
        <v>2486</v>
      </c>
      <c r="H140" t="s">
        <v>2487</v>
      </c>
      <c r="K140" t="s">
        <v>1980</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2401</v>
      </c>
      <c r="AA140" t="s">
        <v>2402</v>
      </c>
      <c r="AB140" t="s">
        <v>2444</v>
      </c>
      <c r="AC140" t="s">
        <v>2445</v>
      </c>
      <c r="AD140" t="s">
        <v>2446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2447</v>
      </c>
      <c r="D141" t="s">
        <v>2448</v>
      </c>
      <c r="K141" t="s">
        <v>1980</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2488</v>
      </c>
      <c r="V141" t="s">
        <v>2489</v>
      </c>
      <c r="W141" t="s">
        <v>2450</v>
      </c>
      <c r="X141" t="s">
        <v>2451</v>
      </c>
      <c r="Y141" t="s">
        <v>2490</v>
      </c>
      <c r="Z141" t="s">
        <v>2491</v>
      </c>
    </row>
    <row r="142" spans="1:34">
      <c r="A142" t="s">
        <v>841</v>
      </c>
      <c r="B142">
        <v>101</v>
      </c>
      <c r="T142" t="str">
        <f t="shared" si="4"/>
        <v>},[101]={</v>
      </c>
    </row>
    <row r="143" customFormat="1" spans="1:34">
      <c r="C143" t="s">
        <v>2398</v>
      </c>
      <c r="D143" t="s">
        <v>2399</v>
      </c>
      <c r="G143" t="s">
        <v>2492</v>
      </c>
      <c r="H143" t="s">
        <v>2493</v>
      </c>
      <c r="K143" t="s">
        <v>1980</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2401</v>
      </c>
      <c r="AA143" t="s">
        <v>2402</v>
      </c>
      <c r="AB143" t="s">
        <v>2444</v>
      </c>
      <c r="AC143" t="s">
        <v>2445</v>
      </c>
      <c r="AD143" t="s">
        <v>2446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2447</v>
      </c>
      <c r="D144" t="s">
        <v>2448</v>
      </c>
      <c r="K144" t="s">
        <v>1980</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2494</v>
      </c>
      <c r="V144" t="s">
        <v>2495</v>
      </c>
      <c r="W144" t="s">
        <v>2450</v>
      </c>
      <c r="X144" t="s">
        <v>2451</v>
      </c>
      <c r="Y144" t="s">
        <v>2496</v>
      </c>
      <c r="Z144" t="s">
        <v>2497</v>
      </c>
    </row>
    <row r="145" spans="1:34">
      <c r="A145" t="s">
        <v>846</v>
      </c>
      <c r="B145">
        <v>103</v>
      </c>
      <c r="T145" t="str">
        <f t="shared" si="4"/>
        <v>},[103]={</v>
      </c>
    </row>
    <row r="146" customFormat="1" spans="1:34">
      <c r="C146" t="s">
        <v>2398</v>
      </c>
      <c r="D146" t="s">
        <v>2399</v>
      </c>
      <c r="G146" t="s">
        <v>2498</v>
      </c>
      <c r="H146" t="s">
        <v>2499</v>
      </c>
      <c r="K146" t="s">
        <v>1980</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2401</v>
      </c>
      <c r="AA146" t="s">
        <v>2402</v>
      </c>
      <c r="AB146" t="s">
        <v>2444</v>
      </c>
      <c r="AC146" t="s">
        <v>2445</v>
      </c>
      <c r="AD146" t="s">
        <v>2446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2447</v>
      </c>
      <c r="D147" t="s">
        <v>2448</v>
      </c>
      <c r="K147" t="s">
        <v>1980</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2500</v>
      </c>
      <c r="V147" t="s">
        <v>2501</v>
      </c>
      <c r="W147" t="s">
        <v>2450</v>
      </c>
      <c r="X147" t="s">
        <v>2451</v>
      </c>
      <c r="Y147" t="s">
        <v>2502</v>
      </c>
      <c r="Z147" t="s">
        <v>2503</v>
      </c>
    </row>
    <row r="148" spans="1:34">
      <c r="A148" t="s">
        <v>849</v>
      </c>
      <c r="B148">
        <v>104</v>
      </c>
      <c r="T148" t="str">
        <f t="shared" si="4"/>
        <v>},[104]={</v>
      </c>
    </row>
    <row r="149" customFormat="1" spans="1:34">
      <c r="C149" t="s">
        <v>2398</v>
      </c>
      <c r="D149" t="s">
        <v>2399</v>
      </c>
      <c r="G149" t="s">
        <v>2504</v>
      </c>
      <c r="H149" t="s">
        <v>2505</v>
      </c>
      <c r="K149" t="s">
        <v>1980</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2401</v>
      </c>
      <c r="AA149" t="s">
        <v>2402</v>
      </c>
      <c r="AB149" t="s">
        <v>2444</v>
      </c>
      <c r="AC149" t="s">
        <v>2445</v>
      </c>
      <c r="AD149" t="s">
        <v>2446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2447</v>
      </c>
      <c r="D150" t="s">
        <v>2448</v>
      </c>
      <c r="K150" t="s">
        <v>1980</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2506</v>
      </c>
      <c r="V150" t="s">
        <v>2507</v>
      </c>
      <c r="W150" t="s">
        <v>2450</v>
      </c>
      <c r="X150" t="s">
        <v>2451</v>
      </c>
      <c r="Y150" t="s">
        <v>2508</v>
      </c>
      <c r="Z150" t="s">
        <v>2509</v>
      </c>
    </row>
    <row r="151" spans="1:34">
      <c r="A151" t="s">
        <v>852</v>
      </c>
      <c r="B151">
        <v>105</v>
      </c>
      <c r="T151" t="str">
        <f t="shared" si="4"/>
        <v>},[105]={</v>
      </c>
    </row>
    <row r="152" customFormat="1" spans="1:34">
      <c r="C152" t="s">
        <v>2398</v>
      </c>
      <c r="D152" t="s">
        <v>2399</v>
      </c>
      <c r="G152" t="s">
        <v>2510</v>
      </c>
      <c r="H152" t="s">
        <v>2511</v>
      </c>
      <c r="K152" t="s">
        <v>1980</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2401</v>
      </c>
      <c r="AA152" t="s">
        <v>2402</v>
      </c>
      <c r="AB152" t="s">
        <v>2444</v>
      </c>
      <c r="AC152" t="s">
        <v>2445</v>
      </c>
      <c r="AD152" t="s">
        <v>2446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2447</v>
      </c>
      <c r="D153" t="s">
        <v>2448</v>
      </c>
      <c r="K153" t="s">
        <v>1980</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2512</v>
      </c>
      <c r="V153" t="s">
        <v>2513</v>
      </c>
      <c r="W153" t="s">
        <v>2450</v>
      </c>
      <c r="X153" t="s">
        <v>2451</v>
      </c>
      <c r="Y153" t="s">
        <v>2514</v>
      </c>
      <c r="Z153" t="s">
        <v>2515</v>
      </c>
    </row>
    <row r="154" spans="1:34">
      <c r="A154" t="s">
        <v>947</v>
      </c>
      <c r="B154">
        <v>139</v>
      </c>
      <c r="T154" t="str">
        <f t="shared" si="4"/>
        <v>},[139]={</v>
      </c>
    </row>
    <row r="155" customFormat="1" spans="1:34">
      <c r="C155" t="s">
        <v>2398</v>
      </c>
      <c r="D155" t="s">
        <v>2399</v>
      </c>
      <c r="G155" t="s">
        <v>2516</v>
      </c>
      <c r="H155" t="s">
        <v>2517</v>
      </c>
      <c r="K155" t="s">
        <v>1980</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2401</v>
      </c>
      <c r="AA155" t="s">
        <v>2402</v>
      </c>
      <c r="AB155" t="s">
        <v>2444</v>
      </c>
      <c r="AC155" t="s">
        <v>2445</v>
      </c>
      <c r="AD155" t="s">
        <v>2446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2447</v>
      </c>
      <c r="D156" t="s">
        <v>2448</v>
      </c>
      <c r="K156" t="s">
        <v>1980</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2518</v>
      </c>
      <c r="V156" t="s">
        <v>2519</v>
      </c>
      <c r="W156" t="s">
        <v>2450</v>
      </c>
      <c r="X156" t="s">
        <v>2451</v>
      </c>
      <c r="Y156" t="s">
        <v>2520</v>
      </c>
      <c r="Z156" t="s">
        <v>2521</v>
      </c>
    </row>
    <row r="157" spans="1:34">
      <c r="A157" t="s">
        <v>983</v>
      </c>
      <c r="B157">
        <v>153</v>
      </c>
      <c r="T157" t="str">
        <f t="shared" si="4"/>
        <v>},[153]={</v>
      </c>
    </row>
    <row r="158" customFormat="1" spans="1:34">
      <c r="C158" t="s">
        <v>2398</v>
      </c>
      <c r="D158" t="s">
        <v>2399</v>
      </c>
      <c r="G158" t="s">
        <v>2522</v>
      </c>
      <c r="H158" t="s">
        <v>2523</v>
      </c>
      <c r="K158" t="s">
        <v>1980</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2401</v>
      </c>
      <c r="AA158" t="s">
        <v>2402</v>
      </c>
      <c r="AB158" t="s">
        <v>2444</v>
      </c>
      <c r="AC158" t="s">
        <v>2445</v>
      </c>
      <c r="AD158" t="s">
        <v>2446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2447</v>
      </c>
      <c r="D159" t="s">
        <v>2448</v>
      </c>
      <c r="K159" t="s">
        <v>1980</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2524</v>
      </c>
      <c r="V159" t="s">
        <v>2525</v>
      </c>
      <c r="W159" t="s">
        <v>2450</v>
      </c>
      <c r="X159" t="s">
        <v>2451</v>
      </c>
      <c r="Y159" t="s">
        <v>2526</v>
      </c>
      <c r="Z159" t="s">
        <v>2527</v>
      </c>
    </row>
    <row r="160" spans="1:34">
      <c r="A160" t="s">
        <v>1061</v>
      </c>
      <c r="B160">
        <v>216</v>
      </c>
      <c r="T160" t="str">
        <f t="shared" si="4"/>
        <v>},[216]={</v>
      </c>
    </row>
    <row r="161" spans="1:26">
      <c r="C161" t="s">
        <v>2528</v>
      </c>
      <c r="D161" t="s">
        <v>2399</v>
      </c>
      <c r="G161" t="s">
        <v>2529</v>
      </c>
      <c r="H161" t="s">
        <v>2530</v>
      </c>
      <c r="K161" t="s">
        <v>1980</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2400</v>
      </c>
      <c r="V161" t="s">
        <v>2401</v>
      </c>
      <c r="W161" t="s">
        <v>2402</v>
      </c>
      <c r="X161" t="s">
        <v>2531</v>
      </c>
      <c r="Y161" t="s">
        <v>2404</v>
      </c>
      <c r="Z161" t="s">
        <v>2405</v>
      </c>
    </row>
    <row r="162" spans="1:26">
      <c r="C162" t="s">
        <v>2447</v>
      </c>
      <c r="D162" t="s">
        <v>2448</v>
      </c>
      <c r="K162" t="s">
        <v>1980</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2532</v>
      </c>
      <c r="V162" t="s">
        <v>2533</v>
      </c>
      <c r="W162" t="s">
        <v>2450</v>
      </c>
      <c r="X162" t="s">
        <v>2451</v>
      </c>
      <c r="Y162" t="s">
        <v>2534</v>
      </c>
      <c r="Z162" t="s">
        <v>2535</v>
      </c>
    </row>
    <row r="163" customFormat="1" spans="1:26">
      <c r="C163" s="5" t="s">
        <v>2425</v>
      </c>
      <c r="D163" t="s">
        <v>2426</v>
      </c>
      <c r="K163" t="s">
        <v>1980</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2427</v>
      </c>
      <c r="V163" t="s">
        <v>2428</v>
      </c>
      <c r="W163" t="s">
        <v>2429</v>
      </c>
      <c r="X163" t="s">
        <v>2430</v>
      </c>
      <c r="Y163" t="s">
        <v>2431</v>
      </c>
    </row>
    <row r="164" spans="1:26">
      <c r="A164" t="s">
        <v>1414</v>
      </c>
      <c r="B164">
        <v>656</v>
      </c>
      <c r="T164" t="str">
        <f t="shared" si="4"/>
        <v>},[656]={</v>
      </c>
    </row>
    <row r="165" spans="1:26">
      <c r="C165" t="s">
        <v>2528</v>
      </c>
      <c r="D165" t="s">
        <v>2399</v>
      </c>
      <c r="G165" t="s">
        <v>2529</v>
      </c>
      <c r="H165" t="s">
        <v>2530</v>
      </c>
      <c r="K165" t="s">
        <v>1980</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2400</v>
      </c>
      <c r="V165" t="s">
        <v>2401</v>
      </c>
      <c r="W165" t="s">
        <v>2402</v>
      </c>
      <c r="X165" t="s">
        <v>2531</v>
      </c>
      <c r="Y165" t="s">
        <v>2404</v>
      </c>
      <c r="Z165" t="s">
        <v>2405</v>
      </c>
    </row>
    <row r="166" spans="1:26">
      <c r="C166" t="s">
        <v>2447</v>
      </c>
      <c r="D166" t="s">
        <v>2448</v>
      </c>
      <c r="K166" t="s">
        <v>1980</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2532</v>
      </c>
      <c r="V166" t="s">
        <v>2533</v>
      </c>
      <c r="W166" t="s">
        <v>2450</v>
      </c>
      <c r="X166" t="s">
        <v>2451</v>
      </c>
      <c r="Y166" t="s">
        <v>2534</v>
      </c>
      <c r="Z166" t="s">
        <v>2535</v>
      </c>
    </row>
    <row r="167" customFormat="1" spans="1:26">
      <c r="C167" s="5" t="s">
        <v>2425</v>
      </c>
      <c r="D167" t="s">
        <v>2426</v>
      </c>
      <c r="K167" t="s">
        <v>1980</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2427</v>
      </c>
      <c r="V167" t="s">
        <v>2428</v>
      </c>
      <c r="W167" t="s">
        <v>2429</v>
      </c>
      <c r="X167" t="s">
        <v>2430</v>
      </c>
      <c r="Y167" t="s">
        <v>2431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1769</v>
      </c>
      <c r="B3" t="s">
        <v>2443</v>
      </c>
      <c r="C3" t="s">
        <v>2536</v>
      </c>
    </row>
    <row r="4" spans="1:3">
      <c r="A4" t="s">
        <v>1773</v>
      </c>
      <c r="B4" s="1" t="s">
        <v>2453</v>
      </c>
      <c r="C4" t="s">
        <v>2537</v>
      </c>
    </row>
    <row r="5" spans="1:3">
      <c r="A5" t="s">
        <v>1780</v>
      </c>
      <c r="B5" s="1" t="s">
        <v>2456</v>
      </c>
      <c r="C5" s="1" t="s">
        <v>2538</v>
      </c>
    </row>
    <row r="6" spans="1:3">
      <c r="A6" t="s">
        <v>1784</v>
      </c>
      <c r="B6" s="1" t="s">
        <v>2457</v>
      </c>
      <c r="C6" s="1" t="s">
        <v>2539</v>
      </c>
    </row>
    <row r="7" spans="1:3">
      <c r="A7" t="s">
        <v>1788</v>
      </c>
      <c r="B7" s="1" t="s">
        <v>2462</v>
      </c>
      <c r="C7" s="1" t="s">
        <v>2540</v>
      </c>
    </row>
    <row r="8" spans="1:3">
      <c r="A8" t="s">
        <v>1792</v>
      </c>
      <c r="B8" s="1" t="s">
        <v>2463</v>
      </c>
      <c r="C8" s="1" t="s">
        <v>2541</v>
      </c>
    </row>
    <row r="9" spans="1:3">
      <c r="A9" t="s">
        <v>1801</v>
      </c>
      <c r="B9" s="1" t="s">
        <v>2468</v>
      </c>
      <c r="C9" s="1" t="s">
        <v>2542</v>
      </c>
    </row>
    <row r="10" spans="1:3">
      <c r="A10" t="s">
        <v>1805</v>
      </c>
      <c r="B10" s="1" t="s">
        <v>2469</v>
      </c>
      <c r="C10" s="1" t="s">
        <v>2543</v>
      </c>
    </row>
    <row r="11" spans="1:3">
      <c r="A11" t="s">
        <v>1809</v>
      </c>
      <c r="B11" s="1" t="s">
        <v>2474</v>
      </c>
      <c r="C11" s="1" t="s">
        <v>2544</v>
      </c>
    </row>
    <row r="12" spans="1:3">
      <c r="A12" t="s">
        <v>1813</v>
      </c>
      <c r="B12" s="1" t="s">
        <v>2475</v>
      </c>
      <c r="C12" s="1" t="s">
        <v>2545</v>
      </c>
    </row>
    <row r="13" spans="1:3">
      <c r="A13" t="s">
        <v>1817</v>
      </c>
      <c r="B13" s="1" t="s">
        <v>2480</v>
      </c>
      <c r="C13" s="1" t="s">
        <v>2546</v>
      </c>
    </row>
    <row r="14" spans="1:3">
      <c r="A14" t="s">
        <v>1821</v>
      </c>
      <c r="B14" s="1" t="s">
        <v>2481</v>
      </c>
      <c r="C14" s="1" t="s">
        <v>2547</v>
      </c>
    </row>
    <row r="15" spans="1:3">
      <c r="A15" t="s">
        <v>1827</v>
      </c>
      <c r="B15" s="1" t="s">
        <v>2486</v>
      </c>
      <c r="C15" s="1" t="s">
        <v>2548</v>
      </c>
    </row>
    <row r="16" spans="1:3">
      <c r="A16" t="s">
        <v>1831</v>
      </c>
      <c r="B16" s="1" t="s">
        <v>2487</v>
      </c>
      <c r="C16" s="1" t="s">
        <v>2549</v>
      </c>
    </row>
    <row r="17" spans="1:3">
      <c r="A17" t="s">
        <v>1835</v>
      </c>
      <c r="B17" s="1" t="s">
        <v>2492</v>
      </c>
      <c r="C17" s="1" t="s">
        <v>2550</v>
      </c>
    </row>
    <row r="18" spans="1:3">
      <c r="A18" t="s">
        <v>1839</v>
      </c>
      <c r="B18" s="1" t="s">
        <v>2493</v>
      </c>
      <c r="C18" s="1" t="s">
        <v>2551</v>
      </c>
    </row>
    <row r="19" spans="1:3">
      <c r="A19" t="s">
        <v>1845</v>
      </c>
      <c r="B19" s="1" t="s">
        <v>2498</v>
      </c>
      <c r="C19" s="1" t="s">
        <v>2552</v>
      </c>
    </row>
    <row r="20" spans="1:3">
      <c r="A20" t="s">
        <v>1849</v>
      </c>
      <c r="B20" s="1" t="s">
        <v>2499</v>
      </c>
      <c r="C20" s="1" t="s">
        <v>2553</v>
      </c>
    </row>
    <row r="21" spans="1:3">
      <c r="A21" t="s">
        <v>1853</v>
      </c>
      <c r="B21" s="1" t="s">
        <v>2504</v>
      </c>
      <c r="C21" s="1" t="s">
        <v>2554</v>
      </c>
    </row>
    <row r="22" spans="1:3">
      <c r="A22" t="s">
        <v>1857</v>
      </c>
      <c r="B22" s="1" t="s">
        <v>2505</v>
      </c>
      <c r="C22" s="1" t="s">
        <v>2555</v>
      </c>
    </row>
    <row r="23" spans="1:3">
      <c r="A23" t="s">
        <v>1861</v>
      </c>
      <c r="B23" s="1" t="s">
        <v>2510</v>
      </c>
      <c r="C23" s="1" t="s">
        <v>2556</v>
      </c>
    </row>
    <row r="24" spans="1:3">
      <c r="A24" t="s">
        <v>1865</v>
      </c>
      <c r="B24" s="1" t="s">
        <v>2511</v>
      </c>
      <c r="C24" s="1" t="s">
        <v>2557</v>
      </c>
    </row>
    <row r="25" spans="1:3">
      <c r="A25" t="s">
        <v>1873</v>
      </c>
      <c r="B25" s="1" t="s">
        <v>2516</v>
      </c>
      <c r="C25" s="1" t="s">
        <v>2558</v>
      </c>
    </row>
    <row r="26" spans="1:3">
      <c r="A26" t="s">
        <v>1877</v>
      </c>
      <c r="B26" s="1" t="s">
        <v>2517</v>
      </c>
      <c r="C26" s="1" t="s">
        <v>2559</v>
      </c>
    </row>
    <row r="27" spans="1:3">
      <c r="A27" t="s">
        <v>1881</v>
      </c>
      <c r="B27" s="1" t="s">
        <v>2522</v>
      </c>
      <c r="C27" s="1" t="s">
        <v>2560</v>
      </c>
    </row>
    <row r="28" spans="1:3">
      <c r="A28" t="s">
        <v>1885</v>
      </c>
      <c r="B28" s="1" t="s">
        <v>2523</v>
      </c>
      <c r="C28" s="1" t="s">
        <v>2561</v>
      </c>
    </row>
    <row r="29" spans="1:3">
      <c r="A29" t="s">
        <v>1895</v>
      </c>
      <c r="B29" s="1" t="s">
        <v>2529</v>
      </c>
      <c r="C29" s="1" t="s">
        <v>2562</v>
      </c>
    </row>
    <row r="30" spans="1:3">
      <c r="A30" t="s">
        <v>1899</v>
      </c>
      <c r="B30" s="1" t="s">
        <v>2530</v>
      </c>
      <c r="C30" s="1" t="s">
        <v>2563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2026-08-31T16:24:26Z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