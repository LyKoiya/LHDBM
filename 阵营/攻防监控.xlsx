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<sst xmlns="http://schemas.openxmlformats.org/spreadsheetml/2006/main" count="5688" uniqueCount="2611">
  <si>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</si>
  <si>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</si>
  <si>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</si>
  <si>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</si>
  <si>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</si>
  <si>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</si>
  <si>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</si>
  <si>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</si>
  <si>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</si>
  <si>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</si>
  <si>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</si>
  <si>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</si>
  <si>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</si>
  <si>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</si>
  <si>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</si>
  <si>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</si>
  <si>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</si>
  <si>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</si>
  <si>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</si>
  <si>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</si>
  <si>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</si>
  <si>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</si>
  <si>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</si>
  <si>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</si>
  <si>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</si>
  <si>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</si>
  <si>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</si>
  <si>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</si>
  <si>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</si>
  <si>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</si>
  <si>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</si>
  <si>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</si>
  <si>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</si>
  <si>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</si>
  <si>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</si>
  <si>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</si>
  <si>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</si>
  <si>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</si>
  <si>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</si>
  <si>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</si>
  <si>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</si>
  <si>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</si>
  <si>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</si>
  <si>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</si>
  <si>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</si>
  <si>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</si>
  <si>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</si>
  <si>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</si>
  <si>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</si>
  <si>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</si>
  <si>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</si>
  <si>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</si>
  <si>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</si>
  <si>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</si>
  <si>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</si>
  <si>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</si>
  <si>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</si>
  <si>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</si>
  <si>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</si>
  <si>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</si>
  <si>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</si>
  <si>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</si>
  <si>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</si>
  <si>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</si>
  <si>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</si>
  <si>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</si>
  <si>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</si>
  <si>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</si>
  <si>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</si>
  <si>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</si>
  <si>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</si>
  <si>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</si>
  <si>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</si>
  <si>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</si>
  <si>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</si>
  <si>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</si>
  <si>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</si>
  <si>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</si>
  <si>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</si>
  <si>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</si>
  <si>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</si>
  <si>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</si>
  <si>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</si>
  <si>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</si>
  <si>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</si>
  <si>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</si>
  <si>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</si>
  <si>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</si>
  <si>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</si>
  <si>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</si>
  <si>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</si>
  <si>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</si>
  <si>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</si>
  <si>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</si>
  <si>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</si>
  <si>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</si>
  <si>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</si>
  <si>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</si>
  <si>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</si>
  <si>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</si>
  <si>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</si>
  <si>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</si>
  <si>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</si>
  <si>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</si>
  <si>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</si>
  <si>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</si>
  <si>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</si>
  <si>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</si>
  <si>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</si>
  <si>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</si>
  <si>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</si>
  <si>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</si>
  <si>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</si>
  <si>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</si>
  <si>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</si>
  <si>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</si>
  <si>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</si>
  <si>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</si>
  <si>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</si>
  <si>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</si>
  <si>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</si>
  <si>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</si>
  <si>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</si>
  <si>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</si>
  <si>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</si>
  <si>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</si>
  <si>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</si>
  <si>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</si>
  <si>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</si>
  <si>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</si>
  <si>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</si>
  <si>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</si>
  <si>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</si>
  <si>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</si>
  <si>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</si>
  <si>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</si>
  <si>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</si>
  <si>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</si>
  <si>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</si>
  <si>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</si>
  <si>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</si>
  <si>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</si>
  <si>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</si>
  <si>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</si>
  <si>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</si>
  <si>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</si>
  <si>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</si>
  <si>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</si>
  <si>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</si>
  <si>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</si>
  <si>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</si>
  <si>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</si>
  <si>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</si>
  <si>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</si>
  <si>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</si>
  <si>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</si>
  <si>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</si>
  <si>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</si>
  <si>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</si>
  <si>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</si>
  <si>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</si>
  <si>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</si>
  <si>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</si>
  <si>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</si>
  <si>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</si>
  <si>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</si>
  <si>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</si>
  <si>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</si>
  <si>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</si>
  <si>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</si>
  <si>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</si>
  <si>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</si>
  <si>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</si>
  <si>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</si>
  <si>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</si>
  <si>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</si>
  <si>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</si>
  <si>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</si>
  <si>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</si>
  <si>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</si>
  <si>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</si>
  <si>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</si>
  <si>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</si>
  <si>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</si>
  <si>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</si>
  <si>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</si>
  <si>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</si>
  <si>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</si>
  <si>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</si>
  <si>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</si>
  <si>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</si>
  <si>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</si>
  <si>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</si>
  <si>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</si>
  <si>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</si>
  <si>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</si>
  <si>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</si>
  <si>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</si>
  <si>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</si>
  <si>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</si>
  <si>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</si>
  <si>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</si>
  <si>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</si>
  <si>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</si>
  <si>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</si>
  <si>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</si>
  <si>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</si>
  <si>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</si>
  <si>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</si>
  <si>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</si>
  <si>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</si>
  <si>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</si>
  <si>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</si>
  <si>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</si>
  <si>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</si>
  <si>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</si>
  <si>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</si>
  <si>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</si>
  <si>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</si>
  <si>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</si>
  <si>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</si>
  <si>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</si>
  <si>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</si>
  <si>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</si>
  <si>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</si>
  <si>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</si>
  <si>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</si>
  <si>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</si>
  <si>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</si>
  <si>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</si>
  <si>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</si>
  <si>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</si>
  <si>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</si>
  <si>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</si>
  <si>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</si>
  <si>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</si>
  <si>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</si>
  <si>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</si>
  <si>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</si>
  <si>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</si>
  <si>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</si>
  <si>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</si>
  <si>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</si>
  <si>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</si>
  <si>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</si>
  <si>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</si>
  <si>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</si>
  <si>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</si>
  <si>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</si>
  <si>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</si>
  <si>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</si>
  <si>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</si>
  <si>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</si>
  <si>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</si>
  <si>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</si>
  <si>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</si>
  <si>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</si>
  <si>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</si>
  <si>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</si>
  <si>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</si>
  <si>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</si>
  <si>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</si>
  <si>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</si>
  <si>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</si>
  <si>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</si>
  <si>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</si>
  <si>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</si>
  <si>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</si>
  <si>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</si>
  <si>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</si>
  <si>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</si>
  <si>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</si>
  <si>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</si>
  <si>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</si>
  <si>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</si>
  <si>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</si>
  <si>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</si>
  <si>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</si>
  <si>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</si>
  <si>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</si>
  <si>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</si>
  <si>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</si>
  <si>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</si>
  <si>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</si>
  <si>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</si>
  <si>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</si>
  <si>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</si>
  <si>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</si>
  <si>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</si>
  <si>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</si>
  <si>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</si>
  <si>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</si>
  <si>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</si>
  <si>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</si>
  <si>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</si>
  <si>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</si>
  <si>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</si>
  <si>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</si>
  <si>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</si>
  <si>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</si>
  <si>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</si>
  <si>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</si>
  <si>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</si>
  <si>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</si>
  <si>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</si>
  <si>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</si>
  <si>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</si>
  <si>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</si>
  <si>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</si>
  <si>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</si>
  <si>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</si>
  <si>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</si>
  <si>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</si>
  <si>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</si>
  <si>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</si>
  <si>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</si>
  <si>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</si>
  <si>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</si>
  <si>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</si>
  <si>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</si>
  <si>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</si>
  <si>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</si>
  <si>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</si>
  <si>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</si>
  <si>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</si>
  <si>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</si>
  <si>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</si>
  <si>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</si>
  <si>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</si>
  <si>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</si>
  <si>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</si>
  <si>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</si>
  <si>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</si>
  <si>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</si>
  <si>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</si>
  <si>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</si>
  <si>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</si>
  <si>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</si>
  <si>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</si>
  <si>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</si>
  <si>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</si>
  <si>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</si>
  <si>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</si>
  <si>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</si>
  <si>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</si>
  <si>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</si>
  <si>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</si>
  <si>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</si>
  <si>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</si>
  <si>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</si>
  <si>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</si>
  <si>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</si>
  <si>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</si>
  <si>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</si>
  <si>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</si>
  <si>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</si>
  <si>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</si>
  <si>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</si>
  <si>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</si>
  <si>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</si>
  <si>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</si>
  <si>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</si>
  <si>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</si>
  <si>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</si>
  <si>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</si>
  <si>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</si>
  <si>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</si>
  <si>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</si>
  <si>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</si>
  <si>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</si>
  <si>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</si>
  <si>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</si>
  <si>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</si>
  <si>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</si>
  <si>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</si>
  <si>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</si>
  <si>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</si>
  <si>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</si>
  <si>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</si>
  <si>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</si>
  <si>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</si>
  <si>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</si>
  <si>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</si>
  <si>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</si>
  <si>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</si>
  <si>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</si>
  <si>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</si>
  <si>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</si>
  <si>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</si>
  <si>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</si>
  <si>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</si>
  <si>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</si>
  <si>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</si>
  <si>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</si>
  <si>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</si>
  <si>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</si>
  <si>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</si>
  <si>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</si>
  <si>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</si>
  <si>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</si>
  <si>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</si>
  <si>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</si>
  <si>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</si>
  <si>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</si>
  <si>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</si>
  <si>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</si>
  <si>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</si>
  <si>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</si>
  <si>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</si>
  <si>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</si>
  <si>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</si>
  <si>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</si>
  <si>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</si>
  <si>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</si>
  <si>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</si>
  <si>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</si>
  <si>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</si>
  <si>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</si>
  <si>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</si>
  <si>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</si>
  <si>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</si>
  <si>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</si>
  <si>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</si>
  <si>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</si>
  <si>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</si>
  <si>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</si>
  <si>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</si>
  <si>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</si>
  <si>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</si>
  <si>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</si>
  <si>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</si>
  <si>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</si>
  <si>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</si>
  <si>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</si>
  <si>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</si>
  <si>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</si>
  <si>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</si>
  <si>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</si>
  <si>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</si>
  <si>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</si>
  <si>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</si>
  <si>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</si>
  <si>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</si>
  <si>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</si>
  <si>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</si>
  <si>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</si>
  <si>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</si>
  <si>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</si>
  <si>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</si>
  <si>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</si>
  <si>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</si>
  <si>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</si>
  <si>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</si>
  <si>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</si>
  <si>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</si>
  <si>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</si>
  <si>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</si>
  <si>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</si>
  <si>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</si>
  <si>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</si>
  <si>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</si>
  <si>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</si>
  <si>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</si>
  <si>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</si>
  <si>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</si>
  <si>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</si>
  <si>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</si>
  <si>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</si>
  <si>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</si>
  <si>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</si>
  <si>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</si>
  <si>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</si>
  <si>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</si>
  <si>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</si>
  <si>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</si>
  <si>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</si>
  <si>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</si>
  <si>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</si>
  <si>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</si>
  <si>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</si>
  <si>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</si>
  <si>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</si>
  <si>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</si>
  <si>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</si>
  <si>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</si>
  <si>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</si>
  <si>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</si>
  <si>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</si>
  <si>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</si>
  <si>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</si>
  <si>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</si>
  <si>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</si>
  <si>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</si>
  <si>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</si>
  <si>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</si>
  <si>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</si>
  <si>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</si>
  <si>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</si>
  <si>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</si>
  <si>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</si>
  <si>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</si>
  <si>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</si>
  <si>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</si>
  <si>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</si>
  <si>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</si>
  <si>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</si>
  <si>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</si>
  <si>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</si>
  <si>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</si>
  <si>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</si>
  <si>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</si>
  <si>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</si>
  <si>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</si>
  <si>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</si>
  <si>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</si>
  <si>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</si>
  <si>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</si>
  <si>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</si>
  <si>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</si>
  <si>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</si>
  <si>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</si>
  <si>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</si>
  <si>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</si>
  <si>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</si>
  <si>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</si>
  <si>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</si>
  <si>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</si>
  <si>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</si>
  <si>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</si>
  <si>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</si>
  <si>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</si>
  <si>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</si>
  <si>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</si>
  <si>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</si>
  <si>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</si>
  <si>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</si>
  <si>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</si>
  <si>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</si>
  <si>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</si>
  <si>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</si>
  <si>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</si>
  <si>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</si>
  <si>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</si>
  <si>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</si>
  <si>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</si>
  <si>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</si>
  <si>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</si>
  <si>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</si>
  <si>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</si>
  <si>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</si>
  <si>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</si>
  <si>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</si>
  <si>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</si>
  <si>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</si>
  <si>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</si>
  <si>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</si>
  <si>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</si>
  <si>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</si>
  <si>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</si>
  <si>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</si>
  <si>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</si>
  <si>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</si>
  <si>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</si>
  <si>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</si>
  <si>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</si>
  <si>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</si>
  <si>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</si>
  <si>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</si>
  <si>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</si>
  <si>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</si>
  <si>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</si>
  <si>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</si>
  <si>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</si>
  <si>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</si>
  <si>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</si>
  <si>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</si>
  <si>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</si>
  <si>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</si>
  <si>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</si>
  <si>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</si>
  <si>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</si>
  <si>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</si>
  <si>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</si>
  <si>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</si>
  <si>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</si>
  <si>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</si>
  <si>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</si>
  <si>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</si>
  <si>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</si>
  <si>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</si>
  <si>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</si>
  <si>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</si>
  <si>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</si>
  <si>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</si>
  <si>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</si>
  <si>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</si>
  <si>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</si>
  <si>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</si>
  <si>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</si>
  <si>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</si>
  <si>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</si>
  <si>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</si>
  <si>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</si>
  <si>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</si>
  <si>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</si>
  <si>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</si>
  <si>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</si>
  <si>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</si>
  <si>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</si>
  <si>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</si>
  <si>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</si>
  <si>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</si>
  <si>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</si>
  <si>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</si>
  <si>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</si>
  <si>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</si>
  <si>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</si>
  <si>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</si>
  <si>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</si>
  <si>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</si>
  <si>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</si>
  <si>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</si>
  <si>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</si>
  <si>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</si>
  <si>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</si>
  <si>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</si>
  <si>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</si>
  <si>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</si>
  <si>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</si>
  <si>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</si>
  <si>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</si>
  <si>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</si>
  <si>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</si>
  <si>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</si>
  <si>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</si>
  <si>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</si>
  <si>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</si>
  <si>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</si>
  <si>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</si>
  <si>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</si>
  <si>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</si>
  <si>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</si>
  <si>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</si>
  <si>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</si>
  <si>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</si>
  <si>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</si>
  <si>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</si>
  <si>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</si>
  <si>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</si>
  <si>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</si>
  <si>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</si>
  <si>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</si>
  <si>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</si>
  <si>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</si>
  <si>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</si>
  <si>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</si>
  <si>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</si>
  <si>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</si>
  <si>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</si>
  <si>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</si>
  <si>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</si>
  <si>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</si>
  <si>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</si>
  <si>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</si>
  <si>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</si>
  <si>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</si>
  <si>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</si>
  <si>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</si>
  <si>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</si>
  <si>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</si>
  <si>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</si>
  <si>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</si>
  <si>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</si>
  <si>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</si>
  <si>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</si>
  <si>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</si>
  <si>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</si>
  <si>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</si>
  <si>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</si>
  <si>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</si>
  <si>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</si>
  <si>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</si>
  <si>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</si>
  <si>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</si>
  <si>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</si>
  <si>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</si>
  <si>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</si>
  <si>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</si>
  <si>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</si>
  <si>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</si>
  <si>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</si>
  <si>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</si>
  <si>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</si>
  <si>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</si>
  <si>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</si>
  <si>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</si>
  <si>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</si>
  <si>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</si>
  <si>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</si>
  <si>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</si>
  <si>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</si>
  <si>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</si>
  <si>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</si>
  <si>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</si>
  <si>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</si>
  <si>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</si>
  <si>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</si>
  <si>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</si>
  <si>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</si>
  <si>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</si>
  <si>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</si>
  <si>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</si>
  <si>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</si>
  <si>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</si>
  <si>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</si>
  <si>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</si>
  <si>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</si>
  <si>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</si>
  <si>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</si>
  <si>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</si>
  <si>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</si>
  <si>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</si>
  <si>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</si>
  <si>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</si>
  <si>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</si>
  <si>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</si>
  <si>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</si>
  <si>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</si>
  <si>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</si>
  <si>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</si>
  <si>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</si>
  <si>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</si>
  <si>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</si>
  <si>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</si>
  <si>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</si>
  <si>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</si>
  <si>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</si>
  <si>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</si>
  <si>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</si>
  <si>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</si>
  <si>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</si>
  <si>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</si>
  <si>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</si>
  <si>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</si>
  <si>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</si>
  <si>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</si>
  <si>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</si>
  <si>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</si>
  <si>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</si>
  <si>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</si>
  <si>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</si>
  <si>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</si>
  <si>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</si>
  <si>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</si>
  <si>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</si>
  <si>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</si>
  <si>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</si>
  <si>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</si>
  <si>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</si>
  <si>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</si>
  <si>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</si>
  <si>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</si>
  <si>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</si>
  <si>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</si>
  <si>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</si>
  <si>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</si>
  <si>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</si>
  <si>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</si>
  <si>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</si>
  <si>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</si>
  <si>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</si>
  <si>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</si>
  <si>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</si>
  <si>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</si>
  <si>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</si>
  <si>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</si>
  <si>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</si>
  <si>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</si>
  <si>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</si>
  <si>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</si>
  <si>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</si>
  <si>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</si>
  <si>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</si>
  <si>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</si>
  <si>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</si>
  <si>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</si>
  <si>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</si>
  <si>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</si>
  <si>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</si>
  <si>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</si>
  <si>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</si>
  <si>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</si>
  <si>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</si>
  <si>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</si>
  <si>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</si>
  <si>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</si>
  <si>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</si>
  <si>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</si>
  <si>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</si>
  <si>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</si>
  <si>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</si>
  <si>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</si>
  <si>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</si>
  <si>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</si>
  <si>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</si>
  <si>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</si>
  <si>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</si>
  <si>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</si>
  <si>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</si>
  <si>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</si>
  <si>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</si>
  <si>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</si>
  <si>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</si>
  <si>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</si>
  <si>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</si>
  <si>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</si>
  <si>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</si>
  <si>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</si>
  <si>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</si>
  <si>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</si>
  <si>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</si>
  <si>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</si>
  <si>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</si>
  <si>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</si>
  <si>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</si>
  <si>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</si>
  <si>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</si>
  <si>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</si>
  <si>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</si>
  <si>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</si>
  <si>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</si>
  <si>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</si>
  <si>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</si>
  <si>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</si>
  <si>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</si>
  <si>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</si>
  <si>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</si>
  <si>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</si>
  <si>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</si>
  <si>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</si>
  <si>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</si>
  <si>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</si>
  <si>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</si>
  <si>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</si>
  <si>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</si>
  <si>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</si>
  <si>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</si>
  <si>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</si>
  <si>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</si>
  <si>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</si>
  <si>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</si>
  <si>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</si>
  <si>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</si>
  <si>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</si>
  <si>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</si>
  <si>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</si>
  <si>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</si>
  <si>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</si>
  <si>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</si>
  <si>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</si>
  <si>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</si>
  <si>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</si>
  <si>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</si>
  <si>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</si>
  <si>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</si>
  <si>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</si>
  <si>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</si>
  <si>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</si>
  <si>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</si>
  <si>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</si>
  <si>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</si>
  <si>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</si>
  <si>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</si>
  <si>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</si>
  <si>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</si>
  <si>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</si>
  <si>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</si>
  <si>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</si>
  <si>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</si>
  <si>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</si>
  <si>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</si>
  <si>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</si>
  <si>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</si>
  <si>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</si>
  <si>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</si>
  <si>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</si>
  <si>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</si>
  <si>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</si>
  <si>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</si>
  <si>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</si>
  <si>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</si>
  <si>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</si>
  <si>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</si>
  <si>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</si>
  <si>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</si>
  <si>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</si>
  <si>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</si>
  <si>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</si>
  <si>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</si>
  <si>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</si>
  <si>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</si>
  <si>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</si>
  <si>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</si>
  <si>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</si>
  <si>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</si>
  <si>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</si>
  <si>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</si>
  <si>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</si>
  <si>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</si>
  <si>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</si>
  <si>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</si>
  <si>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</si>
  <si>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</si>
  <si>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</si>
  <si>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</si>
  <si>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</si>
  <si>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</si>
  <si>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</si>
  <si>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</si>
  <si>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</si>
  <si>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</si>
  <si>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</si>
  <si>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</si>
  <si>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</si>
  <si>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</si>
  <si>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</si>
  <si>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</si>
  <si>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</si>
  <si>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</si>
  <si>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</si>
  <si>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</si>
  <si>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</si>
  <si>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</si>
  <si>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</si>
  <si>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</si>
  <si>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</si>
  <si>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</si>
  <si>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</si>
  <si>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</si>
  <si>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</si>
  <si>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</si>
  <si>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</si>
  <si>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</si>
  <si>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</si>
  <si>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</si>
  <si>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</si>
  <si>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</si>
  <si>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</si>
  <si>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</si>
  <si>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</si>
  <si>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</si>
  <si>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</si>
  <si>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</si>
  <si>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</si>
  <si>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</si>
  <si>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</si>
  <si>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</si>
  <si>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</si>
  <si>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</si>
  <si>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</si>
  <si>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</si>
  <si>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</si>
  <si>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</si>
  <si>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</si>
  <si>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</si>
  <si>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</si>
  <si>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</si>
  <si>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</si>
  <si>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</si>
  <si>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</si>
  <si>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</si>
  <si>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</si>
  <si>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</si>
  <si>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</si>
  <si>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</si>
  <si>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</si>
  <si>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</si>
  <si>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</si>
  <si>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</si>
  <si>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</si>
  <si>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</si>
  <si>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</si>
  <si>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</si>
  <si>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</si>
  <si>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</si>
  <si>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</si>
  <si>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</si>
  <si>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</si>
  <si>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</si>
  <si>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</si>
  <si>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</si>
  <si>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</si>
  <si>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</si>
  <si>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</si>
  <si>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</si>
  <si>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</si>
  <si>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</si>
  <si>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</si>
  <si>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</si>
  <si>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</si>
  <si>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</si>
  <si>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</si>
  <si>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</si>
  <si>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</si>
  <si>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</si>
  <si>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</si>
  <si>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</si>
  <si>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</si>
  <si>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</si>
  <si>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</si>
  <si>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</si>
  <si>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</si>
  <si>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</si>
  <si>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</si>
  <si>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</si>
  <si>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</si>
  <si>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</si>
  <si>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</si>
  <si>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</si>
  <si>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</si>
  <si>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</si>
  <si>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</si>
  <si>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</si>
  <si>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</si>
  <si>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</si>
  <si>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</si>
  <si>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</si>
  <si>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</si>
  <si>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</si>
  <si>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</si>
  <si>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</si>
  <si>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</si>
  <si>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</si>
  <si>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</si>
  <si>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</si>
  <si>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</si>
  <si>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</si>
  <si>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</si>
  <si>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</si>
  <si>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</si>
  <si>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</si>
  <si>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</si>
  <si>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</si>
  <si>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</si>
  <si>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</si>
  <si>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</si>
  <si>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</si>
  <si>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</si>
  <si>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</si>
  <si>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</si>
  <si>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</si>
  <si>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</si>
  <si>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</si>
  <si>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</si>
  <si>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</si>
  <si>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</si>
  <si>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</si>
  <si>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</si>
  <si>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</si>
  <si>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</si>
  <si>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</si>
  <si>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</si>
  <si>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</si>
  <si>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</si>
  <si>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</si>
  <si>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</si>
  <si>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</si>
  <si>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</si>
  <si>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</si>
  <si>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</si>
  <si>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</si>
  <si>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</si>
  <si>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</si>
  <si>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</si>
  <si>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</si>
  <si>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</si>
  <si>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</si>
  <si>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</si>
  <si>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</si>
  <si>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</si>
  <si>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</si>
  <si>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</si>
  <si>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</si>
  <si>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</si>
  <si>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</si>
  <si>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</si>
  <si>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</si>
  <si>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</si>
  <si>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</si>
  <si>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</si>
  <si>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</si>
  <si>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</si>
  <si>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</si>
  <si>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</si>
  <si>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</si>
  <si>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</si>
  <si>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</si>
  <si>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</si>
  <si>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</si>
  <si>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</si>
  <si>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</si>
  <si>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</si>
  <si>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</si>
  <si>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</si>
  <si>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</si>
  <si>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</si>
  <si>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</si>
  <si>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</si>
  <si>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</si>
  <si>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</si>
  <si>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</si>
  <si>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</si>
  <si>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</si>
  <si>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</si>
  <si>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</si>
  <si>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</si>
  <si>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</si>
  <si>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</si>
  <si>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</si>
  <si>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</si>
  <si>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</si>
  <si>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</si>
  <si>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</si>
  <si>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</si>
  <si>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</si>
  <si>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</si>
  <si>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</si>
  <si>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</si>
  <si>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</si>
  <si>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</si>
  <si>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</si>
  <si>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</si>
  <si>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</si>
  <si>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</si>
  <si>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</si>
  <si>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</si>
  <si>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</si>
  <si>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</si>
  <si>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</si>
  <si>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</si>
  <si>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</si>
  <si>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</si>
  <si>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</si>
  <si>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</si>
  <si>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</si>
  <si>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</si>
  <si>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</si>
  <si>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</si>
  <si>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</si>
  <si>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</si>
  <si>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</si>
  <si>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</si>
  <si>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</si>
  <si>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</si>
  <si>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</si>
  <si>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</si>
  <si>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</si>
  <si>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</si>
  <si>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</si>
  <si>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</si>
  <si>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</si>
  <si>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</si>
  <si>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</si>
  <si>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</si>
  <si>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</si>
  <si>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</si>
  <si>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</si>
  <si>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</si>
  <si>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</si>
  <si>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</si>
  <si>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</si>
  <si>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</si>
  <si>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</si>
  <si>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</si>
  <si>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</si>
  <si>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</si>
  <si>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</si>
  <si>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</si>
  <si>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</si>
  <si>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</si>
  <si>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</si>
  <si>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</si>
  <si>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</si>
  <si>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</si>
  <si>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</si>
  <si>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</si>
  <si>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</si>
  <si>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</si>
  <si>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</si>
  <si>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</si>
  <si>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</si>
  <si>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</si>
  <si>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</si>
  <si>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</si>
  <si>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</si>
  <si>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</si>
  <si>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</si>
  <si>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</si>
  <si>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</si>
  <si>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</si>
  <si>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</si>
  <si>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</si>
  <si>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</si>
  <si>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</si>
  <si>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</si>
  <si>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</si>
  <si>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</si>
  <si>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</si>
  <si>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</si>
  <si>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</si>
  <si>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</si>
  <si>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</si>
  <si>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</si>
  <si>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</si>
  <si>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</si>
  <si>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</si>
  <si>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</si>
  <si>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</si>
  <si>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</si>
  <si>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</si>
  <si>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</si>
  <si>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</si>
  <si>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</si>
  <si>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</si>
  <si>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</si>
  <si>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</si>
  <si>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</si>
  <si>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</si>
  <si>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</si>
  <si>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</si>
  <si>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</si>
  <si>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</si>
  <si>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</si>
  <si>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</si>
  <si>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</si>
  <si>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</si>
  <si>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</si>
  <si>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</si>
  <si>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</si>
  <si>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</si>
  <si>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</si>
  <si>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</si>
  <si>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</si>
  <si>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</si>
  <si>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</si>
  <si>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</si>
  <si>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</si>
  <si>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</si>
  <si>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</si>
  <si>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</si>
  <si>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</si>
  <si>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</si>
  <si>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</si>
  <si>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</si>
  <si>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</si>
  <si>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</si>
  <si>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</si>
  <si>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</si>
  <si>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</si>
  <si>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</si>
  <si>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</si>
  <si>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</si>
  <si>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</si>
  <si>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</si>
  <si>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</si>
  <si>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</si>
  <si>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</si>
  <si>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</si>
  <si>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</si>
  <si>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</si>
  <si>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</si>
  <si>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</si>
  <si>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</si>
  <si>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</si>
  <si>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</si>
  <si>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</si>
  <si>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</si>
  <si>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</si>
  <si>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</si>
  <si>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</si>
  <si>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</si>
  <si>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</si>
  <si>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</si>
  <si>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</si>
  <si>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</si>
  <si>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</si>
  <si>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</si>
  <si>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</si>
  <si>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</si>
  <si>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</si>
  <si>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</si>
  <si>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</si>
  <si>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</si>
  <si>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</si>
  <si>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</si>
  <si>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</si>
  <si>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</si>
  <si>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</si>
  <si>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</si>
  <si>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</si>
  <si>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</si>
  <si>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</si>
  <si>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</si>
  <si>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</si>
  <si>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</si>
  <si>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</si>
  <si>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</si>
  <si>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</si>
  <si>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</si>
  <si>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</si>
  <si>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</si>
  <si>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</si>
  <si>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</si>
  <si>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</si>
  <si>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</si>
  <si>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</si>
  <si>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</si>
  <si>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</si>
  <si>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</si>
  <si>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</si>
  <si>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</si>
  <si>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</si>
  <si>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</si>
  <si>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</si>
  <si>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</si>
  <si>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</si>
  <si>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</si>
  <si>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</si>
  <si>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</si>
  <si>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</si>
  <si>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</si>
  <si>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</si>
  <si>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</si>
  <si>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</si>
  <si>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</si>
  <si>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</si>
  <si>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</si>
  <si>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</si>
  <si>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</si>
  <si>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</si>
  <si>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</si>
  <si>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</si>
  <si>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</si>
  <si>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</si>
  <si>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</si>
  <si>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</si>
  <si>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</si>
  <si>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</si>
  <si>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</si>
  <si>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</si>
  <si>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</si>
  <si>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</si>
  <si>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</si>
  <si>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</si>
  <si>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</si>
  <si>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</si>
  <si>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</si>
  <si>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</si>
  <si>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</si>
  <si>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</si>
  <si>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</si>
  <si>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</si>
  <si>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</si>
  <si>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</si>
  <si>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</si>
  <si>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</si>
  <si>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</si>
  <si>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</si>
  <si>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</si>
  <si>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</si>
  <si>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</si>
  <si>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</si>
  <si>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</si>
  <si>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</si>
  <si>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</si>
  <si>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</si>
  <si>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</si>
  <si>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</si>
  <si>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</si>
  <si>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</si>
  <si>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</si>
  <si>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</si>
  <si>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</si>
  <si>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</si>
  <si>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</si>
  <si>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</si>
  <si>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</si>
  <si>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</si>
  <si>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</si>
  <si>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</si>
  <si>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</si>
  <si>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</si>
  <si>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</si>
  <si>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</si>
  <si>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</si>
  <si>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</si>
  <si>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</si>
  <si>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</si>
  <si>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</si>
  <si>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</si>
  <si>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</si>
  <si>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</si>
  <si>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</si>
  <si>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</si>
  <si>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</si>
  <si>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</si>
  <si>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</si>
  <si>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</si>
  <si>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</si>
  <si>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</si>
  <si>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</si>
  <si>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</si>
  <si>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</si>
  <si>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</si>
  <si>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</si>
  <si>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</si>
  <si>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</si>
  <si>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</si>
  <si>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</si>
  <si>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</si>
  <si>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</si>
  <si>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</si>
  <si>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</si>
  <si>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</si>
  <si>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</si>
  <si>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</si>
  <si>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</si>
  <si>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</si>
  <si>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</si>
  <si>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</si>
  <si>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</si>
  <si>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</si>
  <si>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</si>
  <si>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</si>
  <si>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</si>
  <si>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</si>
  <si>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</si>
  <si>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</si>
  <si>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</si>
  <si>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</si>
  <si>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</si>
  <si>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</si>
  <si>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</si>
  <si>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</si>
  <si>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</si>
  <si>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</si>
  <si>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</si>
  <si>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</si>
  <si>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</si>
  <si>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</si>
  <si>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</si>
  <si>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</si>
  <si>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</si>
  <si>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</si>
  <si>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</si>
  <si>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</si>
  <si>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</si>
  <si>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</si>
  <si>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</si>
  <si>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</si>
  <si>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</si>
  <si>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</si>
  <si>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</si>
  <si>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</si>
  <si>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</si>
  <si>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</si>
  <si>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</si>
  <si>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</si>
  <si>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</si>
  <si>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</si>
  <si>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</si>
  <si>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</si>
  <si>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</si>
  <si>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</si>
  <si>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</si>
  <si>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</si>
  <si>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</si>
  <si>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</si>
  <si>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</si>
  <si>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</si>
  <si>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</si>
  <si>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</si>
  <si>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</si>
  <si>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</si>
  <si>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</si>
  <si>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</si>
  <si>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</si>
  <si>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</si>
  <si>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</si>
  <si>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</si>
  <si>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</si>
  <si>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</si>
  <si>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</si>
  <si>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</si>
  <si>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</si>
  <si>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</si>
  <si>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</si>
  <si>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</si>
  <si>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</si>
  <si>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</si>
  <si>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</si>
  <si>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</si>
  <si>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</si>
  <si>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</si>
  <si>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</si>
  <si>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</si>
  <si>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</si>
  <si>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</si>
  <si>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</si>
  <si>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</si>
  <si>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</si>
  <si>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</si>
  <si>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</si>
  <si>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</si>
  <si>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</si>
  <si>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</si>
  <si>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</si>
  <si>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</si>
  <si>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</si>
  <si>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</si>
  <si>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</si>
  <si>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</si>
  <si>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</si>
  <si>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</si>
  <si>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</si>
  <si>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</si>
  <si>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</si>
  <si>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</si>
  <si>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</si>
  <si>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</si>
  <si>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</si>
  <si>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</si>
  <si>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</si>
  <si>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</si>
  <si>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</si>
  <si>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</si>
  <si>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</si>
  <si>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</si>
  <si>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</si>
  <si>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</si>
  <si>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</si>
  <si>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</si>
  <si>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</si>
  <si>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</si>
  <si>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</si>
  <si>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</si>
  <si>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</si>
  <si>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</si>
  <si>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</si>
  <si>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</si>
  <si>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</si>
  <si>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</si>
  <si>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</si>
  <si>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</si>
  <si>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</si>
  <si>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</si>
  <si>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</si>
  <si>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</si>
  <si>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</si>
  <si>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</si>
  <si>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</si>
  <si>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</si>
  <si>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</si>
  <si>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</si>
  <si>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</si>
  <si>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</si>
  <si>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</si>
  <si>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</si>
  <si>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</si>
  <si>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</si>
  <si>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</si>
  <si>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</si>
  <si>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</si>
  <si>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</si>
  <si>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</si>
  <si>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</si>
  <si>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</si>
  <si>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</si>
  <si>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</si>
  <si>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</si>
  <si>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</si>
  <si>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</si>
  <si>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</si>
  <si>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</si>
  <si>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</si>
  <si>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</si>
  <si>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</si>
  <si>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</si>
  <si>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</si>
  <si>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</si>
  <si>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</si>
  <si>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</si>
  <si>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</si>
  <si>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</si>
  <si>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</si>
  <si>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</si>
  <si>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</si>
  <si>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</si>
  <si>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</si>
  <si>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</si>
  <si>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</si>
  <si>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</si>
  <si>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</si>
  <si>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</si>
  <si>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</si>
  <si>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</si>
  <si>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</si>
  <si>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</si>
  <si>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</si>
  <si>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</si>
  <si>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</si>
  <si>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</si>
  <si>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</si>
  <si>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</si>
  <si>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</si>
  <si>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</si>
  <si>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</si>
  <si>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</si>
  <si>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</si>
  <si>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</si>
  <si>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</si>
  <si>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</si>
  <si>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</si>
  <si>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</si>
  <si>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</si>
  <si>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</si>
  <si>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</si>
  <si>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</si>
  <si>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</si>
  <si>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</si>
  <si>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</si>
  <si>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</si>
  <si>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</si>
  <si>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</si>
  <si>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</si>
  <si>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</si>
  <si>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</si>
  <si>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</si>
  <si>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</si>
  <si>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</si>
  <si>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</si>
  <si>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</si>
  <si>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</si>
  <si>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</si>
  <si>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</si>
  <si>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</si>
  <si>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</si>
  <si>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</si>
  <si>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</si>
  <si>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</si>
  <si>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</si>
  <si>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</si>
  <si>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</si>
  <si>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</si>
  <si>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</si>
  <si>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</si>
  <si>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</si>
  <si>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</si>
  <si>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</si>
  <si>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</si>
  <si>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</si>
  <si>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</si>
  <si>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</si>
  <si>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</si>
  <si>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</si>
  <si>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</si>
  <si>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</si>
  <si>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</si>
  <si>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</si>
  <si>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</si>
  <si>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</si>
  <si>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</si>
  <si>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</si>
  <si>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</si>
  <si>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</si>
  <si>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</si>
  <si>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</si>
  <si>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</si>
  <si>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</si>
  <si>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</si>
  <si>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</si>
  <si>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</si>
  <si>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</si>
  <si>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</si>
  <si>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</si>
  <si>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</si>
  <si>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</si>
  <si>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</si>
  <si>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</si>
  <si>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</si>
  <si>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</si>
  <si>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</si>
  <si>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</si>
  <si>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</si>
  <si>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</si>
  <si>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</si>
  <si>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</si>
  <si>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</si>
  <si>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</si>
  <si>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</si>
  <si>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</si>
  <si>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</si>
  <si>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</si>
  <si>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</si>
  <si>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</si>
  <si>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</si>
  <si>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</si>
  <si>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</si>
  <si>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</si>
  <si>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</si>
  <si>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</si>
  <si>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</si>
  <si>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</si>
  <si>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</si>
  <si>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</si>
  <si>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</si>
  <si>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</si>
  <si>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</si>
  <si>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</si>
  <si>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</si>
  <si>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</si>
  <si>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</si>
  <si>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</si>
  <si>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</si>
  <si>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</si>
  <si>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</si>
  <si>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</si>
  <si>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</si>
  <si>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</si>
  <si>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</si>
  <si>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</si>
  <si>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</si>
  <si>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</si>
  <si>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</si>
  <si>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</si>
  <si>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</si>
  <si>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</si>
  <si>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</si>
  <si>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</si>
  <si>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</si>
  <si>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</si>
  <si>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</si>
  <si>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</si>
  <si>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</si>
  <si>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</si>
  <si>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</si>
  <si>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</si>
  <si>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</si>
  <si>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</si>
  <si>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</si>
  <si>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</si>
  <si>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</si>
  <si>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</si>
  <si>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</si>
  <si>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</si>
  <si>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</si>
  <si>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</si>
  <si>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</si>
  <si>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</si>
  <si>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</si>
  <si>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</si>
  <si>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</si>
  <si>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</si>
  <si>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</si>
  <si>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</si>
  <si>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</si>
  <si>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</si>
  <si>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</si>
  <si>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</si>
  <si>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</si>
  <si>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</si>
  <si>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</si>
  <si>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</si>
  <si>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</si>
  <si>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</si>
  <si>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</si>
  <si>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</si>
  <si>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</si>
  <si>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</si>
  <si>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</si>
  <si>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</si>
  <si>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</si>
  <si>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</si>
  <si>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</si>
  <si>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</si>
  <si>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</si>
  <si>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</si>
  <si>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</si>
  <si>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</si>
  <si>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</si>
  <si>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</si>
  <si>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</si>
  <si>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</si>
  <si>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</si>
  <si>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</si>
  <si>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</si>
  <si>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</si>
  <si>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</si>
  <si>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</si>
  <si>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</si>
  <si>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</si>
  <si>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</si>
  <si>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</si>
  <si>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</si>
  <si>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</si>
  <si>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</si>
  <si>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</si>
  <si>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</si>
  <si>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</si>
  <si>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</si>
  <si>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</si>
  <si>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</si>
  <si>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</si>
  <si>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</si>
  <si>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</si>
  <si>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</si>
  <si>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</si>
  <si>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</si>
  <si>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</si>
  <si>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</si>
  <si>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</si>
  <si>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</si>
  <si>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</si>
  <si>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</si>
  <si>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</si>
  <si>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</si>
  <si>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</si>
  <si>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</si>
  <si>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</si>
  <si>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</si>
  <si>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</si>
  <si>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</si>
  <si>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</si>
  <si>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</si>
  <si>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</si>
  <si>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</si>
  <si>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</si>
  <si>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</si>
  <si>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</si>
  <si>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</si>
  <si>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</si>
  <si>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</si>
  <si>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</si>
  <si>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</si>
  <si>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</si>
  <si>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</si>
  <si>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</si>
  <si>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</si>
  <si>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</si>
  <si>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</si>
  <si>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</si>
  <si>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</si>
  <si>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</si>
  <si>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</si>
  <si>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</si>
  <si>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</si>
  <si>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</si>
  <si>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</si>
  <si>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</si>
  <si>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</si>
  <si>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</si>
  <si>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</si>
  <si>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</si>
  <si>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</si>
  <si>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</si>
  <si>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</si>
  <si>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</si>
  <si>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</si>
  <si>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</si>
  <si>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</si>
  <si>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</si>
  <si>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</si>
  <si>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</si>
  <si>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</si>
  <si>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</si>
  <si>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</si>
  <si>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</si>
  <si>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</si>
  <si>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</si>
  <si>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</si>
  <si>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</si>
  <si>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</si>
  <si>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</si>
  <si>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</si>
  <si>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</si>
  <si>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</si>
  <si>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</si>
  <si>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</si>
  <si>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</si>
  <si>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</si>
  <si>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</si>
  <si>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</si>
  <si>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</si>
  <si>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</si>
  <si>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</si>
  <si>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</si>
  <si>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</si>
  <si>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</si>
  <si>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</si>
  <si>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</si>
  <si>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</si>
  <si>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</si>
  <si>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</si>
  <si>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</si>
  <si>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</si>
  <si>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</si>
  <si>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</si>
  <si>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</si>
  <si>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</si>
  <si>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</si>
  <si>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</si>
  <si>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</si>
  <si>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</si>
  <si>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</si>
  <si>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</si>
  <si>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</si>
  <si>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</si>
  <si>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</si>
  <si>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</si>
  <si>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</si>
  <si>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</si>
  <si>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</si>
  <si>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</si>
  <si>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</si>
  <si>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</si>
  <si>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</si>
  <si>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</si>
  <si>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</si>
  <si>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</si>
  <si>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</si>
  <si>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</si>
  <si>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</si>
  <si>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</si>
  <si>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</si>
  <si>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</si>
  <si>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</si>
  <si>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</si>
  <si>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</si>
  <si>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</si>
  <si>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</si>
  <si>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</si>
  <si>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</si>
  <si>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</si>
  <si>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</si>
  <si>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</si>
  <si>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</si>
  <si>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</si>
  <si>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</si>
  <si>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</si>
  <si>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</si>
  <si>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</si>
  <si>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</si>
  <si>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</si>
  <si>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</si>
  <si>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</si>
  <si>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</si>
  <si>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</si>
  <si>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</si>
  <si>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</si>
  <si>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</si>
  <si>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</si>
  <si>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</si>
  <si>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</si>
  <si>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</si>
  <si>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</si>
  <si>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</si>
  <si>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</si>
  <si>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</si>
  <si>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</si>
  <si>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</si>
  <si>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</si>
  <si>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</si>
  <si>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</si>
  <si>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</si>
  <si>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</si>
  <si>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</si>
  <si>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</si>
  <si>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</si>
  <si>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</si>
  <si>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</si>
  <si>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</si>
  <si>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</si>
  <si>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</si>
  <si>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</si>
  <si>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</si>
  <si>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</si>
  <si>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</si>
  <si>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</si>
  <si>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</si>
  <si>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</si>
  <si>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</si>
  <si>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</si>
  <si>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</si>
  <si>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</si>
  <si>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</si>
  <si>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</si>
  <si>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</si>
  <si>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</si>
  <si>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</si>
  <si>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</si>
  <si>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</si>
  <si>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</si>
  <si>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</si>
  <si>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</si>
  <si>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</si>
  <si>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</si>
  <si>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</si>
  <si>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</si>
  <si>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</si>
  <si>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</si>
  <si>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</si>
  <si>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</si>
  <si>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</si>
  <si>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</si>
  <si>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</si>
  <si>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</si>
  <si>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</si>
  <si>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</si>
  <si>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</si>
  <si>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</si>
  <si>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</si>
  <si>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</si>
  <si>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</si>
  <si>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</si>
  <si>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</si>
  <si>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</si>
  <si>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</si>
  <si>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</si>
  <si>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</si>
  <si>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</si>
  <si>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</si>
  <si>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</si>
  <si>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</si>
  <si>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</si>
  <si>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</si>
  <si>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</si>
  <si>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</si>
  <si>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</si>
  <si>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</si>
  <si>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</si>
  <si>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</si>
  <si>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</si>
  <si>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</si>
  <si>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</si>
  <si>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</si>
  <si>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</si>
  <si>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</si>
  <si>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</si>
  <si>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</si>
  <si>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</si>
  <si>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</si>
  <si>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</si>
  <si>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</si>
  <si>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</si>
  <si>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</si>
  <si>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</si>
  <si>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</si>
  <si>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</si>
  <si>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</si>
  <si>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</si>
  <si>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</si>
  <si>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</si>
  <si>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</si>
  <si>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</si>
  <si>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</si>
  <si>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</si>
  <si>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</si>
  <si>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</si>
  <si>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</si>
  <si>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</si>
  <si>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</si>
  <si>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</si>
  <si>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</si>
  <si>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</si>
  <si>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</si>
  <si>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</si>
  <si>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</si>
  <si>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</si>
  <si>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</si>
  <si>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</si>
  <si>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</si>
  <si>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</si>
  <si>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</si>
  <si>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</si>
  <si>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</si>
  <si>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</si>
  <si>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</si>
  <si>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</si>
  <si>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</si>
  <si>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</si>
  <si>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</si>
  <si>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</si>
  <si>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</si>
  <si>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</si>
  <si>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</si>
  <si>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</si>
  <si>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</si>
  <si>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</si>
  <si>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</si>
  <si>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</si>
  <si>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</si>
  <si>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</si>
  <si>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</si>
  <si>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</si>
  <si>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</si>
  <si>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</si>
  <si>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</si>
  <si>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{nClass=14,nIcon=7674,nFrame=-1,nTime="2700.1,{$5}{$4}{$6}·{$8}{$7}{$9};4500.1,{$5}{$4}{$6}·{$8}{$7}{$9}",szName="{$4}{$5}·{$6}分·{$7}{$8}·{$9}分",nRefresh=0,key="破阵点将·一·常驻",},</t>
  </si>
  <si>
    <t>{nClass=14,nIcon=7676,nFrame=-1,nTime="1800.14,{$5}{$4}{$6}·{$8}{$7}{$9}",szName="{$4}{$5}·{$6}分·{$7}{$8}·{$9}分",nRefresh=0,key="破阵点将·二·常驻",},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</si>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</sst>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1791119599000,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Y1" workbookViewId="0">
      <pane ySplit="1" topLeftCell="A2" activePane="bottomLeft" state="frozen"/>
      <selection/>
      <selection pane="bottomLeft" activeCell="AN7" sqref="AN7"/>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1648</v>
      </c>
      <c r="F1" t="s">
        <v>1649</v>
      </c>
      <c r="G1" t="s">
        <v>1426</v>
      </c>
      <c r="H1" t="s">
        <v>1429</v>
      </c>
      <c r="I1" t="s">
        <v>44</v>
      </c>
      <c r="J1" t="s">
        <v>1430</v>
      </c>
      <c r="K1" t="s">
        <v>1650</v>
      </c>
      <c r="L1" t="s">
        <v>1651</v>
      </c>
      <c r="M1" t="s">
        <v>1652</v>
      </c>
      <c r="N1" t="s">
        <v>1653</v>
      </c>
      <c r="O1" t="s">
        <v>1654</v>
      </c>
      <c r="P1" t="s">
        <v>1655</v>
      </c>
      <c r="Q1" t="s">
        <v>1656</v>
      </c>
      <c r="R1" t="s">
        <v>1657</v>
      </c>
      <c r="S1" t="s">
        <v>1658</v>
      </c>
      <c r="T1" t="s">
        <v>1659</v>
      </c>
      <c r="U1" t="s">
        <v>239</v>
      </c>
      <c r="V1" t="s">
        <v>1660</v>
      </c>
      <c r="W1" t="s">
        <v>258</v>
      </c>
    </row>
    <row r="2" customFormat="1" spans="1:23">
      <c r="A2" t="s">
        <v>1661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1662</v>
      </c>
      <c r="U3" t="s">
        <v>1663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1664</v>
      </c>
      <c r="U4" t="s">
        <v>1663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1665</v>
      </c>
      <c r="J6" s="9" t="s">
        <v>642</v>
      </c>
      <c r="P6">
        <v>1</v>
      </c>
      <c r="V6" t="str">
        <f t="shared" si="0"/>
        <v>{dwID=59858,nFrame=47,szNote="恶人谷精锐队长",col={255,120,31,},[3]={bScreenHead=true,},[4]={},},</v>
      </c>
    </row>
    <row r="7" customFormat="1" spans="1:23">
      <c r="C7">
        <v>59845</v>
      </c>
      <c r="D7">
        <v>47</v>
      </c>
      <c r="I7" s="7" t="s">
        <v>1666</v>
      </c>
      <c r="J7" s="10" t="s">
        <v>647</v>
      </c>
      <c r="P7">
        <v>1</v>
      </c>
      <c r="V7" t="str">
        <f t="shared" si="0"/>
        <v>{dwID=59845,nFrame=47,szNote="浩气盟精锐队长",col={31,230,255,},[3]={bScreenHead=true,},[4]={},},</v>
      </c>
    </row>
    <row r="8" spans="1:23">
      <c r="C8">
        <v>30201</v>
      </c>
      <c r="D8">
        <v>52</v>
      </c>
      <c r="I8" t="s">
        <v>1667</v>
      </c>
      <c r="U8" t="s">
        <v>1668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1667</v>
      </c>
      <c r="U9" t="s">
        <v>1668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1667</v>
      </c>
      <c r="U10" t="s">
        <v>1668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1667</v>
      </c>
      <c r="U11" t="s">
        <v>1668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1667</v>
      </c>
      <c r="U12" t="s">
        <v>1668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1667</v>
      </c>
      <c r="U13" t="s">
        <v>1668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1669</v>
      </c>
      <c r="U14" t="s">
        <v>1668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1669</v>
      </c>
      <c r="U15" t="s">
        <v>1668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1669</v>
      </c>
      <c r="U16" t="s">
        <v>1668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1669</v>
      </c>
      <c r="U17" t="s">
        <v>1668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1669</v>
      </c>
      <c r="U18" t="s">
        <v>1668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1669</v>
      </c>
      <c r="U19" t="s">
        <v>1668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1669</v>
      </c>
      <c r="U20" t="s">
        <v>1668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1669</v>
      </c>
      <c r="U21" t="s">
        <v>1668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1670</v>
      </c>
      <c r="U22" t="s">
        <v>1671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1670</v>
      </c>
      <c r="U23" t="s">
        <v>1671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1670</v>
      </c>
      <c r="U24" t="s">
        <v>1671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1670</v>
      </c>
      <c r="U25" t="s">
        <v>1671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1670</v>
      </c>
      <c r="U26" t="s">
        <v>1671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1670</v>
      </c>
      <c r="U27" t="s">
        <v>1671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1670</v>
      </c>
      <c r="U28" t="s">
        <v>1671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1670</v>
      </c>
      <c r="U29" t="s">
        <v>1671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1670</v>
      </c>
      <c r="U30" t="s">
        <v>1671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1670</v>
      </c>
      <c r="U31" t="s">
        <v>1671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1670</v>
      </c>
      <c r="U32" t="s">
        <v>1671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1670</v>
      </c>
      <c r="U33" t="s">
        <v>1671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1670</v>
      </c>
      <c r="U34" t="s">
        <v>1671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1670</v>
      </c>
      <c r="U35" t="s">
        <v>1671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1670</v>
      </c>
      <c r="U36" t="s">
        <v>1671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1670</v>
      </c>
      <c r="U37" t="s">
        <v>1671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1670</v>
      </c>
      <c r="U38" t="s">
        <v>1671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1672</v>
      </c>
      <c r="U39" t="s">
        <v>1673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1674</v>
      </c>
    </row>
    <row r="40" customFormat="1" spans="3:23">
      <c r="C40">
        <v>30004</v>
      </c>
      <c r="D40">
        <v>52</v>
      </c>
      <c r="I40" t="s">
        <v>1672</v>
      </c>
      <c r="U40" t="s">
        <v>1673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1674</v>
      </c>
    </row>
    <row r="41" customFormat="1" spans="3:23">
      <c r="C41">
        <v>30003</v>
      </c>
      <c r="D41">
        <v>52</v>
      </c>
      <c r="I41" t="s">
        <v>1672</v>
      </c>
      <c r="U41" t="s">
        <v>1673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1674</v>
      </c>
    </row>
    <row r="42" customFormat="1" spans="3:23">
      <c r="C42">
        <v>30002</v>
      </c>
      <c r="D42">
        <v>52</v>
      </c>
      <c r="I42" t="s">
        <v>1672</v>
      </c>
      <c r="U42" t="s">
        <v>1673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1674</v>
      </c>
    </row>
    <row r="43" customFormat="1" spans="3:23">
      <c r="C43">
        <v>30001</v>
      </c>
      <c r="D43">
        <v>52</v>
      </c>
      <c r="I43" t="s">
        <v>1672</v>
      </c>
      <c r="U43" t="s">
        <v>1673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1674</v>
      </c>
    </row>
    <row r="44" customFormat="1" spans="3:23">
      <c r="C44">
        <v>66809</v>
      </c>
      <c r="D44">
        <v>57</v>
      </c>
      <c r="G44" t="s">
        <v>1675</v>
      </c>
      <c r="I44" t="s">
        <v>1676</v>
      </c>
      <c r="O44">
        <v>1</v>
      </c>
      <c r="U44" t="s">
        <v>1677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1678</v>
      </c>
      <c r="I45" t="s">
        <v>1679</v>
      </c>
      <c r="J45" s="9" t="s">
        <v>642</v>
      </c>
      <c r="O45">
        <v>1</v>
      </c>
      <c r="P45">
        <v>1</v>
      </c>
      <c r="U45" t="s">
        <v>1680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1681</v>
      </c>
    </row>
    <row r="46" customFormat="1" spans="3:23">
      <c r="C46">
        <v>36823</v>
      </c>
      <c r="D46">
        <v>52</v>
      </c>
      <c r="G46" t="s">
        <v>1682</v>
      </c>
      <c r="I46" t="s">
        <v>1683</v>
      </c>
      <c r="J46" s="10" t="s">
        <v>647</v>
      </c>
      <c r="O46">
        <v>1</v>
      </c>
      <c r="P46">
        <v>1</v>
      </c>
      <c r="U46" t="s">
        <v>1684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1685</v>
      </c>
    </row>
    <row r="47" customFormat="1" spans="3:23">
      <c r="C47">
        <v>36825</v>
      </c>
      <c r="D47">
        <v>52</v>
      </c>
      <c r="G47" t="s">
        <v>1686</v>
      </c>
      <c r="I47" t="s">
        <v>1686</v>
      </c>
      <c r="J47" t="s">
        <v>1474</v>
      </c>
      <c r="P47">
        <v>1</v>
      </c>
      <c r="U47" t="s">
        <v>1687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1688</v>
      </c>
      <c r="J48" t="s">
        <v>1474</v>
      </c>
      <c r="P48">
        <v>1</v>
      </c>
      <c r="U48" t="s">
        <v>1689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1690</v>
      </c>
    </row>
    <row r="49" customFormat="1" spans="1:23">
      <c r="C49">
        <v>36467</v>
      </c>
      <c r="D49">
        <v>52</v>
      </c>
      <c r="G49" t="s">
        <v>1691</v>
      </c>
      <c r="I49" t="s">
        <v>1692</v>
      </c>
      <c r="J49" s="9" t="s">
        <v>642</v>
      </c>
      <c r="P49">
        <v>1</v>
      </c>
      <c r="V49" t="str">
        <f t="shared" si="0"/>
        <v>{dwID=36467,nFrame=52,szName="恶人·神机车",szNote="恶人·神机车·底座",col={255,120,31,},[3]={bScreenHead=true,},[4]={},},</v>
      </c>
    </row>
    <row r="50" customFormat="1" spans="1:23">
      <c r="C50">
        <v>27617</v>
      </c>
      <c r="D50">
        <v>52</v>
      </c>
      <c r="G50" t="s">
        <v>1693</v>
      </c>
      <c r="I50" t="s">
        <v>1694</v>
      </c>
      <c r="J50" s="10" t="s">
        <v>647</v>
      </c>
      <c r="P50">
        <v>1</v>
      </c>
      <c r="V50" t="str">
        <f t="shared" si="0"/>
        <v>{dwID=27617,nFrame=52,szName="浩气·神机车",szNote="浩气·神机车·底座",col={31,230,255,},[3]={bScreenHead=true,},[4]={},},</v>
      </c>
    </row>
    <row r="51" customFormat="1" spans="1:23">
      <c r="C51">
        <v>36562</v>
      </c>
      <c r="D51">
        <v>52</v>
      </c>
      <c r="G51" t="s">
        <v>1695</v>
      </c>
      <c r="I51" t="s">
        <v>1696</v>
      </c>
      <c r="J51" s="9" t="s">
        <v>642</v>
      </c>
      <c r="P51">
        <v>1</v>
      </c>
      <c r="V51" t="str">
        <f t="shared" si="0"/>
        <v>{dwID=36562,nFrame=52,szName="恶人·组装神机车",szNote="恶人·神机车·组装中",col={255,120,31,},[3]={bScreenHead=true,},[4]={},},</v>
      </c>
    </row>
    <row r="52" customFormat="1" spans="1:23">
      <c r="C52">
        <v>36561</v>
      </c>
      <c r="D52">
        <v>52</v>
      </c>
      <c r="G52" t="s">
        <v>1697</v>
      </c>
      <c r="I52" t="s">
        <v>1698</v>
      </c>
      <c r="J52" s="10" t="s">
        <v>647</v>
      </c>
      <c r="P52">
        <v>1</v>
      </c>
      <c r="V52" t="str">
        <f t="shared" si="0"/>
        <v>{dwID=36561,nFrame=52,szName="浩气·组装神机车",szNote="浩气·神机车·组装中",col={31,230,255,},[3]={bScreenHead=true,},[4]={},},</v>
      </c>
    </row>
    <row r="53" customFormat="1" spans="1:23">
      <c r="C53">
        <v>36396</v>
      </c>
      <c r="D53">
        <v>52</v>
      </c>
      <c r="G53" t="s">
        <v>1699</v>
      </c>
      <c r="I53" t="s">
        <v>1700</v>
      </c>
      <c r="O53">
        <v>1</v>
      </c>
      <c r="P53">
        <v>1</v>
      </c>
      <c r="U53" t="s">
        <v>1701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1702</v>
      </c>
    </row>
    <row r="54" customFormat="1" spans="1:23">
      <c r="C54">
        <v>36005</v>
      </c>
      <c r="D54">
        <v>52</v>
      </c>
      <c r="I54" t="s">
        <v>1703</v>
      </c>
      <c r="P54">
        <v>1</v>
      </c>
      <c r="U54" t="s">
        <v>1704</v>
      </c>
      <c r="V54" t="str">
        <f t="shared" si="0"/>
        <v>{dwID=36005,nFrame=52,szNote="神机台·没人状态",[3]={bScreenHead=true,},[4]={},aFocus={{dwMapID=-1,nMaxDistance=-1,tRelation={bAll=true,bEnemy=true,bAlly=true,},tLife={bEnable=true,szOperator="&lt;",nValue=10,},},},},</v>
      </c>
    </row>
    <row r="55" customFormat="1" spans="1:23">
      <c r="C55">
        <v>100133</v>
      </c>
      <c r="D55">
        <v>57</v>
      </c>
      <c r="I55" t="s">
        <v>1705</v>
      </c>
      <c r="P55">
        <v>1</v>
      </c>
      <c r="U55" t="s">
        <v>1706</v>
      </c>
      <c r="V55" t="str">
        <f t="shared" si="0"/>
        <v>{dwID=100133,nFrame=57,szNote="狼牙先锋首领",[3]={bScreenHead=true,},[4]={},aFocus={{dwMapID=-1,nMaxDistance=90,tRelation={bAll=false,bEnemy=true,bAlly=false,},tLife={bEnable=false,szOperator="&gt;",nValue=0,},},},},</v>
      </c>
    </row>
    <row r="56" customFormat="1" spans="1:23">
      <c r="C56">
        <v>30310</v>
      </c>
      <c r="D56">
        <v>47</v>
      </c>
      <c r="I56" t="s">
        <v>1707</v>
      </c>
      <c r="P56">
        <v>1</v>
      </c>
      <c r="U56" t="s">
        <v>1708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1709</v>
      </c>
    </row>
    <row r="57" customFormat="1" spans="1:23">
      <c r="C57">
        <v>30322</v>
      </c>
      <c r="D57">
        <v>47</v>
      </c>
      <c r="I57" t="s">
        <v>1710</v>
      </c>
      <c r="P57">
        <v>1</v>
      </c>
      <c r="U57" t="s">
        <v>1708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1711</v>
      </c>
    </row>
    <row r="58" customFormat="1" spans="1:23">
      <c r="C58">
        <v>30597</v>
      </c>
      <c r="D58">
        <v>47</v>
      </c>
      <c r="I58" t="s">
        <v>1712</v>
      </c>
      <c r="J58" s="9" t="s">
        <v>642</v>
      </c>
      <c r="P58">
        <v>1</v>
      </c>
      <c r="V58" t="str">
        <f t="shared" si="0"/>
        <v>{dwID=30597,nFrame=47,szNote="恶人谷货郎",col={255,120,31,},[3]={bScreenHead=true,},[4]={},},</v>
      </c>
    </row>
    <row r="59" customFormat="1" spans="1:23">
      <c r="C59">
        <v>30596</v>
      </c>
      <c r="D59">
        <v>47</v>
      </c>
      <c r="I59" t="s">
        <v>1713</v>
      </c>
      <c r="J59" s="10" t="s">
        <v>647</v>
      </c>
      <c r="P59">
        <v>1</v>
      </c>
      <c r="V59" t="str">
        <f t="shared" si="0"/>
        <v>{dwID=30596,nFrame=47,szNote="浩气盟货郎",col={31,230,255,},[3]={bScreenHead=true,},[4]={},},</v>
      </c>
    </row>
    <row r="60" customFormat="1" spans="1:23">
      <c r="C60">
        <v>30537</v>
      </c>
      <c r="D60">
        <v>47</v>
      </c>
      <c r="I60" t="s">
        <v>1714</v>
      </c>
      <c r="J60" t="s">
        <v>1715</v>
      </c>
      <c r="P60">
        <v>1</v>
      </c>
      <c r="U60" t="s">
        <v>1716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1717</v>
      </c>
      <c r="P61">
        <v>1</v>
      </c>
      <c r="U61" t="s">
        <v>1718</v>
      </c>
      <c r="V61" t="str">
        <f t="shared" si="0"/>
        <v>{dwID=36388,nFrame=47,szNote="浩气·据点总管",[3]={bScreenHead=true,},[4]={},aFocus={{dwMapID=-1,nMaxDistance=6,tRelation={bAll=false,bEnemy=false,bAlly=true,},tLife={bEnable=false,szOperator="&gt;",nValue=0,},},},},</v>
      </c>
    </row>
    <row r="62" customFormat="1" spans="1:23">
      <c r="C62">
        <v>36387</v>
      </c>
      <c r="D62">
        <v>47</v>
      </c>
      <c r="I62" t="s">
        <v>1719</v>
      </c>
      <c r="P62">
        <v>1</v>
      </c>
      <c r="U62" t="s">
        <v>1718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1678</v>
      </c>
      <c r="I64" t="s">
        <v>1720</v>
      </c>
      <c r="J64" s="9" t="s">
        <v>642</v>
      </c>
      <c r="O64">
        <v>1</v>
      </c>
      <c r="P64">
        <v>1</v>
      </c>
      <c r="U64" t="s">
        <v>1680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1681</v>
      </c>
    </row>
    <row r="65" customFormat="1" spans="1:23">
      <c r="C65">
        <v>46195</v>
      </c>
      <c r="D65">
        <v>52</v>
      </c>
      <c r="G65" t="s">
        <v>1682</v>
      </c>
      <c r="I65" t="s">
        <v>1721</v>
      </c>
      <c r="J65" s="10" t="s">
        <v>647</v>
      </c>
      <c r="O65">
        <v>1</v>
      </c>
      <c r="P65">
        <v>1</v>
      </c>
      <c r="U65" t="s">
        <v>1684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1685</v>
      </c>
    </row>
    <row r="66" customFormat="1" spans="1:23">
      <c r="C66">
        <v>46193</v>
      </c>
      <c r="D66">
        <v>52</v>
      </c>
      <c r="I66" t="s">
        <v>1688</v>
      </c>
      <c r="J66" t="s">
        <v>1474</v>
      </c>
      <c r="P66">
        <v>1</v>
      </c>
      <c r="U66" t="s">
        <v>1722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1690</v>
      </c>
    </row>
    <row r="67" customFormat="1" spans="1:23">
      <c r="C67">
        <v>45171</v>
      </c>
      <c r="D67">
        <v>52</v>
      </c>
      <c r="G67" t="s">
        <v>1699</v>
      </c>
      <c r="I67" t="s">
        <v>1723</v>
      </c>
      <c r="O67">
        <v>1</v>
      </c>
      <c r="P67">
        <v>1</v>
      </c>
      <c r="U67" t="s">
        <v>1701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1702</v>
      </c>
    </row>
    <row r="68" customFormat="1" spans="1:23">
      <c r="C68">
        <v>45170</v>
      </c>
      <c r="D68">
        <v>52</v>
      </c>
      <c r="I68" t="s">
        <v>1724</v>
      </c>
      <c r="P68">
        <v>1</v>
      </c>
      <c r="U68" t="s">
        <v>1704</v>
      </c>
      <c r="V68" t="str">
        <f t="shared" si="1"/>
        <v>{dwID=45170,nFrame=52,szNote="神机台·无人状态",[3]={bScreenHead=true,},[4]={},aFocus={{dwMapID=-1,nMaxDistance=-1,tRelation={bAll=true,bEnemy=true,bAlly=true,},tLife={bEnable=true,szOperator="&lt;",nValue=10,},},},},</v>
      </c>
    </row>
    <row r="69" spans="1:23">
      <c r="C69">
        <v>46057</v>
      </c>
      <c r="D69">
        <v>47</v>
      </c>
      <c r="I69" t="s">
        <v>1725</v>
      </c>
      <c r="J69" s="9" t="s">
        <v>642</v>
      </c>
      <c r="P69">
        <v>1</v>
      </c>
      <c r="U69" t="s">
        <v>1716</v>
      </c>
      <c r="V69" t="str">
        <f t="shared" si="1"/>
        <v>{dwID=46057,nFrame=47,szNote="恶人谷伍长",col={255,120,31,},[3]={bScreenHead=true,},[4]={},aFocus={{dwMapID=-1,nMaxDistance=10,tRelation={bAll=false,bEnemy=false,bAlly=true,},tLife={bEnable=false,szOperator="&gt;",nValue=0,},},},},</v>
      </c>
    </row>
    <row r="70" spans="1:23">
      <c r="C70">
        <v>46058</v>
      </c>
      <c r="D70">
        <v>47</v>
      </c>
      <c r="I70" t="s">
        <v>1726</v>
      </c>
      <c r="J70" s="10" t="s">
        <v>647</v>
      </c>
      <c r="P70">
        <v>1</v>
      </c>
      <c r="U70" t="s">
        <v>1716</v>
      </c>
      <c r="V70" t="str">
        <f t="shared" si="1"/>
        <v>{dwID=46058,nFrame=47,szNote="浩气盟伍长",col={31,230,255,},[3]={bScreenHead=true,},[4]={},aFocus={{dwMapID=-1,nMaxDistance=10,tRelation={bAll=false,bEnemy=false,bAlly=true,},tLife={bEnable=false,szOperator="&gt;",nValue=0,},},},},</v>
      </c>
    </row>
    <row r="71" spans="1:23">
      <c r="C71">
        <v>46268</v>
      </c>
      <c r="D71">
        <v>47</v>
      </c>
      <c r="I71" t="s">
        <v>1727</v>
      </c>
      <c r="J71" t="s">
        <v>1474</v>
      </c>
      <c r="K71" t="s">
        <v>1728</v>
      </c>
      <c r="P71">
        <v>1</v>
      </c>
      <c r="U71" t="s">
        <v>1729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1717</v>
      </c>
      <c r="P73">
        <v>1</v>
      </c>
      <c r="U73" t="s">
        <v>1718</v>
      </c>
      <c r="V73" t="str">
        <f t="shared" si="1"/>
        <v>{dwID=36388,nFrame=47,szNote="浩气·据点总管",[3]={bScreenHead=true,},[4]={},aFocus={{dwMapID=-1,nMaxDistance=6,tRelation={bAll=false,bEnemy=false,bAlly=true,},tLife={bEnable=false,szOperator="&gt;",nValue=0,},},},},</v>
      </c>
    </row>
    <row r="74" customFormat="1" spans="1:23">
      <c r="C74">
        <v>5724</v>
      </c>
      <c r="D74">
        <v>47</v>
      </c>
      <c r="I74" t="s">
        <v>1730</v>
      </c>
      <c r="J74" t="s">
        <v>1731</v>
      </c>
      <c r="P74">
        <v>1</v>
      </c>
      <c r="U74" t="s">
        <v>1732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1733</v>
      </c>
    </row>
    <row r="75" spans="1:23">
      <c r="C75">
        <v>105586</v>
      </c>
      <c r="D75">
        <v>47</v>
      </c>
      <c r="I75" t="s">
        <v>1734</v>
      </c>
      <c r="J75" t="s">
        <v>1589</v>
      </c>
      <c r="P75">
        <v>1</v>
      </c>
      <c r="U75" t="s">
        <v>1735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1736</v>
      </c>
      <c r="J76" t="s">
        <v>1589</v>
      </c>
      <c r="P76">
        <v>1</v>
      </c>
      <c r="U76" t="s">
        <v>1735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1736</v>
      </c>
      <c r="J77" t="s">
        <v>1589</v>
      </c>
      <c r="P77">
        <v>1</v>
      </c>
      <c r="U77" t="s">
        <v>1735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1737</v>
      </c>
      <c r="J78" t="s">
        <v>1589</v>
      </c>
      <c r="P78">
        <v>1</v>
      </c>
      <c r="U78" t="s">
        <v>1735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1738</v>
      </c>
      <c r="J79" t="s">
        <v>1589</v>
      </c>
      <c r="P79">
        <v>1</v>
      </c>
      <c r="U79" t="s">
        <v>1735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1739</v>
      </c>
      <c r="J80" t="s">
        <v>1589</v>
      </c>
      <c r="P80">
        <v>1</v>
      </c>
      <c r="U80" t="s">
        <v>1735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1739</v>
      </c>
      <c r="J81" t="s">
        <v>1589</v>
      </c>
      <c r="P81">
        <v>1</v>
      </c>
      <c r="U81" t="s">
        <v>1735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1740</v>
      </c>
      <c r="J82" t="s">
        <v>1589</v>
      </c>
      <c r="P82">
        <v>1</v>
      </c>
      <c r="U82" t="s">
        <v>1735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1741</v>
      </c>
      <c r="J83" t="s">
        <v>1589</v>
      </c>
      <c r="P83">
        <v>1</v>
      </c>
      <c r="U83" t="s">
        <v>1735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1741</v>
      </c>
      <c r="J84" t="s">
        <v>1589</v>
      </c>
      <c r="P84">
        <v>1</v>
      </c>
      <c r="U84" t="s">
        <v>1735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1742</v>
      </c>
      <c r="J85" t="s">
        <v>1589</v>
      </c>
      <c r="P85">
        <v>1</v>
      </c>
      <c r="U85" t="s">
        <v>1735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1742</v>
      </c>
      <c r="J86" t="s">
        <v>1589</v>
      </c>
      <c r="P86">
        <v>1</v>
      </c>
      <c r="U86" t="s">
        <v>1735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1743</v>
      </c>
      <c r="J87" t="s">
        <v>1589</v>
      </c>
      <c r="P87">
        <v>1</v>
      </c>
      <c r="U87" t="s">
        <v>1735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1744</v>
      </c>
      <c r="J88" t="s">
        <v>1589</v>
      </c>
      <c r="P88">
        <v>1</v>
      </c>
      <c r="U88" t="s">
        <v>1735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1745</v>
      </c>
      <c r="J89" t="s">
        <v>1589</v>
      </c>
      <c r="P89">
        <v>1</v>
      </c>
      <c r="U89" t="s">
        <v>1735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1746</v>
      </c>
      <c r="J90" t="s">
        <v>1589</v>
      </c>
      <c r="P90">
        <v>1</v>
      </c>
      <c r="U90" t="s">
        <v>1735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1746</v>
      </c>
      <c r="J91" t="s">
        <v>1589</v>
      </c>
      <c r="P91">
        <v>1</v>
      </c>
      <c r="U91" t="s">
        <v>1735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1747</v>
      </c>
      <c r="J92" t="s">
        <v>1589</v>
      </c>
      <c r="P92">
        <v>1</v>
      </c>
      <c r="U92" t="s">
        <v>1735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1747</v>
      </c>
      <c r="J93" t="s">
        <v>1589</v>
      </c>
      <c r="P93">
        <v>1</v>
      </c>
      <c r="U93" t="s">
        <v>1735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1748</v>
      </c>
      <c r="J94" t="s">
        <v>1589</v>
      </c>
      <c r="K94" t="s">
        <v>1728</v>
      </c>
      <c r="P94">
        <v>1</v>
      </c>
      <c r="U94" t="s">
        <v>1735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1749</v>
      </c>
      <c r="J95" t="s">
        <v>1589</v>
      </c>
      <c r="K95" t="s">
        <v>1728</v>
      </c>
      <c r="P95">
        <v>1</v>
      </c>
      <c r="U95" t="s">
        <v>1735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1750</v>
      </c>
      <c r="J96" t="s">
        <v>1589</v>
      </c>
      <c r="K96" t="s">
        <v>1728</v>
      </c>
      <c r="P96">
        <v>1</v>
      </c>
      <c r="U96" t="s">
        <v>1735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1751</v>
      </c>
      <c r="J97" t="s">
        <v>1589</v>
      </c>
      <c r="K97" t="s">
        <v>1728</v>
      </c>
      <c r="P97">
        <v>1</v>
      </c>
      <c r="U97" t="s">
        <v>1735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1752</v>
      </c>
      <c r="J98" t="s">
        <v>1589</v>
      </c>
      <c r="K98" t="s">
        <v>1728</v>
      </c>
      <c r="P98">
        <v>1</v>
      </c>
      <c r="U98" t="s">
        <v>1735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1753</v>
      </c>
      <c r="J99" t="s">
        <v>1589</v>
      </c>
      <c r="K99" t="s">
        <v>1728</v>
      </c>
      <c r="P99">
        <v>1</v>
      </c>
      <c r="U99" t="s">
        <v>1735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1754</v>
      </c>
      <c r="J100" t="s">
        <v>1589</v>
      </c>
      <c r="K100" t="s">
        <v>1728</v>
      </c>
      <c r="P100">
        <v>1</v>
      </c>
      <c r="U100" t="s">
        <v>1735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1755</v>
      </c>
      <c r="J101" t="s">
        <v>1589</v>
      </c>
      <c r="K101" t="s">
        <v>1728</v>
      </c>
      <c r="P101">
        <v>1</v>
      </c>
      <c r="U101" t="s">
        <v>1735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1756</v>
      </c>
      <c r="J102" t="s">
        <v>1589</v>
      </c>
      <c r="K102" t="s">
        <v>1728</v>
      </c>
      <c r="P102">
        <v>1</v>
      </c>
      <c r="U102" t="s">
        <v>1735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1757</v>
      </c>
      <c r="J103" t="s">
        <v>1589</v>
      </c>
      <c r="K103" t="s">
        <v>1728</v>
      </c>
      <c r="P103">
        <v>1</v>
      </c>
      <c r="U103" t="s">
        <v>1735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1758</v>
      </c>
      <c r="J104" t="s">
        <v>1589</v>
      </c>
      <c r="K104" t="s">
        <v>1728</v>
      </c>
      <c r="P104">
        <v>1</v>
      </c>
      <c r="U104" t="s">
        <v>1735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1759</v>
      </c>
      <c r="J105" t="s">
        <v>1589</v>
      </c>
      <c r="K105" t="s">
        <v>1728</v>
      </c>
      <c r="P105">
        <v>1</v>
      </c>
      <c r="U105" t="s">
        <v>1735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1760</v>
      </c>
      <c r="J106" t="s">
        <v>1589</v>
      </c>
      <c r="P106">
        <v>1</v>
      </c>
      <c r="U106" t="s">
        <v>1735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1761</v>
      </c>
      <c r="X106" t="s">
        <v>1762</v>
      </c>
    </row>
    <row r="107" spans="3:24">
      <c r="C107">
        <v>17238</v>
      </c>
      <c r="D107">
        <v>47</v>
      </c>
      <c r="I107" t="s">
        <v>1763</v>
      </c>
      <c r="J107" t="s">
        <v>1589</v>
      </c>
      <c r="P107">
        <v>1</v>
      </c>
      <c r="U107" t="s">
        <v>1735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1761</v>
      </c>
      <c r="X107" t="s">
        <v>1762</v>
      </c>
    </row>
    <row r="108" spans="3:24">
      <c r="C108">
        <v>17240</v>
      </c>
      <c r="D108">
        <v>47</v>
      </c>
      <c r="I108" t="s">
        <v>1764</v>
      </c>
      <c r="J108" t="s">
        <v>1589</v>
      </c>
      <c r="P108">
        <v>1</v>
      </c>
      <c r="U108" t="s">
        <v>1735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1761</v>
      </c>
      <c r="X108" t="s">
        <v>1762</v>
      </c>
    </row>
    <row r="109" spans="3:24">
      <c r="C109">
        <v>17239</v>
      </c>
      <c r="D109">
        <v>47</v>
      </c>
      <c r="I109" t="s">
        <v>1765</v>
      </c>
      <c r="J109" t="s">
        <v>1589</v>
      </c>
      <c r="P109">
        <v>1</v>
      </c>
      <c r="U109" t="s">
        <v>1735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1761</v>
      </c>
      <c r="X109" t="s">
        <v>1762</v>
      </c>
    </row>
    <row r="110" spans="3:24">
      <c r="C110">
        <v>8954</v>
      </c>
      <c r="D110">
        <v>47</v>
      </c>
      <c r="I110" t="s">
        <v>1766</v>
      </c>
      <c r="J110" t="s">
        <v>1589</v>
      </c>
      <c r="P110">
        <v>1</v>
      </c>
      <c r="U110" t="s">
        <v>1735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1761</v>
      </c>
      <c r="X110" t="s">
        <v>1762</v>
      </c>
    </row>
    <row r="111" spans="3:24">
      <c r="C111">
        <v>6230</v>
      </c>
      <c r="D111">
        <v>47</v>
      </c>
      <c r="I111" t="s">
        <v>1767</v>
      </c>
      <c r="J111" t="s">
        <v>1589</v>
      </c>
      <c r="P111">
        <v>1</v>
      </c>
      <c r="U111" t="s">
        <v>1735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1761</v>
      </c>
      <c r="X111" t="s">
        <v>1762</v>
      </c>
    </row>
    <row r="112" spans="3:24">
      <c r="C112">
        <v>8952</v>
      </c>
      <c r="D112">
        <v>47</v>
      </c>
      <c r="I112" t="s">
        <v>1768</v>
      </c>
      <c r="J112" t="s">
        <v>1589</v>
      </c>
      <c r="P112">
        <v>1</v>
      </c>
      <c r="U112" t="s">
        <v>1735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1761</v>
      </c>
      <c r="X112" t="s">
        <v>1762</v>
      </c>
    </row>
    <row r="113" spans="1:24">
      <c r="C113">
        <v>8953</v>
      </c>
      <c r="D113">
        <v>47</v>
      </c>
      <c r="I113" t="s">
        <v>1769</v>
      </c>
      <c r="J113" t="s">
        <v>1589</v>
      </c>
      <c r="P113">
        <v>1</v>
      </c>
      <c r="U113" t="s">
        <v>1735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1761</v>
      </c>
      <c r="X113" t="s">
        <v>1762</v>
      </c>
    </row>
    <row r="114" spans="1:24">
      <c r="A114" t="s">
        <v>328</v>
      </c>
      <c r="B114">
        <v>27</v>
      </c>
      <c r="V114" t="str">
        <f t="shared" si="1"/>
        <v>},[27]={</v>
      </c>
    </row>
    <row r="115" customFormat="1" spans="1:24">
      <c r="C115">
        <v>36387</v>
      </c>
      <c r="D115">
        <v>47</v>
      </c>
      <c r="I115" t="s">
        <v>1719</v>
      </c>
      <c r="P115">
        <v>1</v>
      </c>
      <c r="U115" t="s">
        <v>1718</v>
      </c>
      <c r="V115" t="str">
        <f t="shared" si="1"/>
        <v>{dwID=36387,nFrame=47,szNote="恶人·据点总管",[3]={bScreenHead=true,},[4]={},aFocus={{dwMapID=-1,nMaxDistance=6,tRelation={bAll=false,bEnemy=false,bAlly=true,},tLife={bEnable=false,szOperator="&gt;",nValue=0,},},},},</v>
      </c>
    </row>
    <row r="116" spans="1:24">
      <c r="C116">
        <v>105586</v>
      </c>
      <c r="D116">
        <v>47</v>
      </c>
      <c r="I116" t="s">
        <v>1734</v>
      </c>
      <c r="J116" t="s">
        <v>1589</v>
      </c>
      <c r="P116">
        <v>1</v>
      </c>
      <c r="U116" t="s">
        <v>1735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1770</v>
      </c>
      <c r="J117" t="s">
        <v>1589</v>
      </c>
      <c r="P117">
        <v>1</v>
      </c>
      <c r="U117" t="s">
        <v>1735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1736</v>
      </c>
      <c r="J118" t="s">
        <v>1589</v>
      </c>
      <c r="P118">
        <v>1</v>
      </c>
      <c r="U118" t="s">
        <v>1735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1737</v>
      </c>
      <c r="J119" t="s">
        <v>1589</v>
      </c>
      <c r="P119">
        <v>1</v>
      </c>
      <c r="U119" t="s">
        <v>1735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1738</v>
      </c>
      <c r="J120" t="s">
        <v>1589</v>
      </c>
      <c r="P120">
        <v>1</v>
      </c>
      <c r="U120" t="s">
        <v>1735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1739</v>
      </c>
      <c r="J121" t="s">
        <v>1589</v>
      </c>
      <c r="P121">
        <v>1</v>
      </c>
      <c r="U121" t="s">
        <v>1735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1739</v>
      </c>
      <c r="J122" t="s">
        <v>1589</v>
      </c>
      <c r="P122">
        <v>1</v>
      </c>
      <c r="U122" t="s">
        <v>1735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1741</v>
      </c>
      <c r="J123" t="s">
        <v>1589</v>
      </c>
      <c r="P123">
        <v>1</v>
      </c>
      <c r="U123" t="s">
        <v>1735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1741</v>
      </c>
      <c r="J124" t="s">
        <v>1589</v>
      </c>
      <c r="P124">
        <v>1</v>
      </c>
      <c r="U124" t="s">
        <v>1735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1742</v>
      </c>
      <c r="J125" t="s">
        <v>1589</v>
      </c>
      <c r="P125">
        <v>1</v>
      </c>
      <c r="U125" t="s">
        <v>1735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1742</v>
      </c>
      <c r="J126" t="s">
        <v>1589</v>
      </c>
      <c r="P126">
        <v>1</v>
      </c>
      <c r="U126" t="s">
        <v>1735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1771</v>
      </c>
      <c r="J127" t="s">
        <v>1589</v>
      </c>
      <c r="P127">
        <v>1</v>
      </c>
      <c r="U127" t="s">
        <v>1735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1772</v>
      </c>
      <c r="J128" t="s">
        <v>1589</v>
      </c>
      <c r="P128">
        <v>1</v>
      </c>
      <c r="U128" t="s">
        <v>1735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1744</v>
      </c>
      <c r="J129" t="s">
        <v>1589</v>
      </c>
      <c r="P129">
        <v>1</v>
      </c>
      <c r="U129" t="s">
        <v>1735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1745</v>
      </c>
      <c r="J130" t="s">
        <v>1589</v>
      </c>
      <c r="P130">
        <v>1</v>
      </c>
      <c r="U130" t="s">
        <v>1735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1746</v>
      </c>
      <c r="J131" t="s">
        <v>1589</v>
      </c>
      <c r="P131">
        <v>1</v>
      </c>
      <c r="U131" t="s">
        <v>1735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1746</v>
      </c>
      <c r="J132" t="s">
        <v>1589</v>
      </c>
      <c r="P132">
        <v>1</v>
      </c>
      <c r="U132" t="s">
        <v>1735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1747</v>
      </c>
      <c r="J133" t="s">
        <v>1589</v>
      </c>
      <c r="P133">
        <v>1</v>
      </c>
      <c r="U133" t="s">
        <v>1735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1747</v>
      </c>
      <c r="J134" t="s">
        <v>1589</v>
      </c>
      <c r="P134">
        <v>1</v>
      </c>
      <c r="U134" t="s">
        <v>1735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1748</v>
      </c>
      <c r="J135" t="s">
        <v>1589</v>
      </c>
      <c r="K135" t="s">
        <v>1728</v>
      </c>
      <c r="P135">
        <v>1</v>
      </c>
      <c r="U135" t="s">
        <v>1735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1749</v>
      </c>
      <c r="J136" t="s">
        <v>1589</v>
      </c>
      <c r="K136" t="s">
        <v>1728</v>
      </c>
      <c r="P136">
        <v>1</v>
      </c>
      <c r="U136" t="s">
        <v>1735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1750</v>
      </c>
      <c r="J137" t="s">
        <v>1589</v>
      </c>
      <c r="K137" t="s">
        <v>1728</v>
      </c>
      <c r="P137">
        <v>1</v>
      </c>
      <c r="U137" t="s">
        <v>1735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1751</v>
      </c>
      <c r="J138" t="s">
        <v>1589</v>
      </c>
      <c r="K138" t="s">
        <v>1728</v>
      </c>
      <c r="P138">
        <v>1</v>
      </c>
      <c r="U138" t="s">
        <v>1735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1752</v>
      </c>
      <c r="J139" t="s">
        <v>1589</v>
      </c>
      <c r="K139" t="s">
        <v>1728</v>
      </c>
      <c r="P139">
        <v>1</v>
      </c>
      <c r="U139" t="s">
        <v>1735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1753</v>
      </c>
      <c r="J140" t="s">
        <v>1589</v>
      </c>
      <c r="K140" t="s">
        <v>1728</v>
      </c>
      <c r="P140">
        <v>1</v>
      </c>
      <c r="U140" t="s">
        <v>1735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1754</v>
      </c>
      <c r="J141" t="s">
        <v>1589</v>
      </c>
      <c r="K141" t="s">
        <v>1728</v>
      </c>
      <c r="P141">
        <v>1</v>
      </c>
      <c r="U141" t="s">
        <v>1735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1773</v>
      </c>
      <c r="J142" t="s">
        <v>1589</v>
      </c>
      <c r="K142" t="s">
        <v>1728</v>
      </c>
      <c r="P142">
        <v>1</v>
      </c>
      <c r="U142" t="s">
        <v>1735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1774</v>
      </c>
      <c r="J143" t="s">
        <v>1589</v>
      </c>
      <c r="K143" t="s">
        <v>1728</v>
      </c>
      <c r="P143">
        <v>1</v>
      </c>
      <c r="U143" t="s">
        <v>1735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1757</v>
      </c>
      <c r="J144" t="s">
        <v>1589</v>
      </c>
      <c r="K144" t="s">
        <v>1728</v>
      </c>
      <c r="P144">
        <v>1</v>
      </c>
      <c r="U144" t="s">
        <v>1735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1758</v>
      </c>
      <c r="J145" t="s">
        <v>1589</v>
      </c>
      <c r="K145" t="s">
        <v>1728</v>
      </c>
      <c r="P145">
        <v>1</v>
      </c>
      <c r="U145" t="s">
        <v>1735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1759</v>
      </c>
      <c r="J146" t="s">
        <v>1589</v>
      </c>
      <c r="K146" t="s">
        <v>1728</v>
      </c>
      <c r="P146">
        <v>1</v>
      </c>
      <c r="U146" t="s">
        <v>1735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1760</v>
      </c>
      <c r="J147" t="s">
        <v>1589</v>
      </c>
      <c r="P147">
        <v>1</v>
      </c>
      <c r="U147" t="s">
        <v>1735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1761</v>
      </c>
      <c r="X147" t="s">
        <v>1762</v>
      </c>
    </row>
    <row r="148" spans="1:24">
      <c r="C148">
        <v>8956</v>
      </c>
      <c r="D148">
        <v>47</v>
      </c>
      <c r="I148" t="s">
        <v>1763</v>
      </c>
      <c r="J148" t="s">
        <v>1589</v>
      </c>
      <c r="P148">
        <v>1</v>
      </c>
      <c r="U148" t="s">
        <v>1735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1761</v>
      </c>
      <c r="X148" t="s">
        <v>1762</v>
      </c>
    </row>
    <row r="149" spans="1:24">
      <c r="C149">
        <v>8955</v>
      </c>
      <c r="D149">
        <v>47</v>
      </c>
      <c r="I149" t="s">
        <v>1764</v>
      </c>
      <c r="J149" t="s">
        <v>1589</v>
      </c>
      <c r="P149">
        <v>1</v>
      </c>
      <c r="U149" t="s">
        <v>1735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1761</v>
      </c>
      <c r="X149" t="s">
        <v>1762</v>
      </c>
    </row>
    <row r="150" spans="1:24">
      <c r="C150">
        <v>8957</v>
      </c>
      <c r="D150">
        <v>47</v>
      </c>
      <c r="I150" t="s">
        <v>1765</v>
      </c>
      <c r="J150" t="s">
        <v>1589</v>
      </c>
      <c r="P150">
        <v>1</v>
      </c>
      <c r="U150" t="s">
        <v>1735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1761</v>
      </c>
      <c r="X150" t="s">
        <v>1762</v>
      </c>
    </row>
    <row r="151" spans="1:24">
      <c r="C151">
        <v>17234</v>
      </c>
      <c r="D151">
        <v>47</v>
      </c>
      <c r="I151" t="s">
        <v>1766</v>
      </c>
      <c r="J151" t="s">
        <v>1589</v>
      </c>
      <c r="P151">
        <v>1</v>
      </c>
      <c r="U151" t="s">
        <v>1735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1761</v>
      </c>
      <c r="X151" t="s">
        <v>1762</v>
      </c>
    </row>
    <row r="152" spans="1:24">
      <c r="C152">
        <v>17233</v>
      </c>
      <c r="D152">
        <v>47</v>
      </c>
      <c r="I152" t="s">
        <v>1767</v>
      </c>
      <c r="J152" t="s">
        <v>1589</v>
      </c>
      <c r="P152">
        <v>1</v>
      </c>
      <c r="U152" t="s">
        <v>1735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1761</v>
      </c>
      <c r="X152" t="s">
        <v>1762</v>
      </c>
    </row>
    <row r="153" spans="1:24">
      <c r="C153">
        <v>17236</v>
      </c>
      <c r="D153">
        <v>47</v>
      </c>
      <c r="I153" t="s">
        <v>1768</v>
      </c>
      <c r="J153" t="s">
        <v>1589</v>
      </c>
      <c r="P153">
        <v>1</v>
      </c>
      <c r="U153" t="s">
        <v>1735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1761</v>
      </c>
      <c r="X153" t="s">
        <v>1762</v>
      </c>
    </row>
    <row r="154" spans="1:24">
      <c r="C154">
        <v>17235</v>
      </c>
      <c r="D154">
        <v>47</v>
      </c>
      <c r="I154" t="s">
        <v>1769</v>
      </c>
      <c r="J154" t="s">
        <v>1589</v>
      </c>
      <c r="P154">
        <v>1</v>
      </c>
      <c r="U154" t="s">
        <v>1735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1761</v>
      </c>
      <c r="X154" t="s">
        <v>1762</v>
      </c>
    </row>
    <row r="155" spans="1:24">
      <c r="A155" t="s">
        <v>682</v>
      </c>
      <c r="B155">
        <v>22</v>
      </c>
      <c r="V155" t="str">
        <f t="shared" si="2"/>
        <v>},[22]={</v>
      </c>
    </row>
    <row r="156" spans="1:24">
      <c r="C156">
        <v>36413</v>
      </c>
      <c r="D156">
        <v>52</v>
      </c>
      <c r="I156" t="s">
        <v>1775</v>
      </c>
      <c r="J156" t="s">
        <v>1479</v>
      </c>
      <c r="U156" t="s">
        <v>1776</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1777</v>
      </c>
      <c r="X156" t="s">
        <v>1778</v>
      </c>
    </row>
    <row r="157" customFormat="1" spans="1:24">
      <c r="C157" s="7">
        <v>30562</v>
      </c>
      <c r="D157">
        <v>47</v>
      </c>
      <c r="I157" t="s">
        <v>1779</v>
      </c>
      <c r="J157" t="s">
        <v>1589</v>
      </c>
      <c r="P157">
        <v>1</v>
      </c>
      <c r="U157" t="s">
        <v>1708</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1780</v>
      </c>
      <c r="J158" t="s">
        <v>1589</v>
      </c>
      <c r="P158">
        <v>1</v>
      </c>
      <c r="U158" t="s">
        <v>1735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1781</v>
      </c>
      <c r="J160" t="s">
        <v>1479</v>
      </c>
      <c r="U160" t="s">
        <v>1782</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1783</v>
      </c>
      <c r="X160" t="s">
        <v>1784</v>
      </c>
    </row>
    <row r="161" customFormat="1" spans="1:24">
      <c r="C161">
        <v>30041</v>
      </c>
      <c r="D161">
        <v>52</v>
      </c>
      <c r="I161" t="s">
        <v>1785</v>
      </c>
      <c r="U161" t="s">
        <v>1673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1674</v>
      </c>
    </row>
    <row r="162" customFormat="1" spans="1:24">
      <c r="C162">
        <v>29801</v>
      </c>
      <c r="D162">
        <v>52</v>
      </c>
      <c r="I162" t="s">
        <v>1786</v>
      </c>
      <c r="U162" t="s">
        <v>1671</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1786</v>
      </c>
      <c r="U163" t="s">
        <v>1671</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1786</v>
      </c>
      <c r="U164" t="s">
        <v>1671</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1786</v>
      </c>
      <c r="U165" t="s">
        <v>1671</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1787</v>
      </c>
      <c r="U166" t="s">
        <v>1671</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1787</v>
      </c>
      <c r="U167" t="s">
        <v>1671</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1787</v>
      </c>
      <c r="U168" t="s">
        <v>1671</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1787</v>
      </c>
      <c r="U169" t="s">
        <v>1671</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1787</v>
      </c>
      <c r="U170" t="s">
        <v>1671</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1787</v>
      </c>
      <c r="U171" t="s">
        <v>1671</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1788</v>
      </c>
      <c r="J172" t="s">
        <v>1589</v>
      </c>
      <c r="P172">
        <v>1</v>
      </c>
      <c r="U172" t="s">
        <v>1708</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1789</v>
      </c>
      <c r="J173" t="s">
        <v>1589</v>
      </c>
      <c r="P173">
        <v>1</v>
      </c>
      <c r="U173" t="s">
        <v>1735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1790</v>
      </c>
      <c r="J175" t="s">
        <v>1479</v>
      </c>
      <c r="U175" t="s">
        <v>1791</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1792</v>
      </c>
      <c r="X175" t="s">
        <v>1793</v>
      </c>
    </row>
    <row r="176" spans="1:24">
      <c r="C176">
        <v>36435</v>
      </c>
      <c r="D176">
        <v>52</v>
      </c>
      <c r="I176" t="s">
        <v>1794</v>
      </c>
      <c r="J176" t="s">
        <v>1479</v>
      </c>
      <c r="U176" t="s">
        <v>1795</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1796</v>
      </c>
      <c r="X176" t="s">
        <v>1797</v>
      </c>
    </row>
    <row r="177" customFormat="1" spans="1:24">
      <c r="C177" s="7">
        <v>59877</v>
      </c>
      <c r="D177">
        <v>47</v>
      </c>
      <c r="I177" t="s">
        <v>1798</v>
      </c>
      <c r="J177" t="s">
        <v>1589</v>
      </c>
      <c r="P177">
        <v>1</v>
      </c>
      <c r="U177" t="s">
        <v>1735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1799</v>
      </c>
      <c r="J178" t="s">
        <v>1589</v>
      </c>
      <c r="P178">
        <v>1</v>
      </c>
      <c r="U178" t="s">
        <v>1735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1800</v>
      </c>
      <c r="J180" t="s">
        <v>1479</v>
      </c>
      <c r="U180" t="s">
        <v>1801</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1802</v>
      </c>
      <c r="X180" t="s">
        <v>1803</v>
      </c>
    </row>
    <row r="181" spans="1:24">
      <c r="C181">
        <v>36415</v>
      </c>
      <c r="D181">
        <v>52</v>
      </c>
      <c r="I181" t="s">
        <v>1804</v>
      </c>
      <c r="J181" t="s">
        <v>1479</v>
      </c>
      <c r="U181" t="s">
        <v>1805</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1806</v>
      </c>
      <c r="X181" t="s">
        <v>1807</v>
      </c>
    </row>
    <row r="182" customFormat="1" spans="1:24">
      <c r="C182">
        <v>30021</v>
      </c>
      <c r="D182">
        <v>52</v>
      </c>
      <c r="I182" t="s">
        <v>1808</v>
      </c>
      <c r="U182" t="s">
        <v>1673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1674</v>
      </c>
    </row>
    <row r="183" customFormat="1" spans="1:24">
      <c r="C183">
        <v>30022</v>
      </c>
      <c r="D183">
        <v>52</v>
      </c>
      <c r="I183" t="s">
        <v>1808</v>
      </c>
      <c r="U183" t="s">
        <v>1673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1674</v>
      </c>
    </row>
    <row r="184" customFormat="1" spans="1:24">
      <c r="C184">
        <v>30023</v>
      </c>
      <c r="D184">
        <v>52</v>
      </c>
      <c r="I184" t="s">
        <v>1808</v>
      </c>
      <c r="U184" t="s">
        <v>1673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1674</v>
      </c>
    </row>
    <row r="185" customFormat="1" spans="1:24">
      <c r="C185">
        <v>30024</v>
      </c>
      <c r="D185">
        <v>52</v>
      </c>
      <c r="I185" t="s">
        <v>1808</v>
      </c>
      <c r="U185" t="s">
        <v>1673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1674</v>
      </c>
    </row>
    <row r="186" customFormat="1" spans="1:24">
      <c r="C186">
        <v>30221</v>
      </c>
      <c r="D186">
        <v>52</v>
      </c>
      <c r="I186" t="s">
        <v>1809</v>
      </c>
      <c r="U186" t="s">
        <v>1668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1809</v>
      </c>
      <c r="U187" t="s">
        <v>1668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1809</v>
      </c>
      <c r="U188" t="s">
        <v>1668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1809</v>
      </c>
      <c r="U189" t="s">
        <v>1668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1810</v>
      </c>
      <c r="U190" t="s">
        <v>1668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1810</v>
      </c>
      <c r="U191" t="s">
        <v>1668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1810</v>
      </c>
      <c r="U192" t="s">
        <v>1668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1811</v>
      </c>
      <c r="U193" t="s">
        <v>1671</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1811</v>
      </c>
      <c r="U194" t="s">
        <v>1671</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1811</v>
      </c>
      <c r="U195" t="s">
        <v>1671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1811</v>
      </c>
      <c r="U196" t="s">
        <v>1671</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1811</v>
      </c>
      <c r="U197" t="s">
        <v>1671</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1811</v>
      </c>
      <c r="U198" t="s">
        <v>1671</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1811</v>
      </c>
      <c r="U199" t="s">
        <v>1671</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1811</v>
      </c>
      <c r="U200" t="s">
        <v>1671</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1811</v>
      </c>
      <c r="U201" t="s">
        <v>1671</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1811</v>
      </c>
      <c r="U202" t="s">
        <v>1671</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1812</v>
      </c>
      <c r="U203" t="s">
        <v>1671</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1811</v>
      </c>
      <c r="U204" t="s">
        <v>1671</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1813</v>
      </c>
      <c r="J205" t="s">
        <v>1589</v>
      </c>
      <c r="P205">
        <v>1</v>
      </c>
      <c r="U205" t="s">
        <v>1735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1814</v>
      </c>
      <c r="J206" t="s">
        <v>1589</v>
      </c>
      <c r="P206">
        <v>1</v>
      </c>
      <c r="U206" t="s">
        <v>1735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1815</v>
      </c>
      <c r="J208" t="s">
        <v>1479</v>
      </c>
      <c r="U208" t="s">
        <v>1816</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1817</v>
      </c>
      <c r="X208" t="s">
        <v>1818</v>
      </c>
    </row>
    <row r="209" spans="1:24">
      <c r="C209">
        <v>36432</v>
      </c>
      <c r="D209">
        <v>52</v>
      </c>
      <c r="I209" t="s">
        <v>1819</v>
      </c>
      <c r="J209" t="s">
        <v>1479</v>
      </c>
      <c r="U209" t="s">
        <v>1820</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1821</v>
      </c>
      <c r="X209" t="s">
        <v>1822</v>
      </c>
    </row>
    <row r="210" customFormat="1" spans="1:24">
      <c r="C210" s="7">
        <v>59875</v>
      </c>
      <c r="D210">
        <v>47</v>
      </c>
      <c r="I210" t="s">
        <v>1823</v>
      </c>
      <c r="J210" t="s">
        <v>1589</v>
      </c>
      <c r="P210">
        <v>1</v>
      </c>
      <c r="U210" t="s">
        <v>1735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1824</v>
      </c>
      <c r="J211" t="s">
        <v>1589</v>
      </c>
      <c r="P211">
        <v>1</v>
      </c>
      <c r="U211" t="s">
        <v>1735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1825</v>
      </c>
      <c r="J213" t="s">
        <v>1479</v>
      </c>
      <c r="U213" t="s">
        <v>1826</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1827</v>
      </c>
      <c r="X213" t="s">
        <v>1828</v>
      </c>
    </row>
    <row r="214" spans="1:24">
      <c r="C214">
        <v>36431</v>
      </c>
      <c r="D214">
        <v>52</v>
      </c>
      <c r="I214" t="s">
        <v>1829</v>
      </c>
      <c r="J214" t="s">
        <v>1479</v>
      </c>
      <c r="U214" t="s">
        <v>1830</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1831</v>
      </c>
      <c r="X214" t="s">
        <v>1832</v>
      </c>
    </row>
    <row r="215" spans="1:24">
      <c r="A215" t="s">
        <v>720</v>
      </c>
      <c r="B215">
        <v>35</v>
      </c>
      <c r="V215" t="str">
        <f t="shared" si="3"/>
        <v>},[35]={</v>
      </c>
    </row>
    <row r="216" spans="1:24">
      <c r="C216">
        <v>36425</v>
      </c>
      <c r="D216">
        <v>52</v>
      </c>
      <c r="I216" t="s">
        <v>1833</v>
      </c>
      <c r="J216" t="s">
        <v>1479</v>
      </c>
      <c r="U216" t="s">
        <v>1834</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1835</v>
      </c>
      <c r="X216" t="s">
        <v>1836</v>
      </c>
    </row>
    <row r="217" spans="1:24">
      <c r="C217">
        <v>36424</v>
      </c>
      <c r="D217">
        <v>52</v>
      </c>
      <c r="I217" t="s">
        <v>1837</v>
      </c>
      <c r="J217" t="s">
        <v>1479</v>
      </c>
      <c r="U217" t="s">
        <v>1838</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1839</v>
      </c>
      <c r="X217" t="s">
        <v>1840</v>
      </c>
    </row>
    <row r="218" customFormat="1" spans="1:24">
      <c r="C218" s="5">
        <v>29202</v>
      </c>
      <c r="D218">
        <v>52</v>
      </c>
      <c r="I218" t="s">
        <v>1841</v>
      </c>
      <c r="U218" t="s">
        <v>1671</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1842</v>
      </c>
      <c r="U219" t="s">
        <v>1671</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1842</v>
      </c>
      <c r="U220" t="s">
        <v>1671</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1842</v>
      </c>
      <c r="U221" t="s">
        <v>1671</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1842</v>
      </c>
      <c r="U222" t="s">
        <v>1671</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1843</v>
      </c>
      <c r="J224" t="s">
        <v>1479</v>
      </c>
      <c r="U224" t="s">
        <v>1844</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1845</v>
      </c>
      <c r="X224" t="s">
        <v>1846</v>
      </c>
    </row>
    <row r="225" spans="1:24">
      <c r="C225">
        <v>36426</v>
      </c>
      <c r="D225">
        <v>52</v>
      </c>
      <c r="I225" t="s">
        <v>1847</v>
      </c>
      <c r="J225" t="s">
        <v>1479</v>
      </c>
      <c r="U225" t="s">
        <v>1848</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1849</v>
      </c>
      <c r="X225" t="s">
        <v>1850</v>
      </c>
    </row>
    <row r="226" spans="1:24">
      <c r="A226" t="s">
        <v>841</v>
      </c>
      <c r="B226">
        <v>101</v>
      </c>
      <c r="V226" t="str">
        <f t="shared" si="3"/>
        <v>},[101]={</v>
      </c>
    </row>
    <row r="227" spans="1:24">
      <c r="C227">
        <v>36428</v>
      </c>
      <c r="D227">
        <v>52</v>
      </c>
      <c r="I227" t="s">
        <v>1851</v>
      </c>
      <c r="J227" t="s">
        <v>1479</v>
      </c>
      <c r="U227" t="s">
        <v>1852</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1853</v>
      </c>
      <c r="X227" t="s">
        <v>1854</v>
      </c>
    </row>
    <row r="228" spans="1:24">
      <c r="C228">
        <v>36429</v>
      </c>
      <c r="D228">
        <v>52</v>
      </c>
      <c r="I228" t="s">
        <v>1855</v>
      </c>
      <c r="J228" t="s">
        <v>1479</v>
      </c>
      <c r="U228" t="s">
        <v>1856</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1857</v>
      </c>
      <c r="X228" t="s">
        <v>1858</v>
      </c>
    </row>
    <row r="229" customFormat="1" spans="1:24">
      <c r="C229">
        <v>30006</v>
      </c>
      <c r="D229">
        <v>52</v>
      </c>
      <c r="I229" t="s">
        <v>1859</v>
      </c>
      <c r="U229" t="s">
        <v>1673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1674</v>
      </c>
    </row>
    <row r="230" customFormat="1" spans="1:24">
      <c r="C230">
        <v>30007</v>
      </c>
      <c r="D230">
        <v>52</v>
      </c>
      <c r="I230" t="s">
        <v>1859</v>
      </c>
      <c r="U230" t="s">
        <v>1673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1674</v>
      </c>
    </row>
    <row r="231" customFormat="1" spans="1:24">
      <c r="C231">
        <v>30008</v>
      </c>
      <c r="D231">
        <v>52</v>
      </c>
      <c r="I231" t="s">
        <v>1859</v>
      </c>
      <c r="U231" t="s">
        <v>1673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1674</v>
      </c>
    </row>
    <row r="232" customFormat="1" spans="1:24">
      <c r="C232">
        <v>29014</v>
      </c>
      <c r="D232">
        <v>52</v>
      </c>
      <c r="I232" t="s">
        <v>1860</v>
      </c>
      <c r="U232" t="s">
        <v>1671</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1861</v>
      </c>
      <c r="J234" t="s">
        <v>1479</v>
      </c>
      <c r="U234" t="s">
        <v>1862</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1863</v>
      </c>
      <c r="X234" t="s">
        <v>1864</v>
      </c>
    </row>
    <row r="235" spans="1:24">
      <c r="C235">
        <v>36419</v>
      </c>
      <c r="D235">
        <v>52</v>
      </c>
      <c r="I235" t="s">
        <v>1865</v>
      </c>
      <c r="J235" t="s">
        <v>1479</v>
      </c>
      <c r="U235" t="s">
        <v>1866</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1867</v>
      </c>
      <c r="X235" t="s">
        <v>1868</v>
      </c>
    </row>
    <row r="236" customFormat="1" spans="1:24">
      <c r="C236" s="7">
        <v>59872</v>
      </c>
      <c r="D236">
        <v>47</v>
      </c>
      <c r="I236" t="s">
        <v>1869</v>
      </c>
      <c r="J236" t="s">
        <v>1589</v>
      </c>
      <c r="P236">
        <v>1</v>
      </c>
      <c r="U236" t="s">
        <v>1735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1870</v>
      </c>
      <c r="J237" t="s">
        <v>1589</v>
      </c>
      <c r="P237">
        <v>1</v>
      </c>
      <c r="U237" t="s">
        <v>1735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1871</v>
      </c>
      <c r="J239" t="s">
        <v>1479</v>
      </c>
      <c r="U239" t="s">
        <v>1872</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1873</v>
      </c>
      <c r="X239" t="s">
        <v>1874</v>
      </c>
    </row>
    <row r="240" spans="1:24">
      <c r="C240">
        <v>36420</v>
      </c>
      <c r="D240">
        <v>52</v>
      </c>
      <c r="I240" t="s">
        <v>1875</v>
      </c>
      <c r="J240" t="s">
        <v>1479</v>
      </c>
      <c r="U240" t="s">
        <v>1876</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1877</v>
      </c>
      <c r="X240" t="s">
        <v>1878</v>
      </c>
    </row>
    <row r="241" spans="1:24">
      <c r="A241" t="s">
        <v>852</v>
      </c>
      <c r="B241">
        <v>105</v>
      </c>
      <c r="V241" t="str">
        <f t="shared" si="3"/>
        <v>},[105]={</v>
      </c>
    </row>
    <row r="242" spans="1:24">
      <c r="C242">
        <v>36436</v>
      </c>
      <c r="D242">
        <v>52</v>
      </c>
      <c r="I242" t="s">
        <v>1879</v>
      </c>
      <c r="J242" t="s">
        <v>1479</v>
      </c>
      <c r="U242" t="s">
        <v>1880</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1881</v>
      </c>
      <c r="X242" t="s">
        <v>1882</v>
      </c>
    </row>
    <row r="243" spans="1:24">
      <c r="C243">
        <v>36437</v>
      </c>
      <c r="D243">
        <v>52</v>
      </c>
      <c r="I243" t="s">
        <v>1883</v>
      </c>
      <c r="J243" t="s">
        <v>1479</v>
      </c>
      <c r="U243" t="s">
        <v>1884</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1885</v>
      </c>
      <c r="X243" t="s">
        <v>1886</v>
      </c>
    </row>
    <row r="244" customFormat="1" spans="1:24">
      <c r="C244">
        <v>30045</v>
      </c>
      <c r="D244">
        <v>52</v>
      </c>
      <c r="I244" t="s">
        <v>1887</v>
      </c>
      <c r="U244" t="s">
        <v>1673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1674</v>
      </c>
    </row>
    <row r="245" customFormat="1" spans="1:24">
      <c r="C245">
        <v>30044</v>
      </c>
      <c r="D245">
        <v>52</v>
      </c>
      <c r="I245" t="s">
        <v>1887</v>
      </c>
      <c r="U245" t="s">
        <v>1673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1674</v>
      </c>
    </row>
    <row r="246" customFormat="1" spans="1:24">
      <c r="C246">
        <v>30043</v>
      </c>
      <c r="D246">
        <v>52</v>
      </c>
      <c r="I246" t="s">
        <v>1887</v>
      </c>
      <c r="U246" t="s">
        <v>1673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1674</v>
      </c>
    </row>
    <row r="247" customFormat="1" spans="1:24">
      <c r="C247">
        <v>30042</v>
      </c>
      <c r="D247">
        <v>52</v>
      </c>
      <c r="I247" t="s">
        <v>1887</v>
      </c>
      <c r="U247" t="s">
        <v>1673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1674</v>
      </c>
    </row>
    <row r="248" customFormat="1" spans="1:24">
      <c r="C248">
        <v>30041</v>
      </c>
      <c r="D248">
        <v>52</v>
      </c>
      <c r="I248" t="s">
        <v>1887</v>
      </c>
      <c r="U248" t="s">
        <v>1673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1674</v>
      </c>
    </row>
    <row r="249" customFormat="1" spans="1:24">
      <c r="C249">
        <v>30242</v>
      </c>
      <c r="D249">
        <v>52</v>
      </c>
      <c r="I249" t="s">
        <v>1888</v>
      </c>
      <c r="U249" t="s">
        <v>1668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1888</v>
      </c>
      <c r="U250" t="s">
        <v>1668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1889</v>
      </c>
      <c r="U251" t="s">
        <v>1668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1889</v>
      </c>
      <c r="U252" t="s">
        <v>1668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1787</v>
      </c>
      <c r="U253" t="s">
        <v>1671</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1787</v>
      </c>
      <c r="U254" t="s">
        <v>1671</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1787</v>
      </c>
      <c r="U255" t="s">
        <v>1671</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1787</v>
      </c>
      <c r="U256" t="s">
        <v>1671</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1787</v>
      </c>
      <c r="U257" t="s">
        <v>1671</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1787</v>
      </c>
      <c r="U258" t="s">
        <v>1671</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1890</v>
      </c>
      <c r="U259" t="s">
        <v>1671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1890</v>
      </c>
      <c r="U260" t="s">
        <v>1671</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1890</v>
      </c>
      <c r="U261" t="s">
        <v>1671</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1890</v>
      </c>
      <c r="U262" t="s">
        <v>1671</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1890</v>
      </c>
      <c r="U263" t="s">
        <v>1671</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1890</v>
      </c>
      <c r="U264" t="s">
        <v>1671</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1890</v>
      </c>
      <c r="U265" t="s">
        <v>1671</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1890</v>
      </c>
      <c r="U266" t="s">
        <v>1671</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1891</v>
      </c>
      <c r="J267" t="s">
        <v>1589</v>
      </c>
      <c r="P267">
        <v>1</v>
      </c>
      <c r="U267" t="s">
        <v>1735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1892</v>
      </c>
      <c r="J268" t="s">
        <v>1589</v>
      </c>
      <c r="P268">
        <v>1</v>
      </c>
      <c r="U268" t="s">
        <v>1735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1893</v>
      </c>
      <c r="J270" t="s">
        <v>1479</v>
      </c>
      <c r="U270" t="s">
        <v>1894</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1895</v>
      </c>
      <c r="X270" t="s">
        <v>1896</v>
      </c>
    </row>
    <row r="271" customFormat="1" spans="1:24">
      <c r="C271">
        <v>36422</v>
      </c>
      <c r="D271">
        <v>52</v>
      </c>
      <c r="I271" t="s">
        <v>1897</v>
      </c>
      <c r="J271" t="s">
        <v>1479</v>
      </c>
      <c r="U271" t="s">
        <v>1898</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1899</v>
      </c>
      <c r="X271" t="s">
        <v>1900</v>
      </c>
    </row>
    <row r="272" customFormat="1" spans="1:24">
      <c r="C272" s="5">
        <v>29202</v>
      </c>
      <c r="D272">
        <v>52</v>
      </c>
      <c r="I272" t="s">
        <v>1841</v>
      </c>
      <c r="U272" t="s">
        <v>1671</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1901</v>
      </c>
      <c r="J274" t="s">
        <v>1479</v>
      </c>
      <c r="U274" t="s">
        <v>1902</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1903</v>
      </c>
      <c r="X274" t="s">
        <v>1904</v>
      </c>
    </row>
    <row r="275" spans="1:24">
      <c r="C275">
        <v>36416</v>
      </c>
      <c r="D275">
        <v>52</v>
      </c>
      <c r="I275" t="s">
        <v>1905</v>
      </c>
      <c r="J275" t="s">
        <v>1479</v>
      </c>
      <c r="U275" t="s">
        <v>1906</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1907</v>
      </c>
      <c r="X275" t="s">
        <v>1908</v>
      </c>
    </row>
    <row r="276" customFormat="1" spans="1:24">
      <c r="C276">
        <v>30063</v>
      </c>
      <c r="D276">
        <v>52</v>
      </c>
      <c r="I276" t="s">
        <v>1909</v>
      </c>
      <c r="U276" t="s">
        <v>1673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1674</v>
      </c>
    </row>
    <row r="277" customFormat="1" spans="1:24">
      <c r="C277">
        <v>30062</v>
      </c>
      <c r="D277">
        <v>52</v>
      </c>
      <c r="I277" t="s">
        <v>1909</v>
      </c>
      <c r="U277" t="s">
        <v>1673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1674</v>
      </c>
    </row>
    <row r="278" customFormat="1" spans="1:24">
      <c r="C278">
        <v>30061</v>
      </c>
      <c r="D278">
        <v>52</v>
      </c>
      <c r="I278" t="s">
        <v>1909</v>
      </c>
      <c r="U278" t="s">
        <v>1673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1674</v>
      </c>
    </row>
    <row r="279" customFormat="1" spans="1:24">
      <c r="C279">
        <v>30103</v>
      </c>
      <c r="D279">
        <v>52</v>
      </c>
      <c r="I279" t="s">
        <v>1910</v>
      </c>
      <c r="U279" t="s">
        <v>1668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1812</v>
      </c>
      <c r="U280" t="s">
        <v>1671</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1911</v>
      </c>
      <c r="J281" t="s">
        <v>1589</v>
      </c>
      <c r="P281">
        <v>1</v>
      </c>
      <c r="U281" t="s">
        <v>1735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1912</v>
      </c>
      <c r="J282" t="s">
        <v>1589</v>
      </c>
      <c r="P282">
        <v>1</v>
      </c>
      <c r="U282" t="s">
        <v>1735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1913</v>
      </c>
      <c r="J284" s="9" t="s">
        <v>642</v>
      </c>
      <c r="P284">
        <v>1</v>
      </c>
      <c r="U284" t="s">
        <v>1914</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1915</v>
      </c>
      <c r="J285" s="10" t="s">
        <v>647</v>
      </c>
      <c r="P285">
        <v>1</v>
      </c>
      <c r="U285" t="s">
        <v>1916</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1917</v>
      </c>
      <c r="J287" t="s">
        <v>1479</v>
      </c>
      <c r="O287">
        <v>1</v>
      </c>
      <c r="P287">
        <v>1</v>
      </c>
      <c r="U287" t="s">
        <v>1918</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1919</v>
      </c>
      <c r="X287" t="s">
        <v>1920</v>
      </c>
    </row>
    <row r="288" spans="1:24">
      <c r="C288">
        <v>123841</v>
      </c>
      <c r="D288">
        <v>52</v>
      </c>
      <c r="I288" t="s">
        <v>1921</v>
      </c>
      <c r="J288" t="s">
        <v>1479</v>
      </c>
      <c r="O288">
        <v>1</v>
      </c>
      <c r="P288">
        <v>1</v>
      </c>
      <c r="U288" t="s">
        <v>1922</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1923</v>
      </c>
      <c r="X288" t="s">
        <v>1924</v>
      </c>
    </row>
    <row r="289" spans="3:23">
      <c r="C289">
        <v>101012</v>
      </c>
      <c r="D289">
        <v>47</v>
      </c>
      <c r="I289" t="s">
        <v>1913</v>
      </c>
      <c r="J289" s="9" t="s">
        <v>642</v>
      </c>
      <c r="P289">
        <v>1</v>
      </c>
      <c r="U289" t="s">
        <v>1914</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1915</v>
      </c>
      <c r="J290" s="10" t="s">
        <v>647</v>
      </c>
      <c r="P290">
        <v>1</v>
      </c>
      <c r="U290" t="s">
        <v>1916</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1925</v>
      </c>
      <c r="P291">
        <v>1</v>
      </c>
      <c r="U291" t="s">
        <v>1926</v>
      </c>
      <c r="V291" t="str">
        <f t="shared" si="4"/>
        <v>{dwID=56526,nFrame=52,szNote="浩气牛车",[3]={bScreenHead=true,},[4]={},aFocus={{dwMapID=-1,nMaxDistance=40,tRelation={bAll=true,bEnemy=false,bAlly=false,},tLife={bEnable=false,szOperator="&gt;",nValue=0,},},},},</v>
      </c>
    </row>
    <row r="292" spans="3:23">
      <c r="C292">
        <v>56527</v>
      </c>
      <c r="D292">
        <v>52</v>
      </c>
      <c r="I292" t="s">
        <v>1927</v>
      </c>
      <c r="P292">
        <v>1</v>
      </c>
      <c r="U292" t="s">
        <v>1926</v>
      </c>
      <c r="V292" t="str">
        <f t="shared" si="4"/>
        <v>{dwID=56527,nFrame=52,szNote="恶人牛车",[3]={bScreenHead=true,},[4]={},aFocus={{dwMapID=-1,nMaxDistance=40,tRelation={bAll=true,bEnemy=false,bAlly=false,},tLife={bEnable=false,szOperator="&gt;",nValue=0,},},},},</v>
      </c>
    </row>
    <row r="293" spans="3:23">
      <c r="C293">
        <v>123976</v>
      </c>
      <c r="D293">
        <v>47</v>
      </c>
      <c r="I293" t="s">
        <v>1707</v>
      </c>
      <c r="P293">
        <v>1</v>
      </c>
      <c r="U293" t="s">
        <v>1928</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1709</v>
      </c>
    </row>
    <row r="294" spans="3:23">
      <c r="C294">
        <v>123975</v>
      </c>
      <c r="D294">
        <v>47</v>
      </c>
      <c r="I294" t="s">
        <v>1710</v>
      </c>
      <c r="P294">
        <v>1</v>
      </c>
      <c r="U294" t="s">
        <v>1928</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1711</v>
      </c>
    </row>
    <row r="295" customFormat="1" spans="3:23">
      <c r="C295">
        <v>124104</v>
      </c>
      <c r="D295">
        <v>52</v>
      </c>
      <c r="I295" t="s">
        <v>1929</v>
      </c>
      <c r="U295" t="s">
        <v>1673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1674</v>
      </c>
    </row>
    <row r="296" customFormat="1" spans="3:23">
      <c r="C296">
        <v>124103</v>
      </c>
      <c r="D296">
        <v>52</v>
      </c>
      <c r="I296" t="s">
        <v>1929</v>
      </c>
      <c r="U296" t="s">
        <v>1673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1674</v>
      </c>
    </row>
    <row r="297" customFormat="1" spans="3:23">
      <c r="C297">
        <v>124102</v>
      </c>
      <c r="D297">
        <v>52</v>
      </c>
      <c r="I297" t="s">
        <v>1929</v>
      </c>
      <c r="U297" t="s">
        <v>1673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1674</v>
      </c>
    </row>
    <row r="298" customFormat="1" spans="3:23">
      <c r="C298">
        <v>124101</v>
      </c>
      <c r="D298">
        <v>52</v>
      </c>
      <c r="I298" t="s">
        <v>1929</v>
      </c>
      <c r="U298" t="s">
        <v>1673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1674</v>
      </c>
    </row>
    <row r="299" spans="3:23">
      <c r="C299">
        <v>124280</v>
      </c>
      <c r="D299">
        <v>52</v>
      </c>
      <c r="I299" t="s">
        <v>1930</v>
      </c>
      <c r="U299" t="s">
        <v>1668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1930</v>
      </c>
      <c r="U300" t="s">
        <v>1668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1930</v>
      </c>
      <c r="U301" t="s">
        <v>1668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1930</v>
      </c>
      <c r="U302" t="s">
        <v>1668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1931</v>
      </c>
      <c r="U303" t="s">
        <v>1668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1931</v>
      </c>
      <c r="U304" t="s">
        <v>1668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1931</v>
      </c>
      <c r="U305" t="s">
        <v>1668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1931</v>
      </c>
      <c r="U306" t="s">
        <v>1668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1932</v>
      </c>
      <c r="U307" t="s">
        <v>1671</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1932</v>
      </c>
      <c r="U308" t="s">
        <v>1671</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1932</v>
      </c>
      <c r="U309" t="s">
        <v>1671</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1932</v>
      </c>
      <c r="U310" t="s">
        <v>1671</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1932</v>
      </c>
      <c r="U311" t="s">
        <v>1671</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1932</v>
      </c>
      <c r="U312" t="s">
        <v>1671</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1932</v>
      </c>
      <c r="U313" t="s">
        <v>1671</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1932</v>
      </c>
      <c r="U314" t="s">
        <v>1671</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1932</v>
      </c>
      <c r="U315" t="s">
        <v>1671</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1932</v>
      </c>
      <c r="U316" t="s">
        <v>1671</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1932</v>
      </c>
      <c r="U317" t="s">
        <v>1671</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1932</v>
      </c>
      <c r="U318" t="s">
        <v>1671</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1932</v>
      </c>
      <c r="U319" t="s">
        <v>1671</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1932</v>
      </c>
      <c r="U320" t="s">
        <v>1671</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1932</v>
      </c>
      <c r="U321" t="s">
        <v>1671</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1932</v>
      </c>
      <c r="U322" t="s">
        <v>1671</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1662</v>
      </c>
      <c r="U323" t="s">
        <v>1933</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1664</v>
      </c>
      <c r="U324" t="s">
        <v>1933</v>
      </c>
      <c r="V324" t="str">
        <f t="shared" si="5"/>
        <v>{dwID=123867,nFrame=47,szNote="小曾",[3]={},[4]={},aFocus={{dwMapID=-1,szDisplay="分线·传送",nMaxDistance=12,tRelation={bAll=false,bEnemy=false,bAlly=true,},tLife={bEnable=false,szOperator="&gt;",nValue=0,},},},},</v>
      </c>
    </row>
    <row r="325" customFormat="1" spans="1:23">
      <c r="C325" s="5">
        <v>66809</v>
      </c>
      <c r="D325">
        <v>57</v>
      </c>
      <c r="G325" t="s">
        <v>1675</v>
      </c>
      <c r="I325" t="s">
        <v>1676</v>
      </c>
      <c r="O325">
        <v>1</v>
      </c>
      <c r="U325" t="s">
        <v>1677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1699</v>
      </c>
      <c r="I326" t="s">
        <v>1700</v>
      </c>
      <c r="O326">
        <v>1</v>
      </c>
      <c r="P326">
        <v>1</v>
      </c>
      <c r="U326" t="s">
        <v>1701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1702</v>
      </c>
    </row>
    <row r="327" customFormat="1" spans="1:23">
      <c r="C327" s="5">
        <v>36005</v>
      </c>
      <c r="D327">
        <v>52</v>
      </c>
      <c r="I327" t="s">
        <v>1703</v>
      </c>
      <c r="P327">
        <v>1</v>
      </c>
      <c r="U327" t="s">
        <v>1704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1705</v>
      </c>
      <c r="P328">
        <v>1</v>
      </c>
      <c r="U328" t="s">
        <v>1706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1714</v>
      </c>
      <c r="J329" t="s">
        <v>1715</v>
      </c>
      <c r="P329">
        <v>1</v>
      </c>
      <c r="U329" t="s">
        <v>1716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1917</v>
      </c>
      <c r="J331" t="s">
        <v>1479</v>
      </c>
      <c r="O331">
        <v>1</v>
      </c>
      <c r="P331">
        <v>1</v>
      </c>
      <c r="U331" t="s">
        <v>1918</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1921</v>
      </c>
      <c r="J332" t="s">
        <v>1479</v>
      </c>
      <c r="O332">
        <v>1</v>
      </c>
      <c r="P332">
        <v>1</v>
      </c>
      <c r="U332" t="s">
        <v>1922</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1707</v>
      </c>
      <c r="P333">
        <v>1</v>
      </c>
      <c r="U333" t="s">
        <v>1928</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1709</v>
      </c>
    </row>
    <row r="334" spans="1:23">
      <c r="C334">
        <v>123975</v>
      </c>
      <c r="D334">
        <v>47</v>
      </c>
      <c r="I334" t="s">
        <v>1710</v>
      </c>
      <c r="P334">
        <v>1</v>
      </c>
      <c r="U334" t="s">
        <v>1928</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1711</v>
      </c>
    </row>
    <row r="335" customFormat="1" spans="1:23">
      <c r="C335">
        <v>124104</v>
      </c>
      <c r="D335">
        <v>52</v>
      </c>
      <c r="I335" t="s">
        <v>1934</v>
      </c>
      <c r="U335" t="s">
        <v>1673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1674</v>
      </c>
    </row>
    <row r="336" customFormat="1" spans="1:23">
      <c r="C336">
        <v>124103</v>
      </c>
      <c r="D336">
        <v>52</v>
      </c>
      <c r="I336" t="s">
        <v>1934</v>
      </c>
      <c r="U336" t="s">
        <v>1673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1674</v>
      </c>
    </row>
    <row r="337" customFormat="1" spans="3:23">
      <c r="C337">
        <v>124102</v>
      </c>
      <c r="D337">
        <v>52</v>
      </c>
      <c r="I337" t="s">
        <v>1934</v>
      </c>
      <c r="U337" t="s">
        <v>1673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1674</v>
      </c>
    </row>
    <row r="338" customFormat="1" spans="3:23">
      <c r="C338">
        <v>124101</v>
      </c>
      <c r="D338">
        <v>52</v>
      </c>
      <c r="I338" t="s">
        <v>1934</v>
      </c>
      <c r="U338" t="s">
        <v>1673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1674</v>
      </c>
    </row>
    <row r="339" spans="3:23">
      <c r="C339">
        <v>124280</v>
      </c>
      <c r="D339">
        <v>52</v>
      </c>
      <c r="I339" t="s">
        <v>1935</v>
      </c>
      <c r="U339" t="s">
        <v>1668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1935</v>
      </c>
      <c r="U340" t="s">
        <v>1668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1935</v>
      </c>
      <c r="U341" t="s">
        <v>1668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1935</v>
      </c>
      <c r="U342" t="s">
        <v>1668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1936</v>
      </c>
      <c r="U343" t="s">
        <v>1668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1936</v>
      </c>
      <c r="U344" t="s">
        <v>1668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1936</v>
      </c>
      <c r="U345" t="s">
        <v>1668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1936</v>
      </c>
      <c r="U346" t="s">
        <v>1668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1937</v>
      </c>
      <c r="U347" t="s">
        <v>1671</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1937</v>
      </c>
      <c r="U348" t="s">
        <v>1671</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1937</v>
      </c>
      <c r="U349" t="s">
        <v>1671</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1937</v>
      </c>
      <c r="U350" t="s">
        <v>1671</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1937</v>
      </c>
      <c r="U351" t="s">
        <v>1671</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1937</v>
      </c>
      <c r="U352" t="s">
        <v>1671</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1937</v>
      </c>
      <c r="U353" t="s">
        <v>1671</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1937</v>
      </c>
      <c r="U354" t="s">
        <v>1671</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1937</v>
      </c>
      <c r="U355" t="s">
        <v>1671</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1937</v>
      </c>
      <c r="U356" t="s">
        <v>1671</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1937</v>
      </c>
      <c r="U357" t="s">
        <v>1671</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1937</v>
      </c>
      <c r="U358" t="s">
        <v>1671</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1937</v>
      </c>
      <c r="U359" t="s">
        <v>1671</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1937</v>
      </c>
      <c r="U360" t="s">
        <v>1671</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1937</v>
      </c>
      <c r="U361" t="s">
        <v>1671</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1937</v>
      </c>
      <c r="U362" t="s">
        <v>1671</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1662</v>
      </c>
      <c r="U363" t="s">
        <v>1933</v>
      </c>
      <c r="V363" t="str">
        <f t="shared" si="5"/>
        <v>{dwID=123871,nFrame=47,szNote="小珍",[3]={},[4]={},aFocus={{dwMapID=-1,szDisplay="分线·传送",nMaxDistance=12,tRelation={bAll=false,bEnemy=false,bAlly=true,},tLife={bEnable=false,szOperator="&gt;",nValue=0,},},},},</v>
      </c>
    </row>
    <row r="364" spans="3:23">
      <c r="C364">
        <v>123867</v>
      </c>
      <c r="D364">
        <v>47</v>
      </c>
      <c r="I364" t="s">
        <v>1664</v>
      </c>
      <c r="U364" t="s">
        <v>1933</v>
      </c>
      <c r="V364" t="str">
        <f t="shared" si="5"/>
        <v>{dwID=123867,nFrame=47,szNote="小曾",[3]={},[4]={},aFocus={{dwMapID=-1,szDisplay="分线·传送",nMaxDistance=12,tRelation={bAll=false,bEnemy=false,bAlly=true,},tLife={bEnable=false,szOperator="&gt;",nValue=0,},},},},</v>
      </c>
    </row>
    <row r="365" customFormat="1" spans="3:23">
      <c r="C365" s="5">
        <v>66809</v>
      </c>
      <c r="D365">
        <v>57</v>
      </c>
      <c r="G365" t="s">
        <v>1675</v>
      </c>
      <c r="I365" t="s">
        <v>1676</v>
      </c>
      <c r="O365">
        <v>1</v>
      </c>
      <c r="U365" t="s">
        <v>1677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1699</v>
      </c>
      <c r="I366" t="s">
        <v>1700</v>
      </c>
      <c r="O366">
        <v>1</v>
      </c>
      <c r="P366">
        <v>1</v>
      </c>
      <c r="U366" t="s">
        <v>1701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1702</v>
      </c>
    </row>
    <row r="367" customFormat="1" spans="3:23">
      <c r="C367" s="5">
        <v>36005</v>
      </c>
      <c r="D367">
        <v>52</v>
      </c>
      <c r="I367" t="s">
        <v>1703</v>
      </c>
      <c r="P367">
        <v>1</v>
      </c>
      <c r="U367" t="s">
        <v>1704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1705</v>
      </c>
      <c r="P368">
        <v>1</v>
      </c>
      <c r="U368" t="s">
        <v>1706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1714</v>
      </c>
      <c r="J369" t="s">
        <v>1715</v>
      </c>
      <c r="P369">
        <v>1</v>
      </c>
      <c r="U369" t="s">
        <v>1716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1648</v>
      </c>
      <c r="E1" t="s">
        <v>1649</v>
      </c>
      <c r="F1" t="s">
        <v>1426</v>
      </c>
      <c r="G1" t="s">
        <v>1429</v>
      </c>
      <c r="H1" t="s">
        <v>44</v>
      </c>
      <c r="I1" t="s">
        <v>1430</v>
      </c>
      <c r="J1" t="s">
        <v>1938</v>
      </c>
      <c r="K1" t="s">
        <v>1939</v>
      </c>
      <c r="L1" t="s">
        <v>1940</v>
      </c>
      <c r="M1" t="s">
        <v>1941</v>
      </c>
      <c r="N1" t="s">
        <v>1942</v>
      </c>
      <c r="O1" t="s">
        <v>1943</v>
      </c>
      <c r="P1" t="s">
        <v>1944</v>
      </c>
      <c r="Q1" t="s">
        <v>1945</v>
      </c>
      <c r="R1" t="s">
        <v>1946</v>
      </c>
      <c r="S1" t="s">
        <v>1947</v>
      </c>
      <c r="T1" t="s">
        <v>239</v>
      </c>
      <c r="U1" t="s">
        <v>1948</v>
      </c>
      <c r="V1" t="s">
        <v>258</v>
      </c>
    </row>
    <row r="2" spans="1:22">
      <c r="A2" t="s">
        <v>1949</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1950</v>
      </c>
      <c r="I3" t="s">
        <v>1715</v>
      </c>
      <c r="N3">
        <v>1</v>
      </c>
      <c r="T3" t="s">
        <v>1951</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1952</v>
      </c>
      <c r="I4" t="s">
        <v>1715</v>
      </c>
      <c r="N4">
        <v>1</v>
      </c>
      <c r="T4" t="s">
        <v>1953</v>
      </c>
      <c r="U4" t="str">
        <f t="shared" si="0"/>
        <v>{dwID=5625,szName="物资箱·复活点",col={100,255,100,},[17]={bScreenHead=true,},[18]={},aFocus={{dwMapID=-1,szDisplay="物资箱·复活点",nMaxDistance=30,tRelation={bAll=true,bEnemy=false,bAlly=false,},tLife={bEnable=false,szOperator="&gt;",nValue=0,},},},},</v>
      </c>
    </row>
    <row r="5" spans="1:22">
      <c r="C5">
        <v>7518</v>
      </c>
      <c r="F5" t="s">
        <v>1954</v>
      </c>
      <c r="I5" t="s">
        <v>1715</v>
      </c>
      <c r="M5">
        <v>1</v>
      </c>
      <c r="N5">
        <v>1</v>
      </c>
      <c r="T5" t="s">
        <v>1955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1956</v>
      </c>
      <c r="I6" t="s">
        <v>1715</v>
      </c>
      <c r="M6">
        <v>1</v>
      </c>
      <c r="N6">
        <v>1</v>
      </c>
      <c r="T6" t="s">
        <v>1957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1958</v>
      </c>
      <c r="I8" s="9" t="s">
        <v>642</v>
      </c>
      <c r="N8">
        <v>1</v>
      </c>
      <c r="T8" t="s">
        <v>1959</v>
      </c>
      <c r="U8" t="str">
        <f t="shared" si="0"/>
        <v>{dwID=7011,szNote="祭天护送恶人宝箱",col={255,120,31,},[17]={bScreenHead=true,},[18]={},aFocus={{dwMapID=-1,nMaxDistance=60,tRelation={bAll=true,bEnemy=false,bAlly=false,},tLife={bEnable=false,szOperator="&gt;",nValue=0,},},},},</v>
      </c>
    </row>
    <row r="9" spans="1:22">
      <c r="C9">
        <v>7010</v>
      </c>
      <c r="H9" t="s">
        <v>1960</v>
      </c>
      <c r="I9" s="10" t="s">
        <v>647</v>
      </c>
      <c r="N9">
        <v>1</v>
      </c>
      <c r="T9" t="s">
        <v>1959</v>
      </c>
      <c r="U9" t="str">
        <f t="shared" si="0"/>
        <v>{dwID=7010,szNote="祭天护送浩气宝箱",col={31,230,255,},[17]={bScreenHead=true,},[18]={},aFocus={{dwMapID=-1,nMaxDistance=60,tRelation={bAll=true,bEnemy=false,bAlly=false,},tLife={bEnable=false,szOperator="&gt;",nValue=0,},},},},</v>
      </c>
    </row>
    <row r="10" spans="1:22">
      <c r="C10">
        <v>8418</v>
      </c>
      <c r="F10" t="s">
        <v>1961</v>
      </c>
      <c r="I10" t="s">
        <v>1715</v>
      </c>
      <c r="M10">
        <v>1</v>
      </c>
      <c r="N10">
        <v>1</v>
      </c>
      <c r="T10" t="s">
        <v>1962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1963</v>
      </c>
      <c r="I11" t="s">
        <v>1715</v>
      </c>
      <c r="M11">
        <v>1</v>
      </c>
      <c r="N11">
        <v>1</v>
      </c>
      <c r="T11" t="s">
        <v>1964</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1961</v>
      </c>
      <c r="I13" t="s">
        <v>1715</v>
      </c>
      <c r="M13">
        <v>1</v>
      </c>
      <c r="N13">
        <v>1</v>
      </c>
      <c r="T13" t="s">
        <v>1962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1963</v>
      </c>
      <c r="I14" t="s">
        <v>1715</v>
      </c>
      <c r="M14">
        <v>1</v>
      </c>
      <c r="N14">
        <v>1</v>
      </c>
      <c r="T14" t="s">
        <v>1964</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1961</v>
      </c>
      <c r="I16" t="s">
        <v>1715</v>
      </c>
      <c r="M16">
        <v>1</v>
      </c>
      <c r="N16">
        <v>1</v>
      </c>
      <c r="T16" t="s">
        <v>1962</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1963</v>
      </c>
      <c r="I17" t="s">
        <v>1715</v>
      </c>
      <c r="M17">
        <v>1</v>
      </c>
      <c r="N17">
        <v>1</v>
      </c>
      <c r="T17" t="s">
        <v>1964</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tabSelected="1" zoomScale="80" zoomScaleNormal="80" topLeftCell="E1" workbookViewId="0">
      <pane ySplit="1" topLeftCell="A2" activePane="bottomLeft" state="frozen"/>
      <selection/>
      <selection pane="bottomLeft" activeCell="V7" sqref="V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1965</v>
      </c>
      <c r="E1" t="s">
        <v>44</v>
      </c>
      <c r="F1" t="s">
        <v>1966</v>
      </c>
      <c r="G1" t="s">
        <v>1967</v>
      </c>
      <c r="H1" t="s">
        <v>1968</v>
      </c>
      <c r="I1" t="s">
        <v>1969</v>
      </c>
      <c r="J1" t="s">
        <v>1970</v>
      </c>
      <c r="K1" t="s">
        <v>1971</v>
      </c>
      <c r="L1" t="s">
        <v>1972</v>
      </c>
      <c r="M1" t="s">
        <v>1430</v>
      </c>
      <c r="N1" t="s">
        <v>1973</v>
      </c>
      <c r="O1" t="s">
        <v>1974</v>
      </c>
      <c r="P1" t="s">
        <v>1975</v>
      </c>
      <c r="Q1" t="s">
        <v>1976</v>
      </c>
      <c r="R1" t="s">
        <v>1977</v>
      </c>
      <c r="S1" t="s">
        <v>1978</v>
      </c>
      <c r="T1" t="s">
        <v>1979</v>
      </c>
      <c r="U1" t="s">
        <v>1980</v>
      </c>
      <c r="V1" t="s">
        <v>1981</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1982</v>
      </c>
      <c r="E3" t="s">
        <v>1983</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1984</v>
      </c>
    </row>
    <row r="4" customFormat="1" spans="1:28">
      <c r="D4" t="s">
        <v>1985</v>
      </c>
      <c r="E4" t="s">
        <v>1983</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1984</v>
      </c>
    </row>
    <row r="5" customFormat="1" spans="1:28">
      <c r="D5" t="s">
        <v>1986</v>
      </c>
      <c r="E5" t="s">
        <v>1987</v>
      </c>
      <c r="V5" t="str">
        <f t="shared" si="0"/>
        <v>{szContent="你获得了100点威名、100点战阶。",szNote="堆堆·助战首领",[14]={},tCountdown={{nClass=14,nIcon=13564,nFrame=1,szName="拾取间隔",nTime="300,助战堆·拾取物资·间隔剩余;310,助战堆·可以拾取物资了",nRefresh=1,key="首领拾取间隔",},},},</v>
      </c>
      <c r="W5" t="s">
        <v>1988</v>
      </c>
    </row>
    <row r="6" customFormat="1" spans="1:28">
      <c r="D6" t="s">
        <v>1989</v>
      </c>
      <c r="E6" t="s">
        <v>1990</v>
      </c>
      <c r="V6" t="str">
        <f t="shared" si="0"/>
        <v>{szContent="你获得了200点威名、200点战阶。受到了鼓舞，气力值消耗减少一段时间。",szNote="堆堆·驻场首领",[14]={},},</v>
      </c>
      <c r="AB6" s="7"/>
    </row>
    <row r="7" customFormat="1" spans="1:28">
      <c r="C7" t="s">
        <v>1991</v>
      </c>
      <c r="D7" s="8" t="s">
        <v>1992</v>
      </c>
      <c r="E7" t="s">
        <v>1993</v>
      </c>
      <c r="M7" t="s">
        <v>1994</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1995</v>
      </c>
      <c r="AB7" s="7"/>
    </row>
    <row r="8" customFormat="1" spans="1:28">
      <c r="C8" t="s">
        <v>1991</v>
      </c>
      <c r="D8" s="8" t="s">
        <v>1996</v>
      </c>
      <c r="E8" t="s">
        <v>1997</v>
      </c>
      <c r="M8" t="s">
        <v>1998</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1999</v>
      </c>
      <c r="AB8" s="7"/>
    </row>
    <row r="9" customFormat="1" spans="1:28">
      <c r="C9" t="s">
        <v>1991</v>
      </c>
      <c r="D9" s="8" t="s">
        <v>2000</v>
      </c>
      <c r="E9" t="s">
        <v>2001</v>
      </c>
      <c r="M9" t="s">
        <v>2002</v>
      </c>
      <c r="V9" t="str">
        <f t="shared" si="0"/>
        <v>{szContent="奇袭场战阶达到4000后，战阶换算贡献比例降低为10:1",szTarget="%",szNote="奇袭·贡献值·限速90%",col={255,255,100,},[14]={},tCountdown={{nClass=14,nIcon=13,szName="首领拾取间隔",nTime=-1,nRefresh=7200,key="首领拾取间隔",},},},</v>
      </c>
      <c r="W9" t="s">
        <v>2003</v>
      </c>
      <c r="AB9" s="7"/>
    </row>
    <row r="10" spans="1:28">
      <c r="C10" t="s">
        <v>1991</v>
      </c>
      <c r="D10" s="8" t="s">
        <v>2004</v>
      </c>
      <c r="E10" t="s">
        <v>2005</v>
      </c>
      <c r="M10" t="s">
        <v>2002</v>
      </c>
      <c r="V10" t="str">
        <f t="shared" si="0"/>
        <v>{szContent="奇袭场战阶达到2000后，战阶换算贡献比例降低为2:1",szTarget="%",szNote="奇袭·贡献值·限速50%",col={255,255,100,},[14]={},tCountdown={{nClass=14,nIcon=13,szName="首领拾取间隔",nTime=-1,nRefresh=7200,key="首领拾取间隔",},},},</v>
      </c>
      <c r="W10" t="s">
        <v>2003</v>
      </c>
      <c r="AB10" s="7"/>
    </row>
    <row r="11" spans="1:28">
      <c r="C11" t="s">
        <v>1991</v>
      </c>
      <c r="D11" s="8" t="s">
        <v>2006</v>
      </c>
      <c r="E11" t="s">
        <v>2007</v>
      </c>
      <c r="M11" t="s">
        <v>1994</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2008</v>
      </c>
    </row>
    <row r="12" spans="1:28">
      <c r="C12" t="s">
        <v>1991</v>
      </c>
      <c r="D12" s="8" t="s">
        <v>2009</v>
      </c>
      <c r="E12" t="s">
        <v>2010</v>
      </c>
      <c r="M12" t="s">
        <v>1998</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2011</v>
      </c>
    </row>
    <row r="13" customFormat="1" spans="1:28">
      <c r="C13" t="s">
        <v>2012</v>
      </c>
      <c r="D13" t="s">
        <v>2013</v>
      </c>
      <c r="E13" t="s">
        <v>2014</v>
      </c>
      <c r="F13" t="s">
        <v>2012</v>
      </c>
      <c r="G13" t="s">
        <v>2015</v>
      </c>
      <c r="I13" t="s">
        <v>2016</v>
      </c>
      <c r="J13" t="s">
        <v>2017</v>
      </c>
      <c r="K13" t="s">
        <v>2018</v>
      </c>
      <c r="L13" t="s">
        <v>2019</v>
      </c>
      <c r="M13" t="s">
        <v>1998</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2020</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2012</v>
      </c>
      <c r="D14" t="s">
        <v>2021</v>
      </c>
      <c r="E14" t="s">
        <v>2022</v>
      </c>
      <c r="F14" t="s">
        <v>2012</v>
      </c>
      <c r="G14" t="s">
        <v>2015</v>
      </c>
      <c r="I14" t="s">
        <v>2016</v>
      </c>
      <c r="J14" t="s">
        <v>2023</v>
      </c>
      <c r="K14" t="s">
        <v>2018</v>
      </c>
      <c r="L14" t="s">
        <v>2024</v>
      </c>
      <c r="M14" t="s">
        <v>1998</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2020</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2012</v>
      </c>
      <c r="D15" t="s">
        <v>2025</v>
      </c>
      <c r="E15" t="s">
        <v>2026</v>
      </c>
      <c r="F15" t="s">
        <v>2012</v>
      </c>
      <c r="G15" t="s">
        <v>2015</v>
      </c>
      <c r="I15" t="s">
        <v>2016</v>
      </c>
      <c r="J15" t="s">
        <v>2027</v>
      </c>
      <c r="K15" t="s">
        <v>2018</v>
      </c>
      <c r="L15" t="s">
        <v>2028</v>
      </c>
      <c r="M15" t="s">
        <v>1998</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2020</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2012</v>
      </c>
      <c r="D16" t="s">
        <v>2029</v>
      </c>
      <c r="E16" t="s">
        <v>2030</v>
      </c>
      <c r="F16" t="s">
        <v>2012</v>
      </c>
      <c r="G16" t="s">
        <v>2015</v>
      </c>
      <c r="I16" t="s">
        <v>2016</v>
      </c>
      <c r="J16" t="s">
        <v>2031</v>
      </c>
      <c r="K16" t="s">
        <v>2018</v>
      </c>
      <c r="L16" t="s">
        <v>2032</v>
      </c>
      <c r="M16" t="s">
        <v>1998</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2020</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2012</v>
      </c>
      <c r="D17" s="7" t="s">
        <v>2033</v>
      </c>
      <c r="E17" t="s">
        <v>2034</v>
      </c>
      <c r="F17" t="s">
        <v>2012</v>
      </c>
      <c r="G17" t="s">
        <v>2015</v>
      </c>
      <c r="H17"/>
      <c r="I17" t="s">
        <v>2016</v>
      </c>
      <c r="J17" t="s">
        <v>2035</v>
      </c>
      <c r="K17" t="s">
        <v>2018</v>
      </c>
      <c r="L17" t="s">
        <v>2036</v>
      </c>
      <c r="M17" t="s">
        <v>1998</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2020</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2015</v>
      </c>
      <c r="D18" t="s">
        <v>2037</v>
      </c>
      <c r="E18" t="s">
        <v>2038</v>
      </c>
      <c r="F18" t="s">
        <v>2015</v>
      </c>
      <c r="G18" t="s">
        <v>2012</v>
      </c>
      <c r="H18"/>
      <c r="I18" t="s">
        <v>2018</v>
      </c>
      <c r="J18" t="s">
        <v>2019</v>
      </c>
      <c r="K18" t="s">
        <v>2016</v>
      </c>
      <c r="L18" t="s">
        <v>2017</v>
      </c>
      <c r="M18" t="s">
        <v>1994</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2039</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2015</v>
      </c>
      <c r="D19" s="7" t="s">
        <v>2040</v>
      </c>
      <c r="E19" t="s">
        <v>2041</v>
      </c>
      <c r="F19" t="s">
        <v>2015</v>
      </c>
      <c r="G19" t="s">
        <v>2012</v>
      </c>
      <c r="H19"/>
      <c r="I19" t="s">
        <v>2018</v>
      </c>
      <c r="J19" t="s">
        <v>2024</v>
      </c>
      <c r="K19" t="s">
        <v>2016</v>
      </c>
      <c r="L19" t="s">
        <v>2023</v>
      </c>
      <c r="M19" t="s">
        <v>1994</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2039</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2015</v>
      </c>
      <c r="D20" t="s">
        <v>2042</v>
      </c>
      <c r="E20" t="s">
        <v>2043</v>
      </c>
      <c r="F20" t="s">
        <v>2015</v>
      </c>
      <c r="G20" t="s">
        <v>2012</v>
      </c>
      <c r="H20"/>
      <c r="I20" t="s">
        <v>2018</v>
      </c>
      <c r="J20" t="s">
        <v>2028</v>
      </c>
      <c r="K20" t="s">
        <v>2016</v>
      </c>
      <c r="L20" t="s">
        <v>2027</v>
      </c>
      <c r="M20" t="s">
        <v>1994</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2039</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2015</v>
      </c>
      <c r="D21" s="7" t="s">
        <v>2044</v>
      </c>
      <c r="E21" t="s">
        <v>2045</v>
      </c>
      <c r="F21" t="s">
        <v>2015</v>
      </c>
      <c r="G21" t="s">
        <v>2012</v>
      </c>
      <c r="H21"/>
      <c r="I21" t="s">
        <v>2018</v>
      </c>
      <c r="J21" t="s">
        <v>2032</v>
      </c>
      <c r="K21" t="s">
        <v>2016</v>
      </c>
      <c r="L21" t="s">
        <v>2031</v>
      </c>
      <c r="M21" t="s">
        <v>1994</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2039</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2015</v>
      </c>
      <c r="D22" t="s">
        <v>2046</v>
      </c>
      <c r="E22" t="s">
        <v>2047</v>
      </c>
      <c r="F22" t="s">
        <v>2015</v>
      </c>
      <c r="G22" t="s">
        <v>2012</v>
      </c>
      <c r="H22"/>
      <c r="I22" t="s">
        <v>2018</v>
      </c>
      <c r="J22" t="s">
        <v>2036</v>
      </c>
      <c r="K22" t="s">
        <v>2016</v>
      </c>
      <c r="L22" t="s">
        <v>2035</v>
      </c>
      <c r="M22" t="s">
        <v>1994</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2039</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2048</v>
      </c>
      <c r="E23" s="7" t="str">
        <f t="shared" ref="E23:E36" si="4">K23&amp;"·"&amp;L23&amp;"·败退"</f>
        <v>恶人·白某·败退</v>
      </c>
      <c r="F23" s="7" t="s">
        <v>2015</v>
      </c>
      <c r="G23" s="7" t="s">
        <v>2012</v>
      </c>
      <c r="I23" s="7" t="s">
        <v>2018</v>
      </c>
      <c r="J23" s="7" t="s">
        <v>2049</v>
      </c>
      <c r="K23" s="7" t="s">
        <v>2016</v>
      </c>
      <c r="L23" s="7" t="s">
        <v>2050</v>
      </c>
      <c r="M23" s="7" t="s">
        <v>1994</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2048</v>
      </c>
      <c r="E24" s="7" t="str">
        <f t="shared" si="4"/>
        <v>恶人·烟·败退</v>
      </c>
      <c r="F24" s="7" t="s">
        <v>2015</v>
      </c>
      <c r="G24" s="7" t="s">
        <v>2012</v>
      </c>
      <c r="I24" s="7" t="s">
        <v>2018</v>
      </c>
      <c r="J24" s="7" t="s">
        <v>2051</v>
      </c>
      <c r="K24" s="7" t="s">
        <v>2016</v>
      </c>
      <c r="L24" s="7" t="s">
        <v>2052</v>
      </c>
      <c r="M24" s="7" t="s">
        <v>1994</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2048</v>
      </c>
      <c r="E25" s="7" t="str">
        <f t="shared" si="4"/>
        <v>恶人·岳琅·败退</v>
      </c>
      <c r="F25" s="7" t="s">
        <v>2015</v>
      </c>
      <c r="G25" s="7" t="s">
        <v>2012</v>
      </c>
      <c r="I25" s="7" t="s">
        <v>2018</v>
      </c>
      <c r="J25" s="7" t="s">
        <v>2053</v>
      </c>
      <c r="K25" s="7" t="s">
        <v>2016</v>
      </c>
      <c r="L25" s="7" t="s">
        <v>2054</v>
      </c>
      <c r="M25" s="7" t="s">
        <v>1994</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2048</v>
      </c>
      <c r="E26" s="7" t="str">
        <f t="shared" si="4"/>
        <v>恶人·独孤修·败退</v>
      </c>
      <c r="F26" s="7" t="s">
        <v>2015</v>
      </c>
      <c r="G26" s="7" t="s">
        <v>2012</v>
      </c>
      <c r="I26" s="7" t="s">
        <v>2018</v>
      </c>
      <c r="J26" s="7" t="s">
        <v>2055</v>
      </c>
      <c r="K26" s="7" t="s">
        <v>2016</v>
      </c>
      <c r="L26" s="7" t="s">
        <v>2056</v>
      </c>
      <c r="M26" s="7" t="s">
        <v>1994</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2048</v>
      </c>
      <c r="E27" s="7" t="str">
        <f t="shared" si="4"/>
        <v>恶人·丁丁·败退</v>
      </c>
      <c r="F27" s="7" t="s">
        <v>2015</v>
      </c>
      <c r="G27" s="7" t="s">
        <v>2012</v>
      </c>
      <c r="I27" s="7" t="s">
        <v>2018</v>
      </c>
      <c r="J27" s="7" t="s">
        <v>2057</v>
      </c>
      <c r="K27" s="7" t="s">
        <v>2016</v>
      </c>
      <c r="L27" s="7" t="s">
        <v>2058</v>
      </c>
      <c r="M27" s="7" t="s">
        <v>1994</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2048</v>
      </c>
      <c r="E28" s="7" t="str">
        <f t="shared" si="4"/>
        <v>恶人·伊夜·败退</v>
      </c>
      <c r="F28" s="7" t="s">
        <v>2015</v>
      </c>
      <c r="G28" s="7" t="s">
        <v>2012</v>
      </c>
      <c r="I28" s="7" t="s">
        <v>2018</v>
      </c>
      <c r="J28" s="7" t="s">
        <v>2059</v>
      </c>
      <c r="K28" s="7" t="s">
        <v>2016</v>
      </c>
      <c r="L28" s="7" t="s">
        <v>2060</v>
      </c>
      <c r="M28" s="7" t="s">
        <v>1994</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2048</v>
      </c>
      <c r="E29" s="7" t="str">
        <f t="shared" si="4"/>
        <v>浩气·郭珠·败退</v>
      </c>
      <c r="F29" s="7" t="s">
        <v>2012</v>
      </c>
      <c r="G29" s="7" t="s">
        <v>2015</v>
      </c>
      <c r="I29" s="7" t="s">
        <v>2016</v>
      </c>
      <c r="J29" s="7" t="s">
        <v>2050</v>
      </c>
      <c r="K29" s="7" t="s">
        <v>2018</v>
      </c>
      <c r="L29" s="7" t="s">
        <v>2049</v>
      </c>
      <c r="M29" s="7" t="s">
        <v>1998</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2048</v>
      </c>
      <c r="E30" s="7" t="str">
        <f t="shared" si="4"/>
        <v>浩气·谢铃儿·败退</v>
      </c>
      <c r="F30" s="7" t="s">
        <v>2012</v>
      </c>
      <c r="G30" s="7" t="s">
        <v>2015</v>
      </c>
      <c r="I30" s="7" t="s">
        <v>2016</v>
      </c>
      <c r="J30" s="7" t="s">
        <v>2052</v>
      </c>
      <c r="K30" s="7" t="s">
        <v>2018</v>
      </c>
      <c r="L30" s="7" t="s">
        <v>2051</v>
      </c>
      <c r="M30" s="7" t="s">
        <v>1998</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2048</v>
      </c>
      <c r="E31" s="7" t="str">
        <f t="shared" si="4"/>
        <v>浩气·叶镜池·败退</v>
      </c>
      <c r="F31" s="7" t="s">
        <v>2012</v>
      </c>
      <c r="G31" s="7" t="s">
        <v>2015</v>
      </c>
      <c r="H31" s="7"/>
      <c r="I31" s="7" t="s">
        <v>2016</v>
      </c>
      <c r="J31" s="7" t="s">
        <v>2054</v>
      </c>
      <c r="K31" s="7" t="s">
        <v>2018</v>
      </c>
      <c r="L31" s="7" t="s">
        <v>2053</v>
      </c>
      <c r="M31" s="7" t="s">
        <v>1998</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2048</v>
      </c>
      <c r="E32" s="7" t="str">
        <f t="shared" si="4"/>
        <v>浩气·影·败退</v>
      </c>
      <c r="F32" s="7" t="s">
        <v>2012</v>
      </c>
      <c r="G32" s="7" t="s">
        <v>2015</v>
      </c>
      <c r="H32" s="7"/>
      <c r="I32" s="7" t="s">
        <v>2016</v>
      </c>
      <c r="J32" s="7" t="s">
        <v>2056</v>
      </c>
      <c r="K32" s="7" t="s">
        <v>2018</v>
      </c>
      <c r="L32" s="7" t="s">
        <v>2055</v>
      </c>
      <c r="M32" s="7" t="s">
        <v>1998</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2048</v>
      </c>
      <c r="E33" s="7" t="str">
        <f t="shared" si="4"/>
        <v>浩气·赵紫儿·败退</v>
      </c>
      <c r="F33" s="7" t="s">
        <v>2012</v>
      </c>
      <c r="G33" s="7" t="s">
        <v>2015</v>
      </c>
      <c r="H33" s="7"/>
      <c r="I33" s="7" t="s">
        <v>2016</v>
      </c>
      <c r="J33" s="7" t="s">
        <v>2058</v>
      </c>
      <c r="K33" s="7" t="s">
        <v>2018</v>
      </c>
      <c r="L33" s="7" t="s">
        <v>2057</v>
      </c>
      <c r="M33" s="7" t="s">
        <v>1998</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2048</v>
      </c>
      <c r="E34" s="7" t="str">
        <f t="shared" si="4"/>
        <v>浩气·小七·败退</v>
      </c>
      <c r="F34" s="7" t="s">
        <v>2012</v>
      </c>
      <c r="G34" s="7" t="s">
        <v>2015</v>
      </c>
      <c r="H34" s="7"/>
      <c r="I34" s="7" t="s">
        <v>2016</v>
      </c>
      <c r="J34" s="7" t="s">
        <v>2060</v>
      </c>
      <c r="K34" s="7" t="s">
        <v>2018</v>
      </c>
      <c r="L34" s="7" t="s">
        <v>2059</v>
      </c>
      <c r="M34" s="7" t="s">
        <v>1998</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2048</v>
      </c>
      <c r="E35" s="7" t="str">
        <f t="shared" si="4"/>
        <v>恶人·王遗风·败退</v>
      </c>
      <c r="F35" s="7" t="s">
        <v>2015</v>
      </c>
      <c r="G35" s="7" t="s">
        <v>2012</v>
      </c>
      <c r="H35" s="7"/>
      <c r="I35" s="7" t="s">
        <v>2018</v>
      </c>
      <c r="J35" s="7" t="s">
        <v>2012</v>
      </c>
      <c r="K35" s="7" t="s">
        <v>2016</v>
      </c>
      <c r="L35" s="7" t="s">
        <v>2015</v>
      </c>
      <c r="M35" s="7" t="s">
        <v>1994</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2048</v>
      </c>
      <c r="E36" s="7" t="str">
        <f t="shared" si="4"/>
        <v>浩气·谢渊·败退</v>
      </c>
      <c r="F36" s="7" t="s">
        <v>2012</v>
      </c>
      <c r="G36" s="7" t="s">
        <v>2015</v>
      </c>
      <c r="H36" s="7"/>
      <c r="I36" s="7" t="s">
        <v>2016</v>
      </c>
      <c r="J36" s="7" t="s">
        <v>2015</v>
      </c>
      <c r="K36" s="7" t="s">
        <v>2018</v>
      </c>
      <c r="L36" s="7" t="s">
        <v>2012</v>
      </c>
      <c r="M36" s="7" t="s">
        <v>1998</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1991</v>
      </c>
      <c r="D37" t="s">
        <v>2048</v>
      </c>
      <c r="E37" t="s">
        <v>2061</v>
      </c>
      <c r="F37"/>
      <c r="G37"/>
      <c r="M37" t="s">
        <v>2002</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2062</v>
      </c>
      <c r="X37" t="s">
        <v>2063</v>
      </c>
    </row>
    <row r="38" customFormat="1" spans="2:33">
      <c r="C38" t="s">
        <v>1991</v>
      </c>
      <c r="D38" t="s">
        <v>2064</v>
      </c>
      <c r="E38" t="s">
        <v>2065</v>
      </c>
      <c r="F38"/>
      <c r="G38"/>
      <c r="M38" t="s">
        <v>2002</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2066</v>
      </c>
      <c r="X38" t="s">
        <v>2067</v>
      </c>
      <c r="Y38" t="s">
        <v>2068</v>
      </c>
    </row>
    <row r="39" customFormat="1" spans="2:33">
      <c r="C39" t="s">
        <v>1991</v>
      </c>
      <c r="D39" t="s">
        <v>2069</v>
      </c>
      <c r="E39" t="s">
        <v>2070</v>
      </c>
      <c r="F39"/>
      <c r="G39"/>
      <c r="M39" t="s">
        <v>2002</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2071</v>
      </c>
      <c r="X39" t="s">
        <v>2072</v>
      </c>
      <c r="Y39" t="s">
        <v>2073</v>
      </c>
      <c r="Z39" t="s">
        <v>2074</v>
      </c>
      <c r="AA39" t="s">
        <v>2075</v>
      </c>
    </row>
    <row r="40" customFormat="1" spans="2:33">
      <c r="C40" t="s">
        <v>1991</v>
      </c>
      <c r="D40" t="s">
        <v>2076</v>
      </c>
      <c r="E40" t="s">
        <v>2077</v>
      </c>
      <c r="F40"/>
      <c r="G40"/>
      <c r="M40" t="s">
        <v>2002</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2078</v>
      </c>
      <c r="X40" t="s">
        <v>2079</v>
      </c>
      <c r="Y40" t="s">
        <v>2080</v>
      </c>
    </row>
    <row r="41" customFormat="1" spans="2:33">
      <c r="C41" t="s">
        <v>1991</v>
      </c>
      <c r="D41" t="s">
        <v>2081</v>
      </c>
      <c r="E41" t="s">
        <v>2082</v>
      </c>
      <c r="M41" t="s">
        <v>2002</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2078</v>
      </c>
      <c r="X41" t="s">
        <v>2079</v>
      </c>
      <c r="Y41" t="s">
        <v>2083</v>
      </c>
    </row>
    <row r="42" customFormat="1" spans="2:33">
      <c r="C42" t="s">
        <v>1991</v>
      </c>
      <c r="D42" t="s">
        <v>2084</v>
      </c>
      <c r="E42" t="s">
        <v>2085</v>
      </c>
      <c r="M42" t="s">
        <v>2002</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2086</v>
      </c>
      <c r="X42" t="s">
        <v>2087</v>
      </c>
      <c r="Y42" t="s">
        <v>2088</v>
      </c>
    </row>
    <row r="43" customFormat="1" spans="2:33">
      <c r="C43" t="s">
        <v>1991</v>
      </c>
      <c r="D43" t="s">
        <v>2089</v>
      </c>
      <c r="E43" t="s">
        <v>2090</v>
      </c>
      <c r="M43" t="s">
        <v>2002</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2086</v>
      </c>
      <c r="X43" t="s">
        <v>2087</v>
      </c>
      <c r="Y43" t="s">
        <v>2091</v>
      </c>
    </row>
    <row r="44" customFormat="1" spans="2:33">
      <c r="C44" t="s">
        <v>1991</v>
      </c>
      <c r="D44" t="s">
        <v>2092</v>
      </c>
      <c r="E44" t="s">
        <v>2093</v>
      </c>
      <c r="M44" t="s">
        <v>2002</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2094</v>
      </c>
    </row>
    <row r="45" customFormat="1" spans="2:33">
      <c r="C45" t="s">
        <v>1991</v>
      </c>
      <c r="D45" s="8" t="s">
        <v>2095</v>
      </c>
      <c r="E45" t="s">
        <v>2096</v>
      </c>
      <c r="M45" t="s">
        <v>2002</v>
      </c>
      <c r="S45">
        <v>1</v>
      </c>
      <c r="V45" t="str">
        <f t="shared" si="11"/>
        <v>{szContent="本周累计从奇袭场奖励堆获得战阶：20000/20000",szTarget="%",szNote="奇袭场·奖励堆·战阶已上限",col={255,255,100,},[14]={bCenterAlarm=true,},},</v>
      </c>
    </row>
    <row r="46" customFormat="1" spans="2:33">
      <c r="C46" t="s">
        <v>1991</v>
      </c>
      <c r="D46" s="8" t="s">
        <v>2097</v>
      </c>
      <c r="E46" t="s">
        <v>2098</v>
      </c>
      <c r="M46" t="s">
        <v>2002</v>
      </c>
      <c r="O46">
        <v>1</v>
      </c>
      <c r="S46">
        <v>1</v>
      </c>
      <c r="V46" t="str">
        <f t="shared" si="11"/>
        <v>{szContent="^本周累计从(.-)奖励堆获得战阶：(%d-)/(%d+)",szTarget="%",szNote="{$1}·累计奖励堆·[{$2}/{$3}]",col={255,255,100,},bReg=true,[14]={bCenterAlarm=true,},},</v>
      </c>
    </row>
    <row r="47" customFormat="1" spans="2:33">
      <c r="C47" t="s">
        <v>1991</v>
      </c>
      <c r="D47" s="8" t="s">
        <v>2099</v>
      </c>
      <c r="E47" t="s">
        <v>2100</v>
      </c>
      <c r="M47" t="s">
        <v>2002</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2700.1,{$5}{$4}{$6}·{$8}{$7}{$9};4500.1,{$5}{$4}{$6}·{$8}{$7}{$9}",szName="{$4}{$5}·{$6}分·{$7}{$8}·{$9}分",nRefresh=0,key="破阵点将·一·常驻",},{nClass=14,nIcon=7676,nFrame=-1,nTime="1800.14,{$5}{$4}{$6}·{$8}{$7}{$9}",szName="{$4}{$5}·{$6}分·{$7}{$8}·{$9}分",nRefresh=0,key="破阵点将·二·常驻",},{nClass=14,nIcon=13,szName="破阵点将·{$3}",nTime=-2,nRefresh=99999,key="破阵点将·{$3}·常驻",},{nClass=14,nIcon=1465,nFrame=-1,szName=" ",nTime=0.001,key="破阵点将·一·常驻",},{nClass=14,nIcon=1465,nFrame=-1,szName=" ",nTime=0.001,key="破阵点将·二·常驻",},},},</v>
      </c>
      <c r="W47" t="s">
        <v>2101</v>
      </c>
      <c r="X47" t="s">
        <v>2102</v>
      </c>
      <c r="Y47" t="s">
        <v>2103</v>
      </c>
      <c r="Z47" t="s">
        <v>2104</v>
      </c>
      <c r="AA47" t="s">
        <v>2105</v>
      </c>
      <c r="AB47" t="s">
        <v>2106</v>
      </c>
      <c r="AC47" t="s">
        <v>2107</v>
      </c>
      <c r="AD47" t="s">
        <v>2108</v>
      </c>
      <c r="AE47" t="s">
        <v>2109</v>
      </c>
      <c r="AF47" t="s">
        <v>2110</v>
      </c>
      <c r="AG47" t="s">
        <v>2111</v>
      </c>
    </row>
    <row r="48" customFormat="1" spans="2:33">
      <c r="D48" t="s">
        <v>2112</v>
      </c>
      <c r="E48" t="s">
        <v>2113</v>
      </c>
      <c r="M48" t="s">
        <v>2002</v>
      </c>
      <c r="V48" t="str">
        <f t="shared" si="11"/>
        <v>{szContent="五分钟内只可拾取一次对立阵营首领仓皇撤退留下的物资。",szNote="主场·助战首领堆·拾取间隔",col={255,255,100,},[14]={},tCountdown={{nClass=14,nIcon=13,szName="首领拾取间隔",nTime=-2,key="首领拾取间隔",},},},</v>
      </c>
      <c r="W48" t="s">
        <v>2114</v>
      </c>
    </row>
    <row r="49" spans="1:27">
      <c r="D49" t="s">
        <v>2115</v>
      </c>
      <c r="E49" t="s">
        <v>2116</v>
      </c>
      <c r="M49" t="s">
        <v>2002</v>
      </c>
      <c r="O49">
        <v>1</v>
      </c>
      <c r="V49" t="str">
        <f t="shared" si="11"/>
        <v>{szContent="放置一辆摧城车，本日本阵营还可放置(%d-)辆摧城车。",szNote="放置·摧城车",col={255,255,100,},bReg=true,[14]={},tCountdown={{nClass=14,nIcon=6158,nFrame=1,szName="摧城车·本日剩余·{$1}辆",nTime=10,key="摧城车",},},},</v>
      </c>
      <c r="W49" t="s">
        <v>2117</v>
      </c>
    </row>
    <row r="50" spans="1:27">
      <c r="D50" t="s">
        <v>2118</v>
      </c>
      <c r="E50" t="s">
        <v>2119</v>
      </c>
      <c r="M50" t="s">
        <v>2002</v>
      </c>
      <c r="V50" t="str">
        <f t="shared" si="11"/>
        <v>{szContent="当前分线即将关闭，请离场景内所有侠士。",szNote="分线关闭·请离侠士",col={255,255,100,},[14]={},},</v>
      </c>
    </row>
    <row r="51" customFormat="1" spans="1:27">
      <c r="C51" t="s">
        <v>1991</v>
      </c>
      <c r="D51" t="s">
        <v>2120</v>
      </c>
      <c r="E51" t="s">
        <v>2121</v>
      </c>
      <c r="M51" t="s">
        <v>2002</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2122</v>
      </c>
    </row>
    <row r="52" customFormat="1" spans="1:27">
      <c r="D52" t="s">
        <v>2123</v>
      </c>
      <c r="E52" t="s">
        <v>2124</v>
      </c>
      <c r="M52" t="s">
        <v>2002</v>
      </c>
      <c r="V52" t="str">
        <f t="shared" si="11"/>
        <v>{szContent="阵营业务繁忙，中立侠士只能停留30分钟，您将在5分钟后传出场景",szNote="中立侠士·请离场景",col={255,255,100,},[14]={},tCountdown={{nClass=14,nIcon=13,nFrame=4,szName="中立侠士·传出剩余",nTime=300,key="阵营业务",},},},</v>
      </c>
      <c r="W52" t="s">
        <v>2125</v>
      </c>
    </row>
    <row r="53" customFormat="1" spans="1:27">
      <c r="D53" t="s">
        <v>2126</v>
      </c>
      <c r="E53" t="s">
        <v>2124</v>
      </c>
      <c r="M53" t="s">
        <v>2002</v>
      </c>
      <c r="V53" t="str">
        <f t="shared" si="11"/>
        <v>{szContent="阵营业务繁忙，中立侠士只能停留30分钟，您将在4分钟后传出场景",szNote="中立侠士·请离场景",col={255,255,100,},[14]={},tCountdown={{nClass=14,nIcon=13,nFrame=4,szName="中立侠士·传出剩余",nTime=240,key="阵营业务",},},},</v>
      </c>
      <c r="W53" t="s">
        <v>2127</v>
      </c>
    </row>
    <row r="54" customFormat="1" spans="1:27">
      <c r="D54" t="s">
        <v>2128</v>
      </c>
      <c r="E54" t="s">
        <v>2124</v>
      </c>
      <c r="M54" t="s">
        <v>2002</v>
      </c>
      <c r="V54" t="str">
        <f t="shared" si="11"/>
        <v>{szContent="阵营业务繁忙，中立侠士只能停留30分钟，您将在3分钟后传出场景",szNote="中立侠士·请离场景",col={255,255,100,},[14]={},tCountdown={{nClass=14,nIcon=13,nFrame=4,szName="中立侠士·传出剩余",nTime=180,key="阵营业务",},},},</v>
      </c>
      <c r="W54" t="s">
        <v>2129</v>
      </c>
    </row>
    <row r="55" customFormat="1" spans="1:27">
      <c r="D55" t="s">
        <v>2130</v>
      </c>
      <c r="E55" t="s">
        <v>2124</v>
      </c>
      <c r="M55" t="s">
        <v>2002</v>
      </c>
      <c r="V55" t="str">
        <f t="shared" si="11"/>
        <v>{szContent="阵营业务繁忙，中立侠士只能停留30分钟，您将在2分钟后传出场景",szNote="中立侠士·请离场景",col={255,255,100,},[14]={},tCountdown={{nClass=14,nIcon=13,nFrame=4,szName="中立侠士·传出剩余",nTime=120,key="阵营业务",},},},</v>
      </c>
      <c r="W55" t="s">
        <v>2131</v>
      </c>
    </row>
    <row r="56" customFormat="1" spans="1:27">
      <c r="D56" t="s">
        <v>2132</v>
      </c>
      <c r="E56" t="s">
        <v>2124</v>
      </c>
      <c r="M56" t="s">
        <v>2002</v>
      </c>
      <c r="V56" t="str">
        <f t="shared" si="11"/>
        <v>{szContent="阵营业务繁忙，中立侠士只能停留30分钟，您将在1分钟后传出场景",szNote="中立侠士·请离场景",col={255,255,100,},[14]={},tCountdown={{nClass=14,nIcon=13,nFrame=4,szName="中立侠士·传出剩余",nTime=60,key="阵营业务",},},},</v>
      </c>
      <c r="W56" t="s">
        <v>2133</v>
      </c>
    </row>
    <row r="57" customFormat="1" spans="1:27">
      <c r="D57" t="s">
        <v>2134</v>
      </c>
      <c r="E57" t="s">
        <v>2135</v>
      </c>
      <c r="M57" t="s">
        <v>2002</v>
      </c>
      <c r="V57" t="str">
        <f t="shared" si="11"/>
        <v>{szContent="阵营业务繁忙，中立侠士只能停留30分钟，您将传出场景",szNote="中立侠士·传出场景",col={255,255,100,},[14]={},tCountdown={{nClass=14,nIcon=13,nFrame=4,szName="中立侠士·传出场景",nTime=5,key="阵营业务",},},},</v>
      </c>
      <c r="W57" t="s">
        <v>2136</v>
      </c>
    </row>
    <row r="58" spans="1:27">
      <c r="A58" t="s">
        <v>311</v>
      </c>
      <c r="B58">
        <v>25</v>
      </c>
      <c r="V58" t="str">
        <f t="shared" si="11"/>
        <v>},[25]={</v>
      </c>
    </row>
    <row r="59" customFormat="1" spans="1:27">
      <c r="C59" t="s">
        <v>1991</v>
      </c>
      <c r="D59" s="8" t="s">
        <v>2137</v>
      </c>
      <c r="E59" t="s">
        <v>2138</v>
      </c>
      <c r="F59"/>
      <c r="G59"/>
      <c r="H59"/>
      <c r="I59"/>
      <c r="J59"/>
      <c r="K59"/>
      <c r="L59"/>
      <c r="M59" t="s">
        <v>1998</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2139</v>
      </c>
      <c r="X59"/>
      <c r="Y59"/>
      <c r="Z59"/>
      <c r="AA59" s="7"/>
    </row>
    <row r="60" customFormat="1" spans="1:27">
      <c r="C60" t="s">
        <v>1991</v>
      </c>
      <c r="D60" s="8" t="s">
        <v>2140</v>
      </c>
      <c r="E60" t="s">
        <v>2141</v>
      </c>
      <c r="F60"/>
      <c r="G60"/>
      <c r="H60"/>
      <c r="I60"/>
      <c r="J60"/>
      <c r="K60"/>
      <c r="L60"/>
      <c r="M60" t="s">
        <v>1994</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2142</v>
      </c>
      <c r="X60"/>
      <c r="Y60"/>
      <c r="Z60"/>
      <c r="AA60" s="7"/>
    </row>
    <row r="61" customFormat="1" spans="1:27">
      <c r="C61" t="s">
        <v>1991</v>
      </c>
      <c r="D61" s="8" t="s">
        <v>2143</v>
      </c>
      <c r="E61" t="s">
        <v>2144</v>
      </c>
      <c r="F61"/>
      <c r="G61"/>
      <c r="H61"/>
      <c r="I61"/>
      <c r="J61"/>
      <c r="K61"/>
      <c r="L61"/>
      <c r="M61" t="s">
        <v>1998</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2145</v>
      </c>
      <c r="X61" t="s">
        <v>2146</v>
      </c>
      <c r="Y61"/>
      <c r="Z61"/>
      <c r="AA61" s="7"/>
    </row>
    <row r="62" customFormat="1" spans="1:27">
      <c r="C62" t="s">
        <v>2012</v>
      </c>
      <c r="D62" t="s">
        <v>2147</v>
      </c>
      <c r="E62" t="str">
        <f t="shared" ref="E62:E77" si="12">K62&amp;"·"&amp;L62&amp;"·"&amp;H62&amp;"·"&amp;"败退"</f>
        <v>浩气·周峰·漓水河岸·败退</v>
      </c>
      <c r="F62" t="s">
        <v>2012</v>
      </c>
      <c r="G62" t="s">
        <v>2015</v>
      </c>
      <c r="H62" t="s">
        <v>2148</v>
      </c>
      <c r="I62" t="s">
        <v>2016</v>
      </c>
      <c r="J62" t="s">
        <v>2149</v>
      </c>
      <c r="K62" t="s">
        <v>2018</v>
      </c>
      <c r="L62" t="s">
        <v>2150</v>
      </c>
      <c r="M62" t="s">
        <v>1998</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2012</v>
      </c>
      <c r="D63" t="s">
        <v>2151</v>
      </c>
      <c r="E63" t="str">
        <f t="shared" si="12"/>
        <v>浩气·郑鸥·栖霞幻境·败退</v>
      </c>
      <c r="F63" t="s">
        <v>2012</v>
      </c>
      <c r="G63" t="s">
        <v>2015</v>
      </c>
      <c r="H63" t="s">
        <v>2152</v>
      </c>
      <c r="I63" t="s">
        <v>2016</v>
      </c>
      <c r="J63" t="s">
        <v>2153</v>
      </c>
      <c r="K63" t="s">
        <v>2018</v>
      </c>
      <c r="L63" t="s">
        <v>2154</v>
      </c>
      <c r="M63" t="s">
        <v>1998</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2012</v>
      </c>
      <c r="D64" t="s">
        <v>2155</v>
      </c>
      <c r="E64" t="str">
        <f t="shared" si="12"/>
        <v>浩气·陶杰·七星岩·败退</v>
      </c>
      <c r="F64" t="s">
        <v>2012</v>
      </c>
      <c r="G64" t="s">
        <v>2015</v>
      </c>
      <c r="H64" t="s">
        <v>2156</v>
      </c>
      <c r="I64" t="s">
        <v>2016</v>
      </c>
      <c r="J64" t="s">
        <v>2157</v>
      </c>
      <c r="K64" t="s">
        <v>2018</v>
      </c>
      <c r="L64" t="s">
        <v>2158</v>
      </c>
      <c r="M64" t="s">
        <v>1998</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2012</v>
      </c>
      <c r="D65" t="s">
        <v>2159</v>
      </c>
      <c r="E65" t="str">
        <f t="shared" si="12"/>
        <v>浩气·谢烟客·烟雨居舍·败退</v>
      </c>
      <c r="F65" t="s">
        <v>2012</v>
      </c>
      <c r="G65" t="s">
        <v>2015</v>
      </c>
      <c r="H65" t="s">
        <v>2160</v>
      </c>
      <c r="I65" t="s">
        <v>2018</v>
      </c>
      <c r="J65" t="s">
        <v>2161</v>
      </c>
      <c r="K65" t="s">
        <v>2018</v>
      </c>
      <c r="L65" t="s">
        <v>2162</v>
      </c>
      <c r="M65" t="s">
        <v>1998</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2015</v>
      </c>
      <c r="D66" t="s">
        <v>2163</v>
      </c>
      <c r="E66" t="str">
        <f t="shared" si="12"/>
        <v>恶人·张一洋·漓水河岸·败退</v>
      </c>
      <c r="F66" t="s">
        <v>2015</v>
      </c>
      <c r="G66" t="s">
        <v>2012</v>
      </c>
      <c r="H66" t="s">
        <v>2148</v>
      </c>
      <c r="I66" t="s">
        <v>2018</v>
      </c>
      <c r="J66" t="s">
        <v>2150</v>
      </c>
      <c r="K66" t="s">
        <v>2016</v>
      </c>
      <c r="L66" t="s">
        <v>2149</v>
      </c>
      <c r="M66" t="s">
        <v>1994</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2015</v>
      </c>
      <c r="D67" t="s">
        <v>2164</v>
      </c>
      <c r="E67" t="str">
        <f t="shared" si="12"/>
        <v>恶人·陶国栋·栖霞幻境·败退</v>
      </c>
      <c r="F67" t="s">
        <v>2015</v>
      </c>
      <c r="G67" t="s">
        <v>2012</v>
      </c>
      <c r="H67" t="s">
        <v>2152</v>
      </c>
      <c r="I67" t="s">
        <v>2018</v>
      </c>
      <c r="J67" t="s">
        <v>2154</v>
      </c>
      <c r="K67" t="s">
        <v>2016</v>
      </c>
      <c r="L67" t="s">
        <v>2153</v>
      </c>
      <c r="M67" t="s">
        <v>1994</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2015</v>
      </c>
      <c r="D68" t="s">
        <v>2165</v>
      </c>
      <c r="E68" t="str">
        <f t="shared" si="12"/>
        <v>恶人·吕沛杰·七星岩·败退</v>
      </c>
      <c r="F68" t="s">
        <v>2015</v>
      </c>
      <c r="G68" t="s">
        <v>2012</v>
      </c>
      <c r="H68" t="s">
        <v>2156</v>
      </c>
      <c r="I68" t="s">
        <v>2018</v>
      </c>
      <c r="J68" t="s">
        <v>2158</v>
      </c>
      <c r="K68" t="s">
        <v>2016</v>
      </c>
      <c r="L68" t="s">
        <v>2157</v>
      </c>
      <c r="M68" t="s">
        <v>1994</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2015</v>
      </c>
      <c r="D69" t="s">
        <v>2166</v>
      </c>
      <c r="E69" t="str">
        <f t="shared" si="12"/>
        <v>恶人·顾延恶·烟雨居舍·败退</v>
      </c>
      <c r="F69" t="s">
        <v>2015</v>
      </c>
      <c r="G69" t="s">
        <v>2012</v>
      </c>
      <c r="H69" t="s">
        <v>2160</v>
      </c>
      <c r="I69" t="s">
        <v>2018</v>
      </c>
      <c r="J69" t="s">
        <v>2162</v>
      </c>
      <c r="K69" t="s">
        <v>2016</v>
      </c>
      <c r="L69" t="s">
        <v>2161</v>
      </c>
      <c r="M69" t="s">
        <v>1994</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2150</v>
      </c>
      <c r="D70" t="s">
        <v>2048</v>
      </c>
      <c r="E70" t="str">
        <f t="shared" si="12"/>
        <v>浩气·周峰·漓水河岸·败退</v>
      </c>
      <c r="F70" t="s">
        <v>2012</v>
      </c>
      <c r="G70" t="s">
        <v>2015</v>
      </c>
      <c r="H70" t="s">
        <v>2148</v>
      </c>
      <c r="I70" t="s">
        <v>2016</v>
      </c>
      <c r="J70" t="s">
        <v>2149</v>
      </c>
      <c r="K70" t="s">
        <v>2018</v>
      </c>
      <c r="L70" t="s">
        <v>2150</v>
      </c>
      <c r="M70" t="s">
        <v>1998</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2154</v>
      </c>
      <c r="D71" t="s">
        <v>2048</v>
      </c>
      <c r="E71" t="str">
        <f t="shared" si="12"/>
        <v>浩气·郑鸥·栖霞幻境·败退</v>
      </c>
      <c r="F71" t="s">
        <v>2012</v>
      </c>
      <c r="G71" t="s">
        <v>2015</v>
      </c>
      <c r="H71" t="s">
        <v>2152</v>
      </c>
      <c r="I71" t="s">
        <v>2016</v>
      </c>
      <c r="J71" t="s">
        <v>2153</v>
      </c>
      <c r="K71" t="s">
        <v>2018</v>
      </c>
      <c r="L71" t="s">
        <v>2154</v>
      </c>
      <c r="M71" t="s">
        <v>1998</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2158</v>
      </c>
      <c r="D72" t="s">
        <v>2048</v>
      </c>
      <c r="E72" t="str">
        <f t="shared" si="12"/>
        <v>浩气·陶杰·七星岩·败退</v>
      </c>
      <c r="F72" t="s">
        <v>2012</v>
      </c>
      <c r="G72" t="s">
        <v>2015</v>
      </c>
      <c r="H72" t="s">
        <v>2156</v>
      </c>
      <c r="I72" t="s">
        <v>2016</v>
      </c>
      <c r="J72" t="s">
        <v>2157</v>
      </c>
      <c r="K72" t="s">
        <v>2018</v>
      </c>
      <c r="L72" t="s">
        <v>2158</v>
      </c>
      <c r="M72" t="s">
        <v>1998</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2162</v>
      </c>
      <c r="D73" t="s">
        <v>2048</v>
      </c>
      <c r="E73" t="str">
        <f t="shared" si="12"/>
        <v>浩气·谢烟客·烟雨居舍·败退</v>
      </c>
      <c r="F73" t="s">
        <v>2012</v>
      </c>
      <c r="G73" t="s">
        <v>2015</v>
      </c>
      <c r="H73" t="s">
        <v>2160</v>
      </c>
      <c r="I73" t="s">
        <v>2018</v>
      </c>
      <c r="J73" t="s">
        <v>2161</v>
      </c>
      <c r="K73" t="s">
        <v>2018</v>
      </c>
      <c r="L73" t="s">
        <v>2162</v>
      </c>
      <c r="M73" t="s">
        <v>1998</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2149</v>
      </c>
      <c r="D74" t="s">
        <v>2048</v>
      </c>
      <c r="E74" t="str">
        <f t="shared" si="12"/>
        <v>恶人·张一洋·漓水河岸·败退</v>
      </c>
      <c r="F74" t="s">
        <v>2015</v>
      </c>
      <c r="G74" t="s">
        <v>2012</v>
      </c>
      <c r="H74" t="s">
        <v>2148</v>
      </c>
      <c r="I74" t="s">
        <v>2018</v>
      </c>
      <c r="J74" t="s">
        <v>2150</v>
      </c>
      <c r="K74" t="s">
        <v>2016</v>
      </c>
      <c r="L74" t="s">
        <v>2149</v>
      </c>
      <c r="M74" t="s">
        <v>1994</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2153</v>
      </c>
      <c r="D75" t="s">
        <v>2048</v>
      </c>
      <c r="E75" t="str">
        <f t="shared" si="12"/>
        <v>恶人·陶国栋·栖霞幻境·败退</v>
      </c>
      <c r="F75" t="s">
        <v>2015</v>
      </c>
      <c r="G75" t="s">
        <v>2012</v>
      </c>
      <c r="H75" t="s">
        <v>2152</v>
      </c>
      <c r="I75" t="s">
        <v>2018</v>
      </c>
      <c r="J75" t="s">
        <v>2154</v>
      </c>
      <c r="K75" t="s">
        <v>2016</v>
      </c>
      <c r="L75" t="s">
        <v>2153</v>
      </c>
      <c r="M75" t="s">
        <v>1994</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2157</v>
      </c>
      <c r="D76" t="s">
        <v>2048</v>
      </c>
      <c r="E76" t="str">
        <f t="shared" si="12"/>
        <v>恶人·吕沛杰·七星岩·败退</v>
      </c>
      <c r="F76" t="s">
        <v>2015</v>
      </c>
      <c r="G76" t="s">
        <v>2012</v>
      </c>
      <c r="H76" t="s">
        <v>2156</v>
      </c>
      <c r="I76" t="s">
        <v>2018</v>
      </c>
      <c r="J76" t="s">
        <v>2158</v>
      </c>
      <c r="K76" t="s">
        <v>2016</v>
      </c>
      <c r="L76" t="s">
        <v>2157</v>
      </c>
      <c r="M76" t="s">
        <v>1994</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2161</v>
      </c>
      <c r="D77" t="s">
        <v>2048</v>
      </c>
      <c r="E77" t="str">
        <f t="shared" si="12"/>
        <v>恶人·顾延恶·烟雨居舍·败退</v>
      </c>
      <c r="F77" t="s">
        <v>2015</v>
      </c>
      <c r="G77" t="s">
        <v>2012</v>
      </c>
      <c r="H77" t="s">
        <v>2160</v>
      </c>
      <c r="I77" t="s">
        <v>2018</v>
      </c>
      <c r="J77" t="s">
        <v>2162</v>
      </c>
      <c r="K77" t="s">
        <v>2016</v>
      </c>
      <c r="L77" t="s">
        <v>2161</v>
      </c>
      <c r="M77" t="s">
        <v>1994</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1991</v>
      </c>
      <c r="D79" s="8" t="s">
        <v>2137</v>
      </c>
      <c r="E79" t="s">
        <v>2138</v>
      </c>
      <c r="F79"/>
      <c r="G79"/>
      <c r="H79"/>
      <c r="I79"/>
      <c r="J79"/>
      <c r="K79"/>
      <c r="L79"/>
      <c r="M79" t="s">
        <v>1998</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2167</v>
      </c>
      <c r="X79"/>
      <c r="Y79"/>
      <c r="Z79"/>
      <c r="AA79" s="7"/>
    </row>
    <row r="80" customFormat="1" spans="1:27">
      <c r="C80" t="s">
        <v>1991</v>
      </c>
      <c r="D80" s="8" t="s">
        <v>2140</v>
      </c>
      <c r="E80" t="s">
        <v>2141</v>
      </c>
      <c r="F80"/>
      <c r="G80"/>
      <c r="H80"/>
      <c r="I80"/>
      <c r="J80"/>
      <c r="K80"/>
      <c r="L80"/>
      <c r="M80" t="s">
        <v>1994</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2168</v>
      </c>
      <c r="X80"/>
      <c r="Y80"/>
      <c r="Z80"/>
      <c r="AA80" s="7"/>
    </row>
    <row r="81" customFormat="1" spans="3:27">
      <c r="C81" t="s">
        <v>1991</v>
      </c>
      <c r="D81" s="8" t="s">
        <v>2169</v>
      </c>
      <c r="E81" t="s">
        <v>2144</v>
      </c>
      <c r="F81"/>
      <c r="G81"/>
      <c r="H81"/>
      <c r="I81"/>
      <c r="J81"/>
      <c r="K81"/>
      <c r="L81"/>
      <c r="M81" t="s">
        <v>1998</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2145</v>
      </c>
      <c r="X81" t="s">
        <v>2146</v>
      </c>
      <c r="Y81"/>
      <c r="Z81"/>
      <c r="AA81" s="7"/>
    </row>
    <row r="82" customFormat="1" spans="3:27">
      <c r="C82" t="s">
        <v>2012</v>
      </c>
      <c r="D82" t="s">
        <v>2147</v>
      </c>
      <c r="E82" t="str">
        <f t="shared" ref="E82:E97" si="16">K82&amp;"·"&amp;L82&amp;"·"&amp;H82&amp;"·"&amp;"败退"</f>
        <v>浩气·周峰·丐王坡·败退</v>
      </c>
      <c r="F82" t="s">
        <v>2012</v>
      </c>
      <c r="G82" t="s">
        <v>2015</v>
      </c>
      <c r="H82" t="s">
        <v>2170</v>
      </c>
      <c r="I82" t="s">
        <v>2016</v>
      </c>
      <c r="J82" t="s">
        <v>2149</v>
      </c>
      <c r="K82" t="s">
        <v>2018</v>
      </c>
      <c r="L82" t="s">
        <v>2150</v>
      </c>
      <c r="M82" t="s">
        <v>1998</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2012</v>
      </c>
      <c r="D83" t="s">
        <v>2151</v>
      </c>
      <c r="E83" t="str">
        <f t="shared" si="16"/>
        <v>浩气·郑鸥·白骨陵园·败退</v>
      </c>
      <c r="F83" t="s">
        <v>2012</v>
      </c>
      <c r="G83" t="s">
        <v>2015</v>
      </c>
      <c r="H83" t="s">
        <v>2171</v>
      </c>
      <c r="I83" t="s">
        <v>2016</v>
      </c>
      <c r="J83" t="s">
        <v>2153</v>
      </c>
      <c r="K83" t="s">
        <v>2018</v>
      </c>
      <c r="L83" t="s">
        <v>2154</v>
      </c>
      <c r="M83" t="s">
        <v>1998</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2012</v>
      </c>
      <c r="D84" t="s">
        <v>2155</v>
      </c>
      <c r="E84" t="str">
        <f t="shared" si="16"/>
        <v>浩气·陶杰·炎狱山·败退</v>
      </c>
      <c r="F84" t="s">
        <v>2012</v>
      </c>
      <c r="G84" t="s">
        <v>2015</v>
      </c>
      <c r="H84" t="s">
        <v>2172</v>
      </c>
      <c r="I84" t="s">
        <v>2016</v>
      </c>
      <c r="J84" t="s">
        <v>2157</v>
      </c>
      <c r="K84" t="s">
        <v>2018</v>
      </c>
      <c r="L84" t="s">
        <v>2158</v>
      </c>
      <c r="M84" t="s">
        <v>1998</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2012</v>
      </c>
      <c r="D85" t="s">
        <v>2159</v>
      </c>
      <c r="E85" t="str">
        <f t="shared" si="16"/>
        <v>浩气·谢烟客·平安客栈·败退</v>
      </c>
      <c r="F85" t="s">
        <v>2012</v>
      </c>
      <c r="G85" t="s">
        <v>2015</v>
      </c>
      <c r="H85" t="s">
        <v>2173</v>
      </c>
      <c r="I85" t="s">
        <v>2016</v>
      </c>
      <c r="J85" t="s">
        <v>2161</v>
      </c>
      <c r="K85" t="s">
        <v>2018</v>
      </c>
      <c r="L85" t="s">
        <v>2162</v>
      </c>
      <c r="M85" t="s">
        <v>1998</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2015</v>
      </c>
      <c r="D86" t="s">
        <v>2163</v>
      </c>
      <c r="E86" t="str">
        <f t="shared" si="16"/>
        <v>恶人·张一洋·丐王坡·败退</v>
      </c>
      <c r="F86" t="s">
        <v>2015</v>
      </c>
      <c r="G86" t="s">
        <v>2012</v>
      </c>
      <c r="H86" t="s">
        <v>2170</v>
      </c>
      <c r="I86" t="s">
        <v>2018</v>
      </c>
      <c r="J86" t="s">
        <v>2150</v>
      </c>
      <c r="K86" t="s">
        <v>2016</v>
      </c>
      <c r="L86" t="s">
        <v>2149</v>
      </c>
      <c r="M86" t="s">
        <v>1994</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2015</v>
      </c>
      <c r="D87" t="s">
        <v>2164</v>
      </c>
      <c r="E87" t="str">
        <f t="shared" si="16"/>
        <v>恶人·陶国栋·白骨陵园·败退</v>
      </c>
      <c r="F87" t="s">
        <v>2015</v>
      </c>
      <c r="G87" t="s">
        <v>2012</v>
      </c>
      <c r="H87" t="s">
        <v>2171</v>
      </c>
      <c r="I87" t="s">
        <v>2018</v>
      </c>
      <c r="J87" t="s">
        <v>2154</v>
      </c>
      <c r="K87" t="s">
        <v>2016</v>
      </c>
      <c r="L87" t="s">
        <v>2153</v>
      </c>
      <c r="M87" t="s">
        <v>1994</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2015</v>
      </c>
      <c r="D88" t="s">
        <v>2165</v>
      </c>
      <c r="E88" t="str">
        <f t="shared" si="16"/>
        <v>恶人·吕沛杰·炎狱山·败退</v>
      </c>
      <c r="F88" t="s">
        <v>2015</v>
      </c>
      <c r="G88" t="s">
        <v>2012</v>
      </c>
      <c r="H88" t="s">
        <v>2172</v>
      </c>
      <c r="I88" t="s">
        <v>2018</v>
      </c>
      <c r="J88" t="s">
        <v>2158</v>
      </c>
      <c r="K88" t="s">
        <v>2016</v>
      </c>
      <c r="L88" t="s">
        <v>2157</v>
      </c>
      <c r="M88" t="s">
        <v>1994</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2015</v>
      </c>
      <c r="D89" t="s">
        <v>2166</v>
      </c>
      <c r="E89" t="str">
        <f t="shared" si="16"/>
        <v>恶人·顾延恶·平安客栈·败退</v>
      </c>
      <c r="F89" t="s">
        <v>2015</v>
      </c>
      <c r="G89" t="s">
        <v>2012</v>
      </c>
      <c r="H89" t="s">
        <v>2173</v>
      </c>
      <c r="I89" t="s">
        <v>2018</v>
      </c>
      <c r="J89" t="s">
        <v>2162</v>
      </c>
      <c r="K89" t="s">
        <v>2016</v>
      </c>
      <c r="L89" t="s">
        <v>2161</v>
      </c>
      <c r="M89" t="s">
        <v>1994</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2150</v>
      </c>
      <c r="D90" t="s">
        <v>2048</v>
      </c>
      <c r="E90" t="str">
        <f t="shared" si="16"/>
        <v>浩气·周峰·丐王坡·败退</v>
      </c>
      <c r="F90" t="s">
        <v>2012</v>
      </c>
      <c r="G90" t="s">
        <v>2015</v>
      </c>
      <c r="H90" t="s">
        <v>2170</v>
      </c>
      <c r="I90" t="s">
        <v>2016</v>
      </c>
      <c r="J90" t="s">
        <v>2149</v>
      </c>
      <c r="K90" t="s">
        <v>2018</v>
      </c>
      <c r="L90" t="s">
        <v>2150</v>
      </c>
      <c r="M90" t="s">
        <v>1998</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2154</v>
      </c>
      <c r="D91" t="s">
        <v>2048</v>
      </c>
      <c r="E91" t="str">
        <f t="shared" si="16"/>
        <v>浩气·郑鸥·白骨陵园·败退</v>
      </c>
      <c r="F91" t="s">
        <v>2012</v>
      </c>
      <c r="G91" t="s">
        <v>2015</v>
      </c>
      <c r="H91" t="s">
        <v>2171</v>
      </c>
      <c r="I91" t="s">
        <v>2016</v>
      </c>
      <c r="J91" t="s">
        <v>2153</v>
      </c>
      <c r="K91" t="s">
        <v>2018</v>
      </c>
      <c r="L91" t="s">
        <v>2154</v>
      </c>
      <c r="M91" t="s">
        <v>1998</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2158</v>
      </c>
      <c r="D92" t="s">
        <v>2048</v>
      </c>
      <c r="E92" t="str">
        <f t="shared" si="16"/>
        <v>浩气·陶杰·炎狱山·败退</v>
      </c>
      <c r="F92" t="s">
        <v>2012</v>
      </c>
      <c r="G92" t="s">
        <v>2015</v>
      </c>
      <c r="H92" t="s">
        <v>2172</v>
      </c>
      <c r="I92" t="s">
        <v>2016</v>
      </c>
      <c r="J92" t="s">
        <v>2157</v>
      </c>
      <c r="K92" t="s">
        <v>2018</v>
      </c>
      <c r="L92" t="s">
        <v>2158</v>
      </c>
      <c r="M92" t="s">
        <v>1998</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2162</v>
      </c>
      <c r="D93" t="s">
        <v>2048</v>
      </c>
      <c r="E93" t="str">
        <f t="shared" si="16"/>
        <v>浩气·谢烟客·平安客栈·败退</v>
      </c>
      <c r="F93" t="s">
        <v>2012</v>
      </c>
      <c r="G93" t="s">
        <v>2015</v>
      </c>
      <c r="H93" t="s">
        <v>2173</v>
      </c>
      <c r="I93" t="s">
        <v>2016</v>
      </c>
      <c r="J93" t="s">
        <v>2161</v>
      </c>
      <c r="K93" t="s">
        <v>2018</v>
      </c>
      <c r="L93" t="s">
        <v>2162</v>
      </c>
      <c r="M93" t="s">
        <v>1998</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2149</v>
      </c>
      <c r="D94" t="s">
        <v>2048</v>
      </c>
      <c r="E94" t="str">
        <f t="shared" si="16"/>
        <v>恶人·张一洋·丐王坡·败退</v>
      </c>
      <c r="F94" t="s">
        <v>2015</v>
      </c>
      <c r="G94" t="s">
        <v>2012</v>
      </c>
      <c r="H94" t="s">
        <v>2170</v>
      </c>
      <c r="I94" t="s">
        <v>2018</v>
      </c>
      <c r="J94" t="s">
        <v>2150</v>
      </c>
      <c r="K94" t="s">
        <v>2016</v>
      </c>
      <c r="L94" t="s">
        <v>2149</v>
      </c>
      <c r="M94" t="s">
        <v>1994</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2153</v>
      </c>
      <c r="D95" t="s">
        <v>2048</v>
      </c>
      <c r="E95" t="str">
        <f t="shared" si="16"/>
        <v>恶人·陶国栋·白骨陵园·败退</v>
      </c>
      <c r="F95" t="s">
        <v>2015</v>
      </c>
      <c r="G95" t="s">
        <v>2012</v>
      </c>
      <c r="H95" t="s">
        <v>2171</v>
      </c>
      <c r="I95" t="s">
        <v>2018</v>
      </c>
      <c r="J95" t="s">
        <v>2154</v>
      </c>
      <c r="K95" t="s">
        <v>2016</v>
      </c>
      <c r="L95" t="s">
        <v>2153</v>
      </c>
      <c r="M95" t="s">
        <v>1994</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2157</v>
      </c>
      <c r="D96" t="s">
        <v>2048</v>
      </c>
      <c r="E96" t="str">
        <f t="shared" si="16"/>
        <v>恶人·吕沛杰·炎狱山·败退</v>
      </c>
      <c r="F96" t="s">
        <v>2015</v>
      </c>
      <c r="G96" t="s">
        <v>2012</v>
      </c>
      <c r="H96" t="s">
        <v>2172</v>
      </c>
      <c r="I96" t="s">
        <v>2018</v>
      </c>
      <c r="J96" t="s">
        <v>2158</v>
      </c>
      <c r="K96" t="s">
        <v>2016</v>
      </c>
      <c r="L96" t="s">
        <v>2157</v>
      </c>
      <c r="M96" t="s">
        <v>1994</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2161</v>
      </c>
      <c r="D97" t="s">
        <v>2048</v>
      </c>
      <c r="E97" t="str">
        <f t="shared" si="16"/>
        <v>恶人·顾延恶·平安客栈·败退</v>
      </c>
      <c r="F97" t="s">
        <v>2015</v>
      </c>
      <c r="G97" t="s">
        <v>2012</v>
      </c>
      <c r="H97" t="s">
        <v>2173</v>
      </c>
      <c r="I97" t="s">
        <v>2018</v>
      </c>
      <c r="J97" t="s">
        <v>2162</v>
      </c>
      <c r="K97" t="s">
        <v>2016</v>
      </c>
      <c r="L97" t="s">
        <v>2161</v>
      </c>
      <c r="M97" t="s">
        <v>1994</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2174</v>
      </c>
      <c r="B98">
        <v>-21</v>
      </c>
      <c r="V98" t="str">
        <f t="shared" si="15"/>
        <v>},[-21]={</v>
      </c>
    </row>
    <row r="99" customFormat="1" spans="1:26">
      <c r="D99" t="s">
        <v>2175</v>
      </c>
      <c r="M99" t="s">
        <v>1994</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2176</v>
      </c>
    </row>
    <row r="100" customFormat="1" spans="1:26">
      <c r="D100" t="s">
        <v>2177</v>
      </c>
      <c r="M100" t="s">
        <v>1998</v>
      </c>
      <c r="V100" t="str">
        <f t="shared" si="19"/>
        <v>{szContent="分流活动已开启，大侠可以前往巴陵县接取阵营攻防前置任务",col={100,100,255,},[14]={},tCountdown={{nClass=14,nIcon=3536,nFrame=7,szName="巴陵·攻防前置分流",nTime=30,nRefresh=1800,key="分流活动",},},},</v>
      </c>
      <c r="W100" t="s">
        <v>2178</v>
      </c>
    </row>
    <row r="101" customFormat="1" spans="1:26">
      <c r="A101" t="s">
        <v>1661</v>
      </c>
      <c r="B101">
        <v>-2</v>
      </c>
      <c r="V101" t="str">
        <f t="shared" si="19"/>
        <v>},[-2]={</v>
      </c>
    </row>
    <row r="102" customFormat="1" spans="1:26">
      <c r="D102" t="s">
        <v>2175</v>
      </c>
      <c r="M102" t="s">
        <v>1994</v>
      </c>
      <c r="V102" t="str">
        <f t="shared" si="19"/>
        <v>{szContent="分流活动已开启，大侠可以前往龙门荒漠接取阵营攻防前置任务",col={255,100,100,},[14]={},tCountdown={{nClass=14,nIcon=3536,nFrame=3,szName="龙门·攻防前置分流",nTime=30,nRefresh=1800,key="分流活动",},},},</v>
      </c>
      <c r="W102" t="s">
        <v>2176</v>
      </c>
    </row>
    <row r="103" customFormat="1" spans="1:26">
      <c r="D103" t="s">
        <v>2177</v>
      </c>
      <c r="M103" t="s">
        <v>1998</v>
      </c>
      <c r="V103" t="str">
        <f t="shared" si="19"/>
        <v>{szContent="分流活动已开启，大侠可以前往巴陵县接取阵营攻防前置任务",col={100,100,255,},[14]={},tCountdown={{nClass=14,nIcon=3536,nFrame=7,szName="巴陵·攻防前置分流",nTime=30,nRefresh=1800,key="分流活动",},},},</v>
      </c>
      <c r="W103" t="s">
        <v>2178</v>
      </c>
    </row>
    <row r="104" spans="1:26">
      <c r="A104" t="s">
        <v>538</v>
      </c>
      <c r="B104">
        <v>-7</v>
      </c>
      <c r="V104" t="str">
        <f t="shared" si="19"/>
        <v>},[-7]={</v>
      </c>
    </row>
    <row r="105" customFormat="1" spans="1:26">
      <c r="D105" t="s">
        <v>2175</v>
      </c>
      <c r="M105" t="s">
        <v>1994</v>
      </c>
      <c r="V105" t="str">
        <f t="shared" si="19"/>
        <v>{szContent="分流活动已开启，大侠可以前往龙门荒漠接取阵营攻防前置任务",col={255,100,100,},[14]={},tCountdown={{nClass=14,nIcon=3536,nFrame=3,szName="龙门·攻防前置分流",nTime=30,nRefresh=1800,key="分流活动",},},},</v>
      </c>
      <c r="W105" t="s">
        <v>2176</v>
      </c>
    </row>
    <row r="106" customFormat="1" spans="1:26">
      <c r="D106" t="s">
        <v>2177</v>
      </c>
      <c r="M106" t="s">
        <v>1998</v>
      </c>
      <c r="V106" t="str">
        <f t="shared" si="19"/>
        <v>{szContent="分流活动已开启，大侠可以前往巴陵县接取阵营攻防前置任务",col={100,100,255,},[14]={},tCountdown={{nClass=14,nIcon=3536,nFrame=7,szName="巴陵·攻防前置分流",nTime=30,nRefresh=1800,key="分流活动",},},},</v>
      </c>
      <c r="W106" t="s">
        <v>2178</v>
      </c>
    </row>
    <row r="107" customFormat="1" spans="1:26">
      <c r="A107" t="s">
        <v>1480</v>
      </c>
      <c r="B107">
        <v>-20</v>
      </c>
      <c r="V107" t="str">
        <f t="shared" si="19"/>
        <v>},[-20]={</v>
      </c>
    </row>
    <row r="108" customFormat="1" spans="1:26">
      <c r="C108" t="s">
        <v>1705</v>
      </c>
      <c r="D108" t="s">
        <v>2179</v>
      </c>
      <c r="E108" t="s">
        <v>2180</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2181</v>
      </c>
      <c r="X108" s="5" t="s">
        <v>2182</v>
      </c>
      <c r="Y108" s="5" t="s">
        <v>2183</v>
      </c>
    </row>
    <row r="109" customFormat="1" spans="1:26">
      <c r="C109" t="s">
        <v>1705</v>
      </c>
      <c r="D109" t="s">
        <v>2184</v>
      </c>
      <c r="E109" t="s">
        <v>2185</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2186</v>
      </c>
      <c r="X109" s="5" t="s">
        <v>2182</v>
      </c>
      <c r="Y109" s="5" t="s">
        <v>2183</v>
      </c>
    </row>
    <row r="110" customFormat="1" spans="1:26">
      <c r="C110" t="s">
        <v>1705</v>
      </c>
      <c r="D110" t="s">
        <v>2187</v>
      </c>
      <c r="E110" t="s">
        <v>2188</v>
      </c>
      <c r="V110" t="str">
        <f t="shared" si="19"/>
        <v>{szContent="哼，打扰本大爷休息！",szTarget="狼牙先锋首领",szNote="狼牙先锋首领·刷新喊话1",[14]={},tCountdown={{nClass=14,nIcon=3556,nFrame=1,szName="狼牙先锋首领·已经刷新",nTime=10,nRefresh=120,key="狼牙先锋首领",},},},</v>
      </c>
      <c r="W110" t="s">
        <v>2186</v>
      </c>
    </row>
    <row r="111" customFormat="1" spans="1:26">
      <c r="C111" t="s">
        <v>1705</v>
      </c>
      <c r="D111" t="s">
        <v>2189</v>
      </c>
      <c r="E111" t="s">
        <v>2190</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2191</v>
      </c>
      <c r="X111" s="4" t="s">
        <v>2192</v>
      </c>
      <c r="Y111" s="4" t="s">
        <v>2193</v>
      </c>
    </row>
    <row r="112" customFormat="1" spans="1:26">
      <c r="C112" t="s">
        <v>1991</v>
      </c>
      <c r="D112" t="s">
        <v>2194</v>
      </c>
      <c r="E112" t="s">
        <v>2195</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2196</v>
      </c>
      <c r="X112" s="5" t="s">
        <v>2197</v>
      </c>
      <c r="Y112" s="5" t="s">
        <v>2182</v>
      </c>
      <c r="Z112" s="5" t="s">
        <v>2183</v>
      </c>
    </row>
    <row r="113" customFormat="1" spans="3:27">
      <c r="C113" t="s">
        <v>1991</v>
      </c>
      <c r="D113" t="s">
        <v>2198</v>
      </c>
      <c r="E113" t="s">
        <v>2199</v>
      </c>
      <c r="M113" t="s">
        <v>2002</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2200</v>
      </c>
      <c r="X113" t="s">
        <v>2201</v>
      </c>
      <c r="Y113" t="s">
        <v>2202</v>
      </c>
      <c r="Z113" t="s">
        <v>2203</v>
      </c>
      <c r="AA113" t="s">
        <v>2204</v>
      </c>
    </row>
    <row r="114" customFormat="1" spans="3:27">
      <c r="C114" t="s">
        <v>1991</v>
      </c>
      <c r="D114" t="s">
        <v>2205</v>
      </c>
      <c r="E114"/>
      <c r="M114" t="s">
        <v>1994</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2206</v>
      </c>
      <c r="X114" t="s">
        <v>2207</v>
      </c>
    </row>
    <row r="115" customFormat="1" spans="3:27">
      <c r="C115" t="s">
        <v>1991</v>
      </c>
      <c r="D115" t="s">
        <v>2208</v>
      </c>
      <c r="E115"/>
      <c r="M115" t="s">
        <v>1998</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2206</v>
      </c>
      <c r="X115" t="s">
        <v>2209</v>
      </c>
    </row>
    <row r="116" customFormat="1" spans="3:27">
      <c r="C116" t="s">
        <v>1991</v>
      </c>
      <c r="D116" t="s">
        <v>2210</v>
      </c>
      <c r="E116" t="s">
        <v>2211</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2212</v>
      </c>
    </row>
    <row r="117" customFormat="1" spans="3:27">
      <c r="C117" t="s">
        <v>1991</v>
      </c>
      <c r="D117" t="s">
        <v>2213</v>
      </c>
      <c r="E117" t="s">
        <v>2214</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2215</v>
      </c>
      <c r="X117" t="s">
        <v>2216</v>
      </c>
    </row>
    <row r="118" customFormat="1" spans="3:27">
      <c r="C118" t="s">
        <v>2217</v>
      </c>
      <c r="D118" t="s">
        <v>2218</v>
      </c>
      <c r="E118"/>
      <c r="M118" t="s">
        <v>2002</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2219</v>
      </c>
      <c r="X118" t="s">
        <v>2220</v>
      </c>
    </row>
    <row r="119" customFormat="1" spans="3:27">
      <c r="C119" t="s">
        <v>2217</v>
      </c>
      <c r="D119" t="s">
        <v>2221</v>
      </c>
      <c r="E119" t="s">
        <v>2222</v>
      </c>
      <c r="M119" t="s">
        <v>1715</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2219</v>
      </c>
      <c r="X119" t="s">
        <v>2223</v>
      </c>
    </row>
    <row r="120" customFormat="1" spans="3:27">
      <c r="C120" t="s">
        <v>1991</v>
      </c>
      <c r="D120" t="s">
        <v>2224</v>
      </c>
      <c r="E120" t="s">
        <v>2225</v>
      </c>
      <c r="M120" t="s">
        <v>2002</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2226</v>
      </c>
    </row>
    <row r="121" customFormat="1" spans="3:27">
      <c r="C121" t="s">
        <v>1991</v>
      </c>
      <c r="D121" t="s">
        <v>2227</v>
      </c>
      <c r="E121" t="s">
        <v>2228</v>
      </c>
      <c r="M121" t="s">
        <v>2002</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2229</v>
      </c>
      <c r="X121" t="s">
        <v>2230</v>
      </c>
      <c r="Y121" t="s">
        <v>2231</v>
      </c>
      <c r="Z121" t="s">
        <v>2232</v>
      </c>
      <c r="AA121" t="s">
        <v>2233</v>
      </c>
    </row>
    <row r="122" customFormat="1" spans="3:27">
      <c r="D122" t="s">
        <v>2234</v>
      </c>
      <c r="E122" t="s">
        <v>2235</v>
      </c>
      <c r="M122" t="s">
        <v>2002</v>
      </c>
      <c r="Q122">
        <v>1</v>
      </c>
      <c r="S122">
        <v>1</v>
      </c>
      <c r="V122" t="str">
        <f t="shared" si="19"/>
        <v>{szContent="身负据点大旗，当心被夺！",szNote="[{$me}]·扛起大旗",col={255,255,100,},[14]={bTeamChannel=true,bCenterAlarm=true,},tCountdown={{nClass=14,nIcon=592,nFrame=8,szName="【{$me}】·拾取大旗",nTime=30,key="拾取大旗·{$me}",},},},</v>
      </c>
      <c r="W122" t="s">
        <v>2236</v>
      </c>
    </row>
    <row r="123" customFormat="1" spans="3:27">
      <c r="D123" t="s">
        <v>2237</v>
      </c>
      <c r="E123"/>
      <c r="M123" t="s">
        <v>2002</v>
      </c>
      <c r="V123" t="str">
        <f t="shared" si="19"/>
        <v>{szContent="你已经离开据点，10秒内未进入据点，则据点旗帜重置。",col={255,255,100,},[14]={},tCountdown={{nClass=14,nIcon=592,nFrame=2,szName="据点大旗·重置剩余",nTime=10,key="据点大旗·旗手提示",},},},</v>
      </c>
      <c r="W123" t="s">
        <v>2238</v>
      </c>
    </row>
    <row r="124" customFormat="1" spans="3:27">
      <c r="D124" t="s">
        <v>2239</v>
      </c>
      <c r="E124" t="s">
        <v>2240</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2241</v>
      </c>
    </row>
    <row r="125" spans="3:27">
      <c r="D125" t="s">
        <v>2242</v>
      </c>
      <c r="E125" t="s">
        <v>2243</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2244</v>
      </c>
    </row>
    <row r="126" spans="3:27">
      <c r="D126" t="s">
        <v>2245</v>
      </c>
      <c r="E126" t="s">
        <v>2246</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2247</v>
      </c>
    </row>
    <row r="127" spans="3:27">
      <c r="C127" t="s">
        <v>1991</v>
      </c>
      <c r="D127" t="s">
        <v>2248</v>
      </c>
      <c r="E127" t="s">
        <v>2249</v>
      </c>
      <c r="M127" t="s">
        <v>2002</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2250</v>
      </c>
    </row>
    <row r="128" spans="3:27">
      <c r="D128" t="s">
        <v>2251</v>
      </c>
      <c r="E128" t="s">
        <v>2252</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2253</v>
      </c>
      <c r="D130" t="s">
        <v>2254</v>
      </c>
      <c r="E130" t="s">
        <v>2255</v>
      </c>
      <c r="M130" t="s">
        <v>1998</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2256</v>
      </c>
    </row>
    <row r="131" spans="1:23">
      <c r="A131" t="s">
        <v>705</v>
      </c>
      <c r="B131">
        <v>30</v>
      </c>
      <c r="V131" t="str">
        <f t="shared" ref="V131:V162"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2257</v>
      </c>
      <c r="D132" t="s">
        <v>2258</v>
      </c>
      <c r="E132" t="s">
        <v>2259</v>
      </c>
      <c r="M132" t="s">
        <v>1994</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2260</v>
      </c>
    </row>
    <row r="133" customFormat="1" spans="1:23">
      <c r="A133" t="s">
        <v>679</v>
      </c>
      <c r="B133">
        <v>21</v>
      </c>
      <c r="V133" t="str">
        <f t="shared" si="20"/>
        <v>},[21]={</v>
      </c>
    </row>
    <row r="134" customFormat="1" spans="1:23">
      <c r="C134" t="s">
        <v>2253</v>
      </c>
      <c r="D134" t="s">
        <v>2261</v>
      </c>
      <c r="E134" t="s">
        <v>2262</v>
      </c>
      <c r="M134" t="s">
        <v>1998</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2263</v>
      </c>
    </row>
    <row r="135" customFormat="1" spans="1:23">
      <c r="C135" t="s">
        <v>2253</v>
      </c>
      <c r="D135" t="s">
        <v>2264</v>
      </c>
      <c r="E135" t="s">
        <v>2265</v>
      </c>
      <c r="M135" t="s">
        <v>1998</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2266</v>
      </c>
    </row>
    <row r="136" spans="1:23">
      <c r="A136" t="s">
        <v>685</v>
      </c>
      <c r="B136">
        <v>23</v>
      </c>
      <c r="V136" t="str">
        <f t="shared" si="20"/>
        <v>},[23]={</v>
      </c>
    </row>
    <row r="137" customFormat="1" spans="1:23">
      <c r="C137" t="s">
        <v>2257</v>
      </c>
      <c r="D137" t="s">
        <v>2267</v>
      </c>
      <c r="E137" t="s">
        <v>2268</v>
      </c>
      <c r="M137" t="s">
        <v>1994</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2269</v>
      </c>
    </row>
    <row r="138" customFormat="1" spans="1:23">
      <c r="C138" t="s">
        <v>2257</v>
      </c>
      <c r="D138" t="s">
        <v>2270</v>
      </c>
      <c r="E138" t="s">
        <v>2271</v>
      </c>
      <c r="M138" t="s">
        <v>1994</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2272</v>
      </c>
    </row>
    <row r="139" spans="1:23">
      <c r="A139" t="s">
        <v>633</v>
      </c>
      <c r="B139">
        <v>9</v>
      </c>
      <c r="V139" t="str">
        <f t="shared" si="20"/>
        <v>},[9]={</v>
      </c>
    </row>
    <row r="140" customFormat="1" spans="1:23">
      <c r="C140" t="s">
        <v>2253</v>
      </c>
      <c r="D140" t="s">
        <v>2273</v>
      </c>
      <c r="E140" t="s">
        <v>2274</v>
      </c>
      <c r="M140" t="s">
        <v>1998</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2275</v>
      </c>
    </row>
    <row r="141" customFormat="1" spans="1:23">
      <c r="C141" t="s">
        <v>2253</v>
      </c>
      <c r="D141" t="s">
        <v>2276</v>
      </c>
      <c r="E141" t="s">
        <v>2277</v>
      </c>
      <c r="M141" t="s">
        <v>1998</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2278</v>
      </c>
    </row>
    <row r="142" spans="1:23">
      <c r="A142" t="s">
        <v>846</v>
      </c>
      <c r="B142">
        <v>103</v>
      </c>
      <c r="V142" t="str">
        <f t="shared" si="20"/>
        <v>},[103]={</v>
      </c>
    </row>
    <row r="143" customFormat="1" spans="1:23">
      <c r="C143" t="s">
        <v>2257</v>
      </c>
      <c r="D143" t="s">
        <v>2279</v>
      </c>
      <c r="E143" t="s">
        <v>2280</v>
      </c>
      <c r="M143" t="s">
        <v>1994</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2281</v>
      </c>
    </row>
    <row r="144" customFormat="1" spans="1:23">
      <c r="C144" t="s">
        <v>2257</v>
      </c>
      <c r="D144" t="s">
        <v>2282</v>
      </c>
      <c r="E144" t="s">
        <v>2283</v>
      </c>
      <c r="M144" t="s">
        <v>1994</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2284</v>
      </c>
    </row>
    <row r="145" spans="1:27">
      <c r="A145" t="s">
        <v>852</v>
      </c>
      <c r="B145">
        <v>105</v>
      </c>
      <c r="V145" t="str">
        <f t="shared" si="20"/>
        <v>},[105]={</v>
      </c>
    </row>
    <row r="146" customFormat="1" spans="1:27">
      <c r="C146" t="s">
        <v>2253</v>
      </c>
      <c r="D146" t="s">
        <v>2285</v>
      </c>
      <c r="E146" t="s">
        <v>2286</v>
      </c>
      <c r="M146" t="s">
        <v>1998</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2287</v>
      </c>
    </row>
    <row r="147" customFormat="1" spans="1:27">
      <c r="C147" t="s">
        <v>2253</v>
      </c>
      <c r="D147" t="s">
        <v>2288</v>
      </c>
      <c r="E147" t="s">
        <v>2289</v>
      </c>
      <c r="M147" t="s">
        <v>1998</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2290</v>
      </c>
    </row>
    <row r="148" spans="1:27">
      <c r="A148" t="s">
        <v>983</v>
      </c>
      <c r="B148">
        <v>153</v>
      </c>
      <c r="V148" t="str">
        <f t="shared" si="20"/>
        <v>},[153]={</v>
      </c>
    </row>
    <row r="149" customFormat="1" spans="1:27">
      <c r="C149" t="s">
        <v>2257</v>
      </c>
      <c r="D149" t="s">
        <v>2291</v>
      </c>
      <c r="E149" t="s">
        <v>2292</v>
      </c>
      <c r="M149" t="s">
        <v>1994</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2293</v>
      </c>
    </row>
    <row r="150" customFormat="1" spans="1:27">
      <c r="C150" t="s">
        <v>2257</v>
      </c>
      <c r="D150" t="s">
        <v>2294</v>
      </c>
      <c r="E150" t="s">
        <v>2295</v>
      </c>
      <c r="M150" t="s">
        <v>1994</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2296</v>
      </c>
    </row>
    <row r="151" spans="1:27">
      <c r="A151" t="s">
        <v>1061</v>
      </c>
      <c r="B151">
        <v>216</v>
      </c>
      <c r="V151" t="str">
        <f t="shared" si="20"/>
        <v>},[216]={</v>
      </c>
    </row>
    <row r="152" customFormat="1" spans="1:27">
      <c r="C152" s="5" t="s">
        <v>1705</v>
      </c>
      <c r="D152" t="s">
        <v>2179</v>
      </c>
      <c r="E152" t="s">
        <v>2180</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2181</v>
      </c>
      <c r="X152" s="5" t="s">
        <v>2182</v>
      </c>
      <c r="Y152" s="5" t="s">
        <v>2183</v>
      </c>
    </row>
    <row r="153" customFormat="1" spans="1:27">
      <c r="C153" s="5" t="s">
        <v>1705</v>
      </c>
      <c r="D153" t="s">
        <v>2184</v>
      </c>
      <c r="E153" t="s">
        <v>2185</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2186</v>
      </c>
      <c r="X153" s="5" t="s">
        <v>2182</v>
      </c>
      <c r="Y153" s="5" t="s">
        <v>2183</v>
      </c>
    </row>
    <row r="154" customFormat="1" spans="1:27">
      <c r="C154" s="5" t="s">
        <v>1705</v>
      </c>
      <c r="D154" t="s">
        <v>2187</v>
      </c>
      <c r="E154" t="s">
        <v>2188</v>
      </c>
      <c r="V154" t="str">
        <f t="shared" si="20"/>
        <v>{szContent="哼，打扰本大爷休息！",szTarget="狼牙先锋首领",szNote="狼牙先锋首领·刷新喊话1",[14]={},tCountdown={{nClass=14,nIcon=3556,nFrame=1,szName="狼牙先锋首领·已经刷新",nTime=10,nRefresh=120,key="狼牙先锋首领",},},},</v>
      </c>
      <c r="W154" t="s">
        <v>2186</v>
      </c>
    </row>
    <row r="155" customFormat="1" spans="1:27">
      <c r="C155" s="5" t="s">
        <v>1705</v>
      </c>
      <c r="D155" t="s">
        <v>2189</v>
      </c>
      <c r="E155" t="s">
        <v>2190</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2191</v>
      </c>
      <c r="X155" s="4" t="s">
        <v>2192</v>
      </c>
      <c r="Y155" s="4" t="s">
        <v>2193</v>
      </c>
    </row>
    <row r="156" customFormat="1" spans="1:27">
      <c r="C156" s="5"/>
      <c r="D156" t="s">
        <v>2237</v>
      </c>
      <c r="E156"/>
      <c r="M156" t="s">
        <v>2002</v>
      </c>
      <c r="V156" t="str">
        <f t="shared" si="20"/>
        <v>{szContent="你已经离开据点，10秒内未进入据点，则据点旗帜重置。",col={255,255,100,},[14]={},tCountdown={{nClass=14,nIcon=592,nFrame=2,szName="据点大旗·重置剩余",nTime=10,key="据点大旗·旗手提示",},},},</v>
      </c>
      <c r="W156" t="s">
        <v>2238</v>
      </c>
    </row>
    <row r="157" customFormat="1" spans="1:27">
      <c r="C157" s="5"/>
      <c r="D157" t="s">
        <v>2239</v>
      </c>
      <c r="E157" t="s">
        <v>2240</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2241</v>
      </c>
    </row>
    <row r="158" customFormat="1" spans="1:27">
      <c r="C158" s="5" t="s">
        <v>1991</v>
      </c>
      <c r="D158" t="s">
        <v>2213</v>
      </c>
      <c r="E158" t="s">
        <v>2214</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2215</v>
      </c>
      <c r="X158" t="s">
        <v>2297</v>
      </c>
    </row>
    <row r="159" customFormat="1" spans="1:27">
      <c r="C159" s="5" t="s">
        <v>1991</v>
      </c>
      <c r="D159" t="s">
        <v>2224</v>
      </c>
      <c r="E159" t="s">
        <v>2225</v>
      </c>
      <c r="M159" t="s">
        <v>2002</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2226</v>
      </c>
    </row>
    <row r="160" customFormat="1" spans="1:27">
      <c r="C160" s="5" t="s">
        <v>1991</v>
      </c>
      <c r="D160" t="s">
        <v>2198</v>
      </c>
      <c r="E160" t="s">
        <v>2199</v>
      </c>
      <c r="M160" t="s">
        <v>2002</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2200</v>
      </c>
      <c r="X160" t="s">
        <v>2201</v>
      </c>
      <c r="Y160" t="s">
        <v>2202</v>
      </c>
      <c r="Z160" t="s">
        <v>2203</v>
      </c>
      <c r="AA160" t="s">
        <v>2204</v>
      </c>
    </row>
    <row r="161" customFormat="1" spans="1:27">
      <c r="C161" s="5" t="s">
        <v>1991</v>
      </c>
      <c r="D161" t="s">
        <v>2205</v>
      </c>
      <c r="E161"/>
      <c r="M161" t="s">
        <v>1994</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2206</v>
      </c>
      <c r="X161" t="s">
        <v>2207</v>
      </c>
    </row>
    <row r="162" customFormat="1" spans="1:27">
      <c r="C162" s="5" t="s">
        <v>1991</v>
      </c>
      <c r="D162" t="s">
        <v>2208</v>
      </c>
      <c r="E162"/>
      <c r="M162" t="s">
        <v>1998</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2206</v>
      </c>
      <c r="X162" t="s">
        <v>2209</v>
      </c>
    </row>
    <row r="163" customFormat="1" spans="1:27">
      <c r="C163" t="s">
        <v>1991</v>
      </c>
      <c r="D163" s="8" t="s">
        <v>2298</v>
      </c>
      <c r="E163" t="s">
        <v>2299</v>
      </c>
      <c r="M163" t="s">
        <v>2002</v>
      </c>
      <c r="O163">
        <v>1</v>
      </c>
      <c r="S163">
        <v>1</v>
      </c>
      <c r="V163" t="str">
        <f>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2300</v>
      </c>
      <c r="X163" t="s">
        <v>2301</v>
      </c>
      <c r="Y163" t="s">
        <v>2302</v>
      </c>
    </row>
    <row r="164" spans="1:27">
      <c r="A164" t="s">
        <v>1414</v>
      </c>
      <c r="B164">
        <v>656</v>
      </c>
      <c r="V164" t="str">
        <f>IF(ISBLANK(B164)=FALSE,IF(ISBLANK(B163),"},["&amp;B164&amp;"]={","["&amp;B164&amp;"]={"),IF(AND(ISBLANK(B164),ISBLANK(D164),ISBLANK(N164),ISBLANK(O164),OR(ISBLANK(B163)=FALSE,ISBLANK(D163)=FALSE,ISBLANK(N163)=FALSE,ISBLANK(O163)=FALSE)),"},},}",IF(ISBLANK(D164),"","{szContent="""&amp;D164&amp;""","&amp;IF(C164&lt;&gt;"","szTarget="""&amp;C164&amp;""",","")&amp;IF(E164&lt;&gt;"","szNote="""&amp;E164&amp;""",","")&amp;IF(M164&lt;&gt;"","col={"&amp;M164&amp;"},","")&amp;IF(N164&gt;0,"bSearch=true,","")&amp;IF(O164&gt;0,"bReg=true,","")&amp;"[14]={"&amp;IF(P164&gt;0,"szVoice="""&amp;P164&amp;""",","")&amp;IF(Q164&gt;0,"bTeamChannel=true,","")&amp;IF(R164&gt;0,"bWhisperChannel=true,","")&amp;IF(S164&gt;0,"bCenterAlarm=true,","")&amp;IF(T164&gt;0,"bScreenHead=true,","")&amp;IF(U164&gt;0,"bFullScreen=true,","")&amp;"},"&amp;IF(W164&lt;&gt;"","tCountdown={"&amp;_xlfn.TEXTJOIN("",TRUE,W164:AAH164)&amp;"},","")&amp;"},")))</f>
        <v>},[656]={</v>
      </c>
    </row>
    <row r="165" customFormat="1" spans="1:27">
      <c r="C165" s="5" t="s">
        <v>1705</v>
      </c>
      <c r="D165" t="s">
        <v>2179</v>
      </c>
      <c r="E165" t="s">
        <v>2180</v>
      </c>
      <c r="V165" t="str">
        <f>IF(ISBLANK(B165)=FALSE,IF(ISBLANK(B164),"},["&amp;B165&amp;"]={","["&amp;B165&amp;"]={"),IF(AND(ISBLANK(B165),ISBLANK(D165),ISBLANK(N165),ISBLANK(O165),OR(ISBLANK(B164)=FALSE,ISBLANK(D164)=FALSE,ISBLANK(N164)=FALSE,ISBLANK(O164)=FALSE)),"},},}",IF(ISBLANK(D165),"","{szContent="""&amp;D165&amp;""","&amp;IF(C165&lt;&gt;"","szTarget="""&amp;C165&amp;""",","")&amp;IF(E165&lt;&gt;"","szNote="""&amp;E165&amp;""",","")&amp;IF(M165&lt;&gt;"","col={"&amp;M165&amp;"},","")&amp;IF(N165&gt;0,"bSearch=true,","")&amp;IF(O165&gt;0,"bReg=true,","")&amp;"[14]={"&amp;IF(P165&gt;0,"szVoice="""&amp;P165&amp;""",","")&amp;IF(Q165&gt;0,"bTeamChannel=true,","")&amp;IF(R165&gt;0,"bWhisperChannel=true,","")&amp;IF(S165&gt;0,"bCenterAlarm=true,","")&amp;IF(T165&gt;0,"bScreenHead=true,","")&amp;IF(U165&gt;0,"bFullScreen=true,","")&amp;"},"&amp;IF(W165&lt;&gt;"","tCountdown={"&amp;_xlfn.TEXTJOIN("",TRUE,W165:AAH165)&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2181</v>
      </c>
      <c r="X165" s="5" t="s">
        <v>2182</v>
      </c>
      <c r="Y165" s="5" t="s">
        <v>2183</v>
      </c>
    </row>
    <row r="166" customFormat="1" spans="1:27">
      <c r="C166" s="5" t="s">
        <v>1705</v>
      </c>
      <c r="D166" t="s">
        <v>2184</v>
      </c>
      <c r="E166" t="s">
        <v>2185</v>
      </c>
      <c r="V166" t="str">
        <f>IF(ISBLANK(B166)=FALSE,IF(ISBLANK(B165),"},["&amp;B166&amp;"]={","["&amp;B166&amp;"]={"),IF(AND(ISBLANK(B166),ISBLANK(D166),ISBLANK(N166),ISBLANK(O166),OR(ISBLANK(B165)=FALSE,ISBLANK(D165)=FALSE,ISBLANK(N165)=FALSE,ISBLANK(O165)=FALSE)),"},},}",IF(ISBLANK(D166),"","{szContent="""&amp;D166&amp;""","&amp;IF(C166&lt;&gt;"","szTarget="""&amp;C166&amp;""",","")&amp;IF(E166&lt;&gt;"","szNote="""&amp;E166&amp;""",","")&amp;IF(M166&lt;&gt;"","col={"&amp;M166&amp;"},","")&amp;IF(N166&gt;0,"bSearch=true,","")&amp;IF(O166&gt;0,"bReg=true,","")&amp;"[14]={"&amp;IF(P166&gt;0,"szVoice="""&amp;P166&amp;""",","")&amp;IF(Q166&gt;0,"bTeamChannel=true,","")&amp;IF(R166&gt;0,"bWhisperChannel=true,","")&amp;IF(S166&gt;0,"bCenterAlarm=true,","")&amp;IF(T166&gt;0,"bScreenHead=true,","")&amp;IF(U166&gt;0,"bFullScreen=true,","")&amp;"},"&amp;IF(W166&lt;&gt;"","tCountdown={"&amp;_xlfn.TEXTJOIN("",TRUE,W166:AAH166)&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2186</v>
      </c>
      <c r="X166" s="5" t="s">
        <v>2182</v>
      </c>
      <c r="Y166" s="5" t="s">
        <v>2183</v>
      </c>
    </row>
    <row r="167" customFormat="1" spans="1:27">
      <c r="C167" s="5" t="s">
        <v>1705</v>
      </c>
      <c r="D167" t="s">
        <v>2187</v>
      </c>
      <c r="E167" t="s">
        <v>2188</v>
      </c>
      <c r="V167" t="str">
        <f>IF(ISBLANK(B167)=FALSE,IF(ISBLANK(B166),"},["&amp;B167&amp;"]={","["&amp;B167&amp;"]={"),IF(AND(ISBLANK(B167),ISBLANK(D167),ISBLANK(N167),ISBLANK(O167),OR(ISBLANK(B166)=FALSE,ISBLANK(D166)=FALSE,ISBLANK(N166)=FALSE,ISBLANK(O166)=FALSE)),"},},}",IF(ISBLANK(D167),"","{szContent="""&amp;D167&amp;""","&amp;IF(C167&lt;&gt;"","szTarget="""&amp;C167&amp;""",","")&amp;IF(E167&lt;&gt;"","szNote="""&amp;E167&amp;""",","")&amp;IF(M167&lt;&gt;"","col={"&amp;M167&amp;"},","")&amp;IF(N167&gt;0,"bSearch=true,","")&amp;IF(O167&gt;0,"bReg=true,","")&amp;"[14]={"&amp;IF(P167&gt;0,"szVoice="""&amp;P167&amp;""",","")&amp;IF(Q167&gt;0,"bTeamChannel=true,","")&amp;IF(R167&gt;0,"bWhisperChannel=true,","")&amp;IF(S167&gt;0,"bCenterAlarm=true,","")&amp;IF(T167&gt;0,"bScreenHead=true,","")&amp;IF(U167&gt;0,"bFullScreen=true,","")&amp;"},"&amp;IF(W167&lt;&gt;"","tCountdown={"&amp;_xlfn.TEXTJOIN("",TRUE,W167:AAH167)&amp;"},","")&amp;"},")))</f>
        <v>{szContent="哼，打扰本大爷休息！",szTarget="狼牙先锋首领",szNote="狼牙先锋首领·刷新喊话1",[14]={},tCountdown={{nClass=14,nIcon=3556,nFrame=1,szName="狼牙先锋首领·已经刷新",nTime=10,nRefresh=120,key="狼牙先锋首领",},},},</v>
      </c>
      <c r="W167" t="s">
        <v>2186</v>
      </c>
    </row>
    <row r="168" customFormat="1" spans="1:27">
      <c r="C168" s="5" t="s">
        <v>1705</v>
      </c>
      <c r="D168" t="s">
        <v>2189</v>
      </c>
      <c r="E168" t="s">
        <v>2190</v>
      </c>
      <c r="V168" t="str">
        <f>IF(ISBLANK(B168)=FALSE,IF(ISBLANK(B167),"},["&amp;B168&amp;"]={","["&amp;B168&amp;"]={"),IF(AND(ISBLANK(B168),ISBLANK(D168),ISBLANK(N168),ISBLANK(O168),OR(ISBLANK(B167)=FALSE,ISBLANK(D167)=FALSE,ISBLANK(N167)=FALSE,ISBLANK(O167)=FALSE)),"},},}",IF(ISBLANK(D168),"","{szContent="""&amp;D168&amp;""","&amp;IF(C168&lt;&gt;"","szTarget="""&amp;C168&amp;""",","")&amp;IF(E168&lt;&gt;"","szNote="""&amp;E168&amp;""",","")&amp;IF(M168&lt;&gt;"","col={"&amp;M168&amp;"},","")&amp;IF(N168&gt;0,"bSearch=true,","")&amp;IF(O168&gt;0,"bReg=true,","")&amp;"[14]={"&amp;IF(P168&gt;0,"szVoice="""&amp;P168&amp;""",","")&amp;IF(Q168&gt;0,"bTeamChannel=true,","")&amp;IF(R168&gt;0,"bWhisperChannel=true,","")&amp;IF(S168&gt;0,"bCenterAlarm=true,","")&amp;IF(T168&gt;0,"bScreenHead=true,","")&amp;IF(U168&gt;0,"bFullScreen=true,","")&amp;"},"&amp;IF(W168&lt;&gt;"","tCountdown={"&amp;_xlfn.TEXTJOIN("",TRUE,W168:AAH168)&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2191</v>
      </c>
      <c r="X168" s="4" t="s">
        <v>2192</v>
      </c>
      <c r="Y168" s="4" t="s">
        <v>2193</v>
      </c>
    </row>
    <row r="169" customFormat="1" spans="1:27">
      <c r="C169" s="5"/>
      <c r="D169" t="s">
        <v>2237</v>
      </c>
      <c r="E169"/>
      <c r="M169" t="s">
        <v>2002</v>
      </c>
      <c r="V169" t="str">
        <f>IF(ISBLANK(B169)=FALSE,IF(ISBLANK(B168),"},["&amp;B169&amp;"]={","["&amp;B169&amp;"]={"),IF(AND(ISBLANK(B169),ISBLANK(D169),ISBLANK(N169),ISBLANK(O169),OR(ISBLANK(B168)=FALSE,ISBLANK(D168)=FALSE,ISBLANK(N168)=FALSE,ISBLANK(O168)=FALSE)),"},},}",IF(ISBLANK(D169),"","{szContent="""&amp;D169&amp;""","&amp;IF(C169&lt;&gt;"","szTarget="""&amp;C169&amp;""",","")&amp;IF(E169&lt;&gt;"","szNote="""&amp;E169&amp;""",","")&amp;IF(M169&lt;&gt;"","col={"&amp;M169&amp;"},","")&amp;IF(N169&gt;0,"bSearch=true,","")&amp;IF(O169&gt;0,"bReg=true,","")&amp;"[14]={"&amp;IF(P169&gt;0,"szVoice="""&amp;P169&amp;""",","")&amp;IF(Q169&gt;0,"bTeamChannel=true,","")&amp;IF(R169&gt;0,"bWhisperChannel=true,","")&amp;IF(S169&gt;0,"bCenterAlarm=true,","")&amp;IF(T169&gt;0,"bScreenHead=true,","")&amp;IF(U169&gt;0,"bFullScreen=true,","")&amp;"},"&amp;IF(W169&lt;&gt;"","tCountdown={"&amp;_xlfn.TEXTJOIN("",TRUE,W169:AAH169)&amp;"},","")&amp;"},")))</f>
        <v>{szContent="你已经离开据点，10秒内未进入据点，则据点旗帜重置。",col={255,255,100,},[14]={},tCountdown={{nClass=14,nIcon=592,nFrame=2,szName="据点大旗·重置剩余",nTime=10,key="据点大旗·旗手提示",},},},</v>
      </c>
      <c r="W169" t="s">
        <v>2238</v>
      </c>
    </row>
    <row r="170" customFormat="1" spans="1:27">
      <c r="C170" s="5"/>
      <c r="D170" t="s">
        <v>2239</v>
      </c>
      <c r="E170" t="s">
        <v>2240</v>
      </c>
      <c r="M170" t="s">
        <v>1474</v>
      </c>
      <c r="P170" t="s">
        <v>537</v>
      </c>
      <c r="Q170">
        <v>1</v>
      </c>
      <c r="R170">
        <v>1</v>
      </c>
      <c r="S170">
        <v>1</v>
      </c>
      <c r="U170">
        <v>1</v>
      </c>
      <c r="V170" t="str">
        <f>IF(ISBLANK(B170)=FALSE,IF(ISBLANK(B169),"},["&amp;B170&amp;"]={","["&amp;B170&amp;"]={"),IF(AND(ISBLANK(B170),ISBLANK(D170),ISBLANK(N170),ISBLANK(O170),OR(ISBLANK(B169)=FALSE,ISBLANK(D169)=FALSE,ISBLANK(N169)=FALSE,ISBLANK(O169)=FALSE)),"},},}",IF(ISBLANK(D170),"","{szContent="""&amp;D170&amp;""","&amp;IF(C170&lt;&gt;"","szTarget="""&amp;C170&amp;""",","")&amp;IF(E170&lt;&gt;"","szNote="""&amp;E170&amp;""",","")&amp;IF(M170&lt;&gt;"","col={"&amp;M170&amp;"},","")&amp;IF(N170&gt;0,"bSearch=true,","")&amp;IF(O170&gt;0,"bReg=true,","")&amp;"[14]={"&amp;IF(P170&gt;0,"szVoice="""&amp;P170&amp;""",","")&amp;IF(Q170&gt;0,"bTeamChannel=true,","")&amp;IF(R170&gt;0,"bWhisperChannel=true,","")&amp;IF(S170&gt;0,"bCenterAlarm=true,","")&amp;IF(T170&gt;0,"bScreenHead=true,","")&amp;IF(U170&gt;0,"bFullScreen=true,","")&amp;"},"&amp;IF(W170&lt;&gt;"","tCountdown={"&amp;_xlfn.TEXTJOIN("",TRUE,W170:AAH170)&amp;"},","")&amp;"},")))</f>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2241</v>
      </c>
    </row>
    <row r="171" customFormat="1" spans="1:27">
      <c r="C171" s="5" t="s">
        <v>1991</v>
      </c>
      <c r="D171" t="s">
        <v>2213</v>
      </c>
      <c r="E171" t="s">
        <v>2214</v>
      </c>
      <c r="M171" t="s">
        <v>1474</v>
      </c>
      <c r="O171">
        <v>1</v>
      </c>
      <c r="P171"/>
      <c r="Q171"/>
      <c r="R171"/>
      <c r="S171">
        <v>1</v>
      </c>
      <c r="V171" t="str">
        <f>IF(ISBLANK(B171)=FALSE,IF(ISBLANK(B170),"},["&amp;B171&amp;"]={","["&amp;B171&amp;"]={"),IF(AND(ISBLANK(B171),ISBLANK(D171),ISBLANK(N171),ISBLANK(O171),OR(ISBLANK(B170)=FALSE,ISBLANK(D170)=FALSE,ISBLANK(N170)=FALSE,ISBLANK(O170)=FALSE)),"},},}",IF(ISBLANK(D171),"","{szContent="""&amp;D171&amp;""","&amp;IF(C171&lt;&gt;"","szTarget="""&amp;C171&amp;""",","")&amp;IF(E171&lt;&gt;"","szNote="""&amp;E171&amp;""",","")&amp;IF(M171&lt;&gt;"","col={"&amp;M171&amp;"},","")&amp;IF(N171&gt;0,"bSearch=true,","")&amp;IF(O171&gt;0,"bReg=true,","")&amp;"[14]={"&amp;IF(P171&gt;0,"szVoice="""&amp;P171&amp;""",","")&amp;IF(Q171&gt;0,"bTeamChannel=true,","")&amp;IF(R171&gt;0,"bWhisperChannel=true,","")&amp;IF(S171&gt;0,"bCenterAlarm=true,","")&amp;IF(T171&gt;0,"bScreenHead=true,","")&amp;IF(U171&gt;0,"bFullScreen=true,","")&amp;"},"&amp;IF(W171&lt;&gt;"","tCountdown={"&amp;_xlfn.TEXTJOIN("",TRUE,W171:AAH171)&amp;"},","")&amp;"},")))</f>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2215</v>
      </c>
      <c r="X171" t="s">
        <v>2297</v>
      </c>
    </row>
    <row r="172" customFormat="1" spans="1:27">
      <c r="C172" s="5" t="s">
        <v>1991</v>
      </c>
      <c r="D172" t="s">
        <v>2224</v>
      </c>
      <c r="E172" t="s">
        <v>2225</v>
      </c>
      <c r="M172" t="s">
        <v>2002</v>
      </c>
      <c r="O172">
        <v>1</v>
      </c>
      <c r="S172">
        <v>1</v>
      </c>
      <c r="V172" t="str">
        <f>IF(ISBLANK(B172)=FALSE,IF(ISBLANK(B171),"},["&amp;B172&amp;"]={","["&amp;B172&amp;"]={"),IF(AND(ISBLANK(B172),ISBLANK(D172),ISBLANK(N172),ISBLANK(O172),OR(ISBLANK(B171)=FALSE,ISBLANK(D171)=FALSE,ISBLANK(N171)=FALSE,ISBLANK(O171)=FALSE)),"},},}",IF(ISBLANK(D172),"","{szContent="""&amp;D172&amp;""","&amp;IF(C172&lt;&gt;"","szTarget="""&amp;C172&amp;""",","")&amp;IF(E172&lt;&gt;"","szNote="""&amp;E172&amp;""",","")&amp;IF(M172&lt;&gt;"","col={"&amp;M172&amp;"},","")&amp;IF(N172&gt;0,"bSearch=true,","")&amp;IF(O172&gt;0,"bReg=true,","")&amp;"[14]={"&amp;IF(P172&gt;0,"szVoice="""&amp;P172&amp;""",","")&amp;IF(Q172&gt;0,"bTeamChannel=true,","")&amp;IF(R172&gt;0,"bWhisperChannel=true,","")&amp;IF(S172&gt;0,"bCenterAlarm=true,","")&amp;IF(T172&gt;0,"bScreenHead=true,","")&amp;IF(U172&gt;0,"bFullScreen=true,","")&amp;"},"&amp;IF(W172&lt;&gt;"","tCountdown={"&amp;_xlfn.TEXTJOIN("",TRUE,W172:AAH172)&amp;"},","")&amp;"},")))</f>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2226</v>
      </c>
    </row>
    <row r="173" customFormat="1" spans="1:27">
      <c r="C173" s="5" t="s">
        <v>1991</v>
      </c>
      <c r="D173" t="s">
        <v>2198</v>
      </c>
      <c r="E173" t="s">
        <v>2199</v>
      </c>
      <c r="M173" t="s">
        <v>2002</v>
      </c>
      <c r="S173">
        <v>1</v>
      </c>
      <c r="V173" t="str">
        <f>IF(ISBLANK(B173)=FALSE,IF(ISBLANK(B172),"},["&amp;B173&amp;"]={","["&amp;B173&amp;"]={"),IF(AND(ISBLANK(B173),ISBLANK(D173),ISBLANK(N173),ISBLANK(O173),OR(ISBLANK(B172)=FALSE,ISBLANK(D172)=FALSE,ISBLANK(N172)=FALSE,ISBLANK(O172)=FALSE)),"},},}",IF(ISBLANK(D173),"","{szContent="""&amp;D173&amp;""","&amp;IF(C173&lt;&gt;"","szTarget="""&amp;C173&amp;""",","")&amp;IF(E173&lt;&gt;"","szNote="""&amp;E173&amp;""",","")&amp;IF(M173&lt;&gt;"","col={"&amp;M173&amp;"},","")&amp;IF(N173&gt;0,"bSearch=true,","")&amp;IF(O173&gt;0,"bReg=true,","")&amp;"[14]={"&amp;IF(P173&gt;0,"szVoice="""&amp;P173&amp;""",","")&amp;IF(Q173&gt;0,"bTeamChannel=true,","")&amp;IF(R173&gt;0,"bWhisperChannel=true,","")&amp;IF(S173&gt;0,"bCenterAlarm=true,","")&amp;IF(T173&gt;0,"bScreenHead=true,","")&amp;IF(U173&gt;0,"bFullScreen=true,","")&amp;"},"&amp;IF(W173&lt;&gt;"","tCountdown={"&amp;_xlfn.TEXTJOIN("",TRUE,W173:AAH173)&amp;"},","")&amp;"},")))</f>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2200</v>
      </c>
      <c r="X173" t="s">
        <v>2201</v>
      </c>
      <c r="Y173" t="s">
        <v>2202</v>
      </c>
      <c r="Z173" t="s">
        <v>2203</v>
      </c>
      <c r="AA173" t="s">
        <v>2204</v>
      </c>
    </row>
    <row r="174" customFormat="1" spans="1:27">
      <c r="C174" s="5" t="s">
        <v>1991</v>
      </c>
      <c r="D174" t="s">
        <v>2205</v>
      </c>
      <c r="E174"/>
      <c r="M174" t="s">
        <v>1994</v>
      </c>
      <c r="N174">
        <v>1</v>
      </c>
      <c r="V174" t="str">
        <f>IF(ISBLANK(B174)=FALSE,IF(ISBLANK(B173),"},["&amp;B174&amp;"]={","["&amp;B174&amp;"]={"),IF(AND(ISBLANK(B174),ISBLANK(D174),ISBLANK(N174),ISBLANK(O174),OR(ISBLANK(B173)=FALSE,ISBLANK(D173)=FALSE,ISBLANK(N173)=FALSE,ISBLANK(O173)=FALSE)),"},},}",IF(ISBLANK(D174),"","{szContent="""&amp;D174&amp;""","&amp;IF(C174&lt;&gt;"","szTarget="""&amp;C174&amp;""",","")&amp;IF(E174&lt;&gt;"","szNote="""&amp;E174&amp;""",","")&amp;IF(M174&lt;&gt;"","col={"&amp;M174&amp;"},","")&amp;IF(N174&gt;0,"bSearch=true,","")&amp;IF(O174&gt;0,"bReg=true,","")&amp;"[14]={"&amp;IF(P174&gt;0,"szVoice="""&amp;P174&amp;""",","")&amp;IF(Q174&gt;0,"bTeamChannel=true,","")&amp;IF(R174&gt;0,"bWhisperChannel=true,","")&amp;IF(S174&gt;0,"bCenterAlarm=true,","")&amp;IF(T174&gt;0,"bScreenHead=true,","")&amp;IF(U174&gt;0,"bFullScreen=true,","")&amp;"},"&amp;IF(W174&lt;&gt;"","tCountdown={"&amp;_xlfn.TEXTJOIN("",TRUE,W174:AAH174)&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2206</v>
      </c>
      <c r="X174" t="s">
        <v>2207</v>
      </c>
    </row>
    <row r="175" customFormat="1" spans="1:27">
      <c r="C175" s="5" t="s">
        <v>1991</v>
      </c>
      <c r="D175" t="s">
        <v>2208</v>
      </c>
      <c r="E175"/>
      <c r="M175" t="s">
        <v>1998</v>
      </c>
      <c r="N175">
        <v>1</v>
      </c>
      <c r="V175" t="str">
        <f>IF(ISBLANK(B175)=FALSE,IF(ISBLANK(B174),"},["&amp;B175&amp;"]={","["&amp;B175&amp;"]={"),IF(AND(ISBLANK(B175),ISBLANK(D175),ISBLANK(N175),ISBLANK(O175),OR(ISBLANK(B174)=FALSE,ISBLANK(D174)=FALSE,ISBLANK(N174)=FALSE,ISBLANK(O174)=FALSE)),"},},}",IF(ISBLANK(D175),"","{szContent="""&amp;D175&amp;""","&amp;IF(C175&lt;&gt;"","szTarget="""&amp;C175&amp;""",","")&amp;IF(E175&lt;&gt;"","szNote="""&amp;E175&amp;""",","")&amp;IF(M175&lt;&gt;"","col={"&amp;M175&amp;"},","")&amp;IF(N175&gt;0,"bSearch=true,","")&amp;IF(O175&gt;0,"bReg=true,","")&amp;"[14]={"&amp;IF(P175&gt;0,"szVoice="""&amp;P175&amp;""",","")&amp;IF(Q175&gt;0,"bTeamChannel=true,","")&amp;IF(R175&gt;0,"bWhisperChannel=true,","")&amp;IF(S175&gt;0,"bCenterAlarm=true,","")&amp;IF(T175&gt;0,"bScreenHead=true,","")&amp;IF(U175&gt;0,"bFullScreen=true,","")&amp;"},"&amp;IF(W175&lt;&gt;"","tCountdown={"&amp;_xlfn.TEXTJOIN("",TRUE,W175:AAH175)&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2206</v>
      </c>
      <c r="X175" t="s">
        <v>2209</v>
      </c>
    </row>
    <row r="176" customFormat="1" spans="1:27">
      <c r="C176" t="s">
        <v>1991</v>
      </c>
      <c r="D176" s="8" t="s">
        <v>2298</v>
      </c>
      <c r="E176" t="s">
        <v>2299</v>
      </c>
      <c r="M176" t="s">
        <v>2002</v>
      </c>
      <c r="O176">
        <v>1</v>
      </c>
      <c r="S176">
        <v>1</v>
      </c>
      <c r="V176" t="str">
        <f>IF(ISBLANK(B176)=FALSE,IF(ISBLANK(B175),"},["&amp;B176&amp;"]={","["&amp;B176&amp;"]={"),IF(AND(ISBLANK(B176),ISBLANK(D176),ISBLANK(N176),ISBLANK(O176),OR(ISBLANK(B175)=FALSE,ISBLANK(D175)=FALSE,ISBLANK(N175)=FALSE,ISBLANK(O175)=FALSE)),"},},}",IF(ISBLANK(D176),"","{szContent="""&amp;D176&amp;""","&amp;IF(C176&lt;&gt;"","szTarget="""&amp;C176&amp;""",","")&amp;IF(E176&lt;&gt;"","szNote="""&amp;E176&amp;""",","")&amp;IF(M176&lt;&gt;"","col={"&amp;M176&amp;"},","")&amp;IF(N176&gt;0,"bSearch=true,","")&amp;IF(O176&gt;0,"bReg=true,","")&amp;"[14]={"&amp;IF(P176&gt;0,"szVoice="""&amp;P176&amp;""",","")&amp;IF(Q176&gt;0,"bTeamChannel=true,","")&amp;IF(R176&gt;0,"bWhisperChannel=true,","")&amp;IF(S176&gt;0,"bCenterAlarm=true,","")&amp;IF(T176&gt;0,"bScreenHead=true,","")&amp;IF(U176&gt;0,"bFullScreen=true,","")&amp;"},"&amp;IF(W176&lt;&gt;"","tCountdown={"&amp;_xlfn.TEXTJOIN("",TRUE,W176:AAH176)&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2300</v>
      </c>
      <c r="X176" t="s">
        <v>2301</v>
      </c>
      <c r="Y176" t="s">
        <v>2302</v>
      </c>
    </row>
    <row r="177" spans="22:22">
      <c r="V177" t="str">
        <f>IF(ISBLANK(B177)=FALSE,IF(ISBLANK(B176),"},["&amp;B177&amp;"]={","["&amp;B177&amp;"]={"),IF(AND(ISBLANK(B177),ISBLANK(D177),ISBLANK(N177),ISBLANK(O177),OR(ISBLANK(B176)=FALSE,ISBLANK(D176)=FALSE,ISBLANK(N176)=FALSE,ISBLANK(O176)=FALSE)),"},},}",IF(ISBLANK(D177),"","{szContent="""&amp;D177&amp;""","&amp;IF(C177&lt;&gt;"","szTarget="""&amp;C177&amp;""",","")&amp;IF(E177&lt;&gt;"","szNote="""&amp;E177&amp;""",","")&amp;IF(M177&lt;&gt;"","col={"&amp;M177&amp;"},","")&amp;IF(N177&gt;0,"bSearch=true,","")&amp;IF(O177&gt;0,"bReg=true,","")&amp;"[14]={"&amp;IF(P177&gt;0,"szVoice="""&amp;P177&amp;""",","")&amp;IF(Q177&gt;0,"bTeamChannel=true,","")&amp;IF(R177&gt;0,"bWhisperChannel=true,","")&amp;IF(S177&gt;0,"bCenterAlarm=true,","")&amp;IF(T177&gt;0,"bScreenHead=true,","")&amp;IF(U177&gt;0,"bFullScreen=true,","")&amp;"},"&amp;IF(W177&lt;&gt;"","tCountdown={"&amp;_xlfn.TEXTJOIN("",TRUE,W177:AAH177)&amp;"},","")&amp;"},")))</f>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N1" workbookViewId="0">
      <pane ySplit="1" topLeftCell="A2" activePane="bottomLeft" state="frozen"/>
      <selection/>
      <selection pane="bottomLeft" activeCell="U21" sqref="U21"/>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1965</v>
      </c>
      <c r="D1" t="s">
        <v>44</v>
      </c>
      <c r="E1" t="s">
        <v>2303</v>
      </c>
      <c r="F1" t="s">
        <v>2304</v>
      </c>
      <c r="G1" t="s">
        <v>1969</v>
      </c>
      <c r="H1" t="s">
        <v>1970</v>
      </c>
      <c r="I1" t="s">
        <v>1971</v>
      </c>
      <c r="J1" t="s">
        <v>1972</v>
      </c>
      <c r="K1" t="s">
        <v>1430</v>
      </c>
      <c r="L1" t="s">
        <v>1973</v>
      </c>
      <c r="M1" t="s">
        <v>1974</v>
      </c>
      <c r="N1" t="s">
        <v>1975</v>
      </c>
      <c r="O1" t="s">
        <v>1976</v>
      </c>
      <c r="P1" t="s">
        <v>1977</v>
      </c>
      <c r="Q1" t="s">
        <v>1978</v>
      </c>
      <c r="R1" t="s">
        <v>1979</v>
      </c>
      <c r="S1" t="s">
        <v>1980</v>
      </c>
      <c r="T1" t="s">
        <v>2305</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2306</v>
      </c>
      <c r="D3" t="s">
        <v>2307</v>
      </c>
      <c r="E3" t="s">
        <v>2012</v>
      </c>
      <c r="F3" t="s">
        <v>2308</v>
      </c>
      <c r="G3" t="s">
        <v>2018</v>
      </c>
      <c r="H3" t="s">
        <v>2012</v>
      </c>
      <c r="I3" t="s">
        <v>2016</v>
      </c>
      <c r="J3" t="s">
        <v>2015</v>
      </c>
      <c r="K3" t="s">
        <v>1998</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2309</v>
      </c>
      <c r="D4" t="s">
        <v>2310</v>
      </c>
      <c r="E4" t="s">
        <v>2015</v>
      </c>
      <c r="F4" t="s">
        <v>2308</v>
      </c>
      <c r="G4" t="s">
        <v>2016</v>
      </c>
      <c r="H4" t="s">
        <v>2015</v>
      </c>
      <c r="I4" t="s">
        <v>2018</v>
      </c>
      <c r="J4" t="s">
        <v>2012</v>
      </c>
      <c r="K4" t="s">
        <v>1994</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2311</v>
      </c>
      <c r="D5" t="s">
        <v>2312</v>
      </c>
      <c r="K5" t="s">
        <v>2002</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2313</v>
      </c>
    </row>
    <row r="6" customFormat="1" spans="1:33">
      <c r="C6" t="s">
        <v>2314</v>
      </c>
      <c r="D6" t="s">
        <v>2315</v>
      </c>
      <c r="K6" t="s">
        <v>2002</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2316</v>
      </c>
      <c r="V6" s="3" t="s">
        <v>2317</v>
      </c>
    </row>
    <row r="7" spans="1:33">
      <c r="C7" t="s">
        <v>2318</v>
      </c>
      <c r="D7" t="s">
        <v>2315</v>
      </c>
      <c r="K7" t="s">
        <v>2002</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2316</v>
      </c>
      <c r="V7" s="3" t="s">
        <v>2317</v>
      </c>
    </row>
    <row r="8" spans="1:33">
      <c r="C8" t="s">
        <v>2319</v>
      </c>
      <c r="D8" t="s">
        <v>2320</v>
      </c>
      <c r="K8" t="s">
        <v>2002</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2321</v>
      </c>
      <c r="V8" s="4" t="s">
        <v>2322</v>
      </c>
      <c r="W8" s="4" t="s">
        <v>2323</v>
      </c>
    </row>
    <row r="9" spans="1:33">
      <c r="C9" t="s">
        <v>2324</v>
      </c>
      <c r="D9" t="s">
        <v>2325</v>
      </c>
      <c r="K9" t="s">
        <v>2002</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2326</v>
      </c>
      <c r="V9" t="s">
        <v>2327</v>
      </c>
      <c r="W9" t="s">
        <v>2328</v>
      </c>
      <c r="X9" t="s">
        <v>2329</v>
      </c>
      <c r="Y9" t="s">
        <v>2330</v>
      </c>
      <c r="Z9" t="s">
        <v>2331</v>
      </c>
      <c r="AA9" t="s">
        <v>2332</v>
      </c>
      <c r="AB9" t="s">
        <v>2333</v>
      </c>
      <c r="AC9" t="s">
        <v>2334</v>
      </c>
      <c r="AD9" t="s">
        <v>2335</v>
      </c>
      <c r="AE9" t="s">
        <v>2336</v>
      </c>
      <c r="AF9" t="s">
        <v>2337</v>
      </c>
      <c r="AG9" s="5" t="s">
        <v>2338</v>
      </c>
    </row>
    <row r="10" customFormat="1" spans="1:33">
      <c r="C10" t="s">
        <v>2339</v>
      </c>
      <c r="D10" t="s">
        <v>2340</v>
      </c>
      <c r="K10" t="s">
        <v>2002</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2341</v>
      </c>
      <c r="V10" t="s">
        <v>2331</v>
      </c>
      <c r="W10" t="s">
        <v>2332</v>
      </c>
      <c r="X10" t="s">
        <v>2333</v>
      </c>
      <c r="Y10" t="s">
        <v>2334</v>
      </c>
      <c r="Z10" t="s">
        <v>2335</v>
      </c>
      <c r="AA10" t="s">
        <v>2336</v>
      </c>
      <c r="AB10" t="s">
        <v>2337</v>
      </c>
      <c r="AC10" s="6" t="s">
        <v>2338</v>
      </c>
    </row>
    <row r="11" spans="1:33">
      <c r="C11" t="s">
        <v>2342</v>
      </c>
      <c r="D11" t="s">
        <v>2343</v>
      </c>
      <c r="K11" t="s">
        <v>2002</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2344</v>
      </c>
      <c r="V11" t="s">
        <v>2331</v>
      </c>
      <c r="W11" t="s">
        <v>2332</v>
      </c>
      <c r="X11" t="s">
        <v>2333</v>
      </c>
      <c r="Y11" t="s">
        <v>2334</v>
      </c>
      <c r="Z11" t="s">
        <v>2335</v>
      </c>
      <c r="AA11" t="s">
        <v>2336</v>
      </c>
      <c r="AB11" t="s">
        <v>2337</v>
      </c>
      <c r="AC11" s="6" t="s">
        <v>2338</v>
      </c>
    </row>
    <row r="12" spans="1:33">
      <c r="C12" t="s">
        <v>2345</v>
      </c>
      <c r="D12" t="s">
        <v>2346</v>
      </c>
      <c r="K12" t="s">
        <v>1998</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2347</v>
      </c>
    </row>
    <row r="13" spans="1:33">
      <c r="C13" t="s">
        <v>2348</v>
      </c>
      <c r="D13" t="s">
        <v>2349</v>
      </c>
      <c r="K13" t="s">
        <v>1994</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2350</v>
      </c>
    </row>
    <row r="14" spans="1:33">
      <c r="C14" t="s">
        <v>2351</v>
      </c>
      <c r="D14" t="s">
        <v>2352</v>
      </c>
      <c r="K14" t="s">
        <v>2002</v>
      </c>
      <c r="T14" t="str">
        <f t="shared" si="0"/>
        <v>{szContent="驿马快报！本周浩气盟和恶人谷最终战为平手，未分胜负！\n",szNote="阵营事件·本周战平",col={255,255,100,},[20]={},tCountdown={{nClass=20,nIcon=13354,nFrame=4,szName="阵营事件·本周战平",nTime=60,key="阵营活动",},},},</v>
      </c>
      <c r="U14" t="s">
        <v>2353</v>
      </c>
    </row>
    <row r="15" spans="1:33">
      <c r="C15" t="s">
        <v>2354</v>
      </c>
      <c r="D15" t="s">
        <v>2355</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2356</v>
      </c>
      <c r="V15" s="5" t="s">
        <v>2357</v>
      </c>
      <c r="W15" t="s">
        <v>2358</v>
      </c>
    </row>
    <row r="16" spans="1:33">
      <c r="A16" t="s">
        <v>311</v>
      </c>
      <c r="B16">
        <v>25</v>
      </c>
      <c r="T16" t="str">
        <f t="shared" si="0"/>
        <v>},[25]={</v>
      </c>
    </row>
    <row r="17" spans="1:26">
      <c r="C17" t="s">
        <v>2359</v>
      </c>
      <c r="D17" t="s">
        <v>2355</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2360</v>
      </c>
      <c r="V17" t="s">
        <v>2361</v>
      </c>
      <c r="W17" t="s">
        <v>2362</v>
      </c>
      <c r="X17" t="s">
        <v>2363</v>
      </c>
      <c r="Y17" t="s">
        <v>2364</v>
      </c>
      <c r="Z17" s="5" t="s">
        <v>2357</v>
      </c>
    </row>
    <row r="18" customFormat="1" spans="1:26">
      <c r="C18" t="s">
        <v>2365</v>
      </c>
      <c r="D18" t="s">
        <v>2366</v>
      </c>
      <c r="K18" t="s">
        <v>2002</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2367</v>
      </c>
      <c r="V18" t="s">
        <v>2368</v>
      </c>
      <c r="W18" s="5" t="s">
        <v>2356</v>
      </c>
      <c r="X18" t="s">
        <v>2369</v>
      </c>
    </row>
    <row r="19" spans="1:26">
      <c r="C19" t="s">
        <v>2370</v>
      </c>
      <c r="D19" t="s">
        <v>2371</v>
      </c>
      <c r="K19" t="s">
        <v>2002</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2372</v>
      </c>
      <c r="V19" t="s">
        <v>2373</v>
      </c>
      <c r="W19" t="s">
        <v>2374</v>
      </c>
      <c r="X19" s="5" t="s">
        <v>2356</v>
      </c>
      <c r="Y19" t="s">
        <v>2369</v>
      </c>
    </row>
    <row r="20" spans="1:26">
      <c r="A20" t="s">
        <v>328</v>
      </c>
      <c r="B20">
        <v>27</v>
      </c>
      <c r="T20" t="str">
        <f t="shared" si="0"/>
        <v>},[27]={</v>
      </c>
    </row>
    <row r="21" spans="1:26">
      <c r="C21" t="s">
        <v>2375</v>
      </c>
      <c r="D21" t="s">
        <v>2355</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2360</v>
      </c>
      <c r="V21" t="s">
        <v>2361</v>
      </c>
      <c r="W21" t="s">
        <v>2362</v>
      </c>
      <c r="X21" t="s">
        <v>2363</v>
      </c>
      <c r="Y21" t="s">
        <v>2364</v>
      </c>
      <c r="Z21" s="5" t="s">
        <v>2357</v>
      </c>
    </row>
    <row r="22" customFormat="1" spans="1:26">
      <c r="C22" t="s">
        <v>2376</v>
      </c>
      <c r="D22" t="s">
        <v>2366</v>
      </c>
      <c r="K22" t="s">
        <v>2002</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2367</v>
      </c>
      <c r="V22" t="s">
        <v>2368</v>
      </c>
      <c r="W22" s="5" t="s">
        <v>2356</v>
      </c>
      <c r="X22" t="s">
        <v>2369</v>
      </c>
    </row>
    <row r="23" spans="1:26">
      <c r="C23" t="s">
        <v>2377</v>
      </c>
      <c r="D23" t="s">
        <v>2371</v>
      </c>
      <c r="K23" t="s">
        <v>2002</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2372</v>
      </c>
      <c r="V23" t="s">
        <v>2373</v>
      </c>
      <c r="W23" t="s">
        <v>2374</v>
      </c>
      <c r="X23" s="5" t="s">
        <v>2356</v>
      </c>
      <c r="Y23" t="s">
        <v>2369</v>
      </c>
    </row>
    <row r="24" customFormat="1" spans="1:26">
      <c r="A24" t="s">
        <v>2378</v>
      </c>
      <c r="B24">
        <v>-1</v>
      </c>
      <c r="T24" t="str">
        <f t="shared" si="0"/>
        <v>},[-1]={</v>
      </c>
    </row>
    <row r="25" customFormat="1" spans="1:26">
      <c r="C25" t="s">
        <v>2379</v>
      </c>
      <c r="D25"/>
      <c r="K25" t="s">
        <v>1998</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2380</v>
      </c>
      <c r="V25" t="s">
        <v>2381</v>
      </c>
      <c r="W25" t="s">
        <v>2382</v>
      </c>
    </row>
    <row r="26" spans="1:26">
      <c r="C26" t="s">
        <v>2383</v>
      </c>
      <c r="K26" t="s">
        <v>1994</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2380</v>
      </c>
      <c r="V26" t="s">
        <v>2384</v>
      </c>
      <c r="W26" t="s">
        <v>2385</v>
      </c>
    </row>
    <row r="27" spans="1:26">
      <c r="C27" t="s">
        <v>2386</v>
      </c>
      <c r="K27" t="s">
        <v>1998</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2387</v>
      </c>
    </row>
    <row r="28" spans="1:26">
      <c r="C28" t="s">
        <v>2388</v>
      </c>
      <c r="K28" t="s">
        <v>1998</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2389</v>
      </c>
    </row>
    <row r="29" spans="1:26">
      <c r="C29" t="s">
        <v>2390</v>
      </c>
      <c r="K29" t="s">
        <v>1994</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2391</v>
      </c>
    </row>
    <row r="30" spans="1:26">
      <c r="C30" t="s">
        <v>2392</v>
      </c>
      <c r="K30" t="s">
        <v>1994</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2393</v>
      </c>
    </row>
    <row r="31" spans="1:26">
      <c r="C31" t="s">
        <v>2394</v>
      </c>
      <c r="K31" t="s">
        <v>2002</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2395</v>
      </c>
    </row>
    <row r="32" spans="1:26">
      <c r="C32" t="s">
        <v>2396</v>
      </c>
      <c r="K32" t="s">
        <v>2002</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2397</v>
      </c>
    </row>
    <row r="33" spans="1:22">
      <c r="C33" t="s">
        <v>2398</v>
      </c>
      <c r="D33" t="s">
        <v>2399</v>
      </c>
      <c r="K33" t="s">
        <v>2002</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2400</v>
      </c>
    </row>
    <row r="34" spans="1:22">
      <c r="A34" t="s">
        <v>1661</v>
      </c>
      <c r="B34">
        <v>-2</v>
      </c>
      <c r="T34" t="str">
        <f t="shared" si="0"/>
        <v>},[-2]={</v>
      </c>
    </row>
    <row r="35" customFormat="1" spans="1:22">
      <c r="C35" t="s">
        <v>2401</v>
      </c>
      <c r="D35" t="s">
        <v>2402</v>
      </c>
      <c r="K35" t="s">
        <v>2002</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2403</v>
      </c>
    </row>
    <row r="36" customFormat="1" spans="1:22">
      <c r="C36" t="s">
        <v>2404</v>
      </c>
      <c r="D36" t="s">
        <v>2405</v>
      </c>
      <c r="K36" t="s">
        <v>2002</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2406</v>
      </c>
    </row>
    <row r="37" customFormat="1" spans="1:22">
      <c r="C37" t="s">
        <v>2407</v>
      </c>
      <c r="D37" t="s">
        <v>2408</v>
      </c>
      <c r="K37" t="s">
        <v>2002</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2409</v>
      </c>
      <c r="V37" t="s">
        <v>2410</v>
      </c>
    </row>
    <row r="38" customFormat="1" spans="1:22">
      <c r="C38" t="s">
        <v>2411</v>
      </c>
      <c r="D38" t="s">
        <v>2412</v>
      </c>
      <c r="K38" t="s">
        <v>2002</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2413</v>
      </c>
    </row>
    <row r="39" customFormat="1" spans="1:22">
      <c r="C39" t="s">
        <v>2414</v>
      </c>
      <c r="D39" t="s">
        <v>2415</v>
      </c>
      <c r="K39" t="s">
        <v>2002</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2409</v>
      </c>
      <c r="V39" t="s">
        <v>2416</v>
      </c>
    </row>
    <row r="40" customFormat="1" spans="1:22">
      <c r="C40" t="s">
        <v>2417</v>
      </c>
      <c r="D40" t="s">
        <v>2418</v>
      </c>
      <c r="K40" t="s">
        <v>2002</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2419</v>
      </c>
      <c r="V40" s="3" t="s">
        <v>2420</v>
      </c>
    </row>
    <row r="41" customFormat="1" spans="1:22">
      <c r="C41" t="s">
        <v>2319</v>
      </c>
      <c r="D41" t="s">
        <v>2320</v>
      </c>
      <c r="K41" t="s">
        <v>2002</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2321</v>
      </c>
      <c r="V41" s="7"/>
    </row>
    <row r="42" customFormat="1" spans="1:22">
      <c r="C42" t="s">
        <v>2421</v>
      </c>
      <c r="D42" t="s">
        <v>2422</v>
      </c>
      <c r="K42" t="s">
        <v>2002</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2423</v>
      </c>
      <c r="V42" s="7"/>
    </row>
    <row r="43" customFormat="1" spans="1:22">
      <c r="C43" t="s">
        <v>2424</v>
      </c>
      <c r="D43" t="s">
        <v>2425</v>
      </c>
      <c r="K43" t="s">
        <v>1998</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2426</v>
      </c>
    </row>
    <row r="44" customFormat="1" spans="1:22">
      <c r="C44" t="s">
        <v>2427</v>
      </c>
      <c r="D44" t="s">
        <v>2428</v>
      </c>
      <c r="K44" t="s">
        <v>1998</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2429</v>
      </c>
    </row>
    <row r="45" customFormat="1" spans="1:22">
      <c r="C45" t="s">
        <v>2430</v>
      </c>
      <c r="D45" t="s">
        <v>2431</v>
      </c>
      <c r="K45" t="s">
        <v>1998</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2432</v>
      </c>
    </row>
    <row r="46" customFormat="1" spans="1:22">
      <c r="C46" t="s">
        <v>2433</v>
      </c>
      <c r="D46" t="s">
        <v>2434</v>
      </c>
      <c r="K46" t="s">
        <v>1994</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2435</v>
      </c>
    </row>
    <row r="47" customFormat="1" spans="1:22">
      <c r="C47" t="s">
        <v>2436</v>
      </c>
      <c r="D47" t="s">
        <v>2437</v>
      </c>
      <c r="K47" t="s">
        <v>1994</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2438</v>
      </c>
    </row>
    <row r="48" customFormat="1" spans="1:22">
      <c r="C48" t="s">
        <v>2439</v>
      </c>
      <c r="D48" t="s">
        <v>2440</v>
      </c>
      <c r="K48" t="s">
        <v>1994</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2441</v>
      </c>
    </row>
    <row r="49" spans="1:26">
      <c r="C49" t="s">
        <v>2442</v>
      </c>
      <c r="D49" t="s">
        <v>2443</v>
      </c>
      <c r="K49" t="s">
        <v>2002</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2444</v>
      </c>
    </row>
    <row r="50" spans="1:26">
      <c r="C50" t="s">
        <v>2345</v>
      </c>
      <c r="D50" t="s">
        <v>2346</v>
      </c>
      <c r="K50" t="s">
        <v>1998</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2347</v>
      </c>
    </row>
    <row r="51" spans="1:26">
      <c r="C51" t="s">
        <v>2348</v>
      </c>
      <c r="D51" t="s">
        <v>2349</v>
      </c>
      <c r="K51" t="s">
        <v>1994</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2350</v>
      </c>
    </row>
    <row r="52" spans="1:26">
      <c r="C52" t="s">
        <v>2445</v>
      </c>
      <c r="D52" t="s">
        <v>2446</v>
      </c>
      <c r="K52" t="s">
        <v>2002</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2447</v>
      </c>
      <c r="V52" t="s">
        <v>2448</v>
      </c>
      <c r="W52" t="s">
        <v>2449</v>
      </c>
      <c r="X52" t="s">
        <v>2450</v>
      </c>
      <c r="Y52" t="s">
        <v>2451</v>
      </c>
      <c r="Z52" t="s">
        <v>2452</v>
      </c>
    </row>
    <row r="53" spans="1:26">
      <c r="C53" t="s">
        <v>2453</v>
      </c>
      <c r="D53" t="s">
        <v>2454</v>
      </c>
      <c r="K53" t="s">
        <v>2002</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2455</v>
      </c>
      <c r="V53" t="s">
        <v>2456</v>
      </c>
      <c r="W53" t="s">
        <v>2457</v>
      </c>
      <c r="X53" t="s">
        <v>2458</v>
      </c>
      <c r="Y53" t="s">
        <v>2459</v>
      </c>
    </row>
    <row r="54" s="2" customFormat="1" spans="1:26">
      <c r="A54" s="2" t="s">
        <v>538</v>
      </c>
      <c r="B54" s="2">
        <v>-7</v>
      </c>
      <c r="T54" t="str">
        <f t="shared" si="1"/>
        <v>},[-7]={</v>
      </c>
    </row>
    <row r="55" spans="1:26">
      <c r="C55" t="s">
        <v>2401</v>
      </c>
      <c r="D55" t="s">
        <v>2402</v>
      </c>
      <c r="K55" t="s">
        <v>2002</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2403</v>
      </c>
    </row>
    <row r="56" customFormat="1" spans="1:26">
      <c r="C56" t="s">
        <v>2404</v>
      </c>
      <c r="D56" t="s">
        <v>2405</v>
      </c>
      <c r="K56" t="s">
        <v>2002</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2406</v>
      </c>
    </row>
    <row r="57" customFormat="1" spans="1:26">
      <c r="C57" t="s">
        <v>2460</v>
      </c>
      <c r="D57" t="s">
        <v>2195</v>
      </c>
      <c r="K57" t="s">
        <v>2002</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2461</v>
      </c>
    </row>
    <row r="58" customFormat="1" spans="1:26">
      <c r="C58" t="s">
        <v>2407</v>
      </c>
      <c r="D58" t="s">
        <v>2408</v>
      </c>
      <c r="K58" t="s">
        <v>2002</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2409</v>
      </c>
      <c r="V58" t="s">
        <v>2410</v>
      </c>
    </row>
    <row r="59" spans="1:26">
      <c r="C59" t="s">
        <v>2414</v>
      </c>
      <c r="D59" t="s">
        <v>2415</v>
      </c>
      <c r="K59" t="s">
        <v>2002</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2409</v>
      </c>
      <c r="V59" t="s">
        <v>2416</v>
      </c>
    </row>
    <row r="60" customFormat="1" spans="1:26">
      <c r="C60" t="s">
        <v>2417</v>
      </c>
      <c r="D60" t="s">
        <v>2418</v>
      </c>
      <c r="K60" t="s">
        <v>2002</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2462</v>
      </c>
      <c r="V60" t="s">
        <v>2463</v>
      </c>
      <c r="W60" t="s">
        <v>2464</v>
      </c>
      <c r="X60" s="3" t="s">
        <v>2420</v>
      </c>
    </row>
    <row r="61" customFormat="1" spans="1:26">
      <c r="C61" t="s">
        <v>2424</v>
      </c>
      <c r="D61" t="s">
        <v>2425</v>
      </c>
      <c r="K61" t="s">
        <v>1998</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2426</v>
      </c>
    </row>
    <row r="62" customFormat="1" spans="1:26">
      <c r="C62" t="s">
        <v>2427</v>
      </c>
      <c r="D62" t="s">
        <v>2428</v>
      </c>
      <c r="K62" t="s">
        <v>1998</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2429</v>
      </c>
    </row>
    <row r="63" customFormat="1" spans="1:26">
      <c r="C63" t="s">
        <v>2430</v>
      </c>
      <c r="D63" t="s">
        <v>2431</v>
      </c>
      <c r="K63" t="s">
        <v>1998</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2432</v>
      </c>
    </row>
    <row r="64" customFormat="1" spans="1:26">
      <c r="C64" t="s">
        <v>2433</v>
      </c>
      <c r="D64" t="s">
        <v>2434</v>
      </c>
      <c r="K64" t="s">
        <v>1994</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2435</v>
      </c>
    </row>
    <row r="65" customFormat="1" spans="1:26">
      <c r="C65" t="s">
        <v>2436</v>
      </c>
      <c r="D65" t="s">
        <v>2437</v>
      </c>
      <c r="K65" t="s">
        <v>1994</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2438</v>
      </c>
    </row>
    <row r="66" customFormat="1" spans="1:26">
      <c r="C66" t="s">
        <v>2439</v>
      </c>
      <c r="D66" t="s">
        <v>2440</v>
      </c>
      <c r="K66" t="s">
        <v>1994</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2441</v>
      </c>
    </row>
    <row r="67" customFormat="1" spans="1:26">
      <c r="C67" t="s">
        <v>2442</v>
      </c>
      <c r="D67" t="s">
        <v>2443</v>
      </c>
      <c r="K67" t="s">
        <v>2002</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2444</v>
      </c>
    </row>
    <row r="68" customFormat="1" spans="1:26">
      <c r="C68" t="s">
        <v>2319</v>
      </c>
      <c r="D68" t="s">
        <v>2320</v>
      </c>
      <c r="K68" t="s">
        <v>2002</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2321</v>
      </c>
      <c r="V68" s="7"/>
    </row>
    <row r="69" spans="1:26">
      <c r="C69" t="s">
        <v>2421</v>
      </c>
      <c r="D69" t="s">
        <v>2422</v>
      </c>
      <c r="K69" t="s">
        <v>2002</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2423</v>
      </c>
      <c r="V69" s="4" t="s">
        <v>2322</v>
      </c>
      <c r="W69" s="4" t="s">
        <v>2323</v>
      </c>
    </row>
    <row r="70" spans="1:26">
      <c r="C70" t="s">
        <v>2465</v>
      </c>
      <c r="D70" t="s">
        <v>2466</v>
      </c>
      <c r="K70" t="s">
        <v>2002</v>
      </c>
      <c r="Q70">
        <v>1</v>
      </c>
      <c r="T70" t="str">
        <f t="shared" si="2"/>
        <v>{szContent="本场贡献值进入前1200名，额外获得3000威名，可通过邮件领取\n",szNote="据点攻防·进入前1200名",col={255,255,100,},[20]={bCenterAlarm=true,},},</v>
      </c>
    </row>
    <row r="71" spans="1:26">
      <c r="C71" t="s">
        <v>2345</v>
      </c>
      <c r="D71" t="s">
        <v>2346</v>
      </c>
      <c r="K71" t="s">
        <v>1998</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2347</v>
      </c>
    </row>
    <row r="72" spans="1:26">
      <c r="C72" t="s">
        <v>2348</v>
      </c>
      <c r="D72" t="s">
        <v>2349</v>
      </c>
      <c r="K72" t="s">
        <v>1994</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2350</v>
      </c>
    </row>
    <row r="73" customFormat="1" spans="1:26">
      <c r="C73" t="s">
        <v>2445</v>
      </c>
      <c r="D73" t="s">
        <v>2446</v>
      </c>
      <c r="K73" t="s">
        <v>2002</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2447</v>
      </c>
      <c r="V73" t="s">
        <v>2448</v>
      </c>
      <c r="W73" t="s">
        <v>2449</v>
      </c>
      <c r="X73" t="s">
        <v>2450</v>
      </c>
      <c r="Y73" t="s">
        <v>2451</v>
      </c>
      <c r="Z73" t="s">
        <v>2452</v>
      </c>
    </row>
    <row r="74" customFormat="1" spans="1:26">
      <c r="C74" t="s">
        <v>2453</v>
      </c>
      <c r="D74" t="s">
        <v>2454</v>
      </c>
      <c r="K74" t="s">
        <v>2002</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2467</v>
      </c>
      <c r="V74" t="s">
        <v>2468</v>
      </c>
      <c r="W74" t="s">
        <v>2469</v>
      </c>
      <c r="X74" t="s">
        <v>2470</v>
      </c>
      <c r="Y74" t="s">
        <v>2471</v>
      </c>
    </row>
    <row r="75" customFormat="1" spans="1:26">
      <c r="A75" t="s">
        <v>1480</v>
      </c>
      <c r="B75">
        <v>-20</v>
      </c>
      <c r="T75" t="str">
        <f t="shared" si="2"/>
        <v>},[-20]={</v>
      </c>
    </row>
    <row r="76" customFormat="1" spans="1:26">
      <c r="C76" t="s">
        <v>2472</v>
      </c>
      <c r="D76" t="s">
        <v>2473</v>
      </c>
      <c r="K76" t="s">
        <v>2002</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2474</v>
      </c>
      <c r="V76" t="s">
        <v>2475</v>
      </c>
      <c r="W76" t="s">
        <v>2476</v>
      </c>
      <c r="X76" t="s">
        <v>2477</v>
      </c>
      <c r="Y76" t="s">
        <v>2478</v>
      </c>
    </row>
    <row r="77" customFormat="1" spans="1:26">
      <c r="A77" t="s">
        <v>2174</v>
      </c>
      <c r="B77">
        <v>-21</v>
      </c>
      <c r="T77" t="str">
        <f t="shared" si="2"/>
        <v>},[-21]={</v>
      </c>
    </row>
    <row r="78" customFormat="1" spans="1:26">
      <c r="C78" t="s">
        <v>2401</v>
      </c>
      <c r="D78" t="s">
        <v>2402</v>
      </c>
      <c r="K78" t="s">
        <v>2002</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2403</v>
      </c>
    </row>
    <row r="79" customFormat="1" spans="1:26">
      <c r="C79" t="s">
        <v>2404</v>
      </c>
      <c r="D79" t="s">
        <v>2405</v>
      </c>
      <c r="K79" t="s">
        <v>2002</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2406</v>
      </c>
    </row>
    <row r="80" customFormat="1" spans="1:26">
      <c r="C80" t="s">
        <v>2407</v>
      </c>
      <c r="D80" t="s">
        <v>2408</v>
      </c>
      <c r="K80" t="s">
        <v>2002</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2409</v>
      </c>
      <c r="V80" t="s">
        <v>2410</v>
      </c>
    </row>
    <row r="81" customFormat="1" spans="3:26">
      <c r="C81" t="s">
        <v>2411</v>
      </c>
      <c r="D81" t="s">
        <v>2412</v>
      </c>
      <c r="K81" t="s">
        <v>2002</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2413</v>
      </c>
    </row>
    <row r="82" customFormat="1" spans="3:26">
      <c r="C82" t="s">
        <v>2414</v>
      </c>
      <c r="D82" t="s">
        <v>2415</v>
      </c>
      <c r="K82" t="s">
        <v>2002</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2409</v>
      </c>
      <c r="V82" t="s">
        <v>2416</v>
      </c>
    </row>
    <row r="83" customFormat="1" spans="3:26">
      <c r="C83" t="s">
        <v>2417</v>
      </c>
      <c r="D83" t="s">
        <v>2418</v>
      </c>
      <c r="K83" t="s">
        <v>2002</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2419</v>
      </c>
      <c r="V83" s="3" t="s">
        <v>2420</v>
      </c>
    </row>
    <row r="84" customFormat="1" spans="3:26">
      <c r="C84" t="s">
        <v>2424</v>
      </c>
      <c r="D84" t="s">
        <v>2425</v>
      </c>
      <c r="K84" t="s">
        <v>1998</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2426</v>
      </c>
    </row>
    <row r="85" customFormat="1" spans="3:26">
      <c r="C85" t="s">
        <v>2427</v>
      </c>
      <c r="D85" t="s">
        <v>2428</v>
      </c>
      <c r="K85" t="s">
        <v>1998</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2429</v>
      </c>
    </row>
    <row r="86" customFormat="1" spans="3:26">
      <c r="C86" t="s">
        <v>2430</v>
      </c>
      <c r="D86" t="s">
        <v>2431</v>
      </c>
      <c r="K86" t="s">
        <v>1998</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2432</v>
      </c>
    </row>
    <row r="87" customFormat="1" spans="3:26">
      <c r="C87" t="s">
        <v>2433</v>
      </c>
      <c r="D87" t="s">
        <v>2434</v>
      </c>
      <c r="K87" t="s">
        <v>1994</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2435</v>
      </c>
    </row>
    <row r="88" customFormat="1" spans="3:26">
      <c r="C88" t="s">
        <v>2436</v>
      </c>
      <c r="D88" t="s">
        <v>2437</v>
      </c>
      <c r="K88" t="s">
        <v>1994</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2438</v>
      </c>
    </row>
    <row r="89" customFormat="1" spans="3:26">
      <c r="C89" t="s">
        <v>2439</v>
      </c>
      <c r="D89" t="s">
        <v>2440</v>
      </c>
      <c r="K89" t="s">
        <v>1994</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2441</v>
      </c>
    </row>
    <row r="90" customFormat="1" spans="3:26">
      <c r="C90" t="s">
        <v>2442</v>
      </c>
      <c r="D90" t="s">
        <v>2443</v>
      </c>
      <c r="K90" t="s">
        <v>2002</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2444</v>
      </c>
    </row>
    <row r="91" customFormat="1" spans="3:26">
      <c r="C91" t="s">
        <v>2319</v>
      </c>
      <c r="D91" t="s">
        <v>2320</v>
      </c>
      <c r="K91" t="s">
        <v>2002</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2321</v>
      </c>
      <c r="V91" s="7"/>
    </row>
    <row r="92" customFormat="1" spans="3:26">
      <c r="C92" t="s">
        <v>2421</v>
      </c>
      <c r="D92" t="s">
        <v>2422</v>
      </c>
      <c r="K92" t="s">
        <v>2002</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2423</v>
      </c>
      <c r="V92" s="7"/>
    </row>
    <row r="93" customFormat="1" spans="3:26">
      <c r="C93" t="s">
        <v>2345</v>
      </c>
      <c r="D93" t="s">
        <v>2346</v>
      </c>
      <c r="K93" t="s">
        <v>1998</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2347</v>
      </c>
    </row>
    <row r="94" customFormat="1" spans="3:26">
      <c r="C94" t="s">
        <v>2348</v>
      </c>
      <c r="D94" t="s">
        <v>2349</v>
      </c>
      <c r="K94" t="s">
        <v>1994</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2350</v>
      </c>
    </row>
    <row r="95" customFormat="1" spans="3:26">
      <c r="C95" t="s">
        <v>2445</v>
      </c>
      <c r="D95" t="s">
        <v>2446</v>
      </c>
      <c r="K95" t="s">
        <v>2002</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2447</v>
      </c>
      <c r="V95" t="s">
        <v>2448</v>
      </c>
      <c r="W95" t="s">
        <v>2449</v>
      </c>
      <c r="X95" t="s">
        <v>2450</v>
      </c>
      <c r="Y95" t="s">
        <v>2451</v>
      </c>
      <c r="Z95" t="s">
        <v>2452</v>
      </c>
    </row>
    <row r="96" customFormat="1" spans="3:26">
      <c r="C96" t="s">
        <v>2453</v>
      </c>
      <c r="D96" t="s">
        <v>2454</v>
      </c>
      <c r="K96" t="s">
        <v>2002</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2455</v>
      </c>
      <c r="V96" t="s">
        <v>2456</v>
      </c>
      <c r="W96" t="s">
        <v>2457</v>
      </c>
      <c r="X96" t="s">
        <v>2458</v>
      </c>
      <c r="Y96" t="s">
        <v>2459</v>
      </c>
    </row>
    <row r="97" customFormat="1" spans="1:22">
      <c r="A97" t="s">
        <v>2479</v>
      </c>
      <c r="B97">
        <v>-3</v>
      </c>
      <c r="T97" t="str">
        <f t="shared" si="2"/>
        <v>},[-3]={</v>
      </c>
    </row>
    <row r="98" customFormat="1" spans="1:22">
      <c r="C98" t="s">
        <v>2383</v>
      </c>
      <c r="K98" t="s">
        <v>1994</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2480</v>
      </c>
    </row>
    <row r="99" customFormat="1" spans="1:22">
      <c r="C99" t="s">
        <v>2379</v>
      </c>
      <c r="K99" t="s">
        <v>1998</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2481</v>
      </c>
    </row>
    <row r="100" customFormat="1" spans="1:22">
      <c r="A100" t="s">
        <v>832</v>
      </c>
      <c r="B100">
        <v>74</v>
      </c>
      <c r="T100" t="str">
        <f t="shared" si="3"/>
        <v>},[74]={</v>
      </c>
    </row>
    <row r="101" customFormat="1" spans="1:22">
      <c r="C101" t="s">
        <v>2319</v>
      </c>
      <c r="D101" t="s">
        <v>2320</v>
      </c>
      <c r="K101" t="s">
        <v>2002</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2321</v>
      </c>
      <c r="V101" s="7"/>
    </row>
    <row r="102" customFormat="1" spans="1:22">
      <c r="C102" t="s">
        <v>2421</v>
      </c>
      <c r="D102" t="s">
        <v>2422</v>
      </c>
      <c r="K102" t="s">
        <v>2002</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2423</v>
      </c>
      <c r="V102" s="7"/>
    </row>
    <row r="103" customFormat="1" spans="1:22">
      <c r="C103" t="s">
        <v>2417</v>
      </c>
      <c r="D103" t="s">
        <v>2418</v>
      </c>
      <c r="K103" t="s">
        <v>2002</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2419</v>
      </c>
      <c r="V103" s="3" t="s">
        <v>2420</v>
      </c>
    </row>
    <row r="104" customFormat="1" spans="1:22">
      <c r="C104" t="s">
        <v>2424</v>
      </c>
      <c r="D104" t="s">
        <v>2425</v>
      </c>
      <c r="K104" t="s">
        <v>1998</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2426</v>
      </c>
    </row>
    <row r="105" customFormat="1" spans="1:22">
      <c r="C105" t="s">
        <v>2427</v>
      </c>
      <c r="D105" t="s">
        <v>2428</v>
      </c>
      <c r="K105" t="s">
        <v>1998</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2429</v>
      </c>
    </row>
    <row r="106" customFormat="1" spans="1:22">
      <c r="C106" t="s">
        <v>2430</v>
      </c>
      <c r="D106" t="s">
        <v>2431</v>
      </c>
      <c r="K106" t="s">
        <v>1998</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2432</v>
      </c>
    </row>
    <row r="107" customFormat="1" spans="1:22">
      <c r="C107" t="s">
        <v>2433</v>
      </c>
      <c r="D107" t="s">
        <v>2434</v>
      </c>
      <c r="K107" t="s">
        <v>1994</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2435</v>
      </c>
    </row>
    <row r="108" customFormat="1" spans="1:22">
      <c r="C108" t="s">
        <v>2436</v>
      </c>
      <c r="D108" t="s">
        <v>2437</v>
      </c>
      <c r="K108" t="s">
        <v>1994</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2438</v>
      </c>
    </row>
    <row r="109" customFormat="1" spans="1:22">
      <c r="C109" t="s">
        <v>2439</v>
      </c>
      <c r="D109" t="s">
        <v>2440</v>
      </c>
      <c r="K109" t="s">
        <v>1994</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2441</v>
      </c>
    </row>
    <row r="110" customFormat="1" spans="1:22">
      <c r="C110" t="s">
        <v>2442</v>
      </c>
      <c r="D110" t="s">
        <v>2443</v>
      </c>
      <c r="K110" t="s">
        <v>2002</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2444</v>
      </c>
    </row>
    <row r="111" customFormat="1" spans="1:22">
      <c r="C111" t="s">
        <v>2345</v>
      </c>
      <c r="D111" t="s">
        <v>2346</v>
      </c>
      <c r="K111" t="s">
        <v>1998</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2347</v>
      </c>
    </row>
    <row r="112" customFormat="1" spans="1:22">
      <c r="C112" t="s">
        <v>2348</v>
      </c>
      <c r="D112" t="s">
        <v>2349</v>
      </c>
      <c r="K112" t="s">
        <v>1994</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2350</v>
      </c>
    </row>
    <row r="113" customFormat="1" spans="1:34">
      <c r="C113" t="s">
        <v>2445</v>
      </c>
      <c r="D113" t="s">
        <v>2446</v>
      </c>
      <c r="K113" t="s">
        <v>2002</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2447</v>
      </c>
      <c r="V113" t="s">
        <v>2448</v>
      </c>
      <c r="W113" t="s">
        <v>2449</v>
      </c>
      <c r="X113" t="s">
        <v>2450</v>
      </c>
      <c r="Y113" t="s">
        <v>2451</v>
      </c>
      <c r="Z113" t="s">
        <v>2452</v>
      </c>
    </row>
    <row r="114" customFormat="1" spans="1:34">
      <c r="C114" t="s">
        <v>2453</v>
      </c>
      <c r="D114" t="s">
        <v>2454</v>
      </c>
      <c r="K114" t="s">
        <v>2002</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2455</v>
      </c>
      <c r="V114" t="s">
        <v>2456</v>
      </c>
      <c r="W114" t="s">
        <v>2457</v>
      </c>
      <c r="X114" t="s">
        <v>2458</v>
      </c>
      <c r="Y114" t="s">
        <v>2459</v>
      </c>
    </row>
    <row r="115" customFormat="1" spans="1:34">
      <c r="C115" t="s">
        <v>2324</v>
      </c>
      <c r="D115" t="s">
        <v>2325</v>
      </c>
      <c r="K115" t="s">
        <v>2002</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2326</v>
      </c>
      <c r="V115" t="s">
        <v>2327</v>
      </c>
      <c r="W115" t="s">
        <v>2328</v>
      </c>
      <c r="X115" t="s">
        <v>2482</v>
      </c>
      <c r="Y115" t="s">
        <v>2483</v>
      </c>
    </row>
    <row r="116" customFormat="1" spans="1:34">
      <c r="C116" t="s">
        <v>2484</v>
      </c>
      <c r="D116" t="s">
        <v>2485</v>
      </c>
      <c r="K116" t="s">
        <v>2002</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2486</v>
      </c>
    </row>
    <row r="117" customFormat="1" spans="1:34">
      <c r="C117" t="s">
        <v>2487</v>
      </c>
      <c r="D117" t="s">
        <v>2488</v>
      </c>
      <c r="K117" t="s">
        <v>2002</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2489</v>
      </c>
    </row>
    <row r="118" customFormat="1" spans="1:34">
      <c r="A118" t="s">
        <v>682</v>
      </c>
      <c r="B118">
        <v>22</v>
      </c>
      <c r="T118" t="str">
        <f t="shared" si="3"/>
        <v>},[22]={</v>
      </c>
    </row>
    <row r="119" customFormat="1" spans="1:34">
      <c r="C119" t="s">
        <v>2445</v>
      </c>
      <c r="D119" t="s">
        <v>2446</v>
      </c>
      <c r="G119" t="s">
        <v>2490</v>
      </c>
      <c r="K119" t="s">
        <v>2002</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2447</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2448</v>
      </c>
      <c r="Y119" t="s">
        <v>2449</v>
      </c>
      <c r="Z119" t="s">
        <v>2491</v>
      </c>
      <c r="AA119" t="s">
        <v>2492</v>
      </c>
      <c r="AB119" t="s">
        <v>2493</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2494</v>
      </c>
      <c r="D120" t="s">
        <v>2495</v>
      </c>
      <c r="K120" t="s">
        <v>2002</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2496</v>
      </c>
      <c r="V120" t="s">
        <v>2497</v>
      </c>
      <c r="W120" t="s">
        <v>2498</v>
      </c>
      <c r="X120" t="s">
        <v>2499</v>
      </c>
    </row>
    <row r="121" spans="1:34">
      <c r="A121" t="s">
        <v>705</v>
      </c>
      <c r="B121">
        <v>30</v>
      </c>
      <c r="T121" t="str">
        <f t="shared" si="3"/>
        <v>},[30]={</v>
      </c>
    </row>
    <row r="122" customFormat="1" spans="1:34">
      <c r="C122" t="s">
        <v>2445</v>
      </c>
      <c r="D122" t="s">
        <v>2446</v>
      </c>
      <c r="G122" t="s">
        <v>2500</v>
      </c>
      <c r="K122" t="s">
        <v>2002</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2447</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2448</v>
      </c>
      <c r="Y122" t="s">
        <v>2449</v>
      </c>
      <c r="Z122" t="s">
        <v>2491</v>
      </c>
      <c r="AA122" t="s">
        <v>2492</v>
      </c>
      <c r="AB122" t="s">
        <v>2493</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2494</v>
      </c>
      <c r="D123" t="s">
        <v>2495</v>
      </c>
      <c r="K123" t="s">
        <v>2002</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2501</v>
      </c>
      <c r="V123" t="s">
        <v>2497</v>
      </c>
      <c r="W123" t="s">
        <v>2498</v>
      </c>
      <c r="X123" t="s">
        <v>2502</v>
      </c>
    </row>
    <row r="124" spans="1:34">
      <c r="A124" t="s">
        <v>679</v>
      </c>
      <c r="B124">
        <v>21</v>
      </c>
      <c r="T124" t="str">
        <f t="shared" si="3"/>
        <v>},[21]={</v>
      </c>
    </row>
    <row r="125" customFormat="1" spans="1:34">
      <c r="C125" t="s">
        <v>2445</v>
      </c>
      <c r="D125" t="s">
        <v>2446</v>
      </c>
      <c r="G125" t="s">
        <v>2503</v>
      </c>
      <c r="H125" t="s">
        <v>2504</v>
      </c>
      <c r="K125" t="s">
        <v>2002</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2447</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2448</v>
      </c>
      <c r="AA125" t="s">
        <v>2449</v>
      </c>
      <c r="AB125" t="s">
        <v>2491</v>
      </c>
      <c r="AC125" t="s">
        <v>2492</v>
      </c>
      <c r="AD125" t="s">
        <v>2493</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2494</v>
      </c>
      <c r="D126" t="s">
        <v>2495</v>
      </c>
      <c r="K126" t="s">
        <v>2002</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2505</v>
      </c>
      <c r="V126" t="s">
        <v>2506</v>
      </c>
      <c r="W126" t="s">
        <v>2497</v>
      </c>
      <c r="X126" t="s">
        <v>2498</v>
      </c>
      <c r="Y126" t="s">
        <v>2507</v>
      </c>
      <c r="Z126" t="s">
        <v>2508</v>
      </c>
    </row>
    <row r="127" spans="1:34">
      <c r="A127" t="s">
        <v>685</v>
      </c>
      <c r="B127">
        <v>23</v>
      </c>
      <c r="T127" t="str">
        <f t="shared" si="3"/>
        <v>},[23]={</v>
      </c>
    </row>
    <row r="128" customFormat="1" spans="1:34">
      <c r="C128" t="s">
        <v>2445</v>
      </c>
      <c r="D128" t="s">
        <v>2446</v>
      </c>
      <c r="G128" t="s">
        <v>2509</v>
      </c>
      <c r="H128" t="s">
        <v>2510</v>
      </c>
      <c r="K128" t="s">
        <v>2002</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2447</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2448</v>
      </c>
      <c r="AA128" t="s">
        <v>2449</v>
      </c>
      <c r="AB128" t="s">
        <v>2491</v>
      </c>
      <c r="AC128" t="s">
        <v>2492</v>
      </c>
      <c r="AD128" t="s">
        <v>2493</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2494</v>
      </c>
      <c r="D129" t="s">
        <v>2495</v>
      </c>
      <c r="K129" t="s">
        <v>2002</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2511</v>
      </c>
      <c r="V129" t="s">
        <v>2512</v>
      </c>
      <c r="W129" t="s">
        <v>2497</v>
      </c>
      <c r="X129" t="s">
        <v>2498</v>
      </c>
      <c r="Y129" t="s">
        <v>2513</v>
      </c>
      <c r="Z129" t="s">
        <v>2514</v>
      </c>
    </row>
    <row r="130" spans="1:34">
      <c r="A130" t="s">
        <v>633</v>
      </c>
      <c r="B130">
        <v>9</v>
      </c>
      <c r="T130" t="str">
        <f t="shared" si="3"/>
        <v>},[9]={</v>
      </c>
    </row>
    <row r="131" customFormat="1" spans="1:34">
      <c r="C131" t="s">
        <v>2445</v>
      </c>
      <c r="D131" t="s">
        <v>2446</v>
      </c>
      <c r="G131" t="s">
        <v>2515</v>
      </c>
      <c r="H131" t="s">
        <v>2516</v>
      </c>
      <c r="K131" t="s">
        <v>2002</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2447</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2448</v>
      </c>
      <c r="AA131" t="s">
        <v>2449</v>
      </c>
      <c r="AB131" t="s">
        <v>2491</v>
      </c>
      <c r="AC131" t="s">
        <v>2492</v>
      </c>
      <c r="AD131" t="s">
        <v>2493</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2494</v>
      </c>
      <c r="D132" t="s">
        <v>2495</v>
      </c>
      <c r="K132" t="s">
        <v>2002</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2517</v>
      </c>
      <c r="V132" t="s">
        <v>2518</v>
      </c>
      <c r="W132" t="s">
        <v>2497</v>
      </c>
      <c r="X132" t="s">
        <v>2498</v>
      </c>
      <c r="Y132" t="s">
        <v>2519</v>
      </c>
      <c r="Z132" t="s">
        <v>2520</v>
      </c>
    </row>
    <row r="133" spans="1:34">
      <c r="A133" t="s">
        <v>651</v>
      </c>
      <c r="B133">
        <v>13</v>
      </c>
      <c r="T133" t="str">
        <f t="shared" si="4"/>
        <v>},[13]={</v>
      </c>
    </row>
    <row r="134" customFormat="1" spans="1:34">
      <c r="C134" t="s">
        <v>2445</v>
      </c>
      <c r="D134" t="s">
        <v>2446</v>
      </c>
      <c r="G134" t="s">
        <v>2521</v>
      </c>
      <c r="H134" t="s">
        <v>2522</v>
      </c>
      <c r="K134" t="s">
        <v>2002</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2447</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2448</v>
      </c>
      <c r="AA134" t="s">
        <v>2449</v>
      </c>
      <c r="AB134" t="s">
        <v>2491</v>
      </c>
      <c r="AC134" t="s">
        <v>2492</v>
      </c>
      <c r="AD134" t="s">
        <v>2493</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2494</v>
      </c>
      <c r="D135" t="s">
        <v>2495</v>
      </c>
      <c r="K135" t="s">
        <v>2002</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2523</v>
      </c>
      <c r="V135" t="s">
        <v>2524</v>
      </c>
      <c r="W135" t="s">
        <v>2497</v>
      </c>
      <c r="X135" t="s">
        <v>2498</v>
      </c>
      <c r="Y135" t="s">
        <v>2525</v>
      </c>
      <c r="Z135" t="s">
        <v>2526</v>
      </c>
    </row>
    <row r="136" spans="1:34">
      <c r="A136" t="s">
        <v>720</v>
      </c>
      <c r="B136">
        <v>35</v>
      </c>
      <c r="T136" t="str">
        <f t="shared" si="4"/>
        <v>},[35]={</v>
      </c>
    </row>
    <row r="137" customFormat="1" spans="1:34">
      <c r="C137" t="s">
        <v>2445</v>
      </c>
      <c r="D137" t="s">
        <v>2446</v>
      </c>
      <c r="G137" t="s">
        <v>2527</v>
      </c>
      <c r="H137" t="s">
        <v>2528</v>
      </c>
      <c r="K137" t="s">
        <v>2002</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2447</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2448</v>
      </c>
      <c r="AA137" t="s">
        <v>2449</v>
      </c>
      <c r="AB137" t="s">
        <v>2491</v>
      </c>
      <c r="AC137" t="s">
        <v>2492</v>
      </c>
      <c r="AD137" t="s">
        <v>2493</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2494</v>
      </c>
      <c r="D138" t="s">
        <v>2495</v>
      </c>
      <c r="K138" t="s">
        <v>2002</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2529</v>
      </c>
      <c r="V138" t="s">
        <v>2530</v>
      </c>
      <c r="W138" t="s">
        <v>2497</v>
      </c>
      <c r="X138" t="s">
        <v>2498</v>
      </c>
      <c r="Y138" t="s">
        <v>2531</v>
      </c>
      <c r="Z138" t="s">
        <v>2532</v>
      </c>
    </row>
    <row r="139" spans="1:34">
      <c r="A139" t="s">
        <v>838</v>
      </c>
      <c r="B139">
        <v>100</v>
      </c>
      <c r="T139" t="str">
        <f t="shared" si="4"/>
        <v>},[100]={</v>
      </c>
    </row>
    <row r="140" customFormat="1" spans="1:34">
      <c r="C140" t="s">
        <v>2445</v>
      </c>
      <c r="D140" t="s">
        <v>2446</v>
      </c>
      <c r="G140" t="s">
        <v>2533</v>
      </c>
      <c r="H140" t="s">
        <v>2534</v>
      </c>
      <c r="K140" t="s">
        <v>2002</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2447</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2448</v>
      </c>
      <c r="AA140" t="s">
        <v>2449</v>
      </c>
      <c r="AB140" t="s">
        <v>2491</v>
      </c>
      <c r="AC140" t="s">
        <v>2492</v>
      </c>
      <c r="AD140" t="s">
        <v>2493</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2494</v>
      </c>
      <c r="D141" t="s">
        <v>2495</v>
      </c>
      <c r="K141" t="s">
        <v>2002</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2535</v>
      </c>
      <c r="V141" t="s">
        <v>2536</v>
      </c>
      <c r="W141" t="s">
        <v>2497</v>
      </c>
      <c r="X141" t="s">
        <v>2498</v>
      </c>
      <c r="Y141" t="s">
        <v>2537</v>
      </c>
      <c r="Z141" t="s">
        <v>2538</v>
      </c>
    </row>
    <row r="142" spans="1:34">
      <c r="A142" t="s">
        <v>841</v>
      </c>
      <c r="B142">
        <v>101</v>
      </c>
      <c r="T142" t="str">
        <f t="shared" si="4"/>
        <v>},[101]={</v>
      </c>
    </row>
    <row r="143" customFormat="1" spans="1:34">
      <c r="C143" t="s">
        <v>2445</v>
      </c>
      <c r="D143" t="s">
        <v>2446</v>
      </c>
      <c r="G143" t="s">
        <v>2539</v>
      </c>
      <c r="H143" t="s">
        <v>2540</v>
      </c>
      <c r="K143" t="s">
        <v>2002</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2447</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2448</v>
      </c>
      <c r="AA143" t="s">
        <v>2449</v>
      </c>
      <c r="AB143" t="s">
        <v>2491</v>
      </c>
      <c r="AC143" t="s">
        <v>2492</v>
      </c>
      <c r="AD143" t="s">
        <v>2493</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2494</v>
      </c>
      <c r="D144" t="s">
        <v>2495</v>
      </c>
      <c r="K144" t="s">
        <v>2002</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2541</v>
      </c>
      <c r="V144" t="s">
        <v>2542</v>
      </c>
      <c r="W144" t="s">
        <v>2497</v>
      </c>
      <c r="X144" t="s">
        <v>2498</v>
      </c>
      <c r="Y144" t="s">
        <v>2543</v>
      </c>
      <c r="Z144" t="s">
        <v>2544</v>
      </c>
    </row>
    <row r="145" spans="1:34">
      <c r="A145" t="s">
        <v>846</v>
      </c>
      <c r="B145">
        <v>103</v>
      </c>
      <c r="T145" t="str">
        <f t="shared" si="4"/>
        <v>},[103]={</v>
      </c>
    </row>
    <row r="146" customFormat="1" spans="1:34">
      <c r="C146" t="s">
        <v>2445</v>
      </c>
      <c r="D146" t="s">
        <v>2446</v>
      </c>
      <c r="G146" t="s">
        <v>2545</v>
      </c>
      <c r="H146" t="s">
        <v>2546</v>
      </c>
      <c r="K146" t="s">
        <v>2002</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2447</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2448</v>
      </c>
      <c r="AA146" t="s">
        <v>2449</v>
      </c>
      <c r="AB146" t="s">
        <v>2491</v>
      </c>
      <c r="AC146" t="s">
        <v>2492</v>
      </c>
      <c r="AD146" t="s">
        <v>2493</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2494</v>
      </c>
      <c r="D147" t="s">
        <v>2495</v>
      </c>
      <c r="K147" t="s">
        <v>2002</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2547</v>
      </c>
      <c r="V147" t="s">
        <v>2548</v>
      </c>
      <c r="W147" t="s">
        <v>2497</v>
      </c>
      <c r="X147" t="s">
        <v>2498</v>
      </c>
      <c r="Y147" t="s">
        <v>2549</v>
      </c>
      <c r="Z147" t="s">
        <v>2550</v>
      </c>
    </row>
    <row r="148" spans="1:34">
      <c r="A148" t="s">
        <v>849</v>
      </c>
      <c r="B148">
        <v>104</v>
      </c>
      <c r="T148" t="str">
        <f t="shared" si="4"/>
        <v>},[104]={</v>
      </c>
    </row>
    <row r="149" customFormat="1" spans="1:34">
      <c r="C149" t="s">
        <v>2445</v>
      </c>
      <c r="D149" t="s">
        <v>2446</v>
      </c>
      <c r="G149" t="s">
        <v>2551</v>
      </c>
      <c r="H149" t="s">
        <v>2552</v>
      </c>
      <c r="K149" t="s">
        <v>2002</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2447</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2448</v>
      </c>
      <c r="AA149" t="s">
        <v>2449</v>
      </c>
      <c r="AB149" t="s">
        <v>2491</v>
      </c>
      <c r="AC149" t="s">
        <v>2492</v>
      </c>
      <c r="AD149" t="s">
        <v>2493</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2494</v>
      </c>
      <c r="D150" t="s">
        <v>2495</v>
      </c>
      <c r="K150" t="s">
        <v>2002</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2553</v>
      </c>
      <c r="V150" t="s">
        <v>2554</v>
      </c>
      <c r="W150" t="s">
        <v>2497</v>
      </c>
      <c r="X150" t="s">
        <v>2498</v>
      </c>
      <c r="Y150" t="s">
        <v>2555</v>
      </c>
      <c r="Z150" t="s">
        <v>2556</v>
      </c>
    </row>
    <row r="151" spans="1:34">
      <c r="A151" t="s">
        <v>852</v>
      </c>
      <c r="B151">
        <v>105</v>
      </c>
      <c r="T151" t="str">
        <f t="shared" si="4"/>
        <v>},[105]={</v>
      </c>
    </row>
    <row r="152" customFormat="1" spans="1:34">
      <c r="C152" t="s">
        <v>2445</v>
      </c>
      <c r="D152" t="s">
        <v>2446</v>
      </c>
      <c r="G152" t="s">
        <v>2557</v>
      </c>
      <c r="H152" t="s">
        <v>2558</v>
      </c>
      <c r="K152" t="s">
        <v>2002</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2447</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2448</v>
      </c>
      <c r="AA152" t="s">
        <v>2449</v>
      </c>
      <c r="AB152" t="s">
        <v>2491</v>
      </c>
      <c r="AC152" t="s">
        <v>2492</v>
      </c>
      <c r="AD152" t="s">
        <v>2493</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2494</v>
      </c>
      <c r="D153" t="s">
        <v>2495</v>
      </c>
      <c r="K153" t="s">
        <v>2002</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2559</v>
      </c>
      <c r="V153" t="s">
        <v>2560</v>
      </c>
      <c r="W153" t="s">
        <v>2497</v>
      </c>
      <c r="X153" t="s">
        <v>2498</v>
      </c>
      <c r="Y153" t="s">
        <v>2561</v>
      </c>
      <c r="Z153" t="s">
        <v>2562</v>
      </c>
    </row>
    <row r="154" spans="1:34">
      <c r="A154" t="s">
        <v>947</v>
      </c>
      <c r="B154">
        <v>139</v>
      </c>
      <c r="T154" t="str">
        <f t="shared" si="4"/>
        <v>},[139]={</v>
      </c>
    </row>
    <row r="155" customFormat="1" spans="1:34">
      <c r="C155" t="s">
        <v>2445</v>
      </c>
      <c r="D155" t="s">
        <v>2446</v>
      </c>
      <c r="G155" t="s">
        <v>2563</v>
      </c>
      <c r="H155" t="s">
        <v>2564</v>
      </c>
      <c r="K155" t="s">
        <v>2002</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2447</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2448</v>
      </c>
      <c r="AA155" t="s">
        <v>2449</v>
      </c>
      <c r="AB155" t="s">
        <v>2491</v>
      </c>
      <c r="AC155" t="s">
        <v>2492</v>
      </c>
      <c r="AD155" t="s">
        <v>2493</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2494</v>
      </c>
      <c r="D156" t="s">
        <v>2495</v>
      </c>
      <c r="K156" t="s">
        <v>2002</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2565</v>
      </c>
      <c r="V156" t="s">
        <v>2566</v>
      </c>
      <c r="W156" t="s">
        <v>2497</v>
      </c>
      <c r="X156" t="s">
        <v>2498</v>
      </c>
      <c r="Y156" t="s">
        <v>2567</v>
      </c>
      <c r="Z156" t="s">
        <v>2568</v>
      </c>
    </row>
    <row r="157" spans="1:34">
      <c r="A157" t="s">
        <v>983</v>
      </c>
      <c r="B157">
        <v>153</v>
      </c>
      <c r="T157" t="str">
        <f t="shared" si="4"/>
        <v>},[153]={</v>
      </c>
    </row>
    <row r="158" customFormat="1" spans="1:34">
      <c r="C158" t="s">
        <v>2445</v>
      </c>
      <c r="D158" t="s">
        <v>2446</v>
      </c>
      <c r="G158" t="s">
        <v>2569</v>
      </c>
      <c r="H158" t="s">
        <v>2570</v>
      </c>
      <c r="K158" t="s">
        <v>2002</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2447</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2448</v>
      </c>
      <c r="AA158" t="s">
        <v>2449</v>
      </c>
      <c r="AB158" t="s">
        <v>2491</v>
      </c>
      <c r="AC158" t="s">
        <v>2492</v>
      </c>
      <c r="AD158" t="s">
        <v>2493</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2494</v>
      </c>
      <c r="D159" t="s">
        <v>2495</v>
      </c>
      <c r="K159" t="s">
        <v>2002</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2571</v>
      </c>
      <c r="V159" t="s">
        <v>2572</v>
      </c>
      <c r="W159" t="s">
        <v>2497</v>
      </c>
      <c r="X159" t="s">
        <v>2498</v>
      </c>
      <c r="Y159" t="s">
        <v>2573</v>
      </c>
      <c r="Z159" t="s">
        <v>2574</v>
      </c>
    </row>
    <row r="160" spans="1:34">
      <c r="A160" t="s">
        <v>1061</v>
      </c>
      <c r="B160">
        <v>216</v>
      </c>
      <c r="T160" t="str">
        <f t="shared" si="4"/>
        <v>},[216]={</v>
      </c>
    </row>
    <row r="161" spans="1:26">
      <c r="C161" t="s">
        <v>2575</v>
      </c>
      <c r="D161" t="s">
        <v>2446</v>
      </c>
      <c r="G161" t="s">
        <v>2576</v>
      </c>
      <c r="H161" t="s">
        <v>2577</v>
      </c>
      <c r="K161" t="s">
        <v>2002</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2447</v>
      </c>
      <c r="V161" t="s">
        <v>2448</v>
      </c>
      <c r="W161" t="s">
        <v>2449</v>
      </c>
      <c r="X161" t="s">
        <v>2578</v>
      </c>
      <c r="Y161" t="s">
        <v>2451</v>
      </c>
      <c r="Z161" t="s">
        <v>2452</v>
      </c>
    </row>
    <row r="162" spans="1:26">
      <c r="C162" t="s">
        <v>2494</v>
      </c>
      <c r="D162" t="s">
        <v>2495</v>
      </c>
      <c r="K162" t="s">
        <v>2002</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2579</v>
      </c>
      <c r="V162" t="s">
        <v>2580</v>
      </c>
      <c r="W162" t="s">
        <v>2497</v>
      </c>
      <c r="X162" t="s">
        <v>2498</v>
      </c>
      <c r="Y162" t="s">
        <v>2581</v>
      </c>
      <c r="Z162" t="s">
        <v>2582</v>
      </c>
    </row>
    <row r="163" customFormat="1" spans="1:26">
      <c r="C163" s="5" t="s">
        <v>2472</v>
      </c>
      <c r="D163" t="s">
        <v>2473</v>
      </c>
      <c r="K163" t="s">
        <v>2002</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2474</v>
      </c>
      <c r="V163" t="s">
        <v>2475</v>
      </c>
      <c r="W163" t="s">
        <v>2476</v>
      </c>
      <c r="X163" t="s">
        <v>2477</v>
      </c>
      <c r="Y163" t="s">
        <v>2478</v>
      </c>
    </row>
    <row r="164" spans="1:26">
      <c r="A164" t="s">
        <v>1414</v>
      </c>
      <c r="B164">
        <v>656</v>
      </c>
      <c r="T164" t="str">
        <f t="shared" si="4"/>
        <v>},[656]={</v>
      </c>
    </row>
    <row r="165" spans="1:26">
      <c r="C165" t="s">
        <v>2575</v>
      </c>
      <c r="D165" t="s">
        <v>2446</v>
      </c>
      <c r="G165" t="s">
        <v>2576</v>
      </c>
      <c r="H165" t="s">
        <v>2577</v>
      </c>
      <c r="K165" t="s">
        <v>2002</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2447</v>
      </c>
      <c r="V165" t="s">
        <v>2448</v>
      </c>
      <c r="W165" t="s">
        <v>2449</v>
      </c>
      <c r="X165" t="s">
        <v>2578</v>
      </c>
      <c r="Y165" t="s">
        <v>2451</v>
      </c>
      <c r="Z165" t="s">
        <v>2452</v>
      </c>
    </row>
    <row r="166" spans="1:26">
      <c r="C166" t="s">
        <v>2494</v>
      </c>
      <c r="D166" t="s">
        <v>2495</v>
      </c>
      <c r="K166" t="s">
        <v>2002</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2579</v>
      </c>
      <c r="V166" t="s">
        <v>2580</v>
      </c>
      <c r="W166" t="s">
        <v>2497</v>
      </c>
      <c r="X166" t="s">
        <v>2498</v>
      </c>
      <c r="Y166" t="s">
        <v>2581</v>
      </c>
      <c r="Z166" t="s">
        <v>2582</v>
      </c>
    </row>
    <row r="167" customFormat="1" spans="1:26">
      <c r="C167" s="5" t="s">
        <v>2472</v>
      </c>
      <c r="D167" t="s">
        <v>2473</v>
      </c>
      <c r="K167" t="s">
        <v>2002</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2474</v>
      </c>
      <c r="V167" t="s">
        <v>2475</v>
      </c>
      <c r="W167" t="s">
        <v>2476</v>
      </c>
      <c r="X167" t="s">
        <v>2477</v>
      </c>
      <c r="Y167" t="s">
        <v>2478</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1775</v>
      </c>
      <c r="B3" t="s">
        <v>2490</v>
      </c>
      <c r="C3" t="s">
        <v>2583</v>
      </c>
    </row>
    <row r="4" spans="1:3">
      <c r="A4" t="s">
        <v>1781</v>
      </c>
      <c r="B4" s="1" t="s">
        <v>2500</v>
      </c>
      <c r="C4" t="s">
        <v>2584</v>
      </c>
    </row>
    <row r="5" spans="1:3">
      <c r="A5" t="s">
        <v>1790</v>
      </c>
      <c r="B5" s="1" t="s">
        <v>2503</v>
      </c>
      <c r="C5" s="1" t="s">
        <v>2585</v>
      </c>
    </row>
    <row r="6" spans="1:3">
      <c r="A6" t="s">
        <v>1794</v>
      </c>
      <c r="B6" s="1" t="s">
        <v>2504</v>
      </c>
      <c r="C6" s="1" t="s">
        <v>2586</v>
      </c>
    </row>
    <row r="7" spans="1:3">
      <c r="A7" t="s">
        <v>1800</v>
      </c>
      <c r="B7" s="1" t="s">
        <v>2509</v>
      </c>
      <c r="C7" s="1" t="s">
        <v>2587</v>
      </c>
    </row>
    <row r="8" spans="1:3">
      <c r="A8" t="s">
        <v>1804</v>
      </c>
      <c r="B8" s="1" t="s">
        <v>2510</v>
      </c>
      <c r="C8" s="1" t="s">
        <v>2588</v>
      </c>
    </row>
    <row r="9" spans="1:3">
      <c r="A9" t="s">
        <v>1815</v>
      </c>
      <c r="B9" s="1" t="s">
        <v>2515</v>
      </c>
      <c r="C9" s="1" t="s">
        <v>2589</v>
      </c>
    </row>
    <row r="10" spans="1:3">
      <c r="A10" t="s">
        <v>1819</v>
      </c>
      <c r="B10" s="1" t="s">
        <v>2516</v>
      </c>
      <c r="C10" s="1" t="s">
        <v>2590</v>
      </c>
    </row>
    <row r="11" spans="1:3">
      <c r="A11" t="s">
        <v>1825</v>
      </c>
      <c r="B11" s="1" t="s">
        <v>2521</v>
      </c>
      <c r="C11" s="1" t="s">
        <v>2591</v>
      </c>
    </row>
    <row r="12" spans="1:3">
      <c r="A12" t="s">
        <v>1829</v>
      </c>
      <c r="B12" s="1" t="s">
        <v>2522</v>
      </c>
      <c r="C12" s="1" t="s">
        <v>2592</v>
      </c>
    </row>
    <row r="13" spans="1:3">
      <c r="A13" t="s">
        <v>1833</v>
      </c>
      <c r="B13" s="1" t="s">
        <v>2527</v>
      </c>
      <c r="C13" s="1" t="s">
        <v>2593</v>
      </c>
    </row>
    <row r="14" spans="1:3">
      <c r="A14" t="s">
        <v>1837</v>
      </c>
      <c r="B14" s="1" t="s">
        <v>2528</v>
      </c>
      <c r="C14" s="1" t="s">
        <v>2594</v>
      </c>
    </row>
    <row r="15" spans="1:3">
      <c r="A15" t="s">
        <v>1843</v>
      </c>
      <c r="B15" s="1" t="s">
        <v>2533</v>
      </c>
      <c r="C15" s="1" t="s">
        <v>2595</v>
      </c>
    </row>
    <row r="16" spans="1:3">
      <c r="A16" t="s">
        <v>1847</v>
      </c>
      <c r="B16" s="1" t="s">
        <v>2534</v>
      </c>
      <c r="C16" s="1" t="s">
        <v>2596</v>
      </c>
    </row>
    <row r="17" spans="1:3">
      <c r="A17" t="s">
        <v>1851</v>
      </c>
      <c r="B17" s="1" t="s">
        <v>2539</v>
      </c>
      <c r="C17" s="1" t="s">
        <v>2597</v>
      </c>
    </row>
    <row r="18" spans="1:3">
      <c r="A18" t="s">
        <v>1855</v>
      </c>
      <c r="B18" s="1" t="s">
        <v>2540</v>
      </c>
      <c r="C18" s="1" t="s">
        <v>2598</v>
      </c>
    </row>
    <row r="19" spans="1:3">
      <c r="A19" t="s">
        <v>1861</v>
      </c>
      <c r="B19" s="1" t="s">
        <v>2545</v>
      </c>
      <c r="C19" s="1" t="s">
        <v>2599</v>
      </c>
    </row>
    <row r="20" spans="1:3">
      <c r="A20" t="s">
        <v>1865</v>
      </c>
      <c r="B20" s="1" t="s">
        <v>2546</v>
      </c>
      <c r="C20" s="1" t="s">
        <v>2600</v>
      </c>
    </row>
    <row r="21" spans="1:3">
      <c r="A21" t="s">
        <v>1871</v>
      </c>
      <c r="B21" s="1" t="s">
        <v>2551</v>
      </c>
      <c r="C21" s="1" t="s">
        <v>2601</v>
      </c>
    </row>
    <row r="22" spans="1:3">
      <c r="A22" t="s">
        <v>1875</v>
      </c>
      <c r="B22" s="1" t="s">
        <v>2552</v>
      </c>
      <c r="C22" s="1" t="s">
        <v>2602</v>
      </c>
    </row>
    <row r="23" spans="1:3">
      <c r="A23" t="s">
        <v>1879</v>
      </c>
      <c r="B23" s="1" t="s">
        <v>2557</v>
      </c>
      <c r="C23" s="1" t="s">
        <v>2603</v>
      </c>
    </row>
    <row r="24" spans="1:3">
      <c r="A24" t="s">
        <v>1883</v>
      </c>
      <c r="B24" s="1" t="s">
        <v>2558</v>
      </c>
      <c r="C24" s="1" t="s">
        <v>2604</v>
      </c>
    </row>
    <row r="25" spans="1:3">
      <c r="A25" t="s">
        <v>1893</v>
      </c>
      <c r="B25" s="1" t="s">
        <v>2563</v>
      </c>
      <c r="C25" s="1" t="s">
        <v>2605</v>
      </c>
    </row>
    <row r="26" spans="1:3">
      <c r="A26" t="s">
        <v>1897</v>
      </c>
      <c r="B26" s="1" t="s">
        <v>2564</v>
      </c>
      <c r="C26" s="1" t="s">
        <v>2606</v>
      </c>
    </row>
    <row r="27" spans="1:3">
      <c r="A27" t="s">
        <v>1901</v>
      </c>
      <c r="B27" s="1" t="s">
        <v>2569</v>
      </c>
      <c r="C27" s="1" t="s">
        <v>2607</v>
      </c>
    </row>
    <row r="28" spans="1:3">
      <c r="A28" t="s">
        <v>1905</v>
      </c>
      <c r="B28" s="1" t="s">
        <v>2570</v>
      </c>
      <c r="C28" s="1" t="s">
        <v>2608</v>
      </c>
    </row>
    <row r="29" spans="1:3">
      <c r="A29" t="s">
        <v>1917</v>
      </c>
      <c r="B29" s="1" t="s">
        <v>2576</v>
      </c>
      <c r="C29" s="1" t="s">
        <v>2609</v>
      </c>
    </row>
    <row r="30" spans="1:3">
      <c r="A30" t="s">
        <v>1921</v>
      </c>
      <c r="B30" s="1" t="s">
        <v>2577</v>
      </c>
      <c r="C30" s="1" t="s">
        <v>2610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2026-10-04T13:13:21Z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