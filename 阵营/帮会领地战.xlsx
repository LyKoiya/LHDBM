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8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<sst xmlns="http://schemas.openxmlformats.org/spreadsheetml/2006/main" count="2270" uniqueCount="1661">
  <si>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</si>
  <si>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</si>
  <si>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</si>
  <si>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</si>
  <si>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</si>
  <si>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</si>
  <si>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</si>
  <si>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</si>
  <si>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</si>
  <si>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</si>
  <si>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</si>
  <si>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</si>
  <si>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</si>
  <si>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</si>
  <si>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</si>
  <si>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</si>
  <si>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</si>
  <si>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</si>
  <si>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</si>
  <si>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</si>
  <si>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</si>
  <si>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</si>
  <si>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</si>
  <si>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</si>
  <si>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</si>
  <si>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</si>
  <si>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</si>
  <si>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</si>
  <si>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</si>
  <si>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</si>
  <si>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</si>
  <si>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</si>
  <si>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</si>
  <si>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</si>
  <si>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</si>
  <si>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</si>
  <si>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</si>
  <si>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</si>
  <si>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</si>
  <si>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</si>
  <si>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</si>
  <si>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</si>
  <si>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</si>
  <si>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</si>
  <si>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</si>
  <si>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</si>
  <si>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</si>
  <si>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</si>
  <si>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</si>
  <si>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</si>
  <si>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</si>
  <si>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</si>
  <si>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</si>
  <si>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</si>
  <si>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</si>
  <si>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</si>
  <si>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</si>
  <si>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</si>
  <si>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</si>
  <si>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</si>
  <si>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</si>
  <si>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</si>
  <si>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</si>
  <si>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</si>
  <si>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</si>
  <si>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</si>
  <si>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</si>
  <si>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</si>
  <si>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</si>
  <si>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</si>
  <si>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</si>
  <si>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</si>
  <si>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</si>
  <si>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</si>
  <si>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</si>
  <si>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</si>
  <si>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</si>
  <si>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</si>
  <si>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</si>
  <si>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</si>
  <si>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</si>
  <si>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</si>
  <si>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</si>
  <si>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</si>
  <si>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</si>
  <si>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</si>
  <si>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</si>
  <si>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</si>
  <si>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</si>
  <si>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</si>
  <si>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</si>
  <si>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</si>
  <si>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</si>
  <si>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</si>
  <si>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</si>
  <si>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</si>
  <si>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</si>
  <si>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</si>
  <si>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</si>
  <si>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</si>
  <si>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</si>
  <si>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</si>
  <si>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</si>
  <si>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</si>
  <si>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</si>
  <si>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</si>
  <si>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</si>
  <si>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</si>
  <si>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</si>
  <si>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</si>
  <si>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</si>
  <si>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</si>
  <si>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</si>
  <si>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</si>
  <si>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</si>
  <si>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</si>
  <si>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</si>
  <si>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</si>
  <si>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</si>
  <si>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</si>
  <si>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</si>
  <si>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</si>
  <si>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</si>
  <si>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</si>
  <si>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</si>
  <si>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</si>
  <si>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</si>
  <si>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</si>
  <si>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</si>
  <si>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</si>
  <si>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</si>
  <si>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</si>
  <si>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</si>
  <si>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</si>
  <si>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</si>
  <si>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</si>
  <si>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</si>
  <si>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</si>
  <si>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</si>
  <si>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</si>
  <si>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</si>
  <si>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</si>
  <si>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</si>
  <si>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</si>
  <si>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</si>
  <si>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</si>
  <si>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</si>
  <si>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</si>
  <si>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</si>
  <si>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</si>
  <si>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</si>
  <si>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</si>
  <si>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</si>
  <si>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</si>
  <si>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</si>
  <si>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</si>
  <si>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</si>
  <si>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</si>
  <si>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</si>
  <si>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</si>
  <si>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</si>
  <si>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</si>
  <si>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</si>
  <si>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</si>
  <si>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</si>
  <si>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</si>
  <si>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</si>
  <si>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</si>
  <si>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</si>
  <si>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</si>
  <si>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</si>
  <si>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</si>
  <si>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</si>
  <si>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</si>
  <si>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</si>
  <si>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</si>
  <si>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</si>
  <si>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</si>
  <si>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</si>
  <si>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</si>
  <si>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</si>
  <si>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</si>
  <si>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</si>
  <si>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</si>
  <si>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</si>
  <si>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</si>
  <si>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</si>
  <si>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</si>
  <si>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</si>
  <si>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</si>
  <si>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</si>
  <si>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</si>
  <si>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</si>
  <si>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</si>
  <si>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</si>
  <si>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</si>
  <si>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</si>
  <si>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</si>
  <si>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</si>
  <si>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</si>
  <si>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</si>
  <si>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</si>
  <si>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</si>
  <si>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</si>
  <si>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</si>
  <si>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</si>
  <si>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</si>
  <si>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</si>
  <si>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</si>
  <si>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</si>
  <si>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</si>
  <si>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</si>
  <si>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</si>
  <si>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</si>
  <si>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</si>
  <si>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</si>
  <si>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</si>
  <si>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</si>
  <si>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</si>
  <si>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</si>
  <si>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</si>
  <si>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</si>
  <si>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</si>
  <si>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</si>
  <si>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</si>
  <si>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</si>
  <si>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</si>
  <si>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</si>
  <si>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</si>
  <si>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</si>
  <si>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</si>
  <si>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</si>
  <si>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</si>
  <si>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</si>
  <si>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</si>
  <si>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</si>
  <si>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</si>
  <si>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</si>
  <si>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</si>
  <si>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</si>
  <si>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</si>
  <si>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</si>
  <si>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</si>
  <si>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</si>
  <si>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</si>
  <si>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</si>
  <si>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</si>
  <si>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</si>
  <si>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</si>
  <si>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</si>
  <si>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</si>
  <si>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</si>
  <si>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</si>
  <si>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</si>
  <si>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</si>
  <si>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</si>
  <si>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</si>
  <si>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</si>
  <si>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</si>
  <si>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</si>
  <si>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</si>
  <si>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</si>
  <si>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</si>
  <si>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</si>
  <si>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</si>
  <si>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</si>
  <si>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</si>
  <si>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</si>
  <si>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</si>
  <si>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</si>
  <si>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</si>
  <si>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</si>
  <si>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</si>
  <si>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</si>
  <si>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</si>
  <si>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</si>
  <si>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</si>
  <si>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</si>
  <si>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</si>
  <si>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</si>
  <si>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</si>
  <si>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</si>
  <si>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</si>
  <si>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</si>
  <si>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</si>
  <si>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</si>
  <si>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</si>
  <si>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</si>
  <si>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</si>
  <si>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</si>
  <si>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</si>
  <si>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</si>
  <si>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</si>
  <si>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</si>
  <si>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</si>
  <si>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</si>
  <si>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</si>
  <si>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</si>
  <si>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</si>
  <si>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</si>
  <si>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</si>
  <si>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</si>
  <si>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</si>
  <si>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</si>
  <si>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</si>
  <si>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</si>
  <si>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</si>
  <si>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</si>
  <si>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</si>
  <si>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</si>
  <si>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</si>
  <si>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</si>
  <si>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</si>
  <si>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</si>
  <si>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</si>
  <si>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</si>
  <si>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</si>
  <si>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</si>
  <si>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</si>
  <si>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</si>
  <si>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</si>
  <si>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</si>
  <si>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</si>
  <si>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</si>
  <si>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</si>
  <si>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</si>
  <si>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</si>
  <si>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</si>
  <si>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</si>
  <si>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</si>
  <si>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</si>
  <si>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</si>
  <si>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</si>
  <si>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</si>
  <si>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</si>
  <si>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</si>
  <si>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</si>
  <si>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</si>
  <si>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</si>
  <si>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</si>
  <si>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</si>
  <si>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</si>
  <si>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</si>
  <si>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</si>
  <si>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</si>
  <si>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</si>
  <si>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</si>
  <si>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</si>
  <si>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</si>
  <si>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</si>
  <si>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</si>
  <si>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</si>
  <si>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</si>
  <si>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</si>
  <si>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</si>
  <si>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</si>
  <si>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</si>
  <si>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</si>
  <si>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</si>
  <si>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</si>
  <si>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</si>
  <si>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</si>
  <si>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</si>
  <si>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</si>
  <si>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</si>
  <si>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</si>
  <si>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</si>
  <si>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</si>
  <si>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</si>
  <si>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</si>
  <si>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</si>
  <si>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</si>
  <si>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</si>
  <si>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</si>
  <si>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</si>
  <si>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</si>
  <si>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</si>
  <si>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</si>
  <si>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</si>
  <si>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</si>
  <si>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</si>
  <si>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</si>
  <si>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</si>
  <si>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</si>
  <si>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</si>
  <si>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</si>
  <si>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</si>
  <si>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</si>
  <si>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</si>
  <si>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</si>
  <si>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</si>
  <si>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</si>
  <si>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</si>
  <si>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</si>
  <si>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</si>
  <si>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</si>
  <si>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</si>
  <si>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</si>
  <si>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</si>
  <si>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</si>
  <si>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</si>
  <si>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</si>
  <si>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</si>
  <si>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</si>
  <si>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</si>
  <si>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</si>
  <si>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</si>
  <si>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</si>
  <si>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</si>
  <si>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</si>
  <si>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</si>
  <si>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</si>
  <si>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</si>
  <si>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</si>
  <si>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</si>
  <si>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</si>
  <si>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</si>
  <si>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</si>
  <si>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</si>
  <si>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</si>
  <si>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</si>
  <si>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</si>
  <si>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</si>
  <si>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</si>
  <si>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</si>
  <si>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</si>
  <si>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</si>
  <si>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</si>
  <si>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</si>
  <si>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</si>
  <si>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</si>
  <si>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</si>
  <si>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</si>
  <si>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</si>
  <si>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</si>
  <si>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</si>
  <si>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</si>
  <si>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</si>
  <si>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</si>
  <si>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</si>
  <si>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</si>
  <si>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</si>
  <si>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</si>
  <si>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</si>
  <si>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</si>
  <si>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</si>
  <si>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</si>
  <si>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</si>
  <si>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</si>
  <si>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</si>
  <si>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</si>
  <si>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</si>
  <si>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</si>
  <si>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</si>
  <si>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</si>
  <si>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</si>
  <si>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</si>
  <si>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</si>
  <si>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</si>
  <si>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</si>
  <si>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</si>
  <si>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</si>
  <si>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</si>
  <si>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</si>
  <si>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</si>
  <si>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</si>
  <si>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</si>
  <si>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</si>
  <si>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</si>
  <si>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</si>
  <si>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</si>
  <si>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</si>
  <si>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</si>
  <si>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</si>
  <si>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</si>
  <si>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</si>
  <si>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</si>
  <si>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</si>
  <si>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</si>
  <si>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</si>
  <si>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</si>
  <si>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</si>
  <si>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</si>
  <si>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</si>
  <si>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</si>
  <si>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</si>
  <si>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</si>
  <si>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</si>
  <si>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</si>
  <si>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</si>
  <si>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</si>
  <si>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</si>
  <si>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</si>
  <si>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</si>
  <si>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</si>
  <si>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</si>
  <si>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</si>
  <si>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</si>
  <si>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</si>
  <si>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</si>
  <si>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</si>
  <si>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</si>
  <si>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</si>
  <si>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</si>
  <si>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</si>
  <si>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</si>
  <si>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</si>
  <si>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</si>
  <si>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</si>
  <si>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</si>
  <si>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</si>
  <si>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</si>
  <si>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</si>
  <si>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</si>
  <si>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</si>
  <si>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</si>
  <si>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</si>
  <si>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</si>
  <si>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</si>
  <si>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</si>
  <si>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</si>
  <si>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</si>
  <si>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</si>
  <si>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</si>
  <si>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</si>
  <si>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</si>
  <si>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</si>
  <si>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</si>
  <si>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</si>
  <si>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</si>
  <si>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</si>
  <si>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</si>
  <si>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</si>
  <si>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</si>
  <si>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</si>
  <si>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</si>
  <si>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</si>
  <si>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</si>
  <si>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</si>
  <si>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</si>
  <si>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</si>
  <si>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</si>
  <si>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</si>
  <si>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</si>
  <si>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</si>
  <si>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</si>
  <si>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</si>
  <si>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</si>
  <si>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</si>
  <si>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</si>
  <si>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</si>
  <si>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</si>
  <si>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</si>
  <si>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</si>
  <si>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</si>
  <si>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</si>
  <si>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</si>
  <si>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</si>
  <si>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</si>
  <si>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</si>
  <si>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</si>
  <si>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</si>
  <si>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</si>
  <si>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</si>
  <si>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</si>
  <si>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</si>
  <si>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</si>
  <si>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</si>
  <si>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</si>
  <si>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</si>
  <si>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</si>
  <si>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</si>
  <si>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</si>
  <si>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</si>
  <si>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</si>
  <si>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</si>
  <si>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</si>
  <si>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</si>
  <si>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</si>
  <si>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</si>
  <si>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</si>
  <si>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</si>
  <si>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</si>
  <si>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</si>
  <si>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</si>
  <si>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</si>
  <si>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</si>
  <si>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</si>
  <si>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</si>
  <si>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</si>
  <si>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</si>
  <si>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</si>
  <si>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</si>
  <si>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</si>
  <si>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</si>
  <si>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</si>
  <si>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</si>
  <si>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</si>
  <si>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</si>
  <si>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</si>
  <si>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</si>
  <si>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</si>
  <si>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</si>
  <si>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</si>
  <si>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</si>
  <si>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</si>
  <si>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</si>
  <si>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</si>
  <si>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</si>
  <si>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</si>
  <si>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</si>
  <si>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</si>
  <si>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</si>
  <si>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</si>
  <si>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</si>
  <si>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</si>
  <si>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</si>
  <si>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</si>
  <si>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</si>
  <si>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</si>
  <si>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</si>
  <si>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</si>
  <si>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</si>
  <si>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</si>
  <si>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</si>
  <si>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</si>
  <si>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</si>
  <si>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</si>
  <si>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</si>
  <si>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</si>
  <si>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</si>
  <si>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</si>
  <si>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</si>
  <si>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</si>
  <si>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</si>
  <si>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</si>
  <si>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</si>
  <si>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</si>
  <si>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</si>
  <si>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</si>
  <si>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</si>
  <si>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</si>
  <si>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</si>
  <si>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</si>
  <si>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</si>
  <si>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</si>
  <si>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</si>
  <si>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</si>
  <si>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</si>
  <si>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</si>
  <si>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</si>
  <si>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</si>
  <si>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</si>
  <si>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</si>
  <si>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</si>
  <si>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</si>
  <si>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</si>
  <si>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</si>
  <si>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</si>
  <si>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</si>
  <si>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</si>
  <si>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</si>
  <si>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</si>
  <si>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</si>
  <si>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</si>
  <si>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</si>
  <si>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</si>
  <si>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</si>
  <si>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</si>
  <si>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</si>
  <si>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</si>
  <si>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</si>
  <si>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</si>
  <si>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</si>
  <si>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</si>
  <si>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</si>
  <si>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</si>
  <si>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</si>
  <si>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</si>
  <si>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</si>
  <si>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</si>
  <si>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</si>
  <si>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</si>
  <si>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</si>
  <si>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</si>
  <si>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</si>
  <si>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</si>
  <si>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</si>
  <si>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</si>
  <si>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</si>
  <si>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</si>
  <si>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</si>
  <si>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</si>
  <si>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</si>
  <si>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</si>
  <si>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</si>
  <si>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</si>
  <si>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</si>
  <si>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</si>
  <si>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</si>
  <si>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</si>
  <si>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</si>
  <si>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</si>
  <si>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</si>
  <si>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</si>
  <si>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</si>
  <si>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</si>
  <si>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</si>
  <si>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</si>
  <si>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</si>
  <si>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</si>
  <si>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</si>
  <si>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</si>
  <si>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</si>
  <si>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</si>
  <si>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</si>
  <si>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</si>
  <si>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</si>
  <si>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</si>
  <si>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</si>
  <si>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</si>
  <si>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</si>
  <si>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</si>
  <si>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</si>
  <si>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</si>
  <si>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</si>
  <si>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</si>
  <si>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</si>
  <si>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</si>
  <si>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</si>
  <si>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</si>
  <si>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</si>
  <si>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</si>
  <si>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</si>
  <si>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</si>
  <si>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</si>
  <si>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</si>
  <si>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</si>
  <si>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</si>
  <si>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</si>
  <si>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</si>
  <si>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</si>
  <si>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</si>
  <si>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</si>
  <si>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</si>
  <si>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</si>
  <si>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</si>
  <si>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</si>
  <si>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</si>
  <si>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</si>
  <si>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</si>
  <si>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</si>
  <si>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</si>
  <si>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</si>
  <si>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</si>
  <si>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</si>
  <si>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</si>
  <si>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</si>
  <si>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</si>
  <si>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</si>
  <si>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</si>
  <si>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</si>
  <si>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</si>
  <si>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</si>
  <si>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</si>
  <si>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</si>
  <si>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</si>
  <si>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</si>
  <si>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</si>
  <si>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</si>
  <si>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</si>
  <si>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</si>
  <si>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</si>
  <si>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</si>
  <si>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</si>
  <si>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</si>
  <si>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</si>
  <si>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</si>
  <si>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</si>
  <si>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</si>
  <si>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</si>
  <si>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</si>
  <si>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</si>
  <si>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</si>
  <si>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</si>
  <si>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</si>
  <si>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</si>
  <si>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</si>
  <si>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</si>
  <si>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</si>
  <si>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</si>
  <si>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</si>
  <si>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</si>
  <si>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</si>
  <si>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</si>
  <si>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</si>
  <si>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</si>
  <si>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</si>
  <si>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</si>
  <si>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</si>
  <si>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</si>
  <si>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</si>
  <si>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</si>
  <si>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</si>
  <si>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</si>
  <si>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</si>
  <si>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</si>
  <si>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</si>
  <si>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</si>
  <si>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</si>
  <si>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</si>
  <si>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</si>
  <si>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</si>
  <si>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</si>
  <si>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</si>
  <si>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</si>
  <si>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</si>
  <si>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</si>
  <si>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</si>
  <si>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</si>
  <si>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</si>
  <si>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</si>
  <si>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</si>
  <si>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</si>
  <si>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</si>
  <si>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</si>
  <si>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</si>
  <si>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</si>
  <si>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</si>
  <si>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</si>
  <si>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</si>
  <si>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</si>
  <si>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</si>
  <si>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</si>
  <si>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</si>
  <si>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</si>
  <si>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</si>
  <si>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</si>
  <si>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</si>
  <si>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</si>
  <si>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</si>
  <si>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</si>
  <si>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</si>
  <si>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</si>
  <si>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</si>
  <si>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</si>
  <si>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</si>
  <si>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</si>
  <si>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</si>
  <si>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</si>
  <si>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</si>
  <si>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</si>
  <si>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</si>
  <si>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</si>
  <si>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</si>
  <si>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</si>
  <si>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</si>
  <si>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</si>
  <si>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</si>
  <si>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</si>
  <si>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</si>
  <si>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</si>
  <si>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</si>
  <si>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</si>
  <si>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</si>
  <si>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</si>
  <si>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</si>
  <si>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</si>
  <si>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</si>
  <si>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</si>
  <si>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</si>
  <si>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</si>
  <si>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</si>
  <si>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</si>
  <si>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</si>
  <si>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</si>
  <si>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</si>
  <si>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</si>
  <si>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</si>
  <si>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</si>
  <si>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</si>
  <si>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</si>
  <si>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</si>
  <si>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</si>
  <si>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</si>
  <si>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</si>
  <si>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</si>
  <si>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</si>
  <si>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</si>
  <si>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</si>
  <si>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</si>
  <si>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</si>
  <si>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</si>
  <si>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</si>
  <si>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</si>
  <si>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</si>
  <si>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</si>
  <si>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</si>
  <si>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</si>
  <si>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</si>
  <si>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</si>
  <si>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</si>
  <si>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</si>
  <si>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</si>
  <si>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</si>
  <si>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</si>
  <si>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</si>
  <si>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</si>
  <si>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</si>
  <si>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</si>
  <si>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</si>
  <si>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</si>
  <si>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</si>
  <si>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</si>
  <si>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</si>
  <si>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</si>
  <si>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</si>
  <si>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</si>
  <si>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</si>
  <si>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</si>
  <si>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</si>
  <si>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</si>
  <si>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</si>
  <si>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</si>
  <si>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</si>
  <si>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</si>
  <si>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</si>
  <si>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</si>
  <si>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</si>
  <si>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</si>
  <si>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</si>
  <si>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</si>
  <si>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</si>
  <si>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</si>
  <si>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</si>
  <si>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</si>
  <si>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</si>
  <si>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</si>
  <si>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</si>
  <si>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</si>
  <si>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</si>
  <si>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</si>
  <si>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</si>
  <si>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</si>
  <si>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</si>
  <si>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</si>
  <si>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</si>
  <si>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</si>
  <si>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</si>
  <si>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</si>
  <si>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</si>
  <si>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</si>
  <si>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</si>
  <si>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</si>
  <si>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</si>
  <si>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</si>
  <si>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</si>
  <si>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</si>
  <si>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</si>
  <si>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</si>
  <si>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</si>
  <si>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</si>
  <si>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</si>
  <si>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</si>
  <si>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</si>
  <si>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</si>
  <si>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</si>
  <si>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</si>
  <si>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</si>
  <si>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</si>
  <si>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</si>
  <si>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</si>
  <si>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</si>
  <si>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</si>
  <si>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</si>
  <si>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</si>
  <si>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</si>
  <si>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</si>
  <si>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</si>
  <si>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</si>
  <si>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</si>
  <si>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</si>
  <si>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</si>
  <si>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</si>
  <si>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</si>
  <si>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</si>
  <si>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</si>
  <si>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</si>
  <si>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</si>
  <si>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</si>
  <si>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</si>
  <si>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</si>
  <si>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</si>
  <si>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</si>
  <si>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</si>
  <si>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</si>
  <si>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</si>
  <si>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</si>
  <si>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</si>
  <si>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</si>
  <si>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</si>
  <si>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</si>
  <si>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</si>
  <si>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</si>
  <si>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</si>
  <si>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</si>
  <si>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</si>
  <si>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</si>
  <si>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</si>
  <si>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</si>
  <si>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</si>
  <si>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</si>
  <si>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</si>
  <si>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</si>
  <si>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</si>
  <si>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</si>
  <si>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</si>
  <si>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</si>
  <si>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</si>
  <si>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</si>
  <si>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</si>
  <si>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</si>
  <si>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</si>
  <si>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</si>
  <si>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</si>
  <si>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</si>
  <si>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</si>
  <si>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</si>
  <si>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</si>
  <si>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</si>
  <si>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</si>
  <si>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</si>
  <si>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</si>
  <si>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</si>
  <si>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</si>
  <si>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</si>
  <si>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</si>
  <si>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</si>
  <si>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</si>
  <si>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</si>
  <si>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</si>
  <si>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</si>
  <si>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</si>
  <si>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</si>
  <si>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</si>
  <si>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</si>
  <si>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</si>
  <si>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</si>
  <si>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</si>
  <si>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</si>
  <si>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</si>
  <si>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</si>
  <si>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</si>
  <si>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</si>
  <si>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</si>
  <si>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</si>
  <si>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</si>
  <si>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</si>
  <si>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</si>
  <si>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</si>
  <si>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</si>
  <si>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</si>
  <si>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</si>
  <si>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</si>
  <si>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</si>
  <si>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</si>
  <si>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</si>
  <si>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</si>
  <si>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</si>
  <si>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</si>
  <si>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</si>
  <si>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</si>
  <si>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</si>
  <si>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</si>
  <si>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</si>
  <si>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</si>
  <si>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</si>
  <si>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</si>
  <si>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</si>
  <si>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</si>
  <si>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</si>
  <si>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</si>
  <si>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</si>
  <si>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</si>
  <si>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</si>
  <si>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</si>
  <si>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</si>
  <si>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</si>
  <si>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</si>
  <si>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</si>
  <si>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</si>
  <si>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</si>
  <si>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</si>
  <si>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</si>
  <si>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</si>
  <si>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</si>
  <si>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</si>
  <si>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</si>
  <si>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</si>
  <si>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</si>
  <si>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</si>
  <si>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</si>
  <si>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</si>
  <si>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</si>
  <si>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</si>
  <si>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</si>
  <si>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</si>
  <si>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</si>
  <si>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</si>
  <si>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</si>
  <si>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</si>
  <si>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</si>
  <si>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</si>
  <si>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</si>
  <si>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</si>
  <si>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</si>
  <si>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</si>
  <si>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</si>
  <si>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</si>
  <si>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</si>
  <si>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</si>
  <si>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</si>
  <si>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</si>
  <si>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</si>
  <si>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</si>
  <si>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</si>
  <si>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</si>
  <si>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</si>
  <si>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</si>
  <si>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</si>
  <si>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</si>
  <si>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</si>
  <si>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</si>
  <si>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</si>
  <si>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</si>
  <si>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</si>
  <si>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</si>
  <si>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</si>
  <si>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</si>
  <si>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</si>
  <si>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</si>
  <si>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</si>
  <si>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</si>
  <si>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</si>
  <si>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</si>
  <si>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</si>
  <si>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</si>
  <si>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</si>
  <si>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</si>
  <si>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</si>
  <si>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</si>
  <si>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</si>
  <si>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</si>
  <si>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</si>
  <si>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</si>
  <si>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</si>
  <si>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</si>
  <si>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</si>
  <si>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</si>
  <si>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</si>
  <si>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</si>
  <si>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</si>
  <si>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</si>
  <si>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</si>
  <si>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</si>
  <si>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</si>
  <si>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</si>
  <si>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</si>
  <si>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</si>
  <si>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</si>
  <si>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</si>
  <si>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</si>
  <si>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</si>
  <si>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</si>
  <si>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</si>
  <si>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</si>
  <si>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</si>
  <si>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</si>
  <si>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</si>
  <si>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</si>
  <si>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</si>
  <si>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</si>
  <si>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</si>
  <si>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</si>
  <si>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</si>
  <si>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</si>
  <si>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</si>
  <si>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</si>
  <si>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</si>
  <si>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</si>
  <si>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</si>
  <si>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</si>
  <si>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</si>
  <si>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</si>
  <si>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</si>
  <si>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</si>
  <si>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</si>
  <si>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</si>
  <si>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</si>
  <si>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</si>
  <si>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</si>
  <si>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</si>
  <si>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</si>
  <si>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</si>
  <si>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</si>
  <si>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</si>
  <si>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</si>
  <si>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</si>
  <si>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</si>
  <si>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</si>
  <si>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</si>
  <si>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</si>
  <si>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</si>
  <si>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</si>
  <si>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</si>
  <si>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</si>
  <si>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</si>
  <si>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</si>
  <si>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</si>
  <si>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</si>
  <si>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</si>
  <si>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</si>
  <si>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</si>
  <si>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</si>
  <si>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</si>
  <si>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</si>
  <si>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</si>
  <si>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</si>
  <si>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</si>
  <si>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</si>
  <si>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</si>
  <si>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</si>
  <si>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</si>
  <si>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</si>
  <si>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</si>
  <si>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</si>
  <si>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</si>
  <si>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</si>
  <si>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</si>
  <si>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</si>
  <si>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</si>
  <si>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</si>
  <si>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</si>
  <si>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</si>
  <si>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</si>
  <si>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</si>
  <si>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</si>
  <si>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</si>
  <si>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</si>
  <si>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</si>
  <si>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</si>
  <si>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</si>
  <si>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</si>
  <si>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</si>
  <si>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</si>
  <si>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</si>
  <si>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</si>
  <si>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</si>
  <si>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</si>
  <si>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</si>
  <si>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</si>
  <si>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</si>
  <si>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</si>
  <si>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</si>
  <si>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</si>
  <si>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</si>
  <si>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</si>
  <si>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</si>
  <si>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</si>
  <si>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</si>
  <si>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</si>
  <si>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</si>
  <si>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</si>
  <si>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</si>
  <si>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</si>
  <si>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</si>
  <si>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</si>
  <si>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</si>
  <si>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</si>
  <si>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</si>
  <si>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</si>
  <si>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</si>
  <si>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</si>
  <si>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</si>
  <si>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</si>
  <si>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</si>
  <si>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</si>
  <si>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</si>
  <si>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</si>
  <si>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</si>
  <si>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</si>
  <si>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</si>
  <si>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</si>
  <si>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</si>
  <si>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</si>
  <si>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</si>
  <si>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</si>
  <si>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</si>
  <si>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</si>
  <si>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</si>
  <si>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</si>
  <si>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</si>
  <si>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</si>
  <si>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</si>
  <si>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</si>
  <si>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</si>
  <si>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</si>
  <si>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</si>
  <si>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</si>
  <si>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</si>
  <si>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</si>
  <si>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</si>
  <si>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</si>
  <si>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</si>
  <si>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</si>
  <si>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</si>
  <si>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</si>
  <si>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</si>
  <si>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</si>
  <si>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</si>
  <si>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</si>
  <si>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</si>
  <si>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</si>
  <si>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</si>
  <si>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</si>
  <si>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</si>
  <si>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</si>
  <si>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</si>
  <si>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</si>
  <si>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</si>
  <si>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</si>
  <si>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</si>
  <si>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</si>
  <si>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</si>
  <si>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</si>
  <si>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</si>
  <si>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</si>
  <si>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</si>
  <si>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</si>
  <si>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</si>
  <si>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</si>
  <si>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</si>
  <si>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</si>
  <si>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</si>
  <si>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</si>
  <si>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</si>
  <si>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</si>
  <si>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</si>
  <si>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</si>
  <si>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</si>
  <si>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</si>
  <si>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</si>
  <si>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</si>
  <si>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</si>
  <si>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</si>
  <si>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</si>
  <si>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</si>
  <si>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</si>
  <si>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</si>
  <si>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</si>
  <si>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</si>
  <si>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</si>
  <si>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</si>
  <si>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</si>
  <si>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</si>
  <si>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</si>
  <si>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</si>
  <si>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</si>
  <si>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</si>
  <si>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</si>
  <si>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</si>
  <si>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</si>
  <si>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</si>
  <si>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</si>
  <si>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</si>
  <si>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</si>
  <si>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</si>
  <si>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</si>
  <si>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</si>
  <si>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</si>
  <si>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</si>
  <si>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</si>
  <si>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</si>
  <si>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</si>
  <si>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</si>
  <si>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</si>
  <si>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</si>
  <si>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</si>
  <si>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</si>
  <si>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</si>
  <si>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</si>
  <si>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</si>
  <si>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</si>
  <si>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</si>
  <si>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</si>
  <si>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</si>
  <si>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</si>
  <si>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</si>
  <si>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</si>
  <si>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</si>
  <si>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</si>
  <si>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</si>
  <si>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</si>
  <si>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</si>
  <si>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</si>
  <si>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</si>
  <si>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</si>
  <si>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</si>
  <si>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</si>
  <si>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</si>
  <si>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</si>
  <si>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</si>
  <si>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</si>
  <si>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</si>
  <si>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</si>
  <si>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</si>
  <si>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</si>
  <si>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</si>
  <si>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</si>
  <si>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</si>
  <si>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</si>
  <si>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</si>
  <si>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</si>
  <si>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</si>
  <si>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</si>
  <si>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</si>
  <si>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</si>
  <si>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</si>
  <si>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</si>
  <si>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</si>
  <si>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</si>
  <si>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</si>
  <si>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</si>
  <si>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</si>
  <si>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</si>
  <si>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</si>
  <si>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</si>
  <si>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</si>
  <si>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</si>
  <si>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</si>
  <si>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</si>
  <si>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</si>
  <si>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</si>
  <si>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</si>
  <si>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</si>
  <si>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</si>
  <si>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</si>
  <si>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</si>
  <si>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</si>
  <si>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</si>
  <si>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</si>
  <si>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</si>
  <si>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</si>
  <si>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</si>
  <si>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</si>
  <si>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</si>
  <si>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</si>
  <si>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</si>
  <si>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</si>
  <si>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</si>
  <si>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</si>
  <si>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</si>
  <si>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</si>
  <si>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</si>
  <si>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</si>
  <si>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</si>
  <si>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</si>
  <si>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</si>
  <si>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</si>
  <si>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</si>
  <si>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</si>
  <si>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</si>
  <si>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</si>
  <si>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</si>
  <si>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</si>
  <si>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</si>
  <si>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</si>
  <si>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</si>
  <si>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</si>
  <si>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</si>
  <si>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</si>
  <si>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</si>
  <si>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</si>
  <si>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</si>
  <si>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</si>
  <si>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</si>
  <si>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</si>
  <si>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</si>
  <si>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</si>
  <si>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</si>
  <si>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</si>
  <si>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</si>
  <si>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</si>
  <si>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</si>
  <si>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</si>
  <si>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</si>
  <si>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</si>
  <si>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</si>
  <si>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</si>
  <si>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</si>
  <si>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</si>
  <si>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</si>
  <si>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</si>
  <si>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</si>
  <si>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</si>
  <si>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</si>
  <si>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</si>
  <si>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</si>
  <si>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</si>
  <si>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</si>
  <si>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</si>
  <si>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</si>
  <si>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</si>
  <si>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</si>
  <si>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</si>
  <si>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</si>
  <si>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return {DEBUFF={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</si>
  <si>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</si>
  <si>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</si>
  <si>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</si>
  <si>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</si>
  <si>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</si>
  <si>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</si>
  <si>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</si>
  <si>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</si>
  <si>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</si>
  <si>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</si>
  <si>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</si>
  <si>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</si>
  <si>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</si>
  <si>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</si>
  <si>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</si>
  <si>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</si>
  <si>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</si>
  <si>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</si>
  <si>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</si>
  <si>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</si>
  <si>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</si>
  <si>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</si>
  <si>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</si>
  <si>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</si>
  <si>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</si>
  <si>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</si>
  <si>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</si>
  <si>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李霖</t>
  </si>
  <si>
    <t>{dwMapID=-1,szDisplay="李霖·300分",nMaxDistance=0,tRelation={bAll=true,bEnemy=false,bAlly=false,},tLife={bEnable=false,szOperator="&gt;",nValue=0,},},</t>
  </si>
  <si>
    <t>凤妞</t>
  </si>
  <si>
    <t>{dwMapID=-1,szDisplay="凤妞·100分",nMaxDistance=0,tRelation={bAll=true,bEnemy=false,bAlly=false,},tLife={bEnable=false,szOperator="&gt;",nValue=0,},},</t>
  </si>
  <si>
    <t>陈士美</t>
  </si>
  <si>
    <t>{dwMapID=-1,szDisplay="陈士美·200分",nMaxDistance=0,tRelation={bAll=true,bEnemy=false,bAlly=false,},tLife={bEnable=false,szOperator="&gt;",nValue=0,},},</t>
  </si>
  <si>
    <t>黄剑翔</t>
  </si>
  <si>
    <t>{dwMapID=-1,szDisplay="黄剑翔·100分",nMaxDistance=0,tRelation={bAll=true,bEnemy=false,bAlly=false,},tLife={bEnable=false,szOperator="&gt;",nValue=0,},},</t>
  </si>
  <si>
    <t>韩非子</t>
  </si>
  <si>
    <t>{dwMapID=-1,szDisplay="韩非子·300分",nMaxDistance=0,tRelation={bAll=true,bEnemy=false,bAlly=false,},tLife={bEnable=false,szOperator="&gt;",nValue=0,},},</t>
  </si>
  <si>
    <t>邵卿城</t>
  </si>
  <si>
    <t>{dwMapID=-1,szDisplay="邵卿城·500分",nMaxDistance=0,tRelation={bAll=true,bEnemy=false,bAlly=false,},tLife={bEnable=false,szOperator="&gt;",nValue=0,},},</t>
  </si>
  <si>
    <t>高九问</t>
  </si>
  <si>
    <t>{dwMapID=-1,szDisplay="高九问·500分",nMaxDistance=0,tRelation={bAll=true,bEnemy=false,bAlly=false,},tLife={bEnable=false,szOperator="&gt;",nValue=0,},},</t>
  </si>
  <si>
    <t>雄爷</t>
  </si>
  <si>
    <t>{dwMapID=-1,szDisplay="雄爷·200分",nMaxDistance=0,tRelation={bAll=true,bEnemy=false,bAlly=false,},tLife={bEnable=false,szOperator="&gt;",nValue=0,},},</t>
  </si>
  <si>
    <t>贾扁</t>
  </si>
  <si>
    <t>{dwMapID=-1,szDisplay="贾扁·100分",nMaxDistance=0,tRelation={bAll=true,bEnemy=false,bAlly=false,},tLife={bEnable=false,szOperator="&gt;",nValue=0,},},</t>
  </si>
  <si>
    <t>甄琦</t>
  </si>
  <si>
    <t>{dwMapID=-1,szDisplay="甄琦·100分",nMaxDistance=0,tRelation={bAll=true,bEnemy=false,bAlly=false,},tLife={bEnable=false,szOperator="&gt;",nValue=0,},},</t>
  </si>
  <si>
    <t>三石叔</t>
  </si>
  <si>
    <t>{dwMapID=-1,szDisplay="三石叔·100分",nMaxDistance=0,tRelation={bAll=true,bEnemy=false,bAlly=false,},tLife={bEnable=false,szOperator="&gt;",nValue=0,},},</t>
  </si>
  <si>
    <t>韩荞生</t>
  </si>
  <si>
    <t>{dwMapID=-1,szDisplay="韩荞生·100分",nMaxDistance=0,tRelation={bAll=true,bEnemy=false,bAlly=false,},tLife={bEnable=false,szOperator="&gt;",nValue=0,},},</t>
  </si>
  <si>
    <t>鲁印</t>
  </si>
  <si>
    <t>{dwMapID=-1,szDisplay="鲁印·300分",nMaxDistance=0,tRelation={bAll=true,bEnemy=false,bAlly=false,},tLife={bEnable=false,szOperator="&gt;",nValue=0,},},</t>
  </si>
  <si>
    <t>苏不尘</t>
  </si>
  <si>
    <t>{dwMapID=-1,szDisplay="苏不尘·300分",nMaxDistance=0,tRelation={bAll=true,bEnemy=false,bAlly=false,},tLife={bEnable=false,szOperator="&gt;",nValue=0,},},</t>
  </si>
  <si>
    <t>梦香菲</t>
  </si>
  <si>
    <t>{dwMapID=-1,szDisplay="梦香菲·100分",nMaxDistance=0,tRelation={bAll=true,bEnemy=false,bAlly=false,},tLife={bEnable=false,szOperator="&gt;",nValue=0,},},</t>
  </si>
  <si>
    <t>凯风</t>
  </si>
  <si>
    <t>{dwMapID=-1,szDisplay="凯风·100分",nMaxDistance=0,tRelation={bAll=true,bEnemy=false,bAlly=false,},tLife={bEnable=false,szOperator="&gt;",nValue=0,},},</t>
  </si>
  <si>
    <t>帮会大旗</t>
  </si>
  <si>
    <t>{dwMapID=-1,szDisplay="帮会大旗·800分",nMaxDistance=0,tRelation={bAll=true,bEnemy=false,bAlly=false,},tLife={bEnable=false,szOperator="&gt;",nValue=0,},},</t>
  </si>
  <si>
    <t>{nClass=12,nIcon=591,nFrame=1,szName="帮会大旗·损毁·800分",nTime=30,key="帮会大旗·退场",},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</si>
  <si>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</si>
  <si>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</si>
  <si>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</si>
  <si>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</si>
  <si>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</si>
  <si>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</si>
  <si>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</si>
  <si>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</si>
  <si>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</si>
  <si>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</si>
  <si>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</si>
  <si>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战利品宝堆</t>
  </si>
  <si>
    <t>{dwMapID=-1,nMaxDistance=60,tRelation={bAll=true,bEnemy=false,bAlly=false,},tLife={bEnable=false,szOperator="&gt;",nValue=0,},},</t>
  </si>
  <si>
    <t>喊话内容</t>
  </si>
  <si>
    <t>首领地点</t>
  </si>
  <si>
    <t>退场分数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</si>
  <si>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</si>
  <si>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</si>
  <si>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</si>
  <si>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</si>
  <si>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</si>
  <si>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</si>
  <si>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</si>
  <si>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</si>
  <si>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</si>
  <si>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帮会的兄弟们，我且先修整下！</t>
  </si>
  <si>
    <t>山水田园·</t>
  </si>
  <si>
    <t>200分</t>
  </si>
  <si>
    <t>落日牧场·</t>
  </si>
  <si>
    <t>100分</t>
  </si>
  <si>
    <t>流星赶月·</t>
  </si>
  <si>
    <t>大旗西侧方·</t>
  </si>
  <si>
    <t>大旗东侧·</t>
  </si>
  <si>
    <t>屋檐顶西北·</t>
  </si>
  <si>
    <t>帮会内宴席·</t>
  </si>
  <si>
    <t>帮会书柜旁·</t>
  </si>
  <si>
    <t>会友台东侧·</t>
  </si>
  <si>
    <t>300分</t>
  </si>
  <si>
    <t>帮会天工·</t>
  </si>
  <si>
    <t>500分</t>
  </si>
  <si>
    <t>帮会药师·</t>
  </si>
  <si>
    <t>祈星台北·</t>
  </si>
  <si>
    <t>唱晚池鱼塘·</t>
  </si>
  <si>
    <t>屋前西侧·</t>
  </si>
  <si>
    <t>屋门前东侧·</t>
  </si>
  <si>
    <t>%</t>
  </si>
  <si>
    <t>{$sender}·退场</t>
  </si>
  <si>
    <t>{nClass=14,nIcon=13,nFrame=1,szName="{$sender}·退场",nTime=30,key="{$sender}·退场",nRefresh=1,},</t>
  </si>
  <si>
    <t>[帮会宣战][帮会大旗]已被敌方攻破！诸位兄弟！团结一致！</t>
  </si>
  <si>
    <t>帮会大旗·退场·800分</t>
  </si>
  <si>
    <t>{nClass=14,nIcon=591,nFrame=1,szName="帮会大旗·损毁·800分",nTime=30,key="帮会大旗·退场",nRefresh=1,},</t>
  </si>
  <si>
    <t>恭喜侠士帮会宣战·领地获胜！已为您添加增益状态。</t>
  </si>
  <si>
    <t>帮会宣战·领地·获胜</t>
  </si>
  <si>
    <t>{nClass=14,nIcon=13,nFrame=0,szName="帮会宣战·领地·获胜",nTime=30,key="帮会宣战",},</t>
  </si>
  <si>
    <t>{nClass=14,nIcon=13,szName="诛恶事件",nTime=-2,key="诛恶事件",},{nClass=14,nIcon=13,szName="通用事件",nTime=-2,key="通用事件",},{nClass=14,nIcon=13,nTime=-2,szName="金水镇",key="金水镇",},{nClass=14,nIcon=13,nTime=-2,szName="巴陵县",key="巴陵县",},{nClass=14,nIcon=13,nTime=-2,szName="龙门荒漠",key="龙门荒漠",},{nClass=14,nIcon=13,nTime=-2,szName="南屏山",key="南屏山",},{nClass=14,nIcon=13,nTime=-2,szName="昆仑",key="昆仑",},{nClass=14,nIcon=13,nTime=-2,szName="白龙口",key="白龙口",},{nClass=14,nIcon=13,nTime=-2,szName="无量山",key="无量山",},{nClass=14,nIcon=13,nTime=-2,szName="黑龙沼",key="黑龙沼",},{nClass=14,nIcon=13,nTime=-2,szName="阴山大草原",key="阴山大草原",},{nClass=14,nIcon=13,nTime=-2,szName="黑戈壁",key="黑戈壁",},{nClass=14,nIcon=13,nTime=-2,szName="鲲鹏岛",key="鲲鹏岛",},</t>
  </si>
  <si>
    <t>最近七天内，帮会宣战·领地失利，已为侠士添加不利状态。</t>
  </si>
  <si>
    <t>帮会宣战·领地·失败</t>
  </si>
  <si>
    <t>{nClass=14,nIcon=13,nFrame=8,szName="帮会宣战·领地·失败",nTime=30,key="帮会宣战",},</t>
  </si>
  <si>
    <t>主城的地图</t>
  </si>
  <si>
    <t>当前已开战，请直接对话进入被宣战方帮会领地。</t>
  </si>
  <si>
    <t>帮会宣战·领地·正式开始</t>
  </si>
  <si>
    <t>{nClass=14,nIcon=13,nFrame=4,szName="帮会宣战·领地·正式开启",nTime=5,key="帮会宣战",},</t>
  </si>
  <si>
    <t>本次宣战进攻将在10秒后正式开始。</t>
  </si>
  <si>
    <t>帮会宣战·领地·10秒</t>
  </si>
  <si>
    <t>{nClass=14,nIcon=13,nFrame=4,szName="帮会宣战·领地·开启剩余",nTime="10,帮会宣战·领地·开启剩余;15,帮会宣战·领地·正式开启",key="帮会宣战",nRefresh=0,},</t>
  </si>
  <si>
    <t>本次宣战进攻将在30秒后正式开始。</t>
  </si>
  <si>
    <t>帮会宣战·领地·30秒</t>
  </si>
  <si>
    <t>{nClass=14,nIcon=13,nFrame=4,szName="帮会宣战·领地·开启剩余",nTime="30,帮会宣战·领地·开启剩余;35,帮会宣战·领地·正式开启",key="帮会宣战",nRefresh=0,},</t>
  </si>
  <si>
    <t>门派的地图</t>
  </si>
  <si>
    <t>return {CHAT={</t>
  </si>
  <si>
    <t>帮会宣战·领地正式开始！\n</t>
  </si>
  <si>
    <t>{nClass=20,nIcon=13,nFrame=4,szName="宣战·正式开始",nTime=5,key="帮会宣战",},</t>
  </si>
  <si>
    <t>{nClass=20,nIcon=13,szName="诛恶事件",nTime=-1,nRefresh=2700,key="诛恶事件",},{nClass=20,nIcon=13,szName="通用事件",nTime=-1,nRefresh=2700,key="通用事件",},</t>
  </si>
  <si>
    <t>{nClass=20,nIcon=13,nTime=-1,szName="金水镇",nRefresh=2700,key="金水镇",},{nClass=20,nIcon=13,nTime=-1,szName="巴陵县",nRefresh=2700,key="巴陵县",},{nClass=20,nIcon=13,nTime=-1,szName="龙门荒漠",nRefresh=2700,key="龙门荒漠",},{nClass=20,nIcon=13,nTime=-1,szName="南屏山",nRefresh=2700,key="南屏山",},{nClass=20,nIcon=13,nTime=-1,szName="昆仑",nRefresh=2700,key="昆仑",},{nClass=20,nIcon=13,nTime=-1,szName="白龙口",nRefresh=2700,key="白龙口",},{nClass=20,nIcon=13,nTime=-1,szName="无量山",nRefresh=2700,key="无量山",},{nClass=20,nIcon=13,nTime=-1,szName="黑龙沼",nRefresh=2700,key="黑龙沼",},{nClass=20,nIcon=13,nTime=-1,szName="阴山大草原",nRefresh=2700,key="阴山大草原",},{nClass=20,nIcon=13,nTime=-1,szName="黑戈壁",nRefresh=2700,key="黑戈壁",},{nClass=20,nIcon=13,nTime=-1,szName="鲲鹏岛",nRefresh=2700,key="鲲鹏岛",},</t>
  </si>
  <si>
    <t>本次宣战进攻将在10秒后正式开始。\n</t>
  </si>
  <si>
    <t>{nClass=20,nIcon=13,nFrame=4,szName="宣战·开始剩余",nTime=10,key="帮会宣战",},</t>
  </si>
  <si>
    <t>本次宣战进攻将在30秒后正式开始。\n</t>
  </si>
  <si>
    <t>{nClass=20,nIcon=13,nFrame=4,szName="宣战·开始剩余",nTime=30,key="帮会宣战",},</t>
  </si>
  <si>
    <t>本帮今日防守领地失败，望上下一心，团结一致。\n</t>
  </si>
  <si>
    <t>{nClass=20,nIcon=13,nFrame=8,szName="帮会应战·领地·防守失败",nTime=30,key="帮会宣战",},</t>
  </si>
  <si>
    <t xml:space="preserve">(.-)已被击伤，留下拥有逐鹿中原战略物资%[神机雷%]，进攻方侠士可拾取，切莫错过！ </t>
  </si>
  <si>
    <t>{nClass=20,nIcon=13,nFrame=1,szName="{$1}·退场",nTime=30,key="{$1}·退场",},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</si>
</sst>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4" applyNumberFormat="0" applyAlignment="0" applyProtection="0">
      <alignment vertical="center"/>
    </xf>
    <xf numFmtId="0" fontId="15" fillId="7" borderId="15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23" applyBorder="1" applyAlignment="1">
      <alignment horizontal="center" vertical="center"/>
    </xf>
    <xf numFmtId="0" fontId="1" fillId="3" borderId="2" xfId="23" applyBorder="1" applyAlignment="1">
      <alignment horizontal="center" vertical="center"/>
    </xf>
    <xf numFmtId="0" fontId="1" fillId="3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2" fillId="4" borderId="1" xfId="22" applyBorder="1">
      <alignment vertical="center"/>
    </xf>
    <xf numFmtId="0" fontId="0" fillId="2" borderId="1" xfId="0" applyFill="1" applyBorder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1" fillId="3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1" fillId="3" borderId="1" xfId="23" applyBorder="1" applyAlignment="1">
      <alignment horizontal="left" vertical="center"/>
    </xf>
    <xf numFmtId="0" fontId="1" fillId="3" borderId="1" xfId="23" applyBorder="1">
      <alignment vertical="center"/>
    </xf>
    <xf numFmtId="0" fontId="1" fillId="3" borderId="7" xfId="23" applyBorder="1">
      <alignment vertical="center"/>
    </xf>
    <xf numFmtId="0" fontId="1" fillId="3" borderId="9" xfId="23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2" borderId="3" xfId="0" applyFill="1" applyBorder="1" applyAlignment="1">
      <alignment vertical="center"/>
    </xf>
    <xf numFmtId="0" fontId="3" fillId="2" borderId="1" xfId="0" applyFont="1" applyFill="1" applyBorder="1">
      <alignment vertical="center"/>
    </xf>
    <xf numFmtId="0" fontId="0" fillId="2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1786118889000,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topLeftCell="A136" workbookViewId="0">
      <selection activeCell="B156" sqref="B156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"/>
  <sheetViews>
    <sheetView workbookViewId="0">
      <selection activeCell="A1" sqref="A1"/>
    </sheetView>
  </sheetViews>
  <sheetFormatPr defaultColWidth="9" defaultRowHeight="13.5" outlineLevelRow="2"/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Q2" t="str">
        <f t="shared" ref="AQ2:AQ3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},},}</v>
      </c>
    </row>
    <row r="3" spans="1:44">
      <c r="AQ3" t="str">
        <f t="shared" si="0"/>
        <v/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0"/>
  <sheetViews>
    <sheetView topLeftCell="T1" workbookViewId="0">
      <selection activeCell="AR9" sqref="AR9"/>
    </sheetView>
  </sheetViews>
  <sheetFormatPr defaultColWidth="9" defaultRowHeight="13.5"/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1516</v>
      </c>
      <c r="AR1" t="s">
        <v>316</v>
      </c>
    </row>
    <row r="2" spans="1:44">
      <c r="A2" t="s">
        <v>885</v>
      </c>
      <c r="B2">
        <v>74</v>
      </c>
      <c r="AQ2" t="str">
        <f t="shared" ref="AQ2:AQ10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[74]={</v>
      </c>
    </row>
    <row r="3" spans="1:44">
      <c r="C3">
        <v>26071</v>
      </c>
      <c r="D3">
        <v>1</v>
      </c>
      <c r="AQ3" t="str">
        <f t="shared" si="0"/>
        <v>{dwID=26071,nLevel=1,[1]={},[2]={},},</v>
      </c>
    </row>
    <row r="4" spans="1:44">
      <c r="C4">
        <v>26151</v>
      </c>
      <c r="D4">
        <v>1</v>
      </c>
      <c r="AQ4" t="str">
        <f t="shared" si="0"/>
        <v>{dwID=26151,nLevel=1,[1]={},[2]={},},</v>
      </c>
    </row>
    <row r="5" spans="1:44">
      <c r="C5">
        <v>26152</v>
      </c>
      <c r="D5">
        <v>1</v>
      </c>
      <c r="AQ5" t="str">
        <f t="shared" si="0"/>
        <v>{dwID=26152,nLevel=1,[1]={},[2]={},},</v>
      </c>
    </row>
    <row r="6" spans="1:44">
      <c r="C6">
        <v>26153</v>
      </c>
      <c r="D6">
        <v>1</v>
      </c>
      <c r="AQ6" t="str">
        <f t="shared" si="0"/>
        <v>{dwID=26153,nLevel=1,[1]={},[2]={},},</v>
      </c>
    </row>
    <row r="7" spans="1:44">
      <c r="C7">
        <v>26157</v>
      </c>
      <c r="D7">
        <v>1</v>
      </c>
      <c r="AQ7" t="str">
        <f t="shared" si="0"/>
        <v>{dwID=26157,nLevel=1,[1]={},[2]={},},</v>
      </c>
    </row>
    <row r="8" spans="1:44">
      <c r="C8">
        <v>26158</v>
      </c>
      <c r="D8">
        <v>1</v>
      </c>
      <c r="AQ8" t="str">
        <f t="shared" si="0"/>
        <v>{dwID=26158,nLevel=1,[1]={},[2]={},},</v>
      </c>
    </row>
    <row r="9" spans="1:44">
      <c r="AQ9" t="str">
        <f t="shared" si="0"/>
        <v>},},}</v>
      </c>
    </row>
    <row r="10" spans="1:44">
      <c r="AQ10" t="str">
        <f t="shared" si="0"/>
        <v/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"/>
  <sheetViews>
    <sheetView workbookViewId="0">
      <selection activeCell="A1" sqref="A1"/>
    </sheetView>
  </sheetViews>
  <sheetFormatPr defaultColWidth="9" defaultRowHeight="13.5" outlineLevelRow="2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1517</v>
      </c>
      <c r="M1" t="s">
        <v>1518</v>
      </c>
      <c r="N1" t="s">
        <v>1519</v>
      </c>
      <c r="O1" t="s">
        <v>1520</v>
      </c>
      <c r="P1" t="s">
        <v>1521</v>
      </c>
      <c r="Q1" t="s">
        <v>1522</v>
      </c>
      <c r="R1" t="s">
        <v>1523</v>
      </c>
      <c r="S1" t="s">
        <v>1524</v>
      </c>
      <c r="T1" t="s">
        <v>1525</v>
      </c>
      <c r="U1" t="s">
        <v>1526</v>
      </c>
      <c r="V1" t="s">
        <v>1527</v>
      </c>
      <c r="W1" t="s">
        <v>1528</v>
      </c>
      <c r="X1" t="s">
        <v>1529</v>
      </c>
      <c r="Y1" t="s">
        <v>316</v>
      </c>
    </row>
    <row r="2" spans="1:2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>
      <c r="X3" t="str">
        <f t="shared" si="0"/>
        <v/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1"/>
  <sheetViews>
    <sheetView topLeftCell="C1" workbookViewId="0">
      <selection activeCell="X19" sqref="X19"/>
    </sheetView>
  </sheetViews>
  <sheetFormatPr defaultColWidth="9" defaultRowHeight="13.5"/>
  <sheetData>
    <row r="1" spans="1:24">
      <c r="A1" t="s">
        <v>1476</v>
      </c>
      <c r="B1" t="s">
        <v>1477</v>
      </c>
      <c r="C1" t="s">
        <v>62</v>
      </c>
      <c r="D1" t="s">
        <v>1479</v>
      </c>
      <c r="E1" t="s">
        <v>1530</v>
      </c>
      <c r="F1" t="s">
        <v>1531</v>
      </c>
      <c r="G1" t="s">
        <v>1480</v>
      </c>
      <c r="H1" t="s">
        <v>1483</v>
      </c>
      <c r="I1" t="s">
        <v>49</v>
      </c>
      <c r="J1" t="s">
        <v>1484</v>
      </c>
      <c r="K1" t="s">
        <v>1532</v>
      </c>
      <c r="L1" t="s">
        <v>1533</v>
      </c>
      <c r="M1" t="s">
        <v>1534</v>
      </c>
      <c r="N1" t="s">
        <v>1535</v>
      </c>
      <c r="O1" t="s">
        <v>1536</v>
      </c>
      <c r="P1" t="s">
        <v>1537</v>
      </c>
      <c r="Q1" t="s">
        <v>1538</v>
      </c>
      <c r="R1" t="s">
        <v>1539</v>
      </c>
      <c r="S1" t="s">
        <v>1540</v>
      </c>
      <c r="T1" t="s">
        <v>1541</v>
      </c>
      <c r="U1" t="s">
        <v>1542</v>
      </c>
      <c r="V1" t="s">
        <v>296</v>
      </c>
      <c r="W1" t="s">
        <v>1543</v>
      </c>
      <c r="X1" t="s">
        <v>316</v>
      </c>
    </row>
    <row r="2" spans="1:24">
      <c r="A2" t="s">
        <v>885</v>
      </c>
      <c r="B2">
        <v>74</v>
      </c>
      <c r="W2" t="str">
        <f t="shared" ref="W2:W21" si="0"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[74]={</v>
      </c>
    </row>
    <row r="3" spans="1:24">
      <c r="C3">
        <v>122078</v>
      </c>
      <c r="D3">
        <v>47</v>
      </c>
      <c r="I3" t="s">
        <v>1544</v>
      </c>
      <c r="J3" t="s">
        <v>582</v>
      </c>
      <c r="P3">
        <v>1</v>
      </c>
      <c r="V3" t="s">
        <v>1545</v>
      </c>
      <c r="W3" t="str">
        <f t="shared" si="0"/>
        <v>{dwID=122078,nFrame=47,szNote="李霖",col={255,255,255,},[3]={bScreenHead=true,},[4]={},aFocus={{dwMapID=-1,szDisplay="李霖·300分",nMaxDistance=0,tRelation={bAll=true,bEnemy=false,bAlly=false,},tLife={bEnable=false,szOperator="&gt;",nValue=0,},},},},</v>
      </c>
    </row>
    <row r="4" spans="1:24">
      <c r="C4">
        <v>122079</v>
      </c>
      <c r="D4">
        <v>47</v>
      </c>
      <c r="I4" t="s">
        <v>1546</v>
      </c>
      <c r="J4" t="s">
        <v>582</v>
      </c>
      <c r="P4">
        <v>1</v>
      </c>
      <c r="V4" t="s">
        <v>1547</v>
      </c>
      <c r="W4" t="str">
        <f t="shared" si="0"/>
        <v>{dwID=122079,nFrame=47,szNote="凤妞",col={255,255,255,},[3]={bScreenHead=true,},[4]={},aFocus={{dwMapID=-1,szDisplay="凤妞·100分",nMaxDistance=0,tRelation={bAll=true,bEnemy=false,bAlly=false,},tLife={bEnable=false,szOperator="&gt;",nValue=0,},},},},</v>
      </c>
    </row>
    <row r="5" spans="1:24">
      <c r="C5">
        <v>122087</v>
      </c>
      <c r="D5">
        <v>47</v>
      </c>
      <c r="I5" t="s">
        <v>1548</v>
      </c>
      <c r="J5" t="s">
        <v>582</v>
      </c>
      <c r="P5">
        <v>1</v>
      </c>
      <c r="V5" t="s">
        <v>1549</v>
      </c>
      <c r="W5" t="str">
        <f t="shared" si="0"/>
        <v>{dwID=122087,nFrame=47,szNote="陈士美",col={255,255,255,},[3]={bScreenHead=true,},[4]={},aFocus={{dwMapID=-1,szDisplay="陈士美·200分",nMaxDistance=0,tRelation={bAll=true,bEnemy=false,bAlly=false,},tLife={bEnable=false,szOperator="&gt;",nValue=0,},},},},</v>
      </c>
    </row>
    <row r="6" spans="1:24">
      <c r="C6">
        <v>122168</v>
      </c>
      <c r="D6">
        <v>47</v>
      </c>
      <c r="I6" t="s">
        <v>1550</v>
      </c>
      <c r="J6" t="s">
        <v>582</v>
      </c>
      <c r="P6">
        <v>1</v>
      </c>
      <c r="V6" t="s">
        <v>1551</v>
      </c>
      <c r="W6" t="str">
        <f t="shared" si="0"/>
        <v>{dwID=122168,nFrame=47,szNote="黄剑翔",col={255,255,255,},[3]={bScreenHead=true,},[4]={},aFocus={{dwMapID=-1,szDisplay="黄剑翔·100分",nMaxDistance=0,tRelation={bAll=true,bEnemy=false,bAlly=false,},tLife={bEnable=false,szOperator="&gt;",nValue=0,},},},},</v>
      </c>
    </row>
    <row r="7" spans="1:24">
      <c r="C7">
        <v>122170</v>
      </c>
      <c r="D7">
        <v>47</v>
      </c>
      <c r="I7" t="s">
        <v>1552</v>
      </c>
      <c r="J7" t="s">
        <v>582</v>
      </c>
      <c r="P7">
        <v>1</v>
      </c>
      <c r="V7" t="s">
        <v>1553</v>
      </c>
      <c r="W7" t="str">
        <f t="shared" si="0"/>
        <v>{dwID=122170,nFrame=47,szNote="韩非子",col={255,255,255,},[3]={bScreenHead=true,},[4]={},aFocus={{dwMapID=-1,szDisplay="韩非子·300分",nMaxDistance=0,tRelation={bAll=true,bEnemy=false,bAlly=false,},tLife={bEnable=false,szOperator="&gt;",nValue=0,},},},},</v>
      </c>
    </row>
    <row r="8" spans="1:24">
      <c r="C8">
        <v>122171</v>
      </c>
      <c r="D8">
        <v>47</v>
      </c>
      <c r="I8" t="s">
        <v>1554</v>
      </c>
      <c r="J8" t="s">
        <v>582</v>
      </c>
      <c r="P8">
        <v>1</v>
      </c>
      <c r="V8" t="s">
        <v>1555</v>
      </c>
      <c r="W8" t="str">
        <f t="shared" si="0"/>
        <v>{dwID=122171,nFrame=47,szNote="邵卿城",col={255,255,255,},[3]={bScreenHead=true,},[4]={},aFocus={{dwMapID=-1,szDisplay="邵卿城·500分",nMaxDistance=0,tRelation={bAll=true,bEnemy=false,bAlly=false,},tLife={bEnable=false,szOperator="&gt;",nValue=0,},},},},</v>
      </c>
    </row>
    <row r="9" spans="1:24">
      <c r="C9">
        <v>122172</v>
      </c>
      <c r="D9">
        <v>47</v>
      </c>
      <c r="I9" t="s">
        <v>1556</v>
      </c>
      <c r="J9" t="s">
        <v>582</v>
      </c>
      <c r="P9">
        <v>1</v>
      </c>
      <c r="V9" t="s">
        <v>1557</v>
      </c>
      <c r="W9" t="str">
        <f t="shared" si="0"/>
        <v>{dwID=122172,nFrame=47,szNote="高九问",col={255,255,255,},[3]={bScreenHead=true,},[4]={},aFocus={{dwMapID=-1,szDisplay="高九问·500分",nMaxDistance=0,tRelation={bAll=true,bEnemy=false,bAlly=false,},tLife={bEnable=false,szOperator="&gt;",nValue=0,},},},},</v>
      </c>
    </row>
    <row r="10" spans="1:24">
      <c r="C10">
        <v>122173</v>
      </c>
      <c r="D10">
        <v>47</v>
      </c>
      <c r="I10" t="s">
        <v>1558</v>
      </c>
      <c r="J10" t="s">
        <v>582</v>
      </c>
      <c r="P10">
        <v>1</v>
      </c>
      <c r="V10" t="s">
        <v>1559</v>
      </c>
      <c r="W10" t="str">
        <f t="shared" si="0"/>
        <v>{dwID=122173,nFrame=47,szNote="雄爷",col={255,255,255,},[3]={bScreenHead=true,},[4]={},aFocus={{dwMapID=-1,szDisplay="雄爷·200分",nMaxDistance=0,tRelation={bAll=true,bEnemy=false,bAlly=false,},tLife={bEnable=false,szOperator="&gt;",nValue=0,},},},},</v>
      </c>
    </row>
    <row r="11" spans="1:24">
      <c r="C11">
        <v>122174</v>
      </c>
      <c r="D11">
        <v>47</v>
      </c>
      <c r="I11" t="s">
        <v>1560</v>
      </c>
      <c r="J11" t="s">
        <v>582</v>
      </c>
      <c r="P11">
        <v>1</v>
      </c>
      <c r="V11" t="s">
        <v>1561</v>
      </c>
      <c r="W11" t="str">
        <f t="shared" si="0"/>
        <v>{dwID=122174,nFrame=47,szNote="贾扁",col={255,255,255,},[3]={bScreenHead=true,},[4]={},aFocus={{dwMapID=-1,szDisplay="贾扁·100分",nMaxDistance=0,tRelation={bAll=true,bEnemy=false,bAlly=false,},tLife={bEnable=false,szOperator="&gt;",nValue=0,},},},},</v>
      </c>
    </row>
    <row r="12" spans="1:24">
      <c r="C12">
        <v>122175</v>
      </c>
      <c r="D12">
        <v>47</v>
      </c>
      <c r="I12" t="s">
        <v>1562</v>
      </c>
      <c r="J12" t="s">
        <v>582</v>
      </c>
      <c r="P12">
        <v>1</v>
      </c>
      <c r="V12" t="s">
        <v>1563</v>
      </c>
      <c r="W12" t="str">
        <f t="shared" si="0"/>
        <v>{dwID=122175,nFrame=47,szNote="甄琦",col={255,255,255,},[3]={bScreenHead=true,},[4]={},aFocus={{dwMapID=-1,szDisplay="甄琦·100分",nMaxDistance=0,tRelation={bAll=true,bEnemy=false,bAlly=false,},tLife={bEnable=false,szOperator="&gt;",nValue=0,},},},},</v>
      </c>
    </row>
    <row r="13" spans="1:24">
      <c r="C13">
        <v>122176</v>
      </c>
      <c r="D13">
        <v>47</v>
      </c>
      <c r="I13" t="s">
        <v>1564</v>
      </c>
      <c r="J13" t="s">
        <v>582</v>
      </c>
      <c r="P13">
        <v>1</v>
      </c>
      <c r="V13" t="s">
        <v>1565</v>
      </c>
      <c r="W13" t="str">
        <f t="shared" si="0"/>
        <v>{dwID=122176,nFrame=47,szNote="三石叔",col={255,255,255,},[3]={bScreenHead=true,},[4]={},aFocus={{dwMapID=-1,szDisplay="三石叔·100分",nMaxDistance=0,tRelation={bAll=true,bEnemy=false,bAlly=false,},tLife={bEnable=false,szOperator="&gt;",nValue=0,},},},},</v>
      </c>
    </row>
    <row r="14" spans="1:24">
      <c r="C14">
        <v>122177</v>
      </c>
      <c r="D14">
        <v>47</v>
      </c>
      <c r="I14" t="s">
        <v>1566</v>
      </c>
      <c r="J14" t="s">
        <v>582</v>
      </c>
      <c r="P14">
        <v>1</v>
      </c>
      <c r="V14" t="s">
        <v>1567</v>
      </c>
      <c r="W14" t="str">
        <f t="shared" si="0"/>
        <v>{dwID=122177,nFrame=47,szNote="韩荞生",col={255,255,255,},[3]={bScreenHead=true,},[4]={},aFocus={{dwMapID=-1,szDisplay="韩荞生·100分",nMaxDistance=0,tRelation={bAll=true,bEnemy=false,bAlly=false,},tLife={bEnable=false,szOperator="&gt;",nValue=0,},},},},</v>
      </c>
    </row>
    <row r="15" spans="1:24">
      <c r="C15">
        <v>122178</v>
      </c>
      <c r="D15">
        <v>47</v>
      </c>
      <c r="I15" t="s">
        <v>1568</v>
      </c>
      <c r="J15" t="s">
        <v>582</v>
      </c>
      <c r="P15">
        <v>1</v>
      </c>
      <c r="V15" t="s">
        <v>1569</v>
      </c>
      <c r="W15" t="str">
        <f t="shared" si="0"/>
        <v>{dwID=122178,nFrame=47,szNote="鲁印",col={255,255,255,},[3]={bScreenHead=true,},[4]={},aFocus={{dwMapID=-1,szDisplay="鲁印·300分",nMaxDistance=0,tRelation={bAll=true,bEnemy=false,bAlly=false,},tLife={bEnable=false,szOperator="&gt;",nValue=0,},},},},</v>
      </c>
    </row>
    <row r="16" spans="1:24">
      <c r="C16">
        <v>122179</v>
      </c>
      <c r="D16">
        <v>47</v>
      </c>
      <c r="I16" t="s">
        <v>1570</v>
      </c>
      <c r="J16" t="s">
        <v>582</v>
      </c>
      <c r="P16">
        <v>1</v>
      </c>
      <c r="V16" t="s">
        <v>1571</v>
      </c>
      <c r="W16" t="str">
        <f t="shared" si="0"/>
        <v>{dwID=122179,nFrame=47,szNote="苏不尘",col={255,255,255,},[3]={bScreenHead=true,},[4]={},aFocus={{dwMapID=-1,szDisplay="苏不尘·300分",nMaxDistance=0,tRelation={bAll=true,bEnemy=false,bAlly=false,},tLife={bEnable=false,szOperator="&gt;",nValue=0,},},},},</v>
      </c>
    </row>
    <row r="17" spans="3:24">
      <c r="C17">
        <v>122180</v>
      </c>
      <c r="D17">
        <v>47</v>
      </c>
      <c r="I17" t="s">
        <v>1572</v>
      </c>
      <c r="J17" t="s">
        <v>582</v>
      </c>
      <c r="P17">
        <v>1</v>
      </c>
      <c r="V17" t="s">
        <v>1573</v>
      </c>
      <c r="W17" t="str">
        <f t="shared" si="0"/>
        <v>{dwID=122180,nFrame=47,szNote="梦香菲",col={255,255,255,},[3]={bScreenHead=true,},[4]={},aFocus={{dwMapID=-1,szDisplay="梦香菲·100分",nMaxDistance=0,tRelation={bAll=true,bEnemy=false,bAlly=false,},tLife={bEnable=false,szOperator="&gt;",nValue=0,},},},},</v>
      </c>
    </row>
    <row r="18" spans="3:24">
      <c r="C18">
        <v>122181</v>
      </c>
      <c r="D18">
        <v>47</v>
      </c>
      <c r="I18" t="s">
        <v>1574</v>
      </c>
      <c r="J18" t="s">
        <v>582</v>
      </c>
      <c r="P18">
        <v>1</v>
      </c>
      <c r="V18" t="s">
        <v>1575</v>
      </c>
      <c r="W18" t="str">
        <f t="shared" si="0"/>
        <v>{dwID=122181,nFrame=47,szNote="凯风",col={255,255,255,},[3]={bScreenHead=true,},[4]={},aFocus={{dwMapID=-1,szDisplay="凯风·100分",nMaxDistance=0,tRelation={bAll=true,bEnemy=false,bAlly=false,},tLife={bEnable=false,szOperator="&gt;",nValue=0,},},},},</v>
      </c>
    </row>
    <row r="19" spans="3:24">
      <c r="C19">
        <v>122226</v>
      </c>
      <c r="D19">
        <v>47</v>
      </c>
      <c r="I19" t="s">
        <v>1576</v>
      </c>
      <c r="J19" t="s">
        <v>582</v>
      </c>
      <c r="P19">
        <v>1</v>
      </c>
      <c r="V19" t="s">
        <v>1577</v>
      </c>
      <c r="W19" t="str">
        <f t="shared" si="0"/>
        <v>{dwID=122226,nFrame=47,szNote="帮会大旗",col={255,255,255,},[3]={bScreenHead=true,},[4]={},aFocus={{dwMapID=-1,szDisplay="帮会大旗·800分",nMaxDistance=0,tRelation={bAll=true,bEnemy=false,bAlly=false,},tLife={bEnable=false,szOperator="&gt;",nValue=0,},},},tCountdown={{nClass=12,nIcon=591,nFrame=1,szName="帮会大旗·损毁·800分",nTime=30,key="帮会大旗·退场",},},},</v>
      </c>
      <c r="X19" t="s">
        <v>1578</v>
      </c>
    </row>
    <row r="20" spans="3:24">
      <c r="W20" t="str">
        <f t="shared" si="0"/>
        <v>},},}</v>
      </c>
    </row>
    <row r="21" spans="3:24">
      <c r="W21" t="str">
        <f t="shared" si="0"/>
        <v/>
      </c>
    </row>
  </sheetData>
  <sortState ref="A3:X19">
    <sortCondition ref="C3:C19"/>
  </sortState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"/>
  <sheetViews>
    <sheetView workbookViewId="0">
      <selection activeCell="A1" sqref="A1"/>
    </sheetView>
  </sheetViews>
  <sheetFormatPr defaultColWidth="9" defaultRowHeight="13.5" outlineLevelRow="4"/>
  <sheetData>
    <row r="1" spans="1:22">
      <c r="A1" t="s">
        <v>1476</v>
      </c>
      <c r="B1" t="s">
        <v>1477</v>
      </c>
      <c r="C1" t="s">
        <v>62</v>
      </c>
      <c r="D1" t="s">
        <v>1530</v>
      </c>
      <c r="E1" t="s">
        <v>1531</v>
      </c>
      <c r="F1" t="s">
        <v>1480</v>
      </c>
      <c r="G1" t="s">
        <v>1483</v>
      </c>
      <c r="H1" t="s">
        <v>49</v>
      </c>
      <c r="I1" t="s">
        <v>1484</v>
      </c>
      <c r="J1" t="s">
        <v>1579</v>
      </c>
      <c r="K1" t="s">
        <v>1580</v>
      </c>
      <c r="L1" t="s">
        <v>1581</v>
      </c>
      <c r="M1" t="s">
        <v>1582</v>
      </c>
      <c r="N1" t="s">
        <v>1583</v>
      </c>
      <c r="O1" t="s">
        <v>1584</v>
      </c>
      <c r="P1" t="s">
        <v>1585</v>
      </c>
      <c r="Q1" t="s">
        <v>1586</v>
      </c>
      <c r="R1" t="s">
        <v>1587</v>
      </c>
      <c r="S1" t="s">
        <v>1588</v>
      </c>
      <c r="T1" t="s">
        <v>296</v>
      </c>
      <c r="U1" t="s">
        <v>1589</v>
      </c>
      <c r="V1" t="s">
        <v>316</v>
      </c>
    </row>
    <row r="2" spans="1:22">
      <c r="A2" t="s">
        <v>885</v>
      </c>
      <c r="B2">
        <v>74</v>
      </c>
      <c r="U2" t="str">
        <f t="shared" ref="U2:U5" si="0"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[74]={</v>
      </c>
    </row>
    <row r="3" spans="1:22">
      <c r="C3">
        <v>10213</v>
      </c>
      <c r="H3" t="s">
        <v>1590</v>
      </c>
      <c r="M3">
        <v>1</v>
      </c>
      <c r="T3" t="s">
        <v>1591</v>
      </c>
      <c r="U3" t="str">
        <f t="shared" si="0"/>
        <v>{dwID=10213,szNote="战利品宝堆",[17]={bCenterAlarm=true,},[18]={},aFocus={{dwMapID=-1,nMaxDistance=60,tRelation={bAll=true,bEnemy=false,bAlly=false,},tLife={bEnable=false,szOperator="&gt;",nValue=0,},},},},</v>
      </c>
    </row>
    <row r="4" spans="1:22">
      <c r="U4" t="str">
        <f t="shared" si="0"/>
        <v>},},}</v>
      </c>
    </row>
    <row r="5" spans="1:22">
      <c r="U5" t="str">
        <f t="shared" si="0"/>
        <v/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4"/>
  <sheetViews>
    <sheetView workbookViewId="0">
      <selection activeCell="Q19" sqref="Q19"/>
    </sheetView>
  </sheetViews>
  <sheetFormatPr defaultColWidth="9" defaultRowHeight="13.5"/>
  <cols>
    <col min="4" max="4" width="36" customWidth="1"/>
    <col min="5" max="5" width="27.75" customWidth="1"/>
    <col min="6" max="6" width="13.875" customWidth="1"/>
    <col min="8" max="8" width="11.875" customWidth="1"/>
    <col min="17" max="17" width="9.375" customWidth="1"/>
  </cols>
  <sheetData>
    <row r="1" spans="1:18">
      <c r="A1" t="s">
        <v>1476</v>
      </c>
      <c r="B1" t="s">
        <v>1477</v>
      </c>
      <c r="C1" t="s">
        <v>110</v>
      </c>
      <c r="D1" t="s">
        <v>1592</v>
      </c>
      <c r="E1" t="s">
        <v>49</v>
      </c>
      <c r="F1" t="s">
        <v>1593</v>
      </c>
      <c r="G1" t="s">
        <v>1594</v>
      </c>
      <c r="H1" t="s">
        <v>1484</v>
      </c>
      <c r="I1" t="s">
        <v>1595</v>
      </c>
      <c r="J1" t="s">
        <v>1596</v>
      </c>
      <c r="K1" t="s">
        <v>1597</v>
      </c>
      <c r="L1" t="s">
        <v>1598</v>
      </c>
      <c r="M1" t="s">
        <v>1599</v>
      </c>
      <c r="N1" t="s">
        <v>1600</v>
      </c>
      <c r="O1" t="s">
        <v>1601</v>
      </c>
      <c r="P1" t="s">
        <v>1602</v>
      </c>
      <c r="Q1" t="s">
        <v>1603</v>
      </c>
      <c r="R1" t="s">
        <v>316</v>
      </c>
    </row>
    <row r="2" spans="1:18">
      <c r="A2" t="s">
        <v>885</v>
      </c>
      <c r="B2">
        <v>74</v>
      </c>
      <c r="Q2" t="str">
        <f>IF(ISBLANK(B2)=FALSE,IF(ISBLANK(B1),"},["&amp;B2&amp;"]={","["&amp;B2&amp;"]={"),IF(AND(ISBLANK(B2),ISBLANK(D2),ISBLANK(I2),ISBLANK(J2),OR(ISBLANK(B1)=FALSE,ISBLANK(D1)=FALSE,ISBLANK(I1)=FALSE,ISBLANK(J1)=FALSE)),"},},}",IF(ISBLANK(D2),"","{szContent="""&amp;D2&amp;""","&amp;IF(C2&lt;&gt;"","szTarget="""&amp;C2&amp;""",","")&amp;IF(E2&lt;&gt;"","szNote="""&amp;E2&amp;""",","")&amp;IF(H2&lt;&gt;"","col={"&amp;H2&amp;"},","")&amp;IF(I2&gt;0,"bSearch=true,","")&amp;IF(J2&gt;0,"bReg=true,","")&amp;"[14]={"&amp;IF(K2&gt;0,"szVoice="""&amp;K2&amp;""",","")&amp;IF(L2&gt;0,"bTeamChannel=true,","")&amp;IF(M2&gt;0,"bWhisperChannel=true,","")&amp;IF(N2&gt;0,"bCenterAlarm=true,","")&amp;IF(O2&gt;0,"bScreenHead=true,","")&amp;IF(P2&gt;0,"bFullScreen=true,","")&amp;"},"&amp;IF(R2&lt;&gt;"","tCountdown={"&amp;_xlfn.TEXTJOIN("",TRUE,R2:AAC2)&amp;"},","")&amp;"},")))</f>
        <v>[74]={</v>
      </c>
    </row>
    <row r="3" spans="1:18">
      <c r="C3" t="s">
        <v>1548</v>
      </c>
      <c r="D3" t="s">
        <v>1604</v>
      </c>
      <c r="E3" t="str">
        <f>C3&amp;"·退场·"&amp;F3&amp;G3</f>
        <v>陈士美·退场·山水田园·200分</v>
      </c>
      <c r="F3" t="s">
        <v>1605</v>
      </c>
      <c r="G3" t="s">
        <v>1606</v>
      </c>
      <c r="H3" t="s">
        <v>582</v>
      </c>
      <c r="I3">
        <v>1</v>
      </c>
      <c r="L3">
        <v>1</v>
      </c>
      <c r="N3">
        <v>1</v>
      </c>
      <c r="P3">
        <v>1</v>
      </c>
      <c r="Q3" t="str">
        <f t="shared" ref="Q3:Q34" si="0">IF(ISBLANK(B3)=FALSE,IF(ISBLANK(B2),"},["&amp;B3&amp;"]={","["&amp;B3&amp;"]={"),IF(AND(ISBLANK(B3),ISBLANK(D3),ISBLANK(I3),ISBLANK(J3),OR(ISBLANK(B2)=FALSE,ISBLANK(D2)=FALSE,ISBLANK(I2)=FALSE,ISBLANK(J2)=FALSE)),"},},}",IF(ISBLANK(D3),"","{szContent="""&amp;D3&amp;""","&amp;IF(C3&lt;&gt;"","szTarget="""&amp;C3&amp;""",","")&amp;IF(E3&lt;&gt;"","szNote="""&amp;E3&amp;""",","")&amp;IF(H3&lt;&gt;"","col={"&amp;H3&amp;"},","")&amp;IF(I3&gt;0,"bSearch=true,","")&amp;IF(J3&gt;0,"bReg=true,","")&amp;"[14]={"&amp;IF(K3&gt;0,"szVoice="""&amp;K3&amp;""",","")&amp;IF(L3&gt;0,"bTeamChannel=true,","")&amp;IF(M3&gt;0,"bWhisperChannel=true,","")&amp;IF(N3&gt;0,"bCenterAlarm=true,","")&amp;IF(O3&gt;0,"bScreenHead=true,","")&amp;IF(P3&gt;0,"bFullScreen=true,","")&amp;"},"&amp;IF(R3&lt;&gt;"","tCountdown={"&amp;_xlfn.TEXTJOIN("",TRUE,R3:AAC3)&amp;"},","")&amp;"},")))</f>
        <v>{szContent="帮会的兄弟们，我且先修整下！",szTarget="陈士美",szNote="陈士美·退场·山水田园·200分",col={255,255,255,},bSearch=true,[14]={bTeamChannel=true,bCenterAlarm=true,bFullScreen=true,},tCountdown={{nClass=14,nIcon=13,nFrame=1,szName="陈士美·退场·山水田园·200分",nTime=30,key="陈士美·退场",nRefresh=1,},},},</v>
      </c>
      <c r="R3" t="str">
        <f>"{nClass=14,nIcon=13,nFrame=1,szName="""&amp;E3&amp;""",nTime=30,key="""&amp;C3&amp;"·退场"""&amp;",nRefresh=1,},"</f>
        <v>{nClass=14,nIcon=13,nFrame=1,szName="陈士美·退场·山水田园·200分",nTime=30,key="陈士美·退场",nRefresh=1,},</v>
      </c>
    </row>
    <row r="4" spans="1:18">
      <c r="C4" t="s">
        <v>1564</v>
      </c>
      <c r="D4" t="s">
        <v>1604</v>
      </c>
      <c r="E4" t="str">
        <f>C4&amp;"·退场·"&amp;F4&amp;G4</f>
        <v>三石叔·退场·落日牧场·100分</v>
      </c>
      <c r="F4" t="s">
        <v>1607</v>
      </c>
      <c r="G4" t="s">
        <v>1608</v>
      </c>
      <c r="H4" t="s">
        <v>582</v>
      </c>
      <c r="I4">
        <v>1</v>
      </c>
      <c r="L4">
        <v>1</v>
      </c>
      <c r="N4">
        <v>1</v>
      </c>
      <c r="P4">
        <v>1</v>
      </c>
      <c r="Q4" t="str">
        <f t="shared" si="0"/>
        <v>{szContent="帮会的兄弟们，我且先修整下！",szTarget="三石叔",szNote="三石叔·退场·落日牧场·100分",col={255,255,255,},bSearch=true,[14]={bTeamChannel=true,bCenterAlarm=true,bFullScreen=true,},tCountdown={{nClass=14,nIcon=13,nFrame=1,szName="三石叔·退场·落日牧场·100分",nTime=30,key="三石叔·退场",nRefresh=1,},},},</v>
      </c>
      <c r="R4" t="str">
        <f>"{nClass=14,nIcon=13,nFrame=1,szName="""&amp;E4&amp;""",nTime=30,key="""&amp;C4&amp;"·退场"""&amp;",nRefresh=1,},"</f>
        <v>{nClass=14,nIcon=13,nFrame=1,szName="三石叔·退场·落日牧场·100分",nTime=30,key="三石叔·退场",nRefresh=1,},</v>
      </c>
    </row>
    <row r="5" spans="1:18">
      <c r="C5" t="s">
        <v>1550</v>
      </c>
      <c r="D5" t="s">
        <v>1604</v>
      </c>
      <c r="E5" t="str">
        <f>C5&amp;"·退场·"&amp;F5&amp;G5</f>
        <v>黄剑翔·退场·流星赶月·100分</v>
      </c>
      <c r="F5" t="s">
        <v>1609</v>
      </c>
      <c r="G5" t="s">
        <v>1608</v>
      </c>
      <c r="H5" t="s">
        <v>582</v>
      </c>
      <c r="I5">
        <v>1</v>
      </c>
      <c r="L5">
        <v>1</v>
      </c>
      <c r="N5">
        <v>1</v>
      </c>
      <c r="P5">
        <v>1</v>
      </c>
      <c r="Q5" t="str">
        <f t="shared" si="0"/>
        <v>{szContent="帮会的兄弟们，我且先修整下！",szTarget="黄剑翔",szNote="黄剑翔·退场·流星赶月·100分",col={255,255,255,},bSearch=true,[14]={bTeamChannel=true,bCenterAlarm=true,bFullScreen=true,},tCountdown={{nClass=14,nIcon=13,nFrame=1,szName="黄剑翔·退场·流星赶月·100分",nTime=30,key="黄剑翔·退场",nRefresh=1,},},},</v>
      </c>
      <c r="R5" t="str">
        <f>"{nClass=14,nIcon=13,nFrame=1,szName="""&amp;E5&amp;""",nTime=30,key="""&amp;C5&amp;"·退场"""&amp;",nRefresh=1,},"</f>
        <v>{nClass=14,nIcon=13,nFrame=1,szName="黄剑翔·退场·流星赶月·100分",nTime=30,key="黄剑翔·退场",nRefresh=1,},</v>
      </c>
    </row>
    <row r="6" spans="1:18">
      <c r="C6" t="s">
        <v>1566</v>
      </c>
      <c r="D6" t="s">
        <v>1604</v>
      </c>
      <c r="E6" t="str">
        <f>C6&amp;"·退场·"&amp;F6&amp;G6</f>
        <v>韩荞生·退场·流星赶月·100分</v>
      </c>
      <c r="F6" t="s">
        <v>1609</v>
      </c>
      <c r="G6" t="s">
        <v>1608</v>
      </c>
      <c r="H6" t="s">
        <v>582</v>
      </c>
      <c r="I6">
        <v>1</v>
      </c>
      <c r="L6">
        <v>1</v>
      </c>
      <c r="N6">
        <v>1</v>
      </c>
      <c r="P6">
        <v>1</v>
      </c>
      <c r="Q6" t="str">
        <f t="shared" si="0"/>
        <v>{szContent="帮会的兄弟们，我且先修整下！",szTarget="韩荞生",szNote="韩荞生·退场·流星赶月·100分",col={255,255,255,},bSearch=true,[14]={bTeamChannel=true,bCenterAlarm=true,bFullScreen=true,},tCountdown={{nClass=14,nIcon=13,nFrame=1,szName="韩荞生·退场·流星赶月·100分",nTime=30,key="韩荞生·退场",nRefresh=1,},},},</v>
      </c>
      <c r="R6" t="str">
        <f>"{nClass=14,nIcon=13,nFrame=1,szName="""&amp;E6&amp;""",nTime=30,key="""&amp;C6&amp;"·退场"""&amp;",nRefresh=1,},"</f>
        <v>{nClass=14,nIcon=13,nFrame=1,szName="韩荞生·退场·流星赶月·100分",nTime=30,key="韩荞生·退场",nRefresh=1,},</v>
      </c>
    </row>
    <row r="7" spans="1:18">
      <c r="C7" t="s">
        <v>1546</v>
      </c>
      <c r="D7" t="s">
        <v>1604</v>
      </c>
      <c r="E7" t="str">
        <f>C7&amp;"·退场·"&amp;F7&amp;G7</f>
        <v>凤妞·退场·大旗西侧方·100分</v>
      </c>
      <c r="F7" t="s">
        <v>1610</v>
      </c>
      <c r="G7" t="s">
        <v>1608</v>
      </c>
      <c r="H7" t="s">
        <v>582</v>
      </c>
      <c r="I7">
        <v>1</v>
      </c>
      <c r="L7">
        <v>1</v>
      </c>
      <c r="N7">
        <v>1</v>
      </c>
      <c r="P7">
        <v>1</v>
      </c>
      <c r="Q7" t="str">
        <f t="shared" si="0"/>
        <v>{szContent="帮会的兄弟们，我且先修整下！",szTarget="凤妞",szNote="凤妞·退场·大旗西侧方·100分",col={255,255,255,},bSearch=true,[14]={bTeamChannel=true,bCenterAlarm=true,bFullScreen=true,},tCountdown={{nClass=14,nIcon=13,nFrame=1,szName="凤妞·退场·大旗西侧方·100分",nTime=30,key="凤妞·退场",nRefresh=1,},},},</v>
      </c>
      <c r="R7" t="str">
        <f>"{nClass=14,nIcon=13,nFrame=1,szName="""&amp;E7&amp;""",nTime=30,key="""&amp;C7&amp;"·退场"""&amp;",nRefresh=1,},"</f>
        <v>{nClass=14,nIcon=13,nFrame=1,szName="凤妞·退场·大旗西侧方·100分",nTime=30,key="凤妞·退场",nRefresh=1,},</v>
      </c>
    </row>
    <row r="8" spans="1:18">
      <c r="C8" t="s">
        <v>1572</v>
      </c>
      <c r="D8" t="s">
        <v>1604</v>
      </c>
      <c r="E8" t="str">
        <f>C8&amp;"·退场·"&amp;F8&amp;G8</f>
        <v>梦香菲·退场·大旗东侧·100分</v>
      </c>
      <c r="F8" t="s">
        <v>1611</v>
      </c>
      <c r="G8" t="s">
        <v>1608</v>
      </c>
      <c r="H8" t="s">
        <v>582</v>
      </c>
      <c r="I8">
        <v>1</v>
      </c>
      <c r="L8">
        <v>1</v>
      </c>
      <c r="N8">
        <v>1</v>
      </c>
      <c r="P8">
        <v>1</v>
      </c>
      <c r="Q8" t="str">
        <f t="shared" si="0"/>
        <v>{szContent="帮会的兄弟们，我且先修整下！",szTarget="梦香菲",szNote="梦香菲·退场·大旗东侧·100分",col={255,255,255,},bSearch=true,[14]={bTeamChannel=true,bCenterAlarm=true,bFullScreen=true,},tCountdown={{nClass=14,nIcon=13,nFrame=1,szName="梦香菲·退场·大旗东侧·100分",nTime=30,key="梦香菲·退场",nRefresh=1,},},},</v>
      </c>
      <c r="R8" t="str">
        <f>"{nClass=14,nIcon=13,nFrame=1,szName="""&amp;E8&amp;""",nTime=30,key="""&amp;C8&amp;"·退场"""&amp;",nRefresh=1,},"</f>
        <v>{nClass=14,nIcon=13,nFrame=1,szName="梦香菲·退场·大旗东侧·100分",nTime=30,key="梦香菲·退场",nRefresh=1,},</v>
      </c>
    </row>
    <row r="9" spans="1:18">
      <c r="C9" t="s">
        <v>1560</v>
      </c>
      <c r="D9" t="s">
        <v>1604</v>
      </c>
      <c r="E9" t="str">
        <f>C9&amp;"·退场·"&amp;F9&amp;G9</f>
        <v>贾扁·退场·屋檐顶西北·100分</v>
      </c>
      <c r="F9" t="s">
        <v>1612</v>
      </c>
      <c r="G9" t="s">
        <v>1608</v>
      </c>
      <c r="H9" t="s">
        <v>582</v>
      </c>
      <c r="I9">
        <v>1</v>
      </c>
      <c r="L9">
        <v>1</v>
      </c>
      <c r="N9">
        <v>1</v>
      </c>
      <c r="P9">
        <v>1</v>
      </c>
      <c r="Q9" t="str">
        <f t="shared" si="0"/>
        <v>{szContent="帮会的兄弟们，我且先修整下！",szTarget="贾扁",szNote="贾扁·退场·屋檐顶西北·100分",col={255,255,255,},bSearch=true,[14]={bTeamChannel=true,bCenterAlarm=true,bFullScreen=true,},tCountdown={{nClass=14,nIcon=13,nFrame=1,szName="贾扁·退场·屋檐顶西北·100分",nTime=30,key="贾扁·退场",nRefresh=1,},},},</v>
      </c>
      <c r="R9" t="str">
        <f>"{nClass=14,nIcon=13,nFrame=1,szName="""&amp;E9&amp;""",nTime=30,key="""&amp;C9&amp;"·退场"""&amp;",nRefresh=1,},"</f>
        <v>{nClass=14,nIcon=13,nFrame=1,szName="贾扁·退场·屋檐顶西北·100分",nTime=30,key="贾扁·退场",nRefresh=1,},</v>
      </c>
    </row>
    <row r="10" spans="1:18">
      <c r="C10" t="s">
        <v>1574</v>
      </c>
      <c r="D10" t="s">
        <v>1604</v>
      </c>
      <c r="E10" t="str">
        <f>C10&amp;"·退场·"&amp;F10&amp;G10</f>
        <v>凯风·退场·帮会内宴席·100分</v>
      </c>
      <c r="F10" t="s">
        <v>1613</v>
      </c>
      <c r="G10" t="s">
        <v>1608</v>
      </c>
      <c r="H10" t="s">
        <v>582</v>
      </c>
      <c r="I10">
        <v>1</v>
      </c>
      <c r="L10">
        <v>1</v>
      </c>
      <c r="N10">
        <v>1</v>
      </c>
      <c r="P10">
        <v>1</v>
      </c>
      <c r="Q10" t="str">
        <f t="shared" si="0"/>
        <v>{szContent="帮会的兄弟们，我且先修整下！",szTarget="凯风",szNote="凯风·退场·帮会内宴席·100分",col={255,255,255,},bSearch=true,[14]={bTeamChannel=true,bCenterAlarm=true,bFullScreen=true,},tCountdown={{nClass=14,nIcon=13,nFrame=1,szName="凯风·退场·帮会内宴席·100分",nTime=30,key="凯风·退场",nRefresh=1,},},},</v>
      </c>
      <c r="R10" t="str">
        <f>"{nClass=14,nIcon=13,nFrame=1,szName="""&amp;E10&amp;""",nTime=30,key="""&amp;C10&amp;"·退场"""&amp;",nRefresh=1,},"</f>
        <v>{nClass=14,nIcon=13,nFrame=1,szName="凯风·退场·帮会内宴席·100分",nTime=30,key="凯风·退场",nRefresh=1,},</v>
      </c>
    </row>
    <row r="11" spans="1:18">
      <c r="C11" t="s">
        <v>1558</v>
      </c>
      <c r="D11" t="s">
        <v>1604</v>
      </c>
      <c r="E11" t="str">
        <f>C11&amp;"·退场·"&amp;F11&amp;G11</f>
        <v>雄爷·退场·帮会书柜旁·200分</v>
      </c>
      <c r="F11" t="s">
        <v>1614</v>
      </c>
      <c r="G11" t="s">
        <v>1606</v>
      </c>
      <c r="H11" t="s">
        <v>582</v>
      </c>
      <c r="I11">
        <v>1</v>
      </c>
      <c r="L11">
        <v>1</v>
      </c>
      <c r="N11">
        <v>1</v>
      </c>
      <c r="P11">
        <v>1</v>
      </c>
      <c r="Q11" t="str">
        <f t="shared" si="0"/>
        <v>{szContent="帮会的兄弟们，我且先修整下！",szTarget="雄爷",szNote="雄爷·退场·帮会书柜旁·200分",col={255,255,255,},bSearch=true,[14]={bTeamChannel=true,bCenterAlarm=true,bFullScreen=true,},tCountdown={{nClass=14,nIcon=13,nFrame=1,szName="雄爷·退场·帮会书柜旁·200分",nTime=30,key="雄爷·退场",nRefresh=1,},},},</v>
      </c>
      <c r="R11" t="str">
        <f>"{nClass=14,nIcon=13,nFrame=1,szName="""&amp;E11&amp;""",nTime=30,key="""&amp;C11&amp;"·退场"""&amp;",nRefresh=1,},"</f>
        <v>{nClass=14,nIcon=13,nFrame=1,szName="雄爷·退场·帮会书柜旁·200分",nTime=30,key="雄爷·退场",nRefresh=1,},</v>
      </c>
    </row>
    <row r="12" spans="1:18">
      <c r="C12" t="s">
        <v>1568</v>
      </c>
      <c r="D12" t="s">
        <v>1604</v>
      </c>
      <c r="E12" t="str">
        <f>C12&amp;"·退场·"&amp;F12&amp;G12</f>
        <v>鲁印·退场·会友台东侧·300分</v>
      </c>
      <c r="F12" t="s">
        <v>1615</v>
      </c>
      <c r="G12" t="s">
        <v>1616</v>
      </c>
      <c r="H12" t="s">
        <v>582</v>
      </c>
      <c r="I12">
        <v>1</v>
      </c>
      <c r="L12">
        <v>1</v>
      </c>
      <c r="N12">
        <v>1</v>
      </c>
      <c r="P12">
        <v>1</v>
      </c>
      <c r="Q12" t="str">
        <f t="shared" si="0"/>
        <v>{szContent="帮会的兄弟们，我且先修整下！",szTarget="鲁印",szNote="鲁印·退场·会友台东侧·300分",col={255,255,255,},bSearch=true,[14]={bTeamChannel=true,bCenterAlarm=true,bFullScreen=true,},tCountdown={{nClass=14,nIcon=13,nFrame=1,szName="鲁印·退场·会友台东侧·300分",nTime=30,key="鲁印·退场",nRefresh=1,},},},</v>
      </c>
      <c r="R12" t="str">
        <f>"{nClass=14,nIcon=13,nFrame=1,szName="""&amp;E12&amp;""",nTime=30,key="""&amp;C12&amp;"·退场"""&amp;",nRefresh=1,},"</f>
        <v>{nClass=14,nIcon=13,nFrame=1,szName="鲁印·退场·会友台东侧·300分",nTime=30,key="鲁印·退场",nRefresh=1,},</v>
      </c>
    </row>
    <row r="13" spans="1:18">
      <c r="C13" t="s">
        <v>1556</v>
      </c>
      <c r="D13" t="s">
        <v>1604</v>
      </c>
      <c r="E13" t="str">
        <f>C13&amp;"·退场·"&amp;F13&amp;G13</f>
        <v>高九问·退场·帮会天工·500分</v>
      </c>
      <c r="F13" t="s">
        <v>1617</v>
      </c>
      <c r="G13" t="s">
        <v>1618</v>
      </c>
      <c r="H13" t="s">
        <v>582</v>
      </c>
      <c r="I13">
        <v>1</v>
      </c>
      <c r="L13">
        <v>1</v>
      </c>
      <c r="N13">
        <v>1</v>
      </c>
      <c r="P13">
        <v>1</v>
      </c>
      <c r="Q13" t="str">
        <f t="shared" si="0"/>
        <v>{szContent="帮会的兄弟们，我且先修整下！",szTarget="高九问",szNote="高九问·退场·帮会天工·500分",col={255,255,255,},bSearch=true,[14]={bTeamChannel=true,bCenterAlarm=true,bFullScreen=true,},tCountdown={{nClass=14,nIcon=13,nFrame=1,szName="高九问·退场·帮会天工·500分",nTime=30,key="高九问·退场",nRefresh=1,},},},</v>
      </c>
      <c r="R13" t="str">
        <f>"{nClass=14,nIcon=13,nFrame=1,szName="""&amp;E13&amp;""",nTime=30,key="""&amp;C13&amp;"·退场"""&amp;",nRefresh=1,},"</f>
        <v>{nClass=14,nIcon=13,nFrame=1,szName="高九问·退场·帮会天工·500分",nTime=30,key="高九问·退场",nRefresh=1,},</v>
      </c>
    </row>
    <row r="14" spans="1:18">
      <c r="C14" t="s">
        <v>1570</v>
      </c>
      <c r="D14" t="s">
        <v>1604</v>
      </c>
      <c r="E14" t="str">
        <f>C14&amp;"·退场·"&amp;F14&amp;G14</f>
        <v>苏不尘·退场·帮会药师·300分</v>
      </c>
      <c r="F14" t="s">
        <v>1619</v>
      </c>
      <c r="G14" t="s">
        <v>1616</v>
      </c>
      <c r="H14" t="s">
        <v>582</v>
      </c>
      <c r="I14">
        <v>1</v>
      </c>
      <c r="L14">
        <v>1</v>
      </c>
      <c r="N14">
        <v>1</v>
      </c>
      <c r="P14">
        <v>1</v>
      </c>
      <c r="Q14" t="str">
        <f t="shared" si="0"/>
        <v>{szContent="帮会的兄弟们，我且先修整下！",szTarget="苏不尘",szNote="苏不尘·退场·帮会药师·300分",col={255,255,255,},bSearch=true,[14]={bTeamChannel=true,bCenterAlarm=true,bFullScreen=true,},tCountdown={{nClass=14,nIcon=13,nFrame=1,szName="苏不尘·退场·帮会药师·300分",nTime=30,key="苏不尘·退场",nRefresh=1,},},},</v>
      </c>
      <c r="R14" t="str">
        <f>"{nClass=14,nIcon=13,nFrame=1,szName="""&amp;E14&amp;""",nTime=30,key="""&amp;C14&amp;"·退场"""&amp;",nRefresh=1,},"</f>
        <v>{nClass=14,nIcon=13,nFrame=1,szName="苏不尘·退场·帮会药师·300分",nTime=30,key="苏不尘·退场",nRefresh=1,},</v>
      </c>
    </row>
    <row r="15" spans="1:18">
      <c r="C15" t="s">
        <v>1552</v>
      </c>
      <c r="D15" t="s">
        <v>1604</v>
      </c>
      <c r="E15" t="str">
        <f>C15&amp;"·退场·"&amp;F15&amp;G15</f>
        <v>韩非子·退场·祈星台北·300分</v>
      </c>
      <c r="F15" t="s">
        <v>1620</v>
      </c>
      <c r="G15" t="s">
        <v>1616</v>
      </c>
      <c r="H15" t="s">
        <v>582</v>
      </c>
      <c r="I15">
        <v>1</v>
      </c>
      <c r="L15">
        <v>1</v>
      </c>
      <c r="N15">
        <v>1</v>
      </c>
      <c r="P15">
        <v>1</v>
      </c>
      <c r="Q15" t="str">
        <f t="shared" si="0"/>
        <v>{szContent="帮会的兄弟们，我且先修整下！",szTarget="韩非子",szNote="韩非子·退场·祈星台北·300分",col={255,255,255,},bSearch=true,[14]={bTeamChannel=true,bCenterAlarm=true,bFullScreen=true,},tCountdown={{nClass=14,nIcon=13,nFrame=1,szName="韩非子·退场·祈星台北·300分",nTime=30,key="韩非子·退场",nRefresh=1,},},},</v>
      </c>
      <c r="R15" t="str">
        <f>"{nClass=14,nIcon=13,nFrame=1,szName="""&amp;E15&amp;""",nTime=30,key="""&amp;C15&amp;"·退场"""&amp;",nRefresh=1,},"</f>
        <v>{nClass=14,nIcon=13,nFrame=1,szName="韩非子·退场·祈星台北·300分",nTime=30,key="韩非子·退场",nRefresh=1,},</v>
      </c>
    </row>
    <row r="16" spans="1:18">
      <c r="C16" t="s">
        <v>1544</v>
      </c>
      <c r="D16" t="s">
        <v>1604</v>
      </c>
      <c r="E16" t="str">
        <f>C16&amp;"·退场·"&amp;F16&amp;G16</f>
        <v>李霖·退场·唱晚池鱼塘·300分</v>
      </c>
      <c r="F16" t="s">
        <v>1621</v>
      </c>
      <c r="G16" t="s">
        <v>1616</v>
      </c>
      <c r="H16" t="s">
        <v>582</v>
      </c>
      <c r="I16">
        <v>1</v>
      </c>
      <c r="L16">
        <v>1</v>
      </c>
      <c r="N16">
        <v>1</v>
      </c>
      <c r="P16">
        <v>1</v>
      </c>
      <c r="Q16" t="str">
        <f t="shared" si="0"/>
        <v>{szContent="帮会的兄弟们，我且先修整下！",szTarget="李霖",szNote="李霖·退场·唱晚池鱼塘·300分",col={255,255,255,},bSearch=true,[14]={bTeamChannel=true,bCenterAlarm=true,bFullScreen=true,},tCountdown={{nClass=14,nIcon=13,nFrame=1,szName="李霖·退场·唱晚池鱼塘·300分",nTime=30,key="李霖·退场",nRefresh=1,},},},</v>
      </c>
      <c r="R16" t="str">
        <f>"{nClass=14,nIcon=13,nFrame=1,szName="""&amp;E16&amp;""",nTime=30,key="""&amp;C16&amp;"·退场"""&amp;",nRefresh=1,},"</f>
        <v>{nClass=14,nIcon=13,nFrame=1,szName="李霖·退场·唱晚池鱼塘·300分",nTime=30,key="李霖·退场",nRefresh=1,},</v>
      </c>
    </row>
    <row r="17" spans="1:19">
      <c r="C17" t="s">
        <v>1554</v>
      </c>
      <c r="D17" t="s">
        <v>1604</v>
      </c>
      <c r="E17" t="str">
        <f>C17&amp;"·退场·"&amp;F17&amp;G17</f>
        <v>邵卿城·退场·屋前西侧·500分</v>
      </c>
      <c r="F17" t="s">
        <v>1622</v>
      </c>
      <c r="G17" t="s">
        <v>1618</v>
      </c>
      <c r="H17" t="s">
        <v>582</v>
      </c>
      <c r="I17">
        <v>1</v>
      </c>
      <c r="L17">
        <v>1</v>
      </c>
      <c r="N17">
        <v>1</v>
      </c>
      <c r="P17">
        <v>1</v>
      </c>
      <c r="Q17" t="str">
        <f t="shared" si="0"/>
        <v>{szContent="帮会的兄弟们，我且先修整下！",szTarget="邵卿城",szNote="邵卿城·退场·屋前西侧·500分",col={255,255,255,},bSearch=true,[14]={bTeamChannel=true,bCenterAlarm=true,bFullScreen=true,},tCountdown={{nClass=14,nIcon=13,nFrame=1,szName="邵卿城·退场·屋前西侧·500分",nTime=30,key="邵卿城·退场",nRefresh=1,},},},</v>
      </c>
      <c r="R17" t="str">
        <f>"{nClass=14,nIcon=13,nFrame=1,szName="""&amp;E17&amp;""",nTime=30,key="""&amp;C17&amp;"·退场"""&amp;",nRefresh=1,},"</f>
        <v>{nClass=14,nIcon=13,nFrame=1,szName="邵卿城·退场·屋前西侧·500分",nTime=30,key="邵卿城·退场",nRefresh=1,},</v>
      </c>
    </row>
    <row r="18" spans="1:19">
      <c r="C18" t="s">
        <v>1562</v>
      </c>
      <c r="D18" t="s">
        <v>1604</v>
      </c>
      <c r="E18" t="str">
        <f>C18&amp;"·退场·"&amp;F18&amp;G18</f>
        <v>甄琦·退场·屋门前东侧·100分</v>
      </c>
      <c r="F18" t="s">
        <v>1623</v>
      </c>
      <c r="G18" t="s">
        <v>1608</v>
      </c>
      <c r="H18" t="s">
        <v>582</v>
      </c>
      <c r="I18">
        <v>1</v>
      </c>
      <c r="L18">
        <v>1</v>
      </c>
      <c r="N18">
        <v>1</v>
      </c>
      <c r="P18">
        <v>1</v>
      </c>
      <c r="Q18" t="str">
        <f t="shared" si="0"/>
        <v>{szContent="帮会的兄弟们，我且先修整下！",szTarget="甄琦",szNote="甄琦·退场·屋门前东侧·100分",col={255,255,255,},bSearch=true,[14]={bTeamChannel=true,bCenterAlarm=true,bFullScreen=true,},tCountdown={{nClass=14,nIcon=13,nFrame=1,szName="甄琦·退场·屋门前东侧·100分",nTime=30,key="甄琦·退场",nRefresh=1,},},},</v>
      </c>
      <c r="R18" t="str">
        <f>"{nClass=14,nIcon=13,nFrame=1,szName="""&amp;E18&amp;""",nTime=30,key="""&amp;C18&amp;"·退场"""&amp;",nRefresh=1,},"</f>
        <v>{nClass=14,nIcon=13,nFrame=1,szName="甄琦·退场·屋门前东侧·100分",nTime=30,key="甄琦·退场",nRefresh=1,},</v>
      </c>
    </row>
    <row r="19" spans="1:19">
      <c r="C19" t="s">
        <v>1624</v>
      </c>
      <c r="D19" t="s">
        <v>1604</v>
      </c>
      <c r="E19" t="s">
        <v>1625</v>
      </c>
      <c r="H19" t="s">
        <v>582</v>
      </c>
      <c r="I19">
        <v>1</v>
      </c>
      <c r="L19">
        <v>1</v>
      </c>
      <c r="N19">
        <v>1</v>
      </c>
      <c r="P19">
        <v>1</v>
      </c>
      <c r="Q19" t="str">
        <f t="shared" si="0"/>
        <v>{szContent="帮会的兄弟们，我且先修整下！",szTarget="%",szNote="{$sender}·退场",col={255,255,255,},bSearch=true,[14]={bTeamChannel=true,bCenterAlarm=true,bFullScreen=true,},tCountdown={{nClass=14,nIcon=13,nFrame=1,szName="{$sender}·退场",nTime=30,key="{$sender}·退场",nRefresh=1,},},},</v>
      </c>
      <c r="R19" t="s">
        <v>1626</v>
      </c>
    </row>
    <row r="20" spans="1:19">
      <c r="C20" t="s">
        <v>1624</v>
      </c>
      <c r="D20" t="s">
        <v>1627</v>
      </c>
      <c r="E20" t="s">
        <v>1628</v>
      </c>
      <c r="H20" t="s">
        <v>582</v>
      </c>
      <c r="L20">
        <v>1</v>
      </c>
      <c r="N20">
        <v>1</v>
      </c>
      <c r="P20">
        <v>1</v>
      </c>
      <c r="Q20" t="str">
        <f t="shared" si="0"/>
        <v>{szContent="[帮会宣战][帮会大旗]已被敌方攻破！诸位兄弟！团结一致！",szTarget="%",szNote="帮会大旗·退场·800分",col={255,255,255,},[14]={bTeamChannel=true,bCenterAlarm=true,bFullScreen=true,},tCountdown={{nClass=14,nIcon=591,nFrame=1,szName="帮会大旗·损毁·800分",nTime=30,key="帮会大旗·退场",nRefresh=1,},},},</v>
      </c>
      <c r="R20" t="s">
        <v>1629</v>
      </c>
    </row>
    <row r="21" spans="1:19">
      <c r="D21" t="s">
        <v>1630</v>
      </c>
      <c r="E21" t="s">
        <v>1631</v>
      </c>
      <c r="N21">
        <v>1</v>
      </c>
      <c r="Q21" t="str">
        <f t="shared" si="0"/>
        <v>{szContent="恭喜侠士帮会宣战·领地获胜！已为您添加增益状态。",szNote="帮会宣战·领地·获胜",[14]={bCenterAlarm=true,},tCountdown={{nClass=14,nIcon=13,nFrame=0,szName="帮会宣战·领地·获胜",nTime=30,key="帮会宣战",},{nClass=14,nIcon=13,szName="诛恶事件",nTime=-2,key="诛恶事件",},{nClass=14,nIcon=13,szName="通用事件",nTime=-2,key="通用事件",},{nClass=14,nIcon=13,nTime=-2,szName="金水镇",key="金水镇",},{nClass=14,nIcon=13,nTime=-2,szName="巴陵县",key="巴陵县",},{nClass=14,nIcon=13,nTime=-2,szName="龙门荒漠",key="龙门荒漠",},{nClass=14,nIcon=13,nTime=-2,szName="南屏山",key="南屏山",},{nClass=14,nIcon=13,nTime=-2,szName="昆仑",key="昆仑",},{nClass=14,nIcon=13,nTime=-2,szName="白龙口",key="白龙口",},{nClass=14,nIcon=13,nTime=-2,szName="无量山",key="无量山",},{nClass=14,nIcon=13,nTime=-2,szName="黑龙沼",key="黑龙沼",},{nClass=14,nIcon=13,nTime=-2,szName="阴山大草原",key="阴山大草原",},{nClass=14,nIcon=13,nTime=-2,szName="黑戈壁",key="黑戈壁",},{nClass=14,nIcon=13,nTime=-2,szName="鲲鹏岛",key="鲲鹏岛",},},},</v>
      </c>
      <c r="R21" t="s">
        <v>1632</v>
      </c>
      <c r="S21" s="1" t="s">
        <v>1633</v>
      </c>
    </row>
    <row r="22" spans="1:19">
      <c r="D22" t="s">
        <v>1634</v>
      </c>
      <c r="E22" t="s">
        <v>1635</v>
      </c>
      <c r="Q22" t="str">
        <f t="shared" si="0"/>
        <v>{szContent="最近七天内，帮会宣战·领地失利，已为侠士添加不利状态。",szNote="帮会宣战·领地·失败",[14]={},tCountdown={{nClass=14,nIcon=13,nFrame=8,szName="帮会宣战·领地·失败",nTime=30,key="帮会宣战",},{nClass=14,nIcon=13,szName="诛恶事件",nTime=-2,key="诛恶事件",},{nClass=14,nIcon=13,szName="通用事件",nTime=-2,key="通用事件",},{nClass=14,nIcon=13,nTime=-2,szName="金水镇",key="金水镇",},{nClass=14,nIcon=13,nTime=-2,szName="巴陵县",key="巴陵县",},{nClass=14,nIcon=13,nTime=-2,szName="龙门荒漠",key="龙门荒漠",},{nClass=14,nIcon=13,nTime=-2,szName="南屏山",key="南屏山",},{nClass=14,nIcon=13,nTime=-2,szName="昆仑",key="昆仑",},{nClass=14,nIcon=13,nTime=-2,szName="白龙口",key="白龙口",},{nClass=14,nIcon=13,nTime=-2,szName="无量山",key="无量山",},{nClass=14,nIcon=13,nTime=-2,szName="黑龙沼",key="黑龙沼",},{nClass=14,nIcon=13,nTime=-2,szName="阴山大草原",key="阴山大草原",},{nClass=14,nIcon=13,nTime=-2,szName="黑戈壁",key="黑戈壁",},{nClass=14,nIcon=13,nTime=-2,szName="鲲鹏岛",key="鲲鹏岛",},},},</v>
      </c>
      <c r="R22" t="s">
        <v>1636</v>
      </c>
      <c r="S22" s="1" t="s">
        <v>1633</v>
      </c>
    </row>
    <row r="23" spans="1:19">
      <c r="A23" t="s">
        <v>1637</v>
      </c>
      <c r="B23">
        <v>-2</v>
      </c>
      <c r="Q23" t="str">
        <f t="shared" si="0"/>
        <v>},[-2]={</v>
      </c>
    </row>
    <row r="24" spans="1:19">
      <c r="D24" t="s">
        <v>1638</v>
      </c>
      <c r="E24" t="s">
        <v>1639</v>
      </c>
      <c r="N24">
        <v>1</v>
      </c>
      <c r="Q24" t="str">
        <f t="shared" si="0"/>
        <v>{szContent="当前已开战，请直接对话进入被宣战方帮会领地。",szNote="帮会宣战·领地·正式开始",[14]={bCenterAlarm=true,},tCountdown={{nClass=14,nIcon=13,nFrame=4,szName="帮会宣战·领地·正式开启",nTime=5,key="帮会宣战",},},},</v>
      </c>
      <c r="R24" t="s">
        <v>1640</v>
      </c>
    </row>
    <row r="25" spans="1:19">
      <c r="C25" t="s">
        <v>1624</v>
      </c>
      <c r="D25" t="s">
        <v>1641</v>
      </c>
      <c r="E25" t="s">
        <v>1642</v>
      </c>
      <c r="Q25" t="str">
        <f t="shared" si="0"/>
        <v>{szContent="本次宣战进攻将在10秒后正式开始。",szTarget="%",szNote="帮会宣战·领地·10秒",[14]={},tCountdown={{nClass=14,nIcon=13,nFrame=4,szName="帮会宣战·领地·开启剩余",nTime="10,帮会宣战·领地·开启剩余;15,帮会宣战·领地·正式开启",key="帮会宣战",nRefresh=0,},},},</v>
      </c>
      <c r="R25" t="s">
        <v>1643</v>
      </c>
    </row>
    <row r="26" spans="1:19">
      <c r="C26" t="s">
        <v>1624</v>
      </c>
      <c r="D26" t="s">
        <v>1644</v>
      </c>
      <c r="E26" t="s">
        <v>1645</v>
      </c>
      <c r="Q26" t="str">
        <f t="shared" si="0"/>
        <v>{szContent="本次宣战进攻将在30秒后正式开始。",szTarget="%",szNote="帮会宣战·领地·30秒",[14]={},tCountdown={{nClass=14,nIcon=13,nFrame=4,szName="帮会宣战·领地·开启剩余",nTime="30,帮会宣战·领地·开启剩余;35,帮会宣战·领地·正式开启",key="帮会宣战",nRefresh=0,},},},</v>
      </c>
      <c r="R26" t="s">
        <v>1646</v>
      </c>
    </row>
    <row r="27" spans="1:19">
      <c r="A27" t="s">
        <v>1647</v>
      </c>
      <c r="B27">
        <v>-21</v>
      </c>
      <c r="Q27" t="str">
        <f t="shared" si="0"/>
        <v>},[-21]={</v>
      </c>
    </row>
    <row r="28" spans="1:19">
      <c r="D28" t="s">
        <v>1638</v>
      </c>
      <c r="E28" t="s">
        <v>1639</v>
      </c>
      <c r="N28">
        <v>1</v>
      </c>
      <c r="Q28" t="str">
        <f t="shared" si="0"/>
        <v>{szContent="当前已开战，请直接对话进入被宣战方帮会领地。",szNote="帮会宣战·领地·正式开始",[14]={bCenterAlarm=true,},tCountdown={{nClass=14,nIcon=13,nFrame=4,szName="帮会宣战·领地·正式开启",nTime=5,key="帮会宣战",},},},</v>
      </c>
      <c r="R28" t="s">
        <v>1640</v>
      </c>
    </row>
    <row r="29" spans="1:19">
      <c r="C29" t="s">
        <v>1624</v>
      </c>
      <c r="D29" t="s">
        <v>1641</v>
      </c>
      <c r="E29" t="s">
        <v>1642</v>
      </c>
      <c r="Q29" t="str">
        <f t="shared" si="0"/>
        <v>{szContent="本次宣战进攻将在10秒后正式开始。",szTarget="%",szNote="帮会宣战·领地·10秒",[14]={},tCountdown={{nClass=14,nIcon=13,nFrame=4,szName="帮会宣战·领地·开启剩余",nTime="10,帮会宣战·领地·开启剩余;15,帮会宣战·领地·正式开启",key="帮会宣战",nRefresh=0,},},},</v>
      </c>
      <c r="R29" t="s">
        <v>1643</v>
      </c>
    </row>
    <row r="30" spans="1:19">
      <c r="C30" t="s">
        <v>1624</v>
      </c>
      <c r="D30" t="s">
        <v>1644</v>
      </c>
      <c r="E30" t="s">
        <v>1645</v>
      </c>
      <c r="Q30" t="str">
        <f t="shared" si="0"/>
        <v>{szContent="本次宣战进攻将在30秒后正式开始。",szTarget="%",szNote="帮会宣战·领地·30秒",[14]={},tCountdown={{nClass=14,nIcon=13,nFrame=4,szName="帮会宣战·领地·开启剩余",nTime="30,帮会宣战·领地·开启剩余;35,帮会宣战·领地·正式开启",key="帮会宣战",nRefresh=0,},},},</v>
      </c>
      <c r="R30" t="s">
        <v>1646</v>
      </c>
    </row>
    <row r="31" spans="1:19">
      <c r="A31" t="s">
        <v>1036</v>
      </c>
      <c r="B31">
        <v>153</v>
      </c>
      <c r="Q31" t="str">
        <f t="shared" si="0"/>
        <v>},[153]={</v>
      </c>
    </row>
    <row r="32" spans="1:19">
      <c r="D32" t="s">
        <v>1638</v>
      </c>
      <c r="E32" t="s">
        <v>1639</v>
      </c>
      <c r="N32">
        <v>1</v>
      </c>
      <c r="Q32" t="str">
        <f t="shared" si="0"/>
        <v>{szContent="当前已开战，请直接对话进入被宣战方帮会领地。",szNote="帮会宣战·领地·正式开始",[14]={bCenterAlarm=true,},tCountdown={{nClass=14,nIcon=13,nFrame=4,szName="帮会宣战·领地·正式开启",nTime=5,key="帮会宣战",},},},</v>
      </c>
      <c r="R32" t="s">
        <v>1640</v>
      </c>
    </row>
    <row r="33" spans="3:18">
      <c r="C33" t="s">
        <v>1624</v>
      </c>
      <c r="D33" t="s">
        <v>1641</v>
      </c>
      <c r="E33" t="s">
        <v>1642</v>
      </c>
      <c r="Q33" t="str">
        <f t="shared" si="0"/>
        <v>{szContent="本次宣战进攻将在10秒后正式开始。",szTarget="%",szNote="帮会宣战·领地·10秒",[14]={},tCountdown={{nClass=14,nIcon=13,nFrame=4,szName="帮会宣战·领地·开启剩余",nTime="10,帮会宣战·领地·开启剩余;15,帮会宣战·领地·正式开启",key="帮会宣战",nRefresh=0,},},},</v>
      </c>
      <c r="R33" t="s">
        <v>1643</v>
      </c>
    </row>
    <row r="34" spans="3:18">
      <c r="Q34" t="str">
        <f t="shared" si="0"/>
        <v>},},}</v>
      </c>
    </row>
  </sheetData>
  <sortState ref="A32:S33">
    <sortCondition ref="A32:A33"/>
  </sortState>
  <pageMargins left="0.75" right="0.75" top="1" bottom="1" header="0.5" footer="0.5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"/>
  <sheetViews>
    <sheetView tabSelected="1" workbookViewId="0">
      <selection activeCell="J35" sqref="J35"/>
    </sheetView>
  </sheetViews>
  <sheetFormatPr defaultColWidth="9" defaultRowHeight="13.5"/>
  <sheetData>
    <row r="1" spans="1:17">
      <c r="A1" t="s">
        <v>1476</v>
      </c>
      <c r="B1" t="s">
        <v>1477</v>
      </c>
      <c r="C1" t="s">
        <v>1592</v>
      </c>
      <c r="D1" t="s">
        <v>49</v>
      </c>
      <c r="E1" t="s">
        <v>1484</v>
      </c>
      <c r="F1" t="s">
        <v>1595</v>
      </c>
      <c r="G1" t="s">
        <v>1596</v>
      </c>
      <c r="H1" t="s">
        <v>1597</v>
      </c>
      <c r="I1" t="s">
        <v>1598</v>
      </c>
      <c r="J1" t="s">
        <v>1599</v>
      </c>
      <c r="K1" t="s">
        <v>1600</v>
      </c>
      <c r="L1" t="s">
        <v>1601</v>
      </c>
      <c r="M1" t="s">
        <v>1602</v>
      </c>
      <c r="N1" t="s">
        <v>1648</v>
      </c>
      <c r="O1" t="s">
        <v>316</v>
      </c>
    </row>
    <row r="2" spans="1:17">
      <c r="A2" t="s">
        <v>885</v>
      </c>
      <c r="B2">
        <v>74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[74]={</v>
      </c>
    </row>
    <row r="3" spans="1:17">
      <c r="C3" t="s">
        <v>1649</v>
      </c>
      <c r="N3" t="str">
        <f t="shared" ref="N3:N8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帮会宣战·领地正式开始！\n",[20]={},tCountdown={{nClass=20,nIcon=13,nFrame=4,szName="宣战·正式开始",nTime=5,key="帮会宣战",},{nClass=20,nIcon=13,szName="诛恶事件",nTime=-1,nRefresh=2700,key="诛恶事件",},{nClass=20,nIcon=13,szName="通用事件",nTime=-1,nRefresh=2700,key="通用事件",},{nClass=20,nIcon=13,nTime=-1,szName="金水镇",nRefresh=2700,key="金水镇",},{nClass=20,nIcon=13,nTime=-1,szName="巴陵县",nRefresh=2700,key="巴陵县",},{nClass=20,nIcon=13,nTime=-1,szName="龙门荒漠",nRefresh=2700,key="龙门荒漠",},{nClass=20,nIcon=13,nTime=-1,szName="南屏山",nRefresh=2700,key="南屏山",},{nClass=20,nIcon=13,nTime=-1,szName="昆仑",nRefresh=2700,key="昆仑",},{nClass=20,nIcon=13,nTime=-1,szName="白龙口",nRefresh=2700,key="白龙口",},{nClass=20,nIcon=13,nTime=-1,szName="无量山",nRefresh=2700,key="无量山",},{nClass=20,nIcon=13,nTime=-1,szName="黑龙沼",nRefresh=2700,key="黑龙沼",},{nClass=20,nIcon=13,nTime=-1,szName="阴山大草原",nRefresh=2700,key="阴山大草原",},{nClass=20,nIcon=13,nTime=-1,szName="黑戈壁",nRefresh=2700,key="黑戈壁",},{nClass=20,nIcon=13,nTime=-1,szName="鲲鹏岛",nRefresh=2700,key="鲲鹏岛",},},},</v>
      </c>
      <c r="O3" t="s">
        <v>1650</v>
      </c>
      <c r="P3" s="1" t="s">
        <v>1651</v>
      </c>
      <c r="Q3" s="1" t="s">
        <v>1652</v>
      </c>
    </row>
    <row r="4" spans="1:17">
      <c r="C4" t="s">
        <v>1653</v>
      </c>
      <c r="N4" t="str">
        <f t="shared" si="0"/>
        <v>{szContent="本次宣战进攻将在10秒后正式开始。\n",[20]={},tCountdown={{nClass=20,nIcon=13,nFrame=4,szName="宣战·开始剩余",nTime=10,key="帮会宣战",},},},</v>
      </c>
      <c r="O4" t="s">
        <v>1654</v>
      </c>
    </row>
    <row r="5" spans="1:17">
      <c r="C5" t="s">
        <v>1655</v>
      </c>
      <c r="N5" t="str">
        <f t="shared" si="0"/>
        <v>{szContent="本次宣战进攻将在30秒后正式开始。\n",[20]={},tCountdown={{nClass=20,nIcon=13,nFrame=4,szName="宣战·开始剩余",nTime=30,key="帮会宣战",},},},</v>
      </c>
      <c r="O5" t="s">
        <v>1656</v>
      </c>
    </row>
    <row r="6" spans="1:17">
      <c r="C6" t="s">
        <v>1657</v>
      </c>
      <c r="N6" t="str">
        <f t="shared" si="0"/>
        <v>{szContent="本帮今日防守领地失败，望上下一心，团结一致。\n",[20]={},tCountdown={{nClass=20,nIcon=13,nFrame=8,szName="帮会应战·领地·防守失败",nTime=30,key="帮会宣战",},},},</v>
      </c>
      <c r="O6" t="s">
        <v>1658</v>
      </c>
    </row>
    <row r="7" spans="1:17">
      <c r="C7" t="s">
        <v>1659</v>
      </c>
      <c r="G7">
        <v>1</v>
      </c>
      <c r="N7" t="str">
        <f t="shared" si="0"/>
        <v>{szContent="(.-)已被击伤，留下拥有逐鹿中原战略物资%[神机雷%]，进攻方侠士可拾取，切莫错过！ ",bReg=true,[20]={},tCountdown={{nClass=20,nIcon=13,nFrame=1,szName="{$1}·退场",nTime=30,key="{$1}·退场",},{nClass=20,nIcon=13,szName="诛恶事件",nTime=-1,nRefresh=2700,key="诛恶事件",},{nClass=20,nIcon=13,szName="通用事件",nTime=-1,nRefresh=2700,key="通用事件",},{nClass=20,nIcon=13,nTime=-1,szName="金水镇",nRefresh=2700,key="金水镇",},{nClass=20,nIcon=13,nTime=-1,szName="巴陵县",nRefresh=2700,key="巴陵县",},{nClass=20,nIcon=13,nTime=-1,szName="龙门荒漠",nRefresh=2700,key="龙门荒漠",},{nClass=20,nIcon=13,nTime=-1,szName="南屏山",nRefresh=2700,key="南屏山",},{nClass=20,nIcon=13,nTime=-1,szName="昆仑",nRefresh=2700,key="昆仑",},{nClass=20,nIcon=13,nTime=-1,szName="白龙口",nRefresh=2700,key="白龙口",},{nClass=20,nIcon=13,nTime=-1,szName="无量山",nRefresh=2700,key="无量山",},{nClass=20,nIcon=13,nTime=-1,szName="黑龙沼",nRefresh=2700,key="黑龙沼",},{nClass=20,nIcon=13,nTime=-1,szName="阴山大草原",nRefresh=2700,key="阴山大草原",},{nClass=20,nIcon=13,nTime=-1,szName="黑戈壁",nRefresh=2700,key="黑戈壁",},{nClass=20,nIcon=13,nTime=-1,szName="鲲鹏岛",nRefresh=2700,key="鲲鹏岛",},},},</v>
      </c>
      <c r="O7" t="s">
        <v>1660</v>
      </c>
      <c r="P7" s="1" t="s">
        <v>1651</v>
      </c>
      <c r="Q7" s="1" t="s">
        <v>1652</v>
      </c>
    </row>
    <row r="8" spans="1:17">
      <c r="N8" t="str">
        <f t="shared" si="0"/>
        <v>},},}</v>
      </c>
    </row>
    <row r="9" spans="1:17">
      <c r="N9" t="str">
        <f>IF(ISBLANK(B9)=FALSE,IF(ISBLANK(B8),"},["&amp;B9&amp;"]={","["&amp;B9&amp;"]={"),IF(AND(ISBLANK(B9),ISBLANK(C9),ISBLANK(F9),ISBLANK(G9),OR(ISBLANK(B8)=FALSE,ISBLANK(C8)=FALSE,ISBLANK(F8)=FALSE,ISBLANK(G8)=FALSE)),"},},}",IF(ISBLANK(C9),"","{szContent="""&amp;C9&amp;""","&amp;IF(D9&lt;&gt;"","szNote="""&amp;D9&amp;""",","")&amp;IF(E9&lt;&gt;"","col={"&amp;E9&amp;"},","")&amp;IF(F9&gt;0,"bSearch=true,","")&amp;IF(G9&gt;0,"bReg=true,","")&amp;"[20]={"&amp;IF(H9&gt;0,"szVoice="""&amp;H9&amp;""",","")&amp;IF(I9&gt;0,"bTeamChannel=true,","")&amp;IF(J9&gt;0,"bWhisperChannel=true,","")&amp;IF(K9&gt;0,"bCenterAlarm=true,","")&amp;IF(L9&gt;0,"bScreenHead=true,","")&amp;IF(M9&gt;0,"bFullScreen=true,","")&amp;"},"&amp;IF(O9&lt;&gt;"","tCountdown={"&amp;_xlfn.TEXTJOIN("",TRUE,O9:AAA9)&amp;"},","")&amp;"},")))</f>
        <v/>
      </c>
    </row>
  </sheetData>
  <sortState ref="A3:Q7">
    <sortCondition ref="A3:A7" descending="1"/>
  </sortState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2024-01-14T19:36:00Z</dcterms:created>
  <dcterms:modified xsi:type="dcterms:W3CDTF">2026-08-07T16:08:18Z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C60FACA0CB0A457DB6499A343ED64CA5_12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