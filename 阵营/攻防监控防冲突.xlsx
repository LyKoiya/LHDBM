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6"/>
  </bookViews>
  <sheets>
    <sheet name="茗伊团队监控数据手册" sheetId="2" r:id="rId1"/>
    <sheet name="字典" sheetId="4" r:id="rId2"/>
    <sheet name="武学招式" sheetId="7" r:id="rId3"/>
    <sheet name="系统角色" sheetId="8" r:id="rId4"/>
    <sheet name="交互物件" sheetId="9" r:id="rId5"/>
    <sheet name="角色喊话" sheetId="10" r:id="rId6"/>
    <sheet name="系统频道" sheetId="11" r:id="rId7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<sst xmlns="http://schemas.openxmlformats.org/spreadsheetml/2006/main" count="2185" uniqueCount="1540">
  <si>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</si>
  <si>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</si>
  <si>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</si>
  <si>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</si>
  <si>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</si>
  <si>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</si>
  <si>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</si>
  <si>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</si>
  <si>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</si>
  <si>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</si>
  <si>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</si>
  <si>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</si>
  <si>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</si>
  <si>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</si>
  <si>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</si>
  <si>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</si>
  <si>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</si>
  <si>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</si>
  <si>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</si>
  <si>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</si>
  <si>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</si>
  <si>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</si>
  <si>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</si>
  <si>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</si>
  <si>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</si>
  <si>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</si>
  <si>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</si>
  <si>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</si>
  <si>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</si>
  <si>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</si>
  <si>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</si>
  <si>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</si>
  <si>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</si>
  <si>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</si>
  <si>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</si>
  <si>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</si>
  <si>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</si>
  <si>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</si>
  <si>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</si>
  <si>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</si>
  <si>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</si>
  <si>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</si>
  <si>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</si>
  <si>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</si>
  <si>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</si>
  <si>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</si>
  <si>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</si>
  <si>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</si>
  <si>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</si>
  <si>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</si>
  <si>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</si>
  <si>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</si>
  <si>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</si>
  <si>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</si>
  <si>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</si>
  <si>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</si>
  <si>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</si>
  <si>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</si>
  <si>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</si>
  <si>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</si>
  <si>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</si>
  <si>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</si>
  <si>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</si>
  <si>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</si>
  <si>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</si>
  <si>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</si>
  <si>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</si>
  <si>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</si>
  <si>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</si>
  <si>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</si>
  <si>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</si>
  <si>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</si>
  <si>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</si>
  <si>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</si>
  <si>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</si>
  <si>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</si>
  <si>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</si>
  <si>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</si>
  <si>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</si>
  <si>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</si>
  <si>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</si>
  <si>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</si>
  <si>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</si>
  <si>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</si>
  <si>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</si>
  <si>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</si>
  <si>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</si>
  <si>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</si>
  <si>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</si>
  <si>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</si>
  <si>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</si>
  <si>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</si>
  <si>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</si>
  <si>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</si>
  <si>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</si>
  <si>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</si>
  <si>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</si>
  <si>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</si>
  <si>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</si>
  <si>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</si>
  <si>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</si>
  <si>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</si>
  <si>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</si>
  <si>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</si>
  <si>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</si>
  <si>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</si>
  <si>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</si>
  <si>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</si>
  <si>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</si>
  <si>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</si>
  <si>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</si>
  <si>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</si>
  <si>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</si>
  <si>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</si>
  <si>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</si>
  <si>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</si>
  <si>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</si>
  <si>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</si>
  <si>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</si>
  <si>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</si>
  <si>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</si>
  <si>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</si>
  <si>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</si>
  <si>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</si>
  <si>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</si>
  <si>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</si>
  <si>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</si>
  <si>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</si>
  <si>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</si>
  <si>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</si>
  <si>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</si>
  <si>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</si>
  <si>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</si>
  <si>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</si>
  <si>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</si>
  <si>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</si>
  <si>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</si>
  <si>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</si>
  <si>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</si>
  <si>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</si>
  <si>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</si>
  <si>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</si>
  <si>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</si>
  <si>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</si>
  <si>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</si>
  <si>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</si>
  <si>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</si>
  <si>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</si>
  <si>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</si>
  <si>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</si>
  <si>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</si>
  <si>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</si>
  <si>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</si>
  <si>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</si>
  <si>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</si>
  <si>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</si>
  <si>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</si>
  <si>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</si>
  <si>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</si>
  <si>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</si>
  <si>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</si>
  <si>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</si>
  <si>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</si>
  <si>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</si>
  <si>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</si>
  <si>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</si>
  <si>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</si>
  <si>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</si>
  <si>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</si>
  <si>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</si>
  <si>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</si>
  <si>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</si>
  <si>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</si>
  <si>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</si>
  <si>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</si>
  <si>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</si>
  <si>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</si>
  <si>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</si>
  <si>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</si>
  <si>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</si>
  <si>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</si>
  <si>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</si>
  <si>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</si>
  <si>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</si>
  <si>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</si>
  <si>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</si>
  <si>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</si>
  <si>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</si>
  <si>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</si>
  <si>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</si>
  <si>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</si>
  <si>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</si>
  <si>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</si>
  <si>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</si>
  <si>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</si>
  <si>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</si>
  <si>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</si>
  <si>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</si>
  <si>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</si>
  <si>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</si>
  <si>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</si>
  <si>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</si>
  <si>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</si>
  <si>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</si>
  <si>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</si>
  <si>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</si>
  <si>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</si>
  <si>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</si>
  <si>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</si>
  <si>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</si>
  <si>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</si>
  <si>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</si>
  <si>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</si>
  <si>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</si>
  <si>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</si>
  <si>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</si>
  <si>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</si>
  <si>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</si>
  <si>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</si>
  <si>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</si>
  <si>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</si>
  <si>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</si>
  <si>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</si>
  <si>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</si>
  <si>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</si>
  <si>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</si>
  <si>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</si>
  <si>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</si>
  <si>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</si>
  <si>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</si>
  <si>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</si>
  <si>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</si>
  <si>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</si>
  <si>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</si>
  <si>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</si>
  <si>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</si>
  <si>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</si>
  <si>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</si>
  <si>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</si>
  <si>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</si>
  <si>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</si>
  <si>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</si>
  <si>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</si>
  <si>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</si>
  <si>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</si>
  <si>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</si>
  <si>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</si>
  <si>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</si>
  <si>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</si>
  <si>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</si>
  <si>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</si>
  <si>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</si>
  <si>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</si>
  <si>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</si>
  <si>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</si>
  <si>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</si>
  <si>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</si>
  <si>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</si>
  <si>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</si>
  <si>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</si>
  <si>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</si>
  <si>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</si>
  <si>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</si>
  <si>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</si>
  <si>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</si>
  <si>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</si>
  <si>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</si>
  <si>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</si>
  <si>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</si>
  <si>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</si>
  <si>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</si>
  <si>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</si>
  <si>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</si>
  <si>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</si>
  <si>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</si>
  <si>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</si>
  <si>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</si>
  <si>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</si>
  <si>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</si>
  <si>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</si>
  <si>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</si>
  <si>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</si>
  <si>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</si>
  <si>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</si>
  <si>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</si>
  <si>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</si>
  <si>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</si>
  <si>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</si>
  <si>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</si>
  <si>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</si>
  <si>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</si>
  <si>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</si>
  <si>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</si>
  <si>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</si>
  <si>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</si>
  <si>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</si>
  <si>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</si>
  <si>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</si>
  <si>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</si>
  <si>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</si>
  <si>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</si>
  <si>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</si>
  <si>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</si>
  <si>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</si>
  <si>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</si>
  <si>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</si>
  <si>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</si>
  <si>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</si>
  <si>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</si>
  <si>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</si>
  <si>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</si>
  <si>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</si>
  <si>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</si>
  <si>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</si>
  <si>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</si>
  <si>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</si>
  <si>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</si>
  <si>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</si>
  <si>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</si>
  <si>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</si>
  <si>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</si>
  <si>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</si>
  <si>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</si>
  <si>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</si>
  <si>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</si>
  <si>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</si>
  <si>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</si>
  <si>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</si>
  <si>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</si>
  <si>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</si>
  <si>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</si>
  <si>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</si>
  <si>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</si>
  <si>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</si>
  <si>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</si>
  <si>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</si>
  <si>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</si>
  <si>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</si>
  <si>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</si>
  <si>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</si>
  <si>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</si>
  <si>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</si>
  <si>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</si>
  <si>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</si>
  <si>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</si>
  <si>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</si>
  <si>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</si>
  <si>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</si>
  <si>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</si>
  <si>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</si>
  <si>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</si>
  <si>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</si>
  <si>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</si>
  <si>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</si>
  <si>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</si>
  <si>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</si>
  <si>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</si>
  <si>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</si>
  <si>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</si>
  <si>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</si>
  <si>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</si>
  <si>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</si>
  <si>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</si>
  <si>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</si>
  <si>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</si>
  <si>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</si>
  <si>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</si>
  <si>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</si>
  <si>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</si>
  <si>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</si>
  <si>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</si>
  <si>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</si>
  <si>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</si>
  <si>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</si>
  <si>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</si>
  <si>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</si>
  <si>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</si>
  <si>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</si>
  <si>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</si>
  <si>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</si>
  <si>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</si>
  <si>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</si>
  <si>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</si>
  <si>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</si>
  <si>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</si>
  <si>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</si>
  <si>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</si>
  <si>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</si>
  <si>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</si>
  <si>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</si>
  <si>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</si>
  <si>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</si>
  <si>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</si>
  <si>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</si>
  <si>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</si>
  <si>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</si>
  <si>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</si>
  <si>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</si>
  <si>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</si>
  <si>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</si>
  <si>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</si>
  <si>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</si>
  <si>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</si>
  <si>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</si>
  <si>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</si>
  <si>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</si>
  <si>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</si>
  <si>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</si>
  <si>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</si>
  <si>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</si>
  <si>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</si>
  <si>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</si>
  <si>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</si>
  <si>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</si>
  <si>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</si>
  <si>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</si>
  <si>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</si>
  <si>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</si>
  <si>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</si>
  <si>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</si>
  <si>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</si>
  <si>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</si>
  <si>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</si>
  <si>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</si>
  <si>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</si>
  <si>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</si>
  <si>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</si>
  <si>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</si>
  <si>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</si>
  <si>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</si>
  <si>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</si>
  <si>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</si>
  <si>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</si>
  <si>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</si>
  <si>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</si>
  <si>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</si>
  <si>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</si>
  <si>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</si>
  <si>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</si>
  <si>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</si>
  <si>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</si>
  <si>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</si>
  <si>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</si>
  <si>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</si>
  <si>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</si>
  <si>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</si>
  <si>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</si>
  <si>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</si>
  <si>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</si>
  <si>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</si>
  <si>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</si>
  <si>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</si>
  <si>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</si>
  <si>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</si>
  <si>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</si>
  <si>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</si>
  <si>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</si>
  <si>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</si>
  <si>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</si>
  <si>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</si>
  <si>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</si>
  <si>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</si>
  <si>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</si>
  <si>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</si>
  <si>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</si>
  <si>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</si>
  <si>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</si>
  <si>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</si>
  <si>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</si>
  <si>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</si>
  <si>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</si>
  <si>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</si>
  <si>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</si>
  <si>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</si>
  <si>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</si>
  <si>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</si>
  <si>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</si>
  <si>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</si>
  <si>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</si>
  <si>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</si>
  <si>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</si>
  <si>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</si>
  <si>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</si>
  <si>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</si>
  <si>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</si>
  <si>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</si>
  <si>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</si>
  <si>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</si>
  <si>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</si>
  <si>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</si>
  <si>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</si>
  <si>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</si>
  <si>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</si>
  <si>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</si>
  <si>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</si>
  <si>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</si>
  <si>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</si>
  <si>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</si>
  <si>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</si>
  <si>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</si>
  <si>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</si>
  <si>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</si>
  <si>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</si>
  <si>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</si>
  <si>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</si>
  <si>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</si>
  <si>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</si>
  <si>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</si>
  <si>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</si>
  <si>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</si>
  <si>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</si>
  <si>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</si>
  <si>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</si>
  <si>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</si>
  <si>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</si>
  <si>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</si>
  <si>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</si>
  <si>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</si>
  <si>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</si>
  <si>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</si>
  <si>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</si>
  <si>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</si>
  <si>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</si>
  <si>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</si>
  <si>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</si>
  <si>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</si>
  <si>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</si>
  <si>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</si>
  <si>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</si>
  <si>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</si>
  <si>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</si>
  <si>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</si>
  <si>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</si>
  <si>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</si>
  <si>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</si>
  <si>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</si>
  <si>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</si>
  <si>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</si>
  <si>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</si>
  <si>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</si>
  <si>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</si>
  <si>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</si>
  <si>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</si>
  <si>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</si>
  <si>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</si>
  <si>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</si>
  <si>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</si>
  <si>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</si>
  <si>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</si>
  <si>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</si>
  <si>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</si>
  <si>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</si>
  <si>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</si>
  <si>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</si>
  <si>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</si>
  <si>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</si>
  <si>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</si>
  <si>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</si>
  <si>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</si>
  <si>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</si>
  <si>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</si>
  <si>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</si>
  <si>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</si>
  <si>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</si>
  <si>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</si>
  <si>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</si>
  <si>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</si>
  <si>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</si>
  <si>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</si>
  <si>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</si>
  <si>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</si>
  <si>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</si>
  <si>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</si>
  <si>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</si>
  <si>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</si>
  <si>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</si>
  <si>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</si>
  <si>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</si>
  <si>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</si>
  <si>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</si>
  <si>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</si>
  <si>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</si>
  <si>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</si>
  <si>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</si>
  <si>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</si>
  <si>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</si>
  <si>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</si>
  <si>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</si>
  <si>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</si>
  <si>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</si>
  <si>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</si>
  <si>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</si>
  <si>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</si>
  <si>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</si>
  <si>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</si>
  <si>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</si>
  <si>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</si>
  <si>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</si>
  <si>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</si>
  <si>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</si>
  <si>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</si>
  <si>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</si>
  <si>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</si>
  <si>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</si>
  <si>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</si>
  <si>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</si>
  <si>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</si>
  <si>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</si>
  <si>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</si>
  <si>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</si>
  <si>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</si>
  <si>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</si>
  <si>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</si>
  <si>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</si>
  <si>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</si>
  <si>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</si>
  <si>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</si>
  <si>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</si>
  <si>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</si>
  <si>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</si>
  <si>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</si>
  <si>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</si>
  <si>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</si>
  <si>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</si>
  <si>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</si>
  <si>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</si>
  <si>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</si>
  <si>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</si>
  <si>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</si>
  <si>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</si>
  <si>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</si>
  <si>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</si>
  <si>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</si>
  <si>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</si>
  <si>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</si>
  <si>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</si>
  <si>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</si>
  <si>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</si>
  <si>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</si>
  <si>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</si>
  <si>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</si>
  <si>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</si>
  <si>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</si>
  <si>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</si>
  <si>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</si>
  <si>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</si>
  <si>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</si>
  <si>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</si>
  <si>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</si>
  <si>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</si>
  <si>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</si>
  <si>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</si>
  <si>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</si>
  <si>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</si>
  <si>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</si>
  <si>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</si>
  <si>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</si>
  <si>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</si>
  <si>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</si>
  <si>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</si>
  <si>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</si>
  <si>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</si>
  <si>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</si>
  <si>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</si>
  <si>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</si>
  <si>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</si>
  <si>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</si>
  <si>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</si>
  <si>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</si>
  <si>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</si>
  <si>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</si>
  <si>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</si>
  <si>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</si>
  <si>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</si>
  <si>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</si>
  <si>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</si>
  <si>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</si>
  <si>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</si>
  <si>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</si>
  <si>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</si>
  <si>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</si>
  <si>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</si>
  <si>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</si>
  <si>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</si>
  <si>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</si>
  <si>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</si>
  <si>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</si>
  <si>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</si>
  <si>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</si>
  <si>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</si>
  <si>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</si>
  <si>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</si>
  <si>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</si>
  <si>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</si>
  <si>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</si>
  <si>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</si>
  <si>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</si>
  <si>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</si>
  <si>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</si>
  <si>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</si>
  <si>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</si>
  <si>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</si>
  <si>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</si>
  <si>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</si>
  <si>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</si>
  <si>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</si>
  <si>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</si>
  <si>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</si>
  <si>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</si>
  <si>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</si>
  <si>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</si>
  <si>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</si>
  <si>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</si>
  <si>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</si>
  <si>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</si>
  <si>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</si>
  <si>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</si>
  <si>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</si>
  <si>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</si>
  <si>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</si>
  <si>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</si>
  <si>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</si>
  <si>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</si>
  <si>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</si>
  <si>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</si>
  <si>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</si>
  <si>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</si>
  <si>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</si>
  <si>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</si>
  <si>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</si>
  <si>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</si>
  <si>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</si>
  <si>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</si>
  <si>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</si>
  <si>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</si>
  <si>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</si>
  <si>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</si>
  <si>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</si>
  <si>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</si>
  <si>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</si>
  <si>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</si>
  <si>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</si>
  <si>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</si>
  <si>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</si>
  <si>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</si>
  <si>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</si>
  <si>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</si>
  <si>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</si>
  <si>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</si>
  <si>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</si>
  <si>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</si>
  <si>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</si>
  <si>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</si>
  <si>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</si>
  <si>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</si>
  <si>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</si>
  <si>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</si>
  <si>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</si>
  <si>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</si>
  <si>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</si>
  <si>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</si>
  <si>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</si>
  <si>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</si>
  <si>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</si>
  <si>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</si>
  <si>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</si>
  <si>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</si>
  <si>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</si>
  <si>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</si>
  <si>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</si>
  <si>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</si>
  <si>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</si>
  <si>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</si>
  <si>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</si>
  <si>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</si>
  <si>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</si>
  <si>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</si>
  <si>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</si>
  <si>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</si>
  <si>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</si>
  <si>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</si>
  <si>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</si>
  <si>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</si>
  <si>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</si>
  <si>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</si>
  <si>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</si>
  <si>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</si>
  <si>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</si>
  <si>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</si>
  <si>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</si>
  <si>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</si>
  <si>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</si>
  <si>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</si>
  <si>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</si>
  <si>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</si>
  <si>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</si>
  <si>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</si>
  <si>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</si>
  <si>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</si>
  <si>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</si>
  <si>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</si>
  <si>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</si>
  <si>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</si>
  <si>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</si>
  <si>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</si>
  <si>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</si>
  <si>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</si>
  <si>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</si>
  <si>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</si>
  <si>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</si>
  <si>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</si>
  <si>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</si>
  <si>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</si>
  <si>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</si>
  <si>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</si>
  <si>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</si>
  <si>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</si>
  <si>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</si>
  <si>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</si>
  <si>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</si>
  <si>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</si>
  <si>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</si>
  <si>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</si>
  <si>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</si>
  <si>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</si>
  <si>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</si>
  <si>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</si>
  <si>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</si>
  <si>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</si>
  <si>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</si>
  <si>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</si>
  <si>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</si>
  <si>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</si>
  <si>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</si>
  <si>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</si>
  <si>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</si>
  <si>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</si>
  <si>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</si>
  <si>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</si>
  <si>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</si>
  <si>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</si>
  <si>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</si>
  <si>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</si>
  <si>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</si>
  <si>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</si>
  <si>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</si>
  <si>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</si>
  <si>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</si>
  <si>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</si>
  <si>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</si>
  <si>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</si>
  <si>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</si>
  <si>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</si>
  <si>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</si>
  <si>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</si>
  <si>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</si>
  <si>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</si>
  <si>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</si>
  <si>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</si>
  <si>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</si>
  <si>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</si>
  <si>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</si>
  <si>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</si>
  <si>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</si>
  <si>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</si>
  <si>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</si>
  <si>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</si>
  <si>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</si>
  <si>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</si>
  <si>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</si>
  <si>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</si>
  <si>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</si>
  <si>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</si>
  <si>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</si>
  <si>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</si>
  <si>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</si>
  <si>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</si>
  <si>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</si>
  <si>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</si>
  <si>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</si>
  <si>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</si>
  <si>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</si>
  <si>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</si>
  <si>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</si>
  <si>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</si>
  <si>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</si>
  <si>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</si>
  <si>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</si>
  <si>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</si>
  <si>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</si>
  <si>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</si>
  <si>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</si>
  <si>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</si>
  <si>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</si>
  <si>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</si>
  <si>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</si>
  <si>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</si>
  <si>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</si>
  <si>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</si>
  <si>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</si>
  <si>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</si>
  <si>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</si>
  <si>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</si>
  <si>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</si>
  <si>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</si>
  <si>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</si>
  <si>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</si>
  <si>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</si>
  <si>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</si>
  <si>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</si>
  <si>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</si>
  <si>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</si>
  <si>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</si>
  <si>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</si>
  <si>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</si>
  <si>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</si>
  <si>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</si>
  <si>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</si>
  <si>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</si>
  <si>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</si>
  <si>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</si>
  <si>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</si>
  <si>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</si>
  <si>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</si>
  <si>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</si>
  <si>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</si>
  <si>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</si>
  <si>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</si>
  <si>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</si>
  <si>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</si>
  <si>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</si>
  <si>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</si>
  <si>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</si>
  <si>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</si>
  <si>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</si>
  <si>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</si>
  <si>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</si>
  <si>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</si>
  <si>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</si>
  <si>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</si>
  <si>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</si>
  <si>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</si>
  <si>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</si>
  <si>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</si>
  <si>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</si>
  <si>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</si>
  <si>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</si>
  <si>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</si>
  <si>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</si>
  <si>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</si>
  <si>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</si>
  <si>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</si>
  <si>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</si>
  <si>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</si>
  <si>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</si>
  <si>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</si>
  <si>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</si>
  <si>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</si>
  <si>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</si>
  <si>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</si>
  <si>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</si>
  <si>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</si>
  <si>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</si>
  <si>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</si>
  <si>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</si>
  <si>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</si>
  <si>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</si>
  <si>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</si>
  <si>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</si>
  <si>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</si>
  <si>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</si>
  <si>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</si>
  <si>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</si>
  <si>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</si>
  <si>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</si>
  <si>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</si>
  <si>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</si>
  <si>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</si>
  <si>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</si>
  <si>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</si>
  <si>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</si>
  <si>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</si>
  <si>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</si>
  <si>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</si>
  <si>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</si>
  <si>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</si>
  <si>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</si>
  <si>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</si>
  <si>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</si>
  <si>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</si>
  <si>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</si>
  <si>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</si>
  <si>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</si>
  <si>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</si>
  <si>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</si>
  <si>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</si>
  <si>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</si>
  <si>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</si>
  <si>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</si>
  <si>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</si>
  <si>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</si>
  <si>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</si>
  <si>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</si>
  <si>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</si>
  <si>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</si>
  <si>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</si>
  <si>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</si>
  <si>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</si>
  <si>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</si>
  <si>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</si>
  <si>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</si>
  <si>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</si>
  <si>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</si>
  <si>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</si>
  <si>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</si>
  <si>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</si>
  <si>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</si>
  <si>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</si>
  <si>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</si>
  <si>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</si>
  <si>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</si>
  <si>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</si>
  <si>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</si>
  <si>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</si>
  <si>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</si>
  <si>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</si>
  <si>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</si>
  <si>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</si>
  <si>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</si>
  <si>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</si>
  <si>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</si>
  <si>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</si>
  <si>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</si>
  <si>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</si>
  <si>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</si>
  <si>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</si>
  <si>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</si>
  <si>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</si>
  <si>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</si>
  <si>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</si>
  <si>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</si>
  <si>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</si>
  <si>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</si>
  <si>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</si>
  <si>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</si>
  <si>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</si>
  <si>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</si>
  <si>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</si>
  <si>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</si>
  <si>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</si>
  <si>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</si>
  <si>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</si>
  <si>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</si>
  <si>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</si>
  <si>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</si>
  <si>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</si>
  <si>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</si>
  <si>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</si>
  <si>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</si>
  <si>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</si>
  <si>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</si>
  <si>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</si>
  <si>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</si>
  <si>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</si>
  <si>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</si>
  <si>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</si>
  <si>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</si>
  <si>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</si>
  <si>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</si>
  <si>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</si>
  <si>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</si>
  <si>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</si>
  <si>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</si>
  <si>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</si>
  <si>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</si>
  <si>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</si>
  <si>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</si>
  <si>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</si>
  <si>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</si>
  <si>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</si>
  <si>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</si>
  <si>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</si>
  <si>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</si>
  <si>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</si>
  <si>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</si>
  <si>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</si>
  <si>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</si>
  <si>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</si>
  <si>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</si>
  <si>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</si>
  <si>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</si>
  <si>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</si>
  <si>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</si>
  <si>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</si>
  <si>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</si>
  <si>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</si>
  <si>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</si>
  <si>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</si>
  <si>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</si>
  <si>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</si>
  <si>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</si>
  <si>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</si>
  <si>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</si>
  <si>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</si>
  <si>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</si>
  <si>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</si>
  <si>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</si>
  <si>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</si>
  <si>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</si>
  <si>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</si>
  <si>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</si>
  <si>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</si>
  <si>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</si>
  <si>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</si>
  <si>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</si>
  <si>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</si>
  <si>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</si>
  <si>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</si>
  <si>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</si>
  <si>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</si>
  <si>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</si>
  <si>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</si>
  <si>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</si>
  <si>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</si>
  <si>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</si>
  <si>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</si>
  <si>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</si>
  <si>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</si>
  <si>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</si>
  <si>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</si>
  <si>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</si>
  <si>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</si>
  <si>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</si>
  <si>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</si>
  <si>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</si>
  <si>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</si>
  <si>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</si>
  <si>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</si>
  <si>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</si>
  <si>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</si>
  <si>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</si>
  <si>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</si>
  <si>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</si>
  <si>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</si>
  <si>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</si>
  <si>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</si>
  <si>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</si>
  <si>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</si>
  <si>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</si>
  <si>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</si>
  <si>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</si>
  <si>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</si>
  <si>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</si>
  <si>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</si>
  <si>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</si>
  <si>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</si>
  <si>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</si>
  <si>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</si>
  <si>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</si>
  <si>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</si>
  <si>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</si>
  <si>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</si>
  <si>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</si>
  <si>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</si>
  <si>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</si>
  <si>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</si>
  <si>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</si>
  <si>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</si>
  <si>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</si>
  <si>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</si>
  <si>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</si>
  <si>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</si>
  <si>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</si>
  <si>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</si>
  <si>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</si>
  <si>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</si>
  <si>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</si>
  <si>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</si>
  <si>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</si>
  <si>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</si>
  <si>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</si>
  <si>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</si>
  <si>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</si>
  <si>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</si>
  <si>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</si>
  <si>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</si>
  <si>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</si>
  <si>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</si>
  <si>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</si>
  <si>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</si>
  <si>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</si>
  <si>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</si>
  <si>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</si>
  <si>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</si>
  <si>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</si>
  <si>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</si>
  <si>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</si>
  <si>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</si>
  <si>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</si>
  <si>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</si>
  <si>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</si>
  <si>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</si>
  <si>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</si>
  <si>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</si>
  <si>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</si>
  <si>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</si>
  <si>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</si>
  <si>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</si>
  <si>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</si>
  <si>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</si>
  <si>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</si>
  <si>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</si>
  <si>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</si>
  <si>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</si>
  <si>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</si>
  <si>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</si>
  <si>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</si>
  <si>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</si>
  <si>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</si>
  <si>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</si>
  <si>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</si>
  <si>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</si>
  <si>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</si>
  <si>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</si>
  <si>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</si>
  <si>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</si>
  <si>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</si>
  <si>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</si>
  <si>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</si>
  <si>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</si>
  <si>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</si>
  <si>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</si>
  <si>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</si>
  <si>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</si>
  <si>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</si>
  <si>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</si>
  <si>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</si>
  <si>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</si>
  <si>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</si>
  <si>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</si>
  <si>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</si>
  <si>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</si>
  <si>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</si>
  <si>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</si>
  <si>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</si>
  <si>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</si>
  <si>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</si>
  <si>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</si>
  <si>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</si>
  <si>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</si>
  <si>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</si>
  <si>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</si>
  <si>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</si>
  <si>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</si>
  <si>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</si>
  <si>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</si>
  <si>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</si>
  <si>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</si>
  <si>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</si>
  <si>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</si>
  <si>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</si>
  <si>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</si>
  <si>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</si>
  <si>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</si>
  <si>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</si>
  <si>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</si>
  <si>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</si>
  <si>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</si>
  <si>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</si>
  <si>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</si>
  <si>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</si>
  <si>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</si>
  <si>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</si>
  <si>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</si>
  <si>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</si>
  <si>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</si>
  <si>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</si>
  <si>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</si>
  <si>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</si>
  <si>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</si>
  <si>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</si>
  <si>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</si>
  <si>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</si>
  <si>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</si>
  <si>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</si>
  <si>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</si>
  <si>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</si>
  <si>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</si>
  <si>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</si>
  <si>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</si>
  <si>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</si>
  <si>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</si>
  <si>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</si>
  <si>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</si>
  <si>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</si>
  <si>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</si>
  <si>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</si>
  <si>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</si>
  <si>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</si>
  <si>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</si>
  <si>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</si>
  <si>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</si>
  <si>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</si>
  <si>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</si>
  <si>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</si>
  <si>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</si>
  <si>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</si>
  <si>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</si>
  <si>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</si>
  <si>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</si>
  <si>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</si>
  <si>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</si>
  <si>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</si>
  <si>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</si>
  <si>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</si>
  <si>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</si>
  <si>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</si>
  <si>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</si>
  <si>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</si>
  <si>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</si>
  <si>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</si>
  <si>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</si>
  <si>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</si>
  <si>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</si>
  <si>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</si>
  <si>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</si>
  <si>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</si>
  <si>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</si>
  <si>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</si>
  <si>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</si>
  <si>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</si>
  <si>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</si>
  <si>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</si>
  <si>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</si>
  <si>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</si>
  <si>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</si>
  <si>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</si>
  <si>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</si>
  <si>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</si>
  <si>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</si>
  <si>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</si>
  <si>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</si>
  <si>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</si>
  <si>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</si>
  <si>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</si>
  <si>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</si>
  <si>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</si>
  <si>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</si>
  <si>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</si>
  <si>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</si>
  <si>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</si>
  <si>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</si>
  <si>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</si>
  <si>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</si>
  <si>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</si>
  <si>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</si>
  <si>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</si>
  <si>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</si>
  <si>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</si>
  <si>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</si>
  <si>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</si>
  <si>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</si>
  <si>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</si>
  <si>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</si>
  <si>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</si>
  <si>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</si>
  <si>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</si>
  <si>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</si>
  <si>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</si>
  <si>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</si>
  <si>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</si>
  <si>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</si>
  <si>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</si>
  <si>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</si>
  <si>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</si>
  <si>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</si>
  <si>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</si>
  <si>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</si>
  <si>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</si>
  <si>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</si>
  <si>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</si>
  <si>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</si>
  <si>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</si>
  <si>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</si>
  <si>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</si>
  <si>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</si>
  <si>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</si>
  <si>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</si>
  <si>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</si>
  <si>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</si>
  <si>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</si>
  <si>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</si>
  <si>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</si>
  <si>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</si>
  <si>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</si>
  <si>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</si>
  <si>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</si>
  <si>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</si>
  <si>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</si>
  <si>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</si>
  <si>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</si>
  <si>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</si>
  <si>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</si>
  <si>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</si>
  <si>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</si>
  <si>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</si>
  <si>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</si>
  <si>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</si>
  <si>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</si>
  <si>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</si>
  <si>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</si>
  <si>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</si>
  <si>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</si>
  <si>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</si>
  <si>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</si>
  <si>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</si>
  <si>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</si>
  <si>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</si>
  <si>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</si>
  <si>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</si>
  <si>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</si>
  <si>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</si>
  <si>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</si>
  <si>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</si>
  <si>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</si>
  <si>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</si>
  <si>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</si>
  <si>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</si>
  <si>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</si>
  <si>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</si>
  <si>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</si>
  <si>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</si>
  <si>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</si>
  <si>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</si>
  <si>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</si>
  <si>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</si>
  <si>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</si>
  <si>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</si>
  <si>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</si>
  <si>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</si>
  <si>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</si>
  <si>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</si>
  <si>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</si>
  <si>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</si>
  <si>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</si>
  <si>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</si>
  <si>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</si>
  <si>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</si>
  <si>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</si>
  <si>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</si>
  <si>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</si>
  <si>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</si>
  <si>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</si>
  <si>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</si>
  <si>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</si>
  <si>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</si>
  <si>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</si>
  <si>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</si>
  <si>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</si>
  <si>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</si>
  <si>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</si>
  <si>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</si>
  <si>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</si>
  <si>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</si>
  <si>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</si>
  <si>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</si>
  <si>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</si>
  <si>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</si>
  <si>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</si>
  <si>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</si>
  <si>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</si>
  <si>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</si>
  <si>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</si>
  <si>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</si>
  <si>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</si>
  <si>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</si>
  <si>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</si>
  <si>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</si>
  <si>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图标</t>
  </si>
  <si>
    <t>名称</t>
  </si>
  <si>
    <t>区分等级</t>
  </si>
  <si>
    <t>监控对象</t>
  </si>
  <si>
    <t>心法要求</t>
  </si>
  <si>
    <t>通用颜色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</si>
  <si>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</si>
  <si>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</si>
  <si>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</si>
  <si>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</si>
  <si>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</si>
  <si>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</si>
  <si>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</si>
  <si>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</si>
  <si>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</si>
  <si>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</si>
  <si>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</si>
  <si>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</si>
  <si>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</si>
  <si>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</si>
  <si>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</si>
  <si>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</si>
  <si>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</si>
  <si>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</si>
  <si>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</si>
  <si>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</si>
  <si>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</si>
  <si>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</si>
  <si>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</si>
  <si>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</si>
  <si>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</si>
  <si>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</si>
  <si>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</si>
  <si>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</si>
  <si>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</si>
  <si>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</si>
  <si>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</si>
  <si>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</si>
  <si>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</si>
  <si>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</si>
  <si>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</si>
  <si>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</si>
  <si>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</si>
  <si>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</si>
  <si>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</si>
  <si>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</si>
  <si>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</si>
  <si>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</si>
  <si>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</si>
  <si>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</si>
  <si>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</si>
  <si>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</si>
  <si>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</si>
  <si>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</si>
  <si>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</si>
  <si>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^江湖快报！(.*)据点粮仓被一群浩气盟人士洗劫，损失一半据点资金。\n</t>
  </si>
  <si>
    <t>防止冲突</t>
  </si>
  <si>
    <t>^江湖快报！(.*)据点粮仓被一群恶人谷人士洗劫，损失一半据点资金。\n</t>
  </si>
  <si>
    <t>^浩气盟位于(.*)的【(.*)据点】大旗被夺，10分钟后若未能夺回大旗，则会丢失此据点！\n</t>
  </si>
  <si>
    <t>^恶人谷位于(.*)的【(.*)据点】大旗被夺，10分钟后若未能夺回大旗，则会丢失此据点！\n</t>
  </si>
  <si>
    <t>^浩气盟的【(.*)】帮会成功占领【(.*)】据点！(.*)</t>
  </si>
  <si>
    <t>^恶人谷的【(.*)】帮会成功占领【(.*)】据点！(.*)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</si>
</sst>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1786119176000,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49</v>
      </c>
      <c r="K1" t="s">
        <v>1483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"/>
  <sheetViews>
    <sheetView workbookViewId="0">
      <selection activeCell="W2" sqref="W2"/>
    </sheetView>
  </sheetViews>
  <sheetFormatPr defaultColWidth="9" defaultRowHeight="13.5" outlineLevelRow="3"/>
  <sheetData>
    <row r="1" spans="1:24">
      <c r="A1" t="s">
        <v>1476</v>
      </c>
      <c r="B1" t="s">
        <v>1477</v>
      </c>
      <c r="C1" t="s">
        <v>62</v>
      </c>
      <c r="D1" t="s">
        <v>1478</v>
      </c>
      <c r="E1" t="s">
        <v>1497</v>
      </c>
      <c r="F1" t="s">
        <v>1498</v>
      </c>
      <c r="G1" t="s">
        <v>1479</v>
      </c>
      <c r="H1" t="s">
        <v>1482</v>
      </c>
      <c r="I1" t="s">
        <v>49</v>
      </c>
      <c r="J1" t="s">
        <v>1483</v>
      </c>
      <c r="K1" t="s">
        <v>1499</v>
      </c>
      <c r="L1" t="s">
        <v>1500</v>
      </c>
      <c r="M1" t="s">
        <v>1501</v>
      </c>
      <c r="N1" t="s">
        <v>1502</v>
      </c>
      <c r="O1" t="s">
        <v>1503</v>
      </c>
      <c r="P1" t="s">
        <v>1504</v>
      </c>
      <c r="Q1" t="s">
        <v>1505</v>
      </c>
      <c r="R1" t="s">
        <v>1506</v>
      </c>
      <c r="S1" t="s">
        <v>1507</v>
      </c>
      <c r="T1" t="s">
        <v>1508</v>
      </c>
      <c r="U1" t="s">
        <v>1509</v>
      </c>
      <c r="V1" t="s">
        <v>296</v>
      </c>
      <c r="W1" t="s">
        <v>1510</v>
      </c>
      <c r="X1" t="s">
        <v>316</v>
      </c>
    </row>
    <row r="2" spans="1:24">
      <c r="W2" t="str">
        <f t="shared" ref="W2:W4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},},}</v>
      </c>
    </row>
    <row r="4" spans="1:24">
      <c r="W4" t="str">
        <f t="shared" si="0"/>
        <v/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"/>
  <sheetViews>
    <sheetView workbookViewId="0">
      <selection activeCell="U2" sqref="U2"/>
    </sheetView>
  </sheetViews>
  <sheetFormatPr defaultColWidth="9" defaultRowHeight="13.5" outlineLevelRow="3"/>
  <sheetData>
    <row r="1" spans="1:22">
      <c r="A1" t="s">
        <v>1476</v>
      </c>
      <c r="B1" t="s">
        <v>1477</v>
      </c>
      <c r="C1" t="s">
        <v>62</v>
      </c>
      <c r="D1" t="s">
        <v>1497</v>
      </c>
      <c r="E1" t="s">
        <v>1498</v>
      </c>
      <c r="F1" t="s">
        <v>1479</v>
      </c>
      <c r="G1" t="s">
        <v>1482</v>
      </c>
      <c r="H1" t="s">
        <v>49</v>
      </c>
      <c r="I1" t="s">
        <v>1483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  <c r="O1" t="s">
        <v>1516</v>
      </c>
      <c r="P1" t="s">
        <v>1517</v>
      </c>
      <c r="Q1" t="s">
        <v>1518</v>
      </c>
      <c r="R1" t="s">
        <v>1519</v>
      </c>
      <c r="S1" t="s">
        <v>1520</v>
      </c>
      <c r="T1" t="s">
        <v>296</v>
      </c>
      <c r="U1" t="s">
        <v>1521</v>
      </c>
      <c r="V1" t="s">
        <v>316</v>
      </c>
    </row>
    <row r="2" spans="1:22">
      <c r="U2" t="str">
        <f t="shared" ref="U2:U4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},},}</v>
      </c>
    </row>
    <row r="4" spans="1:22">
      <c r="U4" t="str">
        <f t="shared" si="0"/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1522</v>
      </c>
      <c r="E1" t="s">
        <v>49</v>
      </c>
      <c r="F1" t="s">
        <v>1483</v>
      </c>
      <c r="G1" t="s">
        <v>1523</v>
      </c>
      <c r="H1" t="s">
        <v>1524</v>
      </c>
      <c r="I1" t="s">
        <v>1525</v>
      </c>
      <c r="J1" t="s">
        <v>1526</v>
      </c>
      <c r="K1" t="s">
        <v>1527</v>
      </c>
      <c r="L1" t="s">
        <v>1528</v>
      </c>
      <c r="M1" t="s">
        <v>1529</v>
      </c>
      <c r="N1" t="s">
        <v>1530</v>
      </c>
      <c r="O1" t="s">
        <v>1531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4"/>
  <sheetViews>
    <sheetView tabSelected="1" topLeftCell="A2" workbookViewId="0">
      <selection activeCell="N10" sqref="N10"/>
    </sheetView>
  </sheetViews>
  <sheetFormatPr defaultColWidth="9" defaultRowHeight="13.5"/>
  <cols>
    <col min="3" max="3" width="79.75" customWidth="1"/>
    <col min="4" max="4" width="13.125" customWidth="1"/>
  </cols>
  <sheetData>
    <row r="1" spans="1:15">
      <c r="A1" t="s">
        <v>1476</v>
      </c>
      <c r="B1" t="s">
        <v>1477</v>
      </c>
      <c r="C1" t="s">
        <v>1522</v>
      </c>
      <c r="D1" t="s">
        <v>49</v>
      </c>
      <c r="E1" t="s">
        <v>1483</v>
      </c>
      <c r="F1" t="s">
        <v>1523</v>
      </c>
      <c r="G1" t="s">
        <v>1524</v>
      </c>
      <c r="H1" t="s">
        <v>1525</v>
      </c>
      <c r="I1" t="s">
        <v>1526</v>
      </c>
      <c r="J1" t="s">
        <v>1527</v>
      </c>
      <c r="K1" t="s">
        <v>1528</v>
      </c>
      <c r="L1" t="s">
        <v>1529</v>
      </c>
      <c r="M1" t="s">
        <v>1530</v>
      </c>
      <c r="N1" t="s">
        <v>1532</v>
      </c>
      <c r="O1" t="s">
        <v>316</v>
      </c>
    </row>
    <row r="2" spans="1:15">
      <c r="A2" t="s">
        <v>735</v>
      </c>
      <c r="B2">
        <v>22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[22]={</v>
      </c>
    </row>
    <row r="3" spans="1:15">
      <c r="C3" t="s">
        <v>1533</v>
      </c>
      <c r="D3" t="s">
        <v>1534</v>
      </c>
      <c r="N3" t="str">
        <f t="shared" ref="N3:N34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{szContent="^江湖快报！(.*)据点粮仓被一群浩气盟人士洗劫，损失一半据点资金。\n",szNote="防止冲突",[20]={},},</v>
      </c>
    </row>
    <row r="4" spans="1:15">
      <c r="C4" t="s">
        <v>1535</v>
      </c>
      <c r="D4" t="s">
        <v>1534</v>
      </c>
      <c r="N4" t="str">
        <f t="shared" si="0"/>
        <v>{szContent="^江湖快报！(.*)据点粮仓被一群恶人谷人士洗劫，损失一半据点资金。\n",szNote="防止冲突",[20]={},},</v>
      </c>
    </row>
    <row r="5" spans="1:15">
      <c r="C5" t="s">
        <v>1536</v>
      </c>
      <c r="D5" t="s">
        <v>1534</v>
      </c>
      <c r="N5" t="str">
        <f t="shared" si="0"/>
        <v>{szContent="^浩气盟位于(.*)的【(.*)据点】大旗被夺，10分钟后若未能夺回大旗，则会丢失此据点！\n",szNote="防止冲突",[20]={},},</v>
      </c>
    </row>
    <row r="6" spans="1:15">
      <c r="C6" t="s">
        <v>1537</v>
      </c>
      <c r="D6" t="s">
        <v>1534</v>
      </c>
      <c r="N6" t="str">
        <f t="shared" si="0"/>
        <v>{szContent="^恶人谷位于(.*)的【(.*)据点】大旗被夺，10分钟后若未能夺回大旗，则会丢失此据点！\n",szNote="防止冲突",[20]={},},</v>
      </c>
    </row>
    <row r="7" spans="1:15">
      <c r="C7" t="s">
        <v>1538</v>
      </c>
      <c r="D7" t="s">
        <v>1534</v>
      </c>
      <c r="N7" t="str">
        <f t="shared" si="0"/>
        <v>{szContent="^浩气盟的【(.*)】帮会成功占领【(.*)】据点！(.*)",szNote="防止冲突",[20]={},},</v>
      </c>
    </row>
    <row r="8" spans="1:15">
      <c r="C8" t="s">
        <v>1539</v>
      </c>
      <c r="D8" t="s">
        <v>1534</v>
      </c>
      <c r="N8" t="str">
        <f t="shared" si="0"/>
        <v>{szContent="^恶人谷的【(.*)】帮会成功占领【(.*)】据点！(.*)",szNote="防止冲突",[20]={},},</v>
      </c>
    </row>
    <row r="9" spans="1:15">
      <c r="A9" t="s">
        <v>758</v>
      </c>
      <c r="B9">
        <v>30</v>
      </c>
      <c r="N9" t="str">
        <f t="shared" si="0"/>
        <v>},[30]={</v>
      </c>
    </row>
    <row r="10" customFormat="1" spans="1:15">
      <c r="C10" t="s">
        <v>1533</v>
      </c>
      <c r="D10" t="s">
        <v>1534</v>
      </c>
      <c r="N10" t="str">
        <f t="shared" si="0"/>
        <v>{szContent="^江湖快报！(.*)据点粮仓被一群浩气盟人士洗劫，损失一半据点资金。\n",szNote="防止冲突",[20]={},},</v>
      </c>
    </row>
    <row r="11" customFormat="1" spans="1:15">
      <c r="C11" t="s">
        <v>1535</v>
      </c>
      <c r="D11" t="s">
        <v>1534</v>
      </c>
      <c r="N11" t="str">
        <f t="shared" si="0"/>
        <v>{szContent="^江湖快报！(.*)据点粮仓被一群恶人谷人士洗劫，损失一半据点资金。\n",szNote="防止冲突",[20]={},},</v>
      </c>
    </row>
    <row r="12" customFormat="1" spans="1:15">
      <c r="C12" t="s">
        <v>1536</v>
      </c>
      <c r="D12" t="s">
        <v>1534</v>
      </c>
      <c r="N12" t="str">
        <f t="shared" si="0"/>
        <v>{szContent="^浩气盟位于(.*)的【(.*)据点】大旗被夺，10分钟后若未能夺回大旗，则会丢失此据点！\n",szNote="防止冲突",[20]={},},</v>
      </c>
    </row>
    <row r="13" customFormat="1" spans="1:15">
      <c r="C13" t="s">
        <v>1537</v>
      </c>
      <c r="D13" t="s">
        <v>1534</v>
      </c>
      <c r="N13" t="str">
        <f t="shared" si="0"/>
        <v>{szContent="^恶人谷位于(.*)的【(.*)据点】大旗被夺，10分钟后若未能夺回大旗，则会丢失此据点！\n",szNote="防止冲突",[20]={},},</v>
      </c>
    </row>
    <row r="14" customFormat="1" spans="1:15">
      <c r="C14" t="s">
        <v>1538</v>
      </c>
      <c r="D14" t="s">
        <v>1534</v>
      </c>
      <c r="N14" t="str">
        <f t="shared" si="0"/>
        <v>{szContent="^浩气盟的【(.*)】帮会成功占领【(.*)】据点！(.*)",szNote="防止冲突",[20]={},},</v>
      </c>
    </row>
    <row r="15" customFormat="1" spans="1:15">
      <c r="C15" t="s">
        <v>1539</v>
      </c>
      <c r="D15" t="s">
        <v>1534</v>
      </c>
      <c r="N15" t="str">
        <f t="shared" si="0"/>
        <v>{szContent="^恶人谷的【(.*)】帮会成功占领【(.*)】据点！(.*)",szNote="防止冲突",[20]={},},</v>
      </c>
    </row>
    <row r="16" spans="1:15">
      <c r="A16" t="s">
        <v>732</v>
      </c>
      <c r="B16">
        <v>21</v>
      </c>
      <c r="N16" t="str">
        <f t="shared" si="0"/>
        <v>},[21]={</v>
      </c>
    </row>
    <row r="17" customFormat="1" spans="1:14">
      <c r="C17" t="s">
        <v>1533</v>
      </c>
      <c r="D17" t="s">
        <v>1534</v>
      </c>
      <c r="N17" t="str">
        <f t="shared" si="0"/>
        <v>{szContent="^江湖快报！(.*)据点粮仓被一群浩气盟人士洗劫，损失一半据点资金。\n",szNote="防止冲突",[20]={},},</v>
      </c>
    </row>
    <row r="18" customFormat="1" spans="1:14">
      <c r="C18" t="s">
        <v>1535</v>
      </c>
      <c r="D18" t="s">
        <v>1534</v>
      </c>
      <c r="N18" t="str">
        <f t="shared" si="0"/>
        <v>{szContent="^江湖快报！(.*)据点粮仓被一群恶人谷人士洗劫，损失一半据点资金。\n",szNote="防止冲突",[20]={},},</v>
      </c>
    </row>
    <row r="19" customFormat="1" spans="1:14">
      <c r="C19" t="s">
        <v>1536</v>
      </c>
      <c r="D19" t="s">
        <v>1534</v>
      </c>
      <c r="N19" t="str">
        <f t="shared" si="0"/>
        <v>{szContent="^浩气盟位于(.*)的【(.*)据点】大旗被夺，10分钟后若未能夺回大旗，则会丢失此据点！\n",szNote="防止冲突",[20]={},},</v>
      </c>
    </row>
    <row r="20" customFormat="1" spans="1:14">
      <c r="C20" t="s">
        <v>1537</v>
      </c>
      <c r="D20" t="s">
        <v>1534</v>
      </c>
      <c r="N20" t="str">
        <f t="shared" si="0"/>
        <v>{szContent="^恶人谷位于(.*)的【(.*)据点】大旗被夺，10分钟后若未能夺回大旗，则会丢失此据点！\n",szNote="防止冲突",[20]={},},</v>
      </c>
    </row>
    <row r="21" customFormat="1" spans="1:14">
      <c r="C21" t="s">
        <v>1538</v>
      </c>
      <c r="D21" t="s">
        <v>1534</v>
      </c>
      <c r="N21" t="str">
        <f t="shared" si="0"/>
        <v>{szContent="^浩气盟的【(.*)】帮会成功占领【(.*)】据点！(.*)",szNote="防止冲突",[20]={},},</v>
      </c>
    </row>
    <row r="22" customFormat="1" spans="1:14">
      <c r="C22" t="s">
        <v>1539</v>
      </c>
      <c r="D22" t="s">
        <v>1534</v>
      </c>
      <c r="N22" t="str">
        <f t="shared" si="0"/>
        <v>{szContent="^恶人谷的【(.*)】帮会成功占领【(.*)】据点！(.*)",szNote="防止冲突",[20]={},},</v>
      </c>
    </row>
    <row r="23" spans="1:14">
      <c r="A23" t="s">
        <v>738</v>
      </c>
      <c r="B23">
        <v>23</v>
      </c>
      <c r="N23" t="str">
        <f t="shared" si="0"/>
        <v>},[23]={</v>
      </c>
    </row>
    <row r="24" customFormat="1" spans="1:14">
      <c r="C24" t="s">
        <v>1533</v>
      </c>
      <c r="D24" t="s">
        <v>1534</v>
      </c>
      <c r="N24" t="str">
        <f t="shared" si="0"/>
        <v>{szContent="^江湖快报！(.*)据点粮仓被一群浩气盟人士洗劫，损失一半据点资金。\n",szNote="防止冲突",[20]={},},</v>
      </c>
    </row>
    <row r="25" customFormat="1" spans="1:14">
      <c r="C25" t="s">
        <v>1535</v>
      </c>
      <c r="D25" t="s">
        <v>1534</v>
      </c>
      <c r="N25" t="str">
        <f t="shared" si="0"/>
        <v>{szContent="^江湖快报！(.*)据点粮仓被一群恶人谷人士洗劫，损失一半据点资金。\n",szNote="防止冲突",[20]={},},</v>
      </c>
    </row>
    <row r="26" customFormat="1" spans="1:14">
      <c r="C26" t="s">
        <v>1536</v>
      </c>
      <c r="D26" t="s">
        <v>1534</v>
      </c>
      <c r="N26" t="str">
        <f t="shared" si="0"/>
        <v>{szContent="^浩气盟位于(.*)的【(.*)据点】大旗被夺，10分钟后若未能夺回大旗，则会丢失此据点！\n",szNote="防止冲突",[20]={},},</v>
      </c>
    </row>
    <row r="27" customFormat="1" spans="1:14">
      <c r="C27" t="s">
        <v>1537</v>
      </c>
      <c r="D27" t="s">
        <v>1534</v>
      </c>
      <c r="N27" t="str">
        <f t="shared" si="0"/>
        <v>{szContent="^恶人谷位于(.*)的【(.*)据点】大旗被夺，10分钟后若未能夺回大旗，则会丢失此据点！\n",szNote="防止冲突",[20]={},},</v>
      </c>
    </row>
    <row r="28" customFormat="1" spans="1:14">
      <c r="C28" t="s">
        <v>1538</v>
      </c>
      <c r="D28" t="s">
        <v>1534</v>
      </c>
      <c r="N28" t="str">
        <f t="shared" si="0"/>
        <v>{szContent="^浩气盟的【(.*)】帮会成功占领【(.*)】据点！(.*)",szNote="防止冲突",[20]={},},</v>
      </c>
    </row>
    <row r="29" customFormat="1" spans="1:14">
      <c r="C29" t="s">
        <v>1539</v>
      </c>
      <c r="D29" t="s">
        <v>1534</v>
      </c>
      <c r="N29" t="str">
        <f t="shared" si="0"/>
        <v>{szContent="^恶人谷的【(.*)】帮会成功占领【(.*)】据点！(.*)",szNote="防止冲突",[20]={},},</v>
      </c>
    </row>
    <row r="30" spans="1:14">
      <c r="A30" t="s">
        <v>690</v>
      </c>
      <c r="B30">
        <v>9</v>
      </c>
      <c r="N30" t="str">
        <f t="shared" si="0"/>
        <v>},[9]={</v>
      </c>
    </row>
    <row r="31" customFormat="1" spans="1:14">
      <c r="C31" t="s">
        <v>1533</v>
      </c>
      <c r="D31" t="s">
        <v>1534</v>
      </c>
      <c r="N31" t="str">
        <f t="shared" si="0"/>
        <v>{szContent="^江湖快报！(.*)据点粮仓被一群浩气盟人士洗劫，损失一半据点资金。\n",szNote="防止冲突",[20]={},},</v>
      </c>
    </row>
    <row r="32" customFormat="1" spans="1:14">
      <c r="C32" t="s">
        <v>1535</v>
      </c>
      <c r="D32" t="s">
        <v>1534</v>
      </c>
      <c r="N32" t="str">
        <f t="shared" si="0"/>
        <v>{szContent="^江湖快报！(.*)据点粮仓被一群恶人谷人士洗劫，损失一半据点资金。\n",szNote="防止冲突",[20]={},},</v>
      </c>
    </row>
    <row r="33" customFormat="1" spans="1:14">
      <c r="C33" t="s">
        <v>1536</v>
      </c>
      <c r="D33" t="s">
        <v>1534</v>
      </c>
      <c r="N33" t="str">
        <f t="shared" si="0"/>
        <v>{szContent="^浩气盟位于(.*)的【(.*)据点】大旗被夺，10分钟后若未能夺回大旗，则会丢失此据点！\n",szNote="防止冲突",[20]={},},</v>
      </c>
    </row>
    <row r="34" customFormat="1" spans="1:14">
      <c r="C34" t="s">
        <v>1537</v>
      </c>
      <c r="D34" t="s">
        <v>1534</v>
      </c>
      <c r="N34" t="str">
        <f t="shared" si="0"/>
        <v>{szContent="^恶人谷位于(.*)的【(.*)据点】大旗被夺，10分钟后若未能夺回大旗，则会丢失此据点！\n",szNote="防止冲突",[20]={},},</v>
      </c>
    </row>
    <row r="35" customFormat="1" spans="1:14">
      <c r="C35" t="s">
        <v>1538</v>
      </c>
      <c r="D35" t="s">
        <v>1534</v>
      </c>
      <c r="N35" t="str">
        <f t="shared" ref="N35:N66" si="1">IF(ISBLANK(B35)=FALSE,IF(ISBLANK(B34),"},["&amp;B35&amp;"]={","["&amp;B35&amp;"]={"),IF(AND(ISBLANK(B35),ISBLANK(C35),ISBLANK(F35),ISBLANK(G35),OR(ISBLANK(B34)=FALSE,ISBLANK(C34)=FALSE,ISBLANK(F34)=FALSE,ISBLANK(G34)=FALSE)),"},},}",IF(ISBLANK(C35),"","{szContent="""&amp;C35&amp;""","&amp;IF(D35&lt;&gt;"","szNote="""&amp;D35&amp;""",","")&amp;IF(E35&lt;&gt;"","col={"&amp;E35&amp;"},","")&amp;IF(F35&gt;0,"bSearch=true,","")&amp;IF(G35&gt;0,"bReg=true,","")&amp;"[20]={"&amp;IF(H35&gt;0,"szVoice="""&amp;H35&amp;""",","")&amp;IF(I35&gt;0,"bTeamChannel=true,","")&amp;IF(J35&gt;0,"bWhisperChannel=true,","")&amp;IF(K35&gt;0,"bCenterAlarm=true,","")&amp;IF(L35&gt;0,"bScreenHead=true,","")&amp;IF(M35&gt;0,"bFullScreen=true,","")&amp;"},"&amp;IF(O35&lt;&gt;"","tCountdown={"&amp;_xlfn.TEXTJOIN("",TRUE,O35:AAA35)&amp;"},","")&amp;"},")))</f>
        <v>{szContent="^浩气盟的【(.*)】帮会成功占领【(.*)】据点！(.*)",szNote="防止冲突",[20]={},},</v>
      </c>
    </row>
    <row r="36" customFormat="1" spans="1:14">
      <c r="C36" t="s">
        <v>1539</v>
      </c>
      <c r="D36" t="s">
        <v>1534</v>
      </c>
      <c r="N36" t="str">
        <f t="shared" si="1"/>
        <v>{szContent="^恶人谷的【(.*)】帮会成功占领【(.*)】据点！(.*)",szNote="防止冲突",[20]={},},</v>
      </c>
    </row>
    <row r="37" spans="1:14">
      <c r="A37" t="s">
        <v>704</v>
      </c>
      <c r="B37">
        <v>13</v>
      </c>
      <c r="N37" t="str">
        <f t="shared" si="1"/>
        <v>},[13]={</v>
      </c>
    </row>
    <row r="38" customFormat="1" spans="1:14">
      <c r="C38" t="s">
        <v>1533</v>
      </c>
      <c r="D38" t="s">
        <v>1534</v>
      </c>
      <c r="N38" t="str">
        <f t="shared" si="1"/>
        <v>{szContent="^江湖快报！(.*)据点粮仓被一群浩气盟人士洗劫，损失一半据点资金。\n",szNote="防止冲突",[20]={},},</v>
      </c>
    </row>
    <row r="39" customFormat="1" spans="1:14">
      <c r="C39" t="s">
        <v>1535</v>
      </c>
      <c r="D39" t="s">
        <v>1534</v>
      </c>
      <c r="N39" t="str">
        <f t="shared" si="1"/>
        <v>{szContent="^江湖快报！(.*)据点粮仓被一群恶人谷人士洗劫，损失一半据点资金。\n",szNote="防止冲突",[20]={},},</v>
      </c>
    </row>
    <row r="40" customFormat="1" spans="1:14">
      <c r="C40" t="s">
        <v>1536</v>
      </c>
      <c r="D40" t="s">
        <v>1534</v>
      </c>
      <c r="N40" t="str">
        <f t="shared" si="1"/>
        <v>{szContent="^浩气盟位于(.*)的【(.*)据点】大旗被夺，10分钟后若未能夺回大旗，则会丢失此据点！\n",szNote="防止冲突",[20]={},},</v>
      </c>
    </row>
    <row r="41" customFormat="1" spans="1:14">
      <c r="C41" t="s">
        <v>1537</v>
      </c>
      <c r="D41" t="s">
        <v>1534</v>
      </c>
      <c r="N41" t="str">
        <f t="shared" si="1"/>
        <v>{szContent="^恶人谷位于(.*)的【(.*)据点】大旗被夺，10分钟后若未能夺回大旗，则会丢失此据点！\n",szNote="防止冲突",[20]={},},</v>
      </c>
    </row>
    <row r="42" customFormat="1" spans="1:14">
      <c r="C42" t="s">
        <v>1538</v>
      </c>
      <c r="D42" t="s">
        <v>1534</v>
      </c>
      <c r="N42" t="str">
        <f t="shared" si="1"/>
        <v>{szContent="^浩气盟的【(.*)】帮会成功占领【(.*)】据点！(.*)",szNote="防止冲突",[20]={},},</v>
      </c>
    </row>
    <row r="43" customFormat="1" spans="1:14">
      <c r="C43" t="s">
        <v>1539</v>
      </c>
      <c r="D43" t="s">
        <v>1534</v>
      </c>
      <c r="N43" t="str">
        <f t="shared" si="1"/>
        <v>{szContent="^恶人谷的【(.*)】帮会成功占领【(.*)】据点！(.*)",szNote="防止冲突",[20]={},},</v>
      </c>
    </row>
    <row r="44" spans="1:14">
      <c r="A44" t="s">
        <v>773</v>
      </c>
      <c r="B44">
        <v>35</v>
      </c>
      <c r="N44" t="str">
        <f t="shared" si="1"/>
        <v>},[35]={</v>
      </c>
    </row>
    <row r="45" customFormat="1" spans="1:14">
      <c r="C45" t="s">
        <v>1533</v>
      </c>
      <c r="D45" t="s">
        <v>1534</v>
      </c>
      <c r="N45" t="str">
        <f t="shared" si="1"/>
        <v>{szContent="^江湖快报！(.*)据点粮仓被一群浩气盟人士洗劫，损失一半据点资金。\n",szNote="防止冲突",[20]={},},</v>
      </c>
    </row>
    <row r="46" customFormat="1" spans="1:14">
      <c r="C46" t="s">
        <v>1535</v>
      </c>
      <c r="D46" t="s">
        <v>1534</v>
      </c>
      <c r="N46" t="str">
        <f t="shared" si="1"/>
        <v>{szContent="^江湖快报！(.*)据点粮仓被一群恶人谷人士洗劫，损失一半据点资金。\n",szNote="防止冲突",[20]={},},</v>
      </c>
    </row>
    <row r="47" customFormat="1" spans="1:14">
      <c r="C47" t="s">
        <v>1536</v>
      </c>
      <c r="D47" t="s">
        <v>1534</v>
      </c>
      <c r="N47" t="str">
        <f t="shared" si="1"/>
        <v>{szContent="^浩气盟位于(.*)的【(.*)据点】大旗被夺，10分钟后若未能夺回大旗，则会丢失此据点！\n",szNote="防止冲突",[20]={},},</v>
      </c>
    </row>
    <row r="48" customFormat="1" spans="1:14">
      <c r="C48" t="s">
        <v>1537</v>
      </c>
      <c r="D48" t="s">
        <v>1534</v>
      </c>
      <c r="N48" t="str">
        <f t="shared" si="1"/>
        <v>{szContent="^恶人谷位于(.*)的【(.*)据点】大旗被夺，10分钟后若未能夺回大旗，则会丢失此据点！\n",szNote="防止冲突",[20]={},},</v>
      </c>
    </row>
    <row r="49" customFormat="1" spans="1:14">
      <c r="C49" t="s">
        <v>1538</v>
      </c>
      <c r="D49" t="s">
        <v>1534</v>
      </c>
      <c r="N49" t="str">
        <f t="shared" si="1"/>
        <v>{szContent="^浩气盟的【(.*)】帮会成功占领【(.*)】据点！(.*)",szNote="防止冲突",[20]={},},</v>
      </c>
    </row>
    <row r="50" customFormat="1" spans="1:14">
      <c r="C50" t="s">
        <v>1539</v>
      </c>
      <c r="D50" t="s">
        <v>1534</v>
      </c>
      <c r="N50" t="str">
        <f t="shared" si="1"/>
        <v>{szContent="^恶人谷的【(.*)】帮会成功占领【(.*)】据点！(.*)",szNote="防止冲突",[20]={},},</v>
      </c>
    </row>
    <row r="51" spans="1:14">
      <c r="A51" t="s">
        <v>891</v>
      </c>
      <c r="B51">
        <v>100</v>
      </c>
      <c r="N51" t="str">
        <f t="shared" si="1"/>
        <v>},[100]={</v>
      </c>
    </row>
    <row r="52" customFormat="1" spans="1:14">
      <c r="C52" t="s">
        <v>1533</v>
      </c>
      <c r="D52" t="s">
        <v>1534</v>
      </c>
      <c r="N52" t="str">
        <f t="shared" si="1"/>
        <v>{szContent="^江湖快报！(.*)据点粮仓被一群浩气盟人士洗劫，损失一半据点资金。\n",szNote="防止冲突",[20]={},},</v>
      </c>
    </row>
    <row r="53" customFormat="1" spans="1:14">
      <c r="C53" t="s">
        <v>1535</v>
      </c>
      <c r="D53" t="s">
        <v>1534</v>
      </c>
      <c r="N53" t="str">
        <f t="shared" si="1"/>
        <v>{szContent="^江湖快报！(.*)据点粮仓被一群恶人谷人士洗劫，损失一半据点资金。\n",szNote="防止冲突",[20]={},},</v>
      </c>
    </row>
    <row r="54" customFormat="1" spans="1:14">
      <c r="C54" t="s">
        <v>1536</v>
      </c>
      <c r="D54" t="s">
        <v>1534</v>
      </c>
      <c r="N54" t="str">
        <f t="shared" si="1"/>
        <v>{szContent="^浩气盟位于(.*)的【(.*)据点】大旗被夺，10分钟后若未能夺回大旗，则会丢失此据点！\n",szNote="防止冲突",[20]={},},</v>
      </c>
    </row>
    <row r="55" customFormat="1" spans="1:14">
      <c r="C55" t="s">
        <v>1537</v>
      </c>
      <c r="D55" t="s">
        <v>1534</v>
      </c>
      <c r="N55" t="str">
        <f t="shared" si="1"/>
        <v>{szContent="^恶人谷位于(.*)的【(.*)据点】大旗被夺，10分钟后若未能夺回大旗，则会丢失此据点！\n",szNote="防止冲突",[20]={},},</v>
      </c>
    </row>
    <row r="56" customFormat="1" spans="1:14">
      <c r="C56" t="s">
        <v>1538</v>
      </c>
      <c r="D56" t="s">
        <v>1534</v>
      </c>
      <c r="N56" t="str">
        <f t="shared" si="1"/>
        <v>{szContent="^浩气盟的【(.*)】帮会成功占领【(.*)】据点！(.*)",szNote="防止冲突",[20]={},},</v>
      </c>
    </row>
    <row r="57" customFormat="1" spans="1:14">
      <c r="C57" t="s">
        <v>1539</v>
      </c>
      <c r="D57" t="s">
        <v>1534</v>
      </c>
      <c r="N57" t="str">
        <f t="shared" si="1"/>
        <v>{szContent="^恶人谷的【(.*)】帮会成功占领【(.*)】据点！(.*)",szNote="防止冲突",[20]={},},</v>
      </c>
    </row>
    <row r="58" spans="1:14">
      <c r="A58" t="s">
        <v>894</v>
      </c>
      <c r="B58">
        <v>101</v>
      </c>
      <c r="N58" t="str">
        <f t="shared" si="1"/>
        <v>},[101]={</v>
      </c>
    </row>
    <row r="59" customFormat="1" spans="1:14">
      <c r="C59" t="s">
        <v>1533</v>
      </c>
      <c r="D59" t="s">
        <v>1534</v>
      </c>
      <c r="N59" t="str">
        <f t="shared" si="1"/>
        <v>{szContent="^江湖快报！(.*)据点粮仓被一群浩气盟人士洗劫，损失一半据点资金。\n",szNote="防止冲突",[20]={},},</v>
      </c>
    </row>
    <row r="60" customFormat="1" spans="1:14">
      <c r="C60" t="s">
        <v>1535</v>
      </c>
      <c r="D60" t="s">
        <v>1534</v>
      </c>
      <c r="N60" t="str">
        <f t="shared" si="1"/>
        <v>{szContent="^江湖快报！(.*)据点粮仓被一群恶人谷人士洗劫，损失一半据点资金。\n",szNote="防止冲突",[20]={},},</v>
      </c>
    </row>
    <row r="61" customFormat="1" spans="1:14">
      <c r="C61" t="s">
        <v>1536</v>
      </c>
      <c r="D61" t="s">
        <v>1534</v>
      </c>
      <c r="N61" t="str">
        <f t="shared" si="1"/>
        <v>{szContent="^浩气盟位于(.*)的【(.*)据点】大旗被夺，10分钟后若未能夺回大旗，则会丢失此据点！\n",szNote="防止冲突",[20]={},},</v>
      </c>
    </row>
    <row r="62" customFormat="1" spans="1:14">
      <c r="C62" t="s">
        <v>1537</v>
      </c>
      <c r="D62" t="s">
        <v>1534</v>
      </c>
      <c r="N62" t="str">
        <f t="shared" si="1"/>
        <v>{szContent="^恶人谷位于(.*)的【(.*)据点】大旗被夺，10分钟后若未能夺回大旗，则会丢失此据点！\n",szNote="防止冲突",[20]={},},</v>
      </c>
    </row>
    <row r="63" customFormat="1" spans="1:14">
      <c r="C63" t="s">
        <v>1538</v>
      </c>
      <c r="D63" t="s">
        <v>1534</v>
      </c>
      <c r="N63" t="str">
        <f t="shared" si="1"/>
        <v>{szContent="^浩气盟的【(.*)】帮会成功占领【(.*)】据点！(.*)",szNote="防止冲突",[20]={},},</v>
      </c>
    </row>
    <row r="64" customFormat="1" spans="1:14">
      <c r="C64" t="s">
        <v>1539</v>
      </c>
      <c r="D64" t="s">
        <v>1534</v>
      </c>
      <c r="N64" t="str">
        <f t="shared" si="1"/>
        <v>{szContent="^恶人谷的【(.*)】帮会成功占领【(.*)】据点！(.*)",szNote="防止冲突",[20]={},},</v>
      </c>
    </row>
    <row r="65" spans="1:14">
      <c r="A65" t="s">
        <v>899</v>
      </c>
      <c r="B65">
        <v>103</v>
      </c>
      <c r="N65" t="str">
        <f t="shared" si="1"/>
        <v>},[103]={</v>
      </c>
    </row>
    <row r="66" customFormat="1" spans="1:14">
      <c r="C66" t="s">
        <v>1533</v>
      </c>
      <c r="D66" t="s">
        <v>1534</v>
      </c>
      <c r="N66" t="str">
        <f t="shared" si="1"/>
        <v>{szContent="^江湖快报！(.*)据点粮仓被一群浩气盟人士洗劫，损失一半据点资金。\n",szNote="防止冲突",[20]={},},</v>
      </c>
    </row>
    <row r="67" customFormat="1" spans="1:14">
      <c r="C67" t="s">
        <v>1535</v>
      </c>
      <c r="D67" t="s">
        <v>1534</v>
      </c>
      <c r="N67" t="str">
        <f t="shared" ref="N67:N98" si="2">IF(ISBLANK(B67)=FALSE,IF(ISBLANK(B66),"},["&amp;B67&amp;"]={","["&amp;B67&amp;"]={"),IF(AND(ISBLANK(B67),ISBLANK(C67),ISBLANK(F67),ISBLANK(G67),OR(ISBLANK(B66)=FALSE,ISBLANK(C66)=FALSE,ISBLANK(F66)=FALSE,ISBLANK(G66)=FALSE)),"},},}",IF(ISBLANK(C67),"","{szContent="""&amp;C67&amp;""","&amp;IF(D67&lt;&gt;"","szNote="""&amp;D67&amp;""",","")&amp;IF(E67&lt;&gt;"","col={"&amp;E67&amp;"},","")&amp;IF(F67&gt;0,"bSearch=true,","")&amp;IF(G67&gt;0,"bReg=true,","")&amp;"[20]={"&amp;IF(H67&gt;0,"szVoice="""&amp;H67&amp;""",","")&amp;IF(I67&gt;0,"bTeamChannel=true,","")&amp;IF(J67&gt;0,"bWhisperChannel=true,","")&amp;IF(K67&gt;0,"bCenterAlarm=true,","")&amp;IF(L67&gt;0,"bScreenHead=true,","")&amp;IF(M67&gt;0,"bFullScreen=true,","")&amp;"},"&amp;IF(O67&lt;&gt;"","tCountdown={"&amp;_xlfn.TEXTJOIN("",TRUE,O67:AAA67)&amp;"},","")&amp;"},")))</f>
        <v>{szContent="^江湖快报！(.*)据点粮仓被一群恶人谷人士洗劫，损失一半据点资金。\n",szNote="防止冲突",[20]={},},</v>
      </c>
    </row>
    <row r="68" customFormat="1" spans="1:14">
      <c r="C68" t="s">
        <v>1536</v>
      </c>
      <c r="D68" t="s">
        <v>1534</v>
      </c>
      <c r="N68" t="str">
        <f t="shared" si="2"/>
        <v>{szContent="^浩气盟位于(.*)的【(.*)据点】大旗被夺，10分钟后若未能夺回大旗，则会丢失此据点！\n",szNote="防止冲突",[20]={},},</v>
      </c>
    </row>
    <row r="69" customFormat="1" spans="1:14">
      <c r="C69" t="s">
        <v>1537</v>
      </c>
      <c r="D69" t="s">
        <v>1534</v>
      </c>
      <c r="N69" t="str">
        <f t="shared" si="2"/>
        <v>{szContent="^恶人谷位于(.*)的【(.*)据点】大旗被夺，10分钟后若未能夺回大旗，则会丢失此据点！\n",szNote="防止冲突",[20]={},},</v>
      </c>
    </row>
    <row r="70" customFormat="1" spans="1:14">
      <c r="C70" t="s">
        <v>1538</v>
      </c>
      <c r="D70" t="s">
        <v>1534</v>
      </c>
      <c r="N70" t="str">
        <f t="shared" si="2"/>
        <v>{szContent="^浩气盟的【(.*)】帮会成功占领【(.*)】据点！(.*)",szNote="防止冲突",[20]={},},</v>
      </c>
    </row>
    <row r="71" customFormat="1" spans="1:14">
      <c r="C71" t="s">
        <v>1539</v>
      </c>
      <c r="D71" t="s">
        <v>1534</v>
      </c>
      <c r="N71" t="str">
        <f t="shared" si="2"/>
        <v>{szContent="^恶人谷的【(.*)】帮会成功占领【(.*)】据点！(.*)",szNote="防止冲突",[20]={},},</v>
      </c>
    </row>
    <row r="72" spans="1:14">
      <c r="A72" t="s">
        <v>902</v>
      </c>
      <c r="B72">
        <v>104</v>
      </c>
      <c r="N72" t="str">
        <f t="shared" si="2"/>
        <v>},[104]={</v>
      </c>
    </row>
    <row r="73" customFormat="1" spans="1:14">
      <c r="C73" t="s">
        <v>1533</v>
      </c>
      <c r="D73" t="s">
        <v>1534</v>
      </c>
      <c r="N73" t="str">
        <f t="shared" si="2"/>
        <v>{szContent="^江湖快报！(.*)据点粮仓被一群浩气盟人士洗劫，损失一半据点资金。\n",szNote="防止冲突",[20]={},},</v>
      </c>
    </row>
    <row r="74" customFormat="1" spans="1:14">
      <c r="C74" t="s">
        <v>1535</v>
      </c>
      <c r="D74" t="s">
        <v>1534</v>
      </c>
      <c r="N74" t="str">
        <f t="shared" si="2"/>
        <v>{szContent="^江湖快报！(.*)据点粮仓被一群恶人谷人士洗劫，损失一半据点资金。\n",szNote="防止冲突",[20]={},},</v>
      </c>
    </row>
    <row r="75" customFormat="1" spans="1:14">
      <c r="C75" t="s">
        <v>1536</v>
      </c>
      <c r="D75" t="s">
        <v>1534</v>
      </c>
      <c r="N75" t="str">
        <f t="shared" si="2"/>
        <v>{szContent="^浩气盟位于(.*)的【(.*)据点】大旗被夺，10分钟后若未能夺回大旗，则会丢失此据点！\n",szNote="防止冲突",[20]={},},</v>
      </c>
    </row>
    <row r="76" customFormat="1" spans="1:14">
      <c r="C76" t="s">
        <v>1537</v>
      </c>
      <c r="D76" t="s">
        <v>1534</v>
      </c>
      <c r="N76" t="str">
        <f t="shared" si="2"/>
        <v>{szContent="^恶人谷位于(.*)的【(.*)据点】大旗被夺，10分钟后若未能夺回大旗，则会丢失此据点！\n",szNote="防止冲突",[20]={},},</v>
      </c>
    </row>
    <row r="77" customFormat="1" spans="1:14">
      <c r="C77" t="s">
        <v>1538</v>
      </c>
      <c r="D77" t="s">
        <v>1534</v>
      </c>
      <c r="N77" t="str">
        <f t="shared" si="2"/>
        <v>{szContent="^浩气盟的【(.*)】帮会成功占领【(.*)】据点！(.*)",szNote="防止冲突",[20]={},},</v>
      </c>
    </row>
    <row r="78" customFormat="1" spans="1:14">
      <c r="C78" t="s">
        <v>1539</v>
      </c>
      <c r="D78" t="s">
        <v>1534</v>
      </c>
      <c r="N78" t="str">
        <f t="shared" si="2"/>
        <v>{szContent="^恶人谷的【(.*)】帮会成功占领【(.*)】据点！(.*)",szNote="防止冲突",[20]={},},</v>
      </c>
    </row>
    <row r="79" spans="1:14">
      <c r="A79" t="s">
        <v>905</v>
      </c>
      <c r="B79">
        <v>105</v>
      </c>
      <c r="N79" t="str">
        <f t="shared" si="2"/>
        <v>},[105]={</v>
      </c>
    </row>
    <row r="80" customFormat="1" spans="1:14">
      <c r="C80" t="s">
        <v>1533</v>
      </c>
      <c r="D80" t="s">
        <v>1534</v>
      </c>
      <c r="N80" t="str">
        <f t="shared" si="2"/>
        <v>{szContent="^江湖快报！(.*)据点粮仓被一群浩气盟人士洗劫，损失一半据点资金。\n",szNote="防止冲突",[20]={},},</v>
      </c>
    </row>
    <row r="81" customFormat="1" spans="1:14">
      <c r="C81" t="s">
        <v>1535</v>
      </c>
      <c r="D81" t="s">
        <v>1534</v>
      </c>
      <c r="N81" t="str">
        <f t="shared" si="2"/>
        <v>{szContent="^江湖快报！(.*)据点粮仓被一群恶人谷人士洗劫，损失一半据点资金。\n",szNote="防止冲突",[20]={},},</v>
      </c>
    </row>
    <row r="82" customFormat="1" spans="1:14">
      <c r="C82" t="s">
        <v>1536</v>
      </c>
      <c r="D82" t="s">
        <v>1534</v>
      </c>
      <c r="N82" t="str">
        <f t="shared" si="2"/>
        <v>{szContent="^浩气盟位于(.*)的【(.*)据点】大旗被夺，10分钟后若未能夺回大旗，则会丢失此据点！\n",szNote="防止冲突",[20]={},},</v>
      </c>
    </row>
    <row r="83" customFormat="1" spans="1:14">
      <c r="C83" t="s">
        <v>1537</v>
      </c>
      <c r="D83" t="s">
        <v>1534</v>
      </c>
      <c r="N83" t="str">
        <f t="shared" si="2"/>
        <v>{szContent="^恶人谷位于(.*)的【(.*)据点】大旗被夺，10分钟后若未能夺回大旗，则会丢失此据点！\n",szNote="防止冲突",[20]={},},</v>
      </c>
    </row>
    <row r="84" customFormat="1" spans="1:14">
      <c r="C84" t="s">
        <v>1538</v>
      </c>
      <c r="D84" t="s">
        <v>1534</v>
      </c>
      <c r="N84" t="str">
        <f t="shared" si="2"/>
        <v>{szContent="^浩气盟的【(.*)】帮会成功占领【(.*)】据点！(.*)",szNote="防止冲突",[20]={},},</v>
      </c>
    </row>
    <row r="85" customFormat="1" spans="1:14">
      <c r="C85" t="s">
        <v>1539</v>
      </c>
      <c r="D85" t="s">
        <v>1534</v>
      </c>
      <c r="N85" t="str">
        <f t="shared" si="2"/>
        <v>{szContent="^恶人谷的【(.*)】帮会成功占领【(.*)】据点！(.*)",szNote="防止冲突",[20]={},},</v>
      </c>
    </row>
    <row r="86" spans="1:14">
      <c r="A86" t="s">
        <v>1000</v>
      </c>
      <c r="B86">
        <v>139</v>
      </c>
      <c r="N86" t="str">
        <f t="shared" si="2"/>
        <v>},[139]={</v>
      </c>
    </row>
    <row r="87" customFormat="1" spans="1:14">
      <c r="C87" t="s">
        <v>1533</v>
      </c>
      <c r="D87" t="s">
        <v>1534</v>
      </c>
      <c r="N87" t="str">
        <f t="shared" si="2"/>
        <v>{szContent="^江湖快报！(.*)据点粮仓被一群浩气盟人士洗劫，损失一半据点资金。\n",szNote="防止冲突",[20]={},},</v>
      </c>
    </row>
    <row r="88" customFormat="1" spans="1:14">
      <c r="C88" t="s">
        <v>1535</v>
      </c>
      <c r="D88" t="s">
        <v>1534</v>
      </c>
      <c r="N88" t="str">
        <f t="shared" si="2"/>
        <v>{szContent="^江湖快报！(.*)据点粮仓被一群恶人谷人士洗劫，损失一半据点资金。\n",szNote="防止冲突",[20]={},},</v>
      </c>
    </row>
    <row r="89" customFormat="1" spans="1:14">
      <c r="C89" t="s">
        <v>1536</v>
      </c>
      <c r="D89" t="s">
        <v>1534</v>
      </c>
      <c r="N89" t="str">
        <f t="shared" si="2"/>
        <v>{szContent="^浩气盟位于(.*)的【(.*)据点】大旗被夺，10分钟后若未能夺回大旗，则会丢失此据点！\n",szNote="防止冲突",[20]={},},</v>
      </c>
    </row>
    <row r="90" customFormat="1" spans="1:14">
      <c r="C90" t="s">
        <v>1537</v>
      </c>
      <c r="D90" t="s">
        <v>1534</v>
      </c>
      <c r="N90" t="str">
        <f t="shared" si="2"/>
        <v>{szContent="^恶人谷位于(.*)的【(.*)据点】大旗被夺，10分钟后若未能夺回大旗，则会丢失此据点！\n",szNote="防止冲突",[20]={},},</v>
      </c>
    </row>
    <row r="91" customFormat="1" spans="1:14">
      <c r="C91" t="s">
        <v>1538</v>
      </c>
      <c r="D91" t="s">
        <v>1534</v>
      </c>
      <c r="N91" t="str">
        <f t="shared" si="2"/>
        <v>{szContent="^浩气盟的【(.*)】帮会成功占领【(.*)】据点！(.*)",szNote="防止冲突",[20]={},},</v>
      </c>
    </row>
    <row r="92" customFormat="1" spans="1:14">
      <c r="C92" t="s">
        <v>1539</v>
      </c>
      <c r="D92" t="s">
        <v>1534</v>
      </c>
      <c r="N92" t="str">
        <f t="shared" si="2"/>
        <v>{szContent="^恶人谷的【(.*)】帮会成功占领【(.*)】据点！(.*)",szNote="防止冲突",[20]={},},</v>
      </c>
    </row>
    <row r="93" spans="1:14">
      <c r="A93" t="s">
        <v>1036</v>
      </c>
      <c r="B93">
        <v>153</v>
      </c>
      <c r="N93" t="str">
        <f t="shared" si="2"/>
        <v>},[153]={</v>
      </c>
    </row>
    <row r="94" customFormat="1" spans="1:14">
      <c r="C94" t="s">
        <v>1533</v>
      </c>
      <c r="D94" t="s">
        <v>1534</v>
      </c>
      <c r="N94" t="str">
        <f t="shared" si="2"/>
        <v>{szContent="^江湖快报！(.*)据点粮仓被一群浩气盟人士洗劫，损失一半据点资金。\n",szNote="防止冲突",[20]={},},</v>
      </c>
    </row>
    <row r="95" customFormat="1" spans="1:14">
      <c r="C95" t="s">
        <v>1535</v>
      </c>
      <c r="D95" t="s">
        <v>1534</v>
      </c>
      <c r="N95" t="str">
        <f t="shared" si="2"/>
        <v>{szContent="^江湖快报！(.*)据点粮仓被一群恶人谷人士洗劫，损失一半据点资金。\n",szNote="防止冲突",[20]={},},</v>
      </c>
    </row>
    <row r="96" customFormat="1" spans="1:14">
      <c r="C96" t="s">
        <v>1536</v>
      </c>
      <c r="D96" t="s">
        <v>1534</v>
      </c>
      <c r="N96" t="str">
        <f t="shared" si="2"/>
        <v>{szContent="^浩气盟位于(.*)的【(.*)据点】大旗被夺，10分钟后若未能夺回大旗，则会丢失此据点！\n",szNote="防止冲突",[20]={},},</v>
      </c>
    </row>
    <row r="97" customFormat="1" spans="1:14">
      <c r="C97" t="s">
        <v>1537</v>
      </c>
      <c r="D97" t="s">
        <v>1534</v>
      </c>
      <c r="N97" t="str">
        <f t="shared" si="2"/>
        <v>{szContent="^恶人谷位于(.*)的【(.*)据点】大旗被夺，10分钟后若未能夺回大旗，则会丢失此据点！\n",szNote="防止冲突",[20]={},},</v>
      </c>
    </row>
    <row r="98" customFormat="1" spans="1:14">
      <c r="C98" t="s">
        <v>1538</v>
      </c>
      <c r="D98" t="s">
        <v>1534</v>
      </c>
      <c r="N98" t="str">
        <f t="shared" si="2"/>
        <v>{szContent="^浩气盟的【(.*)】帮会成功占领【(.*)】据点！(.*)",szNote="防止冲突",[20]={},},</v>
      </c>
    </row>
    <row r="99" customFormat="1" spans="1:14">
      <c r="C99" t="s">
        <v>1539</v>
      </c>
      <c r="D99" t="s">
        <v>1534</v>
      </c>
      <c r="N99" t="str">
        <f t="shared" ref="N99:N114" si="3">IF(ISBLANK(B99)=FALSE,IF(ISBLANK(B98),"},["&amp;B99&amp;"]={","["&amp;B99&amp;"]={"),IF(AND(ISBLANK(B99),ISBLANK(C99),ISBLANK(F99),ISBLANK(G99),OR(ISBLANK(B98)=FALSE,ISBLANK(C98)=FALSE,ISBLANK(F98)=FALSE,ISBLANK(G98)=FALSE)),"},},}",IF(ISBLANK(C99),"","{szContent="""&amp;C99&amp;""","&amp;IF(D99&lt;&gt;"","szNote="""&amp;D99&amp;""",","")&amp;IF(E99&lt;&gt;"","col={"&amp;E99&amp;"},","")&amp;IF(F99&gt;0,"bSearch=true,","")&amp;IF(G99&gt;0,"bReg=true,","")&amp;"[20]={"&amp;IF(H99&gt;0,"szVoice="""&amp;H99&amp;""",","")&amp;IF(I99&gt;0,"bTeamChannel=true,","")&amp;IF(J99&gt;0,"bWhisperChannel=true,","")&amp;IF(K99&gt;0,"bCenterAlarm=true,","")&amp;IF(L99&gt;0,"bScreenHead=true,","")&amp;IF(M99&gt;0,"bFullScreen=true,","")&amp;"},"&amp;IF(O99&lt;&gt;"","tCountdown={"&amp;_xlfn.TEXTJOIN("",TRUE,O99:AAA99)&amp;"},","")&amp;"},")))</f>
        <v>{szContent="^恶人谷的【(.*)】帮会成功占领【(.*)】据点！(.*)",szNote="防止冲突",[20]={},},</v>
      </c>
    </row>
    <row r="100" spans="1:14">
      <c r="A100" t="s">
        <v>1115</v>
      </c>
      <c r="B100">
        <v>216</v>
      </c>
      <c r="N100" t="str">
        <f t="shared" si="3"/>
        <v>},[216]={</v>
      </c>
    </row>
    <row r="101" customFormat="1" spans="1:14">
      <c r="C101" t="s">
        <v>1533</v>
      </c>
      <c r="D101" t="s">
        <v>1534</v>
      </c>
      <c r="N101" t="str">
        <f t="shared" si="3"/>
        <v>{szContent="^江湖快报！(.*)据点粮仓被一群浩气盟人士洗劫，损失一半据点资金。\n",szNote="防止冲突",[20]={},},</v>
      </c>
    </row>
    <row r="102" customFormat="1" spans="1:14">
      <c r="C102" t="s">
        <v>1535</v>
      </c>
      <c r="D102" t="s">
        <v>1534</v>
      </c>
      <c r="N102" t="str">
        <f t="shared" si="3"/>
        <v>{szContent="^江湖快报！(.*)据点粮仓被一群恶人谷人士洗劫，损失一半据点资金。\n",szNote="防止冲突",[20]={},},</v>
      </c>
    </row>
    <row r="103" customFormat="1" spans="1:14">
      <c r="C103" t="s">
        <v>1536</v>
      </c>
      <c r="D103" t="s">
        <v>1534</v>
      </c>
      <c r="N103" t="str">
        <f t="shared" si="3"/>
        <v>{szContent="^浩气盟位于(.*)的【(.*)据点】大旗被夺，10分钟后若未能夺回大旗，则会丢失此据点！\n",szNote="防止冲突",[20]={},},</v>
      </c>
    </row>
    <row r="104" customFormat="1" spans="1:14">
      <c r="C104" t="s">
        <v>1537</v>
      </c>
      <c r="D104" t="s">
        <v>1534</v>
      </c>
      <c r="N104" t="str">
        <f t="shared" si="3"/>
        <v>{szContent="^恶人谷位于(.*)的【(.*)据点】大旗被夺，10分钟后若未能夺回大旗，则会丢失此据点！\n",szNote="防止冲突",[20]={},},</v>
      </c>
    </row>
    <row r="105" customFormat="1" spans="1:14">
      <c r="C105" t="s">
        <v>1538</v>
      </c>
      <c r="D105" t="s">
        <v>1534</v>
      </c>
      <c r="N105" t="str">
        <f t="shared" si="3"/>
        <v>{szContent="^浩气盟的【(.*)】帮会成功占领【(.*)】据点！(.*)",szNote="防止冲突",[20]={},},</v>
      </c>
    </row>
    <row r="106" customFormat="1" spans="1:14">
      <c r="C106" t="s">
        <v>1539</v>
      </c>
      <c r="D106" t="s">
        <v>1534</v>
      </c>
      <c r="N106" t="str">
        <f t="shared" si="3"/>
        <v>{szContent="^恶人谷的【(.*)】帮会成功占领【(.*)】据点！(.*)",szNote="防止冲突",[20]={},},</v>
      </c>
    </row>
    <row r="107" spans="1:14">
      <c r="A107" t="s">
        <v>1468</v>
      </c>
      <c r="B107">
        <v>656</v>
      </c>
      <c r="N107" t="str">
        <f t="shared" si="3"/>
        <v>},[656]={</v>
      </c>
    </row>
    <row r="108" customFormat="1" spans="1:14">
      <c r="C108" t="s">
        <v>1533</v>
      </c>
      <c r="D108" t="s">
        <v>1534</v>
      </c>
      <c r="N108" t="str">
        <f t="shared" si="3"/>
        <v>{szContent="^江湖快报！(.*)据点粮仓被一群浩气盟人士洗劫，损失一半据点资金。\n",szNote="防止冲突",[20]={},},</v>
      </c>
    </row>
    <row r="109" customFormat="1" spans="1:14">
      <c r="C109" t="s">
        <v>1535</v>
      </c>
      <c r="D109" t="s">
        <v>1534</v>
      </c>
      <c r="N109" t="str">
        <f t="shared" si="3"/>
        <v>{szContent="^江湖快报！(.*)据点粮仓被一群恶人谷人士洗劫，损失一半据点资金。\n",szNote="防止冲突",[20]={},},</v>
      </c>
    </row>
    <row r="110" customFormat="1" spans="1:14">
      <c r="C110" t="s">
        <v>1536</v>
      </c>
      <c r="D110" t="s">
        <v>1534</v>
      </c>
      <c r="N110" t="str">
        <f t="shared" si="3"/>
        <v>{szContent="^浩气盟位于(.*)的【(.*)据点】大旗被夺，10分钟后若未能夺回大旗，则会丢失此据点！\n",szNote="防止冲突",[20]={},},</v>
      </c>
    </row>
    <row r="111" customFormat="1" spans="1:14">
      <c r="C111" t="s">
        <v>1537</v>
      </c>
      <c r="D111" t="s">
        <v>1534</v>
      </c>
      <c r="N111" t="str">
        <f t="shared" si="3"/>
        <v>{szContent="^恶人谷位于(.*)的【(.*)据点】大旗被夺，10分钟后若未能夺回大旗，则会丢失此据点！\n",szNote="防止冲突",[20]={},},</v>
      </c>
    </row>
    <row r="112" customFormat="1" spans="1:14">
      <c r="C112" t="s">
        <v>1538</v>
      </c>
      <c r="D112" t="s">
        <v>1534</v>
      </c>
      <c r="N112" t="str">
        <f t="shared" si="3"/>
        <v>{szContent="^浩气盟的【(.*)】帮会成功占领【(.*)】据点！(.*)",szNote="防止冲突",[20]={},},</v>
      </c>
    </row>
    <row r="113" customFormat="1" spans="3:14">
      <c r="C113" t="s">
        <v>1539</v>
      </c>
      <c r="D113" t="s">
        <v>1534</v>
      </c>
      <c r="N113" t="str">
        <f t="shared" si="3"/>
        <v>{szContent="^恶人谷的【(.*)】帮会成功占领【(.*)】据点！(.*)",szNote="防止冲突",[20]={},},</v>
      </c>
    </row>
    <row r="114" spans="3:14">
      <c r="N114" t="str">
        <f t="shared" si="3"/>
        <v>},},}</v>
      </c>
    </row>
  </sheetData>
  <sortState ref="A3:O8">
    <sortCondition ref="A3:A8" descending="1"/>
  </sortState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茗伊团队监控数据手册</vt:lpstr>
      <vt:lpstr>字典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2026-08-07T16:13:03Z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769B4B312CF24D9B8E2343812259FC34_12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