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 activeTab="6"/>
  </bookViews>
  <sheets>
    <sheet name="茗伊团队监控数据手册" sheetId="2" r:id="rId1"/>
    <sheet name="字典" sheetId="4" r:id="rId2"/>
    <sheet name="武学招式" sheetId="7" r:id="rId3"/>
    <sheet name="系统角色" sheetId="8" r:id="rId4"/>
    <sheet name="交互物件" sheetId="9" r:id="rId5"/>
    <sheet name="角色喊话" sheetId="10" r:id="rId6"/>
    <sheet name="系统频道" sheetId="11" r:id="rId7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<sst xmlns="http://schemas.openxmlformats.org/spreadsheetml/2006/main" count="1985" uniqueCount="1541">
  <si>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</si>
  <si>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</si>
  <si>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</si>
  <si>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</si>
  <si>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</si>
  <si>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</si>
  <si>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</si>
  <si>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</si>
  <si>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</si>
  <si>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</si>
  <si>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</si>
  <si>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</si>
  <si>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</si>
  <si>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</si>
  <si>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</si>
  <si>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</si>
  <si>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</si>
  <si>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</si>
  <si>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</si>
  <si>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</si>
  <si>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</si>
  <si>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</si>
  <si>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</si>
  <si>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</si>
  <si>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</si>
  <si>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</si>
  <si>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</si>
  <si>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</si>
  <si>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</si>
  <si>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</si>
  <si>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</si>
  <si>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</si>
  <si>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</si>
  <si>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</si>
  <si>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</si>
  <si>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</si>
  <si>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</si>
  <si>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</si>
  <si>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</si>
  <si>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</si>
  <si>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</si>
  <si>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</si>
  <si>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</si>
  <si>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</si>
  <si>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</si>
  <si>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</si>
  <si>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</si>
  <si>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</si>
  <si>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</si>
  <si>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</si>
  <si>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</si>
  <si>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</si>
  <si>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</si>
  <si>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</si>
  <si>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</si>
  <si>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</si>
  <si>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</si>
  <si>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</si>
  <si>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</si>
  <si>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</si>
  <si>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</si>
  <si>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</si>
  <si>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</si>
  <si>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</si>
  <si>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</si>
  <si>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</si>
  <si>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</si>
  <si>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</si>
  <si>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</si>
  <si>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</si>
  <si>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</si>
  <si>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</si>
  <si>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</si>
  <si>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</si>
  <si>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</si>
  <si>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</si>
  <si>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</si>
  <si>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</si>
  <si>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</si>
  <si>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</si>
  <si>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</si>
  <si>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</si>
  <si>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</si>
  <si>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</si>
  <si>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</si>
  <si>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</si>
  <si>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</si>
  <si>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</si>
  <si>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</si>
  <si>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</si>
  <si>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</si>
  <si>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</si>
  <si>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</si>
  <si>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</si>
  <si>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</si>
  <si>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</si>
  <si>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</si>
  <si>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</si>
  <si>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</si>
  <si>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</si>
  <si>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</si>
  <si>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</si>
  <si>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</si>
  <si>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</si>
  <si>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</si>
  <si>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</si>
  <si>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</si>
  <si>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</si>
  <si>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</si>
  <si>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</si>
  <si>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</si>
  <si>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</si>
  <si>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</si>
  <si>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</si>
  <si>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</si>
  <si>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</si>
  <si>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</si>
  <si>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</si>
  <si>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</si>
  <si>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</si>
  <si>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</si>
  <si>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</si>
  <si>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</si>
  <si>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</si>
  <si>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</si>
  <si>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</si>
  <si>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</si>
  <si>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</si>
  <si>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</si>
  <si>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</si>
  <si>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</si>
  <si>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</si>
  <si>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</si>
  <si>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</si>
  <si>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</si>
  <si>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</si>
  <si>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</si>
  <si>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</si>
  <si>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</si>
  <si>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</si>
  <si>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</si>
  <si>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</si>
  <si>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</si>
  <si>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</si>
  <si>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</si>
  <si>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</si>
  <si>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</si>
  <si>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</si>
  <si>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</si>
  <si>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</si>
  <si>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</si>
  <si>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</si>
  <si>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</si>
  <si>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</si>
  <si>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</si>
  <si>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</si>
  <si>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</si>
  <si>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</si>
  <si>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</si>
  <si>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</si>
  <si>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</si>
  <si>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</si>
  <si>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</si>
  <si>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</si>
  <si>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</si>
  <si>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</si>
  <si>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</si>
  <si>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</si>
  <si>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</si>
  <si>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</si>
  <si>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</si>
  <si>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</si>
  <si>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</si>
  <si>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</si>
  <si>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</si>
  <si>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</si>
  <si>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</si>
  <si>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</si>
  <si>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</si>
  <si>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</si>
  <si>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</si>
  <si>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</si>
  <si>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</si>
  <si>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</si>
  <si>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</si>
  <si>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</si>
  <si>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</si>
  <si>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</si>
  <si>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</si>
  <si>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</si>
  <si>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</si>
  <si>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</si>
  <si>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</si>
  <si>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</si>
  <si>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</si>
  <si>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</si>
  <si>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</si>
  <si>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</si>
  <si>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</si>
  <si>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</si>
  <si>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</si>
  <si>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</si>
  <si>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</si>
  <si>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</si>
  <si>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</si>
  <si>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</si>
  <si>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</si>
  <si>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</si>
  <si>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</si>
  <si>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</si>
  <si>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</si>
  <si>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</si>
  <si>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</si>
  <si>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</si>
  <si>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</si>
  <si>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</si>
  <si>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</si>
  <si>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</si>
  <si>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</si>
  <si>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</si>
  <si>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</si>
  <si>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</si>
  <si>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</si>
  <si>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</si>
  <si>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</si>
  <si>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</si>
  <si>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</si>
  <si>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</si>
  <si>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</si>
  <si>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</si>
  <si>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</si>
  <si>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</si>
  <si>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</si>
  <si>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</si>
  <si>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</si>
  <si>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</si>
  <si>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</si>
  <si>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</si>
  <si>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</si>
  <si>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</si>
  <si>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</si>
  <si>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</si>
  <si>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</si>
  <si>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</si>
  <si>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</si>
  <si>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</si>
  <si>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</si>
  <si>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</si>
  <si>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</si>
  <si>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</si>
  <si>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</si>
  <si>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</si>
  <si>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</si>
  <si>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</si>
  <si>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</si>
  <si>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</si>
  <si>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</si>
  <si>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</si>
  <si>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</si>
  <si>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</si>
  <si>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</si>
  <si>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</si>
  <si>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</si>
  <si>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</si>
  <si>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</si>
  <si>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</si>
  <si>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</si>
  <si>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</si>
  <si>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</si>
  <si>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</si>
  <si>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</si>
  <si>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</si>
  <si>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</si>
  <si>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</si>
  <si>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</si>
  <si>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</si>
  <si>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</si>
  <si>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</si>
  <si>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</si>
  <si>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</si>
  <si>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</si>
  <si>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</si>
  <si>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</si>
  <si>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</si>
  <si>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</si>
  <si>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</si>
  <si>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</si>
  <si>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</si>
  <si>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</si>
  <si>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</si>
  <si>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</si>
  <si>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</si>
  <si>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</si>
  <si>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</si>
  <si>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</si>
  <si>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</si>
  <si>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</si>
  <si>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</si>
  <si>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</si>
  <si>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</si>
  <si>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</si>
  <si>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</si>
  <si>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</si>
  <si>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</si>
  <si>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</si>
  <si>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</si>
  <si>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</si>
  <si>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</si>
  <si>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</si>
  <si>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</si>
  <si>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</si>
  <si>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</si>
  <si>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</si>
  <si>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</si>
  <si>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</si>
  <si>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</si>
  <si>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</si>
  <si>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</si>
  <si>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</si>
  <si>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</si>
  <si>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</si>
  <si>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</si>
  <si>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</si>
  <si>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</si>
  <si>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</si>
  <si>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</si>
  <si>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</si>
  <si>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</si>
  <si>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</si>
  <si>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</si>
  <si>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</si>
  <si>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</si>
  <si>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</si>
  <si>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</si>
  <si>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</si>
  <si>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</si>
  <si>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</si>
  <si>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</si>
  <si>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</si>
  <si>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</si>
  <si>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</si>
  <si>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</si>
  <si>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</si>
  <si>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</si>
  <si>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</si>
  <si>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</si>
  <si>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</si>
  <si>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</si>
  <si>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</si>
  <si>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</si>
  <si>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</si>
  <si>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</si>
  <si>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</si>
  <si>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</si>
  <si>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</si>
  <si>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</si>
  <si>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</si>
  <si>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</si>
  <si>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</si>
  <si>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</si>
  <si>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</si>
  <si>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</si>
  <si>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</si>
  <si>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</si>
  <si>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</si>
  <si>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</si>
  <si>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</si>
  <si>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</si>
  <si>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</si>
  <si>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</si>
  <si>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</si>
  <si>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</si>
  <si>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</si>
  <si>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</si>
  <si>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</si>
  <si>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</si>
  <si>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</si>
  <si>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</si>
  <si>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</si>
  <si>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</si>
  <si>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</si>
  <si>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</si>
  <si>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</si>
  <si>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</si>
  <si>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</si>
  <si>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</si>
  <si>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</si>
  <si>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</si>
  <si>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</si>
  <si>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</si>
  <si>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</si>
  <si>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</si>
  <si>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</si>
  <si>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</si>
  <si>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</si>
  <si>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</si>
  <si>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</si>
  <si>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</si>
  <si>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</si>
  <si>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</si>
  <si>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</si>
  <si>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</si>
  <si>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</si>
  <si>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</si>
  <si>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</si>
  <si>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</si>
  <si>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</si>
  <si>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</si>
  <si>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</si>
  <si>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</si>
  <si>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</si>
  <si>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</si>
  <si>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</si>
  <si>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</si>
  <si>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</si>
  <si>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</si>
  <si>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</si>
  <si>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</si>
  <si>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</si>
  <si>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</si>
  <si>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</si>
  <si>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</si>
  <si>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</si>
  <si>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</si>
  <si>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</si>
  <si>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</si>
  <si>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</si>
  <si>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</si>
  <si>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</si>
  <si>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</si>
  <si>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</si>
  <si>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</si>
  <si>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</si>
  <si>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</si>
  <si>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</si>
  <si>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</si>
  <si>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</si>
  <si>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</si>
  <si>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</si>
  <si>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</si>
  <si>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</si>
  <si>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</si>
  <si>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</si>
  <si>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</si>
  <si>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</si>
  <si>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</si>
  <si>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</si>
  <si>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</si>
  <si>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</si>
  <si>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</si>
  <si>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</si>
  <si>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</si>
  <si>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</si>
  <si>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</si>
  <si>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</si>
  <si>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</si>
  <si>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</si>
  <si>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</si>
  <si>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</si>
  <si>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</si>
  <si>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</si>
  <si>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</si>
  <si>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</si>
  <si>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</si>
  <si>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</si>
  <si>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</si>
  <si>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</si>
  <si>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</si>
  <si>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</si>
  <si>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</si>
  <si>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</si>
  <si>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</si>
  <si>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</si>
  <si>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</si>
  <si>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</si>
  <si>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</si>
  <si>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</si>
  <si>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</si>
  <si>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</si>
  <si>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</si>
  <si>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</si>
  <si>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</si>
  <si>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</si>
  <si>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</si>
  <si>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</si>
  <si>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</si>
  <si>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</si>
  <si>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</si>
  <si>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</si>
  <si>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</si>
  <si>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</si>
  <si>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</si>
  <si>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</si>
  <si>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</si>
  <si>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</si>
  <si>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</si>
  <si>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</si>
  <si>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</si>
  <si>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</si>
  <si>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</si>
  <si>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</si>
  <si>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</si>
  <si>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</si>
  <si>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</si>
  <si>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</si>
  <si>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</si>
  <si>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</si>
  <si>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</si>
  <si>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</si>
  <si>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</si>
  <si>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</si>
  <si>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</si>
  <si>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</si>
  <si>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</si>
  <si>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</si>
  <si>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</si>
  <si>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</si>
  <si>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</si>
  <si>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</si>
  <si>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</si>
  <si>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</si>
  <si>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</si>
  <si>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</si>
  <si>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</si>
  <si>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</si>
  <si>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</si>
  <si>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</si>
  <si>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</si>
  <si>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</si>
  <si>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</si>
  <si>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</si>
  <si>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</si>
  <si>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</si>
  <si>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</si>
  <si>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</si>
  <si>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</si>
  <si>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</si>
  <si>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</si>
  <si>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</si>
  <si>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</si>
  <si>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</si>
  <si>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</si>
  <si>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</si>
  <si>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</si>
  <si>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</si>
  <si>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</si>
  <si>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</si>
  <si>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</si>
  <si>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</si>
  <si>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</si>
  <si>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</si>
  <si>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</si>
  <si>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</si>
  <si>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</si>
  <si>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</si>
  <si>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</si>
  <si>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</si>
  <si>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</si>
  <si>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</si>
  <si>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</si>
  <si>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</si>
  <si>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</si>
  <si>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</si>
  <si>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</si>
  <si>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</si>
  <si>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</si>
  <si>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</si>
  <si>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</si>
  <si>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</si>
  <si>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</si>
  <si>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</si>
  <si>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</si>
  <si>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</si>
  <si>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</si>
  <si>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</si>
  <si>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</si>
  <si>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</si>
  <si>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</si>
  <si>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</si>
  <si>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</si>
  <si>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</si>
  <si>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</si>
  <si>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</si>
  <si>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</si>
  <si>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</si>
  <si>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</si>
  <si>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</si>
  <si>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</si>
  <si>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</si>
  <si>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</si>
  <si>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</si>
  <si>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</si>
  <si>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</si>
  <si>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</si>
  <si>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</si>
  <si>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</si>
  <si>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</si>
  <si>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</si>
  <si>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</si>
  <si>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</si>
  <si>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</si>
  <si>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</si>
  <si>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</si>
  <si>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</si>
  <si>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</si>
  <si>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</si>
  <si>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</si>
  <si>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</si>
  <si>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</si>
  <si>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</si>
  <si>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</si>
  <si>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</si>
  <si>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</si>
  <si>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</si>
  <si>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</si>
  <si>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</si>
  <si>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</si>
  <si>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</si>
  <si>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</si>
  <si>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</si>
  <si>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</si>
  <si>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</si>
  <si>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</si>
  <si>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</si>
  <si>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</si>
  <si>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</si>
  <si>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</si>
  <si>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</si>
  <si>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</si>
  <si>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</si>
  <si>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</si>
  <si>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</si>
  <si>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</si>
  <si>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</si>
  <si>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</si>
  <si>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</si>
  <si>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</si>
  <si>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</si>
  <si>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</si>
  <si>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</si>
  <si>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</si>
  <si>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</si>
  <si>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</si>
  <si>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</si>
  <si>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</si>
  <si>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</si>
  <si>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</si>
  <si>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</si>
  <si>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</si>
  <si>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</si>
  <si>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</si>
  <si>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</si>
  <si>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</si>
  <si>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</si>
  <si>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</si>
  <si>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</si>
  <si>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</si>
  <si>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</si>
  <si>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</si>
  <si>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</si>
  <si>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</si>
  <si>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</si>
  <si>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</si>
  <si>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</si>
  <si>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</si>
  <si>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</si>
  <si>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</si>
  <si>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</si>
  <si>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</si>
  <si>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</si>
  <si>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</si>
  <si>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</si>
  <si>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</si>
  <si>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</si>
  <si>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</si>
  <si>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</si>
  <si>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</si>
  <si>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</si>
  <si>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</si>
  <si>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</si>
  <si>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</si>
  <si>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</si>
  <si>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</si>
  <si>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</si>
  <si>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</si>
  <si>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</si>
  <si>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</si>
  <si>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</si>
  <si>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</si>
  <si>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</si>
  <si>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</si>
  <si>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</si>
  <si>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</si>
  <si>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</si>
  <si>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</si>
  <si>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</si>
  <si>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</si>
  <si>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</si>
  <si>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</si>
  <si>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</si>
  <si>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</si>
  <si>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</si>
  <si>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</si>
  <si>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</si>
  <si>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</si>
  <si>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</si>
  <si>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</si>
  <si>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</si>
  <si>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</si>
  <si>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</si>
  <si>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</si>
  <si>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</si>
  <si>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</si>
  <si>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</si>
  <si>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</si>
  <si>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</si>
  <si>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</si>
  <si>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</si>
  <si>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</si>
  <si>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</si>
  <si>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</si>
  <si>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</si>
  <si>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</si>
  <si>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</si>
  <si>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</si>
  <si>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</si>
  <si>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</si>
  <si>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</si>
  <si>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</si>
  <si>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</si>
  <si>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</si>
  <si>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</si>
  <si>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</si>
  <si>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</si>
  <si>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</si>
  <si>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</si>
  <si>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</si>
  <si>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</si>
  <si>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</si>
  <si>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</si>
  <si>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</si>
  <si>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</si>
  <si>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</si>
  <si>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</si>
  <si>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</si>
  <si>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</si>
  <si>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</si>
  <si>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</si>
  <si>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</si>
  <si>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</si>
  <si>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</si>
  <si>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</si>
  <si>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</si>
  <si>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</si>
  <si>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</si>
  <si>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</si>
  <si>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</si>
  <si>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</si>
  <si>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</si>
  <si>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</si>
  <si>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</si>
  <si>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</si>
  <si>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</si>
  <si>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</si>
  <si>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</si>
  <si>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</si>
  <si>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</si>
  <si>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</si>
  <si>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</si>
  <si>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</si>
  <si>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</si>
  <si>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</si>
  <si>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</si>
  <si>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</si>
  <si>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</si>
  <si>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</si>
  <si>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</si>
  <si>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</si>
  <si>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</si>
  <si>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</si>
  <si>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</si>
  <si>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</si>
  <si>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</si>
  <si>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</si>
  <si>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</si>
  <si>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</si>
  <si>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</si>
  <si>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</si>
  <si>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</si>
  <si>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</si>
  <si>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</si>
  <si>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</si>
  <si>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</si>
  <si>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</si>
  <si>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</si>
  <si>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</si>
  <si>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</si>
  <si>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</si>
  <si>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</si>
  <si>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</si>
  <si>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</si>
  <si>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</si>
  <si>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</si>
  <si>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</si>
  <si>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</si>
  <si>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</si>
  <si>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</si>
  <si>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</si>
  <si>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</si>
  <si>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</si>
  <si>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</si>
  <si>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</si>
  <si>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</si>
  <si>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</si>
  <si>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</si>
  <si>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</si>
  <si>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</si>
  <si>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</si>
  <si>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</si>
  <si>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</si>
  <si>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</si>
  <si>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</si>
  <si>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</si>
  <si>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</si>
  <si>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</si>
  <si>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</si>
  <si>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</si>
  <si>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</si>
  <si>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</si>
  <si>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</si>
  <si>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</si>
  <si>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</si>
  <si>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</si>
  <si>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</si>
  <si>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</si>
  <si>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</si>
  <si>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</si>
  <si>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</si>
  <si>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</si>
  <si>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</si>
  <si>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</si>
  <si>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</si>
  <si>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</si>
  <si>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</si>
  <si>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</si>
  <si>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</si>
  <si>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</si>
  <si>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</si>
  <si>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</si>
  <si>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</si>
  <si>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</si>
  <si>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</si>
  <si>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</si>
  <si>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</si>
  <si>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</si>
  <si>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</si>
  <si>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</si>
  <si>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</si>
  <si>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</si>
  <si>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</si>
  <si>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</si>
  <si>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</si>
  <si>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</si>
  <si>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</si>
  <si>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</si>
  <si>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</si>
  <si>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</si>
  <si>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</si>
  <si>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</si>
  <si>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</si>
  <si>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</si>
  <si>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</si>
  <si>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</si>
  <si>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</si>
  <si>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</si>
  <si>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</si>
  <si>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</si>
  <si>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</si>
  <si>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</si>
  <si>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</si>
  <si>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</si>
  <si>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</si>
  <si>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</si>
  <si>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</si>
  <si>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</si>
  <si>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</si>
  <si>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</si>
  <si>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</si>
  <si>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</si>
  <si>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</si>
  <si>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</si>
  <si>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</si>
  <si>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</si>
  <si>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</si>
  <si>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</si>
  <si>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</si>
  <si>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</si>
  <si>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</si>
  <si>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</si>
  <si>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</si>
  <si>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</si>
  <si>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</si>
  <si>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</si>
  <si>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</si>
  <si>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</si>
  <si>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</si>
  <si>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</si>
  <si>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</si>
  <si>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</si>
  <si>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</si>
  <si>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</si>
  <si>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</si>
  <si>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</si>
  <si>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</si>
  <si>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</si>
  <si>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</si>
  <si>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</si>
  <si>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</si>
  <si>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</si>
  <si>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</si>
  <si>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</si>
  <si>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</si>
  <si>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</si>
  <si>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</si>
  <si>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</si>
  <si>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</si>
  <si>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</si>
  <si>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</si>
  <si>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</si>
  <si>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</si>
  <si>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</si>
  <si>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</si>
  <si>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</si>
  <si>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</si>
  <si>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</si>
  <si>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</si>
  <si>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</si>
  <si>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</si>
  <si>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</si>
  <si>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</si>
  <si>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</si>
  <si>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</si>
  <si>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</si>
  <si>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</si>
  <si>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</si>
  <si>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</si>
  <si>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</si>
  <si>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</si>
  <si>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</si>
  <si>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</si>
  <si>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</si>
  <si>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</si>
  <si>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</si>
  <si>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</si>
  <si>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</si>
  <si>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</si>
  <si>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</si>
  <si>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</si>
  <si>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</si>
  <si>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</si>
  <si>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</si>
  <si>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</si>
  <si>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</si>
  <si>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</si>
  <si>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</si>
  <si>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</si>
  <si>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</si>
  <si>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</si>
  <si>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</si>
  <si>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</si>
  <si>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</si>
  <si>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</si>
  <si>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</si>
  <si>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</si>
  <si>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</si>
  <si>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</si>
  <si>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</si>
  <si>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</si>
  <si>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</si>
  <si>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</si>
  <si>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</si>
  <si>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</si>
  <si>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</si>
  <si>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</si>
  <si>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</si>
  <si>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</si>
  <si>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</si>
  <si>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</si>
  <si>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</si>
  <si>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</si>
  <si>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</si>
  <si>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</si>
  <si>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</si>
  <si>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</si>
  <si>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</si>
  <si>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</si>
  <si>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</si>
  <si>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</si>
  <si>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</si>
  <si>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</si>
  <si>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</si>
  <si>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</si>
  <si>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</si>
  <si>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</si>
  <si>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</si>
  <si>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</si>
  <si>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</si>
  <si>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</si>
  <si>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</si>
  <si>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</si>
  <si>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</si>
  <si>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</si>
  <si>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</si>
  <si>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</si>
  <si>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</si>
  <si>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</si>
  <si>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</si>
  <si>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</si>
  <si>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</si>
  <si>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</si>
  <si>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</si>
  <si>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</si>
  <si>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</si>
  <si>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</si>
  <si>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</si>
  <si>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</si>
  <si>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</si>
  <si>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</si>
  <si>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</si>
  <si>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</si>
  <si>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</si>
  <si>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</si>
  <si>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</si>
  <si>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</si>
  <si>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</si>
  <si>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</si>
  <si>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</si>
  <si>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</si>
  <si>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</si>
  <si>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</si>
  <si>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</si>
  <si>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</si>
  <si>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</si>
  <si>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</si>
  <si>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</si>
  <si>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</si>
  <si>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</si>
  <si>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</si>
  <si>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</si>
  <si>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</si>
  <si>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</si>
  <si>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</si>
  <si>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</si>
  <si>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</si>
  <si>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</si>
  <si>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</si>
  <si>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</si>
  <si>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</si>
  <si>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</si>
  <si>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</si>
  <si>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</si>
  <si>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</si>
  <si>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</si>
  <si>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</si>
  <si>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</si>
  <si>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</si>
  <si>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</si>
  <si>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</si>
  <si>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</si>
  <si>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</si>
  <si>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</si>
  <si>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</si>
  <si>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</si>
  <si>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</si>
  <si>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</si>
  <si>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</si>
  <si>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</si>
  <si>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</si>
  <si>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</si>
  <si>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</si>
  <si>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</si>
  <si>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</si>
  <si>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</si>
  <si>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</si>
  <si>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</si>
  <si>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</si>
  <si>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</si>
  <si>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</si>
  <si>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</si>
  <si>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</si>
  <si>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</si>
  <si>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</si>
  <si>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</si>
  <si>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</si>
  <si>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</si>
  <si>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</si>
  <si>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</si>
  <si>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</si>
  <si>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</si>
  <si>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</si>
  <si>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</si>
  <si>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</si>
  <si>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</si>
  <si>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</si>
  <si>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</si>
  <si>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</si>
  <si>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</si>
  <si>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</si>
  <si>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</si>
  <si>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</si>
  <si>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</si>
  <si>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</si>
  <si>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</si>
  <si>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</si>
  <si>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</si>
  <si>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</si>
  <si>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</si>
  <si>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</si>
  <si>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</si>
  <si>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</si>
  <si>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</si>
  <si>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</si>
  <si>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</si>
  <si>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</si>
  <si>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</si>
  <si>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</si>
  <si>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</si>
  <si>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</si>
  <si>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</si>
  <si>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</si>
  <si>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</si>
  <si>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</si>
  <si>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</si>
  <si>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</si>
  <si>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</si>
  <si>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</si>
  <si>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</si>
  <si>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</si>
  <si>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</si>
  <si>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</si>
  <si>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</si>
  <si>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</si>
  <si>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</si>
  <si>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</si>
  <si>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</si>
  <si>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</si>
  <si>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</si>
  <si>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</si>
  <si>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</si>
  <si>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</si>
  <si>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</si>
  <si>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</si>
  <si>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</si>
  <si>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</si>
  <si>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</si>
  <si>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</si>
  <si>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</si>
  <si>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</si>
  <si>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</si>
  <si>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</si>
  <si>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</si>
  <si>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</si>
  <si>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</si>
  <si>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</si>
  <si>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</si>
  <si>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</si>
  <si>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</si>
  <si>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</si>
  <si>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</si>
  <si>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</si>
  <si>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</si>
  <si>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</si>
  <si>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</si>
  <si>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</si>
  <si>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</si>
  <si>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</si>
  <si>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</si>
  <si>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</si>
  <si>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</si>
  <si>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</si>
  <si>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</si>
  <si>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</si>
  <si>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</si>
  <si>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</si>
  <si>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</si>
  <si>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</si>
  <si>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</si>
  <si>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</si>
  <si>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</si>
  <si>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</si>
  <si>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</si>
  <si>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</si>
  <si>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</si>
  <si>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</si>
  <si>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</si>
  <si>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</si>
  <si>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</si>
  <si>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</si>
  <si>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</si>
  <si>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</si>
  <si>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</si>
  <si>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</si>
  <si>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</si>
  <si>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</si>
  <si>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</si>
  <si>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</si>
  <si>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</si>
  <si>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</si>
  <si>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</si>
  <si>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</si>
  <si>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</si>
  <si>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</si>
  <si>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</si>
  <si>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</si>
  <si>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</si>
  <si>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</si>
  <si>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</si>
  <si>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</si>
  <si>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</si>
  <si>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</si>
  <si>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</si>
  <si>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</si>
  <si>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</si>
  <si>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</si>
  <si>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</si>
  <si>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</si>
  <si>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</si>
  <si>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</si>
  <si>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</si>
  <si>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</si>
  <si>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</si>
  <si>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</si>
  <si>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</si>
  <si>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</si>
  <si>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</si>
  <si>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</si>
  <si>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</si>
  <si>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</si>
  <si>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</si>
  <si>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</si>
  <si>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</si>
  <si>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</si>
  <si>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</si>
  <si>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</si>
  <si>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</si>
  <si>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</si>
  <si>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</si>
  <si>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</si>
  <si>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</si>
  <si>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</si>
  <si>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</si>
  <si>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</si>
  <si>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</si>
  <si>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</si>
  <si>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</si>
  <si>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</si>
  <si>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</si>
  <si>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</si>
  <si>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</si>
  <si>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</si>
  <si>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</si>
  <si>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</si>
  <si>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</si>
  <si>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</si>
  <si>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</si>
  <si>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</si>
  <si>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</si>
  <si>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</si>
  <si>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</si>
  <si>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</si>
  <si>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</si>
  <si>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</si>
  <si>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</si>
  <si>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</si>
  <si>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</si>
  <si>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</si>
  <si>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</si>
  <si>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</si>
  <si>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</si>
  <si>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</si>
  <si>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</si>
  <si>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</si>
  <si>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</si>
  <si>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</si>
  <si>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</si>
  <si>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</si>
  <si>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</si>
  <si>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</si>
  <si>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</si>
  <si>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</si>
  <si>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</si>
  <si>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</si>
  <si>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</si>
  <si>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</si>
  <si>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</si>
  <si>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</si>
  <si>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</si>
  <si>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</si>
  <si>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</si>
  <si>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</si>
  <si>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</si>
  <si>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</si>
  <si>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</si>
  <si>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</si>
  <si>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</si>
  <si>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</si>
  <si>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</si>
  <si>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</si>
  <si>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</si>
  <si>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</si>
  <si>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</si>
  <si>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</si>
  <si>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</si>
  <si>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</si>
  <si>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</si>
  <si>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</si>
  <si>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</si>
  <si>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</si>
  <si>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</si>
  <si>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</si>
  <si>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</si>
  <si>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</si>
  <si>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</si>
  <si>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</si>
  <si>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</si>
  <si>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</si>
  <si>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</si>
  <si>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</si>
  <si>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</si>
  <si>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</si>
  <si>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</si>
  <si>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</si>
  <si>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</si>
  <si>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</si>
  <si>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</si>
  <si>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</si>
  <si>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</si>
  <si>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</si>
  <si>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</si>
  <si>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</si>
  <si>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</si>
  <si>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</si>
  <si>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</si>
  <si>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</si>
  <si>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</si>
  <si>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</si>
  <si>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</si>
  <si>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</si>
  <si>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</si>
  <si>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</si>
  <si>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</si>
  <si>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</si>
  <si>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</si>
  <si>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</si>
  <si>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</si>
  <si>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</si>
  <si>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</si>
  <si>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</si>
  <si>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</si>
  <si>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</si>
  <si>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</si>
  <si>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</si>
  <si>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</si>
  <si>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</si>
  <si>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</si>
  <si>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</si>
  <si>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</si>
  <si>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</si>
  <si>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</si>
  <si>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</si>
  <si>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</si>
  <si>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</si>
  <si>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</si>
  <si>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</si>
  <si>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</si>
  <si>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</si>
  <si>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</si>
  <si>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</si>
  <si>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</si>
  <si>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</si>
  <si>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</si>
  <si>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</si>
  <si>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</si>
  <si>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</si>
  <si>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</si>
  <si>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</si>
  <si>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</si>
  <si>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</si>
  <si>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</si>
  <si>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</si>
  <si>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</si>
  <si>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</si>
  <si>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</si>
  <si>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</si>
  <si>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</si>
  <si>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</si>
  <si>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</si>
  <si>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</si>
  <si>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</si>
  <si>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</si>
  <si>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</si>
  <si>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</si>
  <si>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</si>
  <si>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</si>
  <si>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</si>
  <si>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</si>
  <si>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</si>
  <si>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</si>
  <si>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</si>
  <si>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</si>
  <si>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</si>
  <si>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</si>
  <si>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</si>
  <si>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</si>
  <si>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</si>
  <si>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</si>
  <si>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</si>
  <si>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</si>
  <si>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</si>
  <si>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</si>
  <si>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</si>
  <si>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</si>
  <si>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</si>
  <si>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</si>
  <si>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</si>
  <si>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</si>
  <si>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</si>
  <si>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</si>
  <si>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</si>
  <si>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</si>
  <si>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</si>
  <si>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</si>
  <si>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</si>
  <si>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</si>
  <si>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</si>
  <si>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</si>
  <si>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</si>
  <si>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</si>
  <si>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</si>
  <si>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</si>
  <si>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</si>
  <si>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</si>
  <si>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</si>
  <si>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</si>
  <si>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</si>
  <si>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</si>
  <si>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</si>
  <si>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</si>
  <si>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</si>
  <si>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</si>
  <si>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</si>
  <si>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</si>
  <si>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</si>
  <si>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</si>
  <si>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</si>
  <si>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</si>
  <si>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</si>
  <si>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</si>
  <si>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</si>
  <si>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</si>
  <si>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</si>
  <si>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</si>
  <si>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</si>
  <si>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</si>
  <si>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</si>
  <si>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</si>
  <si>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</si>
  <si>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</si>
  <si>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</si>
  <si>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</si>
  <si>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</si>
  <si>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</si>
  <si>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</si>
  <si>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</si>
  <si>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</si>
  <si>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</si>
  <si>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</si>
  <si>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</si>
  <si>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图标</t>
  </si>
  <si>
    <t>名称</t>
  </si>
  <si>
    <t>区分等级</t>
  </si>
  <si>
    <t>监控对象</t>
  </si>
  <si>
    <t>心法要求</t>
  </si>
  <si>
    <t>通用颜色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</si>
  <si>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</si>
  <si>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</si>
  <si>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</si>
  <si>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</si>
  <si>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</si>
  <si>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</si>
  <si>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</si>
  <si>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</si>
  <si>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</si>
  <si>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</si>
  <si>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</si>
  <si>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</si>
  <si>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</si>
  <si>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</si>
  <si>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</si>
  <si>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</si>
  <si>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</si>
  <si>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</si>
  <si>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</si>
  <si>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</si>
  <si>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</si>
  <si>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</si>
  <si>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</si>
  <si>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</si>
  <si>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</si>
  <si>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</si>
  <si>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</si>
  <si>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</si>
  <si>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</si>
  <si>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</si>
  <si>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</si>
  <si>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</si>
  <si>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</si>
  <si>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</si>
  <si>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</si>
  <si>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</si>
  <si>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</si>
  <si>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</si>
  <si>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</si>
  <si>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</si>
  <si>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</si>
  <si>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</si>
  <si>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</si>
  <si>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</si>
  <si>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</si>
  <si>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</si>
  <si>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</si>
  <si>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</si>
  <si>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return {CHAT={</t>
  </si>
  <si>
    <t>据点地图</t>
  </si>
  <si>
    <t>^【(.*)】据点大旗(.*)重置回初始位置！\n</t>
  </si>
  <si>
    <t>^恶人谷的【(.*)】帮会成功占领【(.*)】据点！(.*)</t>
  </si>
  <si>
    <t>^浩气盟的【(.*)】帮会成功占领【(.*)】据点！(.*)</t>
  </si>
  <si>
    <t>^恶人谷位于(.*)的【(.*)据点】大旗被夺，10分钟后若未能夺回大旗，则会丢失此据点！\n</t>
  </si>
  <si>
    <t>^浩气盟位于(.*)的【(.*)据点】大旗被夺，10分钟后若未能夺回大旗，则会丢失此据点！\n</t>
  </si>
  <si>
    <t>^江湖快报！(.*)据点粮仓被一群恶人谷人士洗劫，损失一半据点资金。\n</t>
  </si>
  <si>
    <t>^江湖快报！(.*)据点粮仓被一群浩气盟人士洗劫，损失一半据点资金。\n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</si>
</sst>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7" borderId="15" applyNumberFormat="0" applyAlignment="0" applyProtection="0">
      <alignment vertical="center"/>
    </xf>
    <xf numFmtId="0" fontId="17" fillId="7" borderId="14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6" fillId="0" borderId="18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" fillId="0" borderId="0">
      <alignment vertical="center"/>
    </xf>
  </cellStyleXfs>
  <cellXfs count="37">
    <xf numFmtId="0" fontId="0" fillId="0" borderId="0" xfId="0">
      <alignment vertical="center"/>
    </xf>
    <xf numFmtId="0" fontId="1" fillId="0" borderId="0" xfId="49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23" applyBorder="1" applyAlignment="1">
      <alignment horizontal="center" vertical="center"/>
    </xf>
    <xf numFmtId="0" fontId="2" fillId="2" borderId="2" xfId="23" applyBorder="1" applyAlignment="1">
      <alignment horizontal="center" vertical="center"/>
    </xf>
    <xf numFmtId="0" fontId="2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3" fillId="3" borderId="1" xfId="22" applyBorder="1">
      <alignment vertical="center"/>
    </xf>
    <xf numFmtId="0" fontId="0" fillId="4" borderId="1" xfId="0" applyFill="1" applyBorder="1">
      <alignment vertical="center"/>
    </xf>
    <xf numFmtId="0" fontId="4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5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2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2" fillId="2" borderId="1" xfId="23" applyBorder="1" applyAlignment="1">
      <alignment horizontal="left" vertical="center"/>
    </xf>
    <xf numFmtId="0" fontId="2" fillId="2" borderId="1" xfId="23" applyBorder="1">
      <alignment vertical="center"/>
    </xf>
    <xf numFmtId="0" fontId="2" fillId="2" borderId="7" xfId="23" applyBorder="1">
      <alignment vertical="center"/>
    </xf>
    <xf numFmtId="0" fontId="2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4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49" workbookViewId="0">
      <selection activeCell="C76" sqref="C76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1792519201000,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topLeftCell="A170" workbookViewId="0">
      <selection activeCell="B194" sqref="B194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"/>
  <sheetViews>
    <sheetView workbookViewId="0">
      <selection activeCell="A1" sqref="A1"/>
    </sheetView>
  </sheetViews>
  <sheetFormatPr defaultColWidth="9" defaultRowHeight="13.5" outlineLevelRow="2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49</v>
      </c>
      <c r="K1" t="s">
        <v>1483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316</v>
      </c>
    </row>
    <row r="2" spans="1:25">
      <c r="X2" t="str">
        <f t="shared" ref="X2:X3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},},}</v>
      </c>
    </row>
    <row r="3" spans="1:25">
      <c r="X3" t="str">
        <f t="shared" si="0"/>
        <v/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4"/>
  <sheetViews>
    <sheetView workbookViewId="0">
      <selection activeCell="W2" sqref="W2"/>
    </sheetView>
  </sheetViews>
  <sheetFormatPr defaultColWidth="9" defaultRowHeight="13.5" outlineLevelRow="3"/>
  <sheetData>
    <row r="1" spans="1:24">
      <c r="A1" t="s">
        <v>1476</v>
      </c>
      <c r="B1" t="s">
        <v>1477</v>
      </c>
      <c r="C1" t="s">
        <v>62</v>
      </c>
      <c r="D1" t="s">
        <v>1478</v>
      </c>
      <c r="E1" t="s">
        <v>1497</v>
      </c>
      <c r="F1" t="s">
        <v>1498</v>
      </c>
      <c r="G1" t="s">
        <v>1479</v>
      </c>
      <c r="H1" t="s">
        <v>1482</v>
      </c>
      <c r="I1" t="s">
        <v>49</v>
      </c>
      <c r="J1" t="s">
        <v>1483</v>
      </c>
      <c r="K1" t="s">
        <v>1499</v>
      </c>
      <c r="L1" t="s">
        <v>1500</v>
      </c>
      <c r="M1" t="s">
        <v>1501</v>
      </c>
      <c r="N1" t="s">
        <v>1502</v>
      </c>
      <c r="O1" t="s">
        <v>1503</v>
      </c>
      <c r="P1" t="s">
        <v>1504</v>
      </c>
      <c r="Q1" t="s">
        <v>1505</v>
      </c>
      <c r="R1" t="s">
        <v>1506</v>
      </c>
      <c r="S1" t="s">
        <v>1507</v>
      </c>
      <c r="T1" t="s">
        <v>1508</v>
      </c>
      <c r="U1" t="s">
        <v>1509</v>
      </c>
      <c r="V1" t="s">
        <v>296</v>
      </c>
      <c r="W1" t="s">
        <v>1510</v>
      </c>
      <c r="X1" t="s">
        <v>316</v>
      </c>
    </row>
    <row r="2" spans="1:24">
      <c r="W2" t="str">
        <f t="shared" ref="W2:W4" si="0"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},},}</v>
      </c>
    </row>
    <row r="4" spans="1:24">
      <c r="W4" t="str">
        <f t="shared" si="0"/>
        <v/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"/>
  <sheetViews>
    <sheetView workbookViewId="0">
      <selection activeCell="U2" sqref="U2"/>
    </sheetView>
  </sheetViews>
  <sheetFormatPr defaultColWidth="9" defaultRowHeight="13.5" outlineLevelRow="3"/>
  <sheetData>
    <row r="1" spans="1:22">
      <c r="A1" t="s">
        <v>1476</v>
      </c>
      <c r="B1" t="s">
        <v>1477</v>
      </c>
      <c r="C1" t="s">
        <v>62</v>
      </c>
      <c r="D1" t="s">
        <v>1497</v>
      </c>
      <c r="E1" t="s">
        <v>1498</v>
      </c>
      <c r="F1" t="s">
        <v>1479</v>
      </c>
      <c r="G1" t="s">
        <v>1482</v>
      </c>
      <c r="H1" t="s">
        <v>49</v>
      </c>
      <c r="I1" t="s">
        <v>1483</v>
      </c>
      <c r="J1" t="s">
        <v>1511</v>
      </c>
      <c r="K1" t="s">
        <v>1512</v>
      </c>
      <c r="L1" t="s">
        <v>1513</v>
      </c>
      <c r="M1" t="s">
        <v>1514</v>
      </c>
      <c r="N1" t="s">
        <v>1515</v>
      </c>
      <c r="O1" t="s">
        <v>1516</v>
      </c>
      <c r="P1" t="s">
        <v>1517</v>
      </c>
      <c r="Q1" t="s">
        <v>1518</v>
      </c>
      <c r="R1" t="s">
        <v>1519</v>
      </c>
      <c r="S1" t="s">
        <v>1520</v>
      </c>
      <c r="T1" t="s">
        <v>296</v>
      </c>
      <c r="U1" t="s">
        <v>1521</v>
      </c>
      <c r="V1" t="s">
        <v>316</v>
      </c>
    </row>
    <row r="2" spans="1:22">
      <c r="U2" t="str">
        <f t="shared" ref="U2:U4" si="0"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},},}</v>
      </c>
    </row>
    <row r="4" spans="1:22">
      <c r="U4" t="str">
        <f t="shared" si="0"/>
        <v/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"/>
  <sheetViews>
    <sheetView workbookViewId="0">
      <selection activeCell="A1" sqref="A1"/>
    </sheetView>
  </sheetViews>
  <sheetFormatPr defaultColWidth="9" defaultRowHeight="13.5" outlineLevelRow="2"/>
  <sheetData>
    <row r="1" spans="1:16">
      <c r="A1" t="s">
        <v>1476</v>
      </c>
      <c r="B1" t="s">
        <v>1477</v>
      </c>
      <c r="C1" t="s">
        <v>110</v>
      </c>
      <c r="D1" t="s">
        <v>1522</v>
      </c>
      <c r="E1" t="s">
        <v>49</v>
      </c>
      <c r="F1" t="s">
        <v>1483</v>
      </c>
      <c r="G1" t="s">
        <v>1523</v>
      </c>
      <c r="H1" t="s">
        <v>1524</v>
      </c>
      <c r="I1" t="s">
        <v>1525</v>
      </c>
      <c r="J1" t="s">
        <v>1526</v>
      </c>
      <c r="K1" t="s">
        <v>1527</v>
      </c>
      <c r="L1" t="s">
        <v>1528</v>
      </c>
      <c r="M1" t="s">
        <v>1529</v>
      </c>
      <c r="N1" t="s">
        <v>1530</v>
      </c>
      <c r="O1" t="s">
        <v>1531</v>
      </c>
      <c r="P1" t="s">
        <v>316</v>
      </c>
    </row>
    <row r="2" spans="1:16">
      <c r="O2" t="str">
        <f t="shared" ref="O2:O3" si="0"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},},}</v>
      </c>
    </row>
    <row r="3" spans="1:16">
      <c r="O3" t="str">
        <f t="shared" si="0"/>
        <v/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"/>
  <sheetViews>
    <sheetView tabSelected="1" workbookViewId="0">
      <selection activeCell="N8" sqref="N8"/>
    </sheetView>
  </sheetViews>
  <sheetFormatPr defaultColWidth="9" defaultRowHeight="13.5"/>
  <cols>
    <col min="3" max="3" width="79.75" customWidth="1"/>
    <col min="4" max="4" width="13.125" customWidth="1"/>
  </cols>
  <sheetData>
    <row r="1" spans="1:15">
      <c r="A1" t="s">
        <v>1476</v>
      </c>
      <c r="B1" t="s">
        <v>1477</v>
      </c>
      <c r="C1" t="s">
        <v>1522</v>
      </c>
      <c r="D1" t="s">
        <v>49</v>
      </c>
      <c r="E1" t="s">
        <v>1483</v>
      </c>
      <c r="F1" t="s">
        <v>1523</v>
      </c>
      <c r="G1" t="s">
        <v>1524</v>
      </c>
      <c r="H1" t="s">
        <v>1525</v>
      </c>
      <c r="I1" t="s">
        <v>1526</v>
      </c>
      <c r="J1" t="s">
        <v>1527</v>
      </c>
      <c r="K1" t="s">
        <v>1528</v>
      </c>
      <c r="L1" t="s">
        <v>1529</v>
      </c>
      <c r="M1" t="s">
        <v>1530</v>
      </c>
      <c r="N1" t="s">
        <v>1532</v>
      </c>
      <c r="O1" t="s">
        <v>316</v>
      </c>
    </row>
    <row r="2" spans="1:15">
      <c r="A2" t="s">
        <v>1533</v>
      </c>
      <c r="B2">
        <v>-20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[-20]={</v>
      </c>
    </row>
    <row r="3" s="1" customFormat="1" spans="1:15">
      <c r="C3" s="1" t="s">
        <v>1534</v>
      </c>
      <c r="D3" s="1"/>
      <c r="N3" t="str">
        <f t="shared" ref="N3:N10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{szContent="^【(.*)】据点大旗(.*)重置回初始位置！\n",[20]={},},</v>
      </c>
    </row>
    <row r="4" s="1" customFormat="1" spans="1:15">
      <c r="C4" s="1" t="s">
        <v>1535</v>
      </c>
      <c r="D4" s="1"/>
      <c r="N4" t="str">
        <f t="shared" si="0"/>
        <v>{szContent="^恶人谷的【(.*)】帮会成功占领【(.*)】据点！(.*)",[20]={},},</v>
      </c>
    </row>
    <row r="5" s="1" customFormat="1" spans="1:15">
      <c r="C5" s="1" t="s">
        <v>1536</v>
      </c>
      <c r="D5" s="1"/>
      <c r="N5" t="str">
        <f t="shared" si="0"/>
        <v>{szContent="^浩气盟的【(.*)】帮会成功占领【(.*)】据点！(.*)",[20]={},},</v>
      </c>
    </row>
    <row r="6" s="1" customFormat="1" spans="1:15">
      <c r="C6" s="1" t="s">
        <v>1537</v>
      </c>
      <c r="D6" s="1"/>
      <c r="N6" t="str">
        <f t="shared" si="0"/>
        <v>{szContent="^恶人谷位于(.*)的【(.*)据点】大旗被夺，10分钟后若未能夺回大旗，则会丢失此据点！\n",[20]={},},</v>
      </c>
    </row>
    <row r="7" s="1" customFormat="1" spans="1:15">
      <c r="C7" s="1" t="s">
        <v>1538</v>
      </c>
      <c r="D7" s="1"/>
      <c r="N7" t="str">
        <f t="shared" si="0"/>
        <v>{szContent="^浩气盟位于(.*)的【(.*)据点】大旗被夺，10分钟后若未能夺回大旗，则会丢失此据点！\n",[20]={},},</v>
      </c>
    </row>
    <row r="8" s="1" customFormat="1" spans="1:15">
      <c r="C8" s="1" t="s">
        <v>1539</v>
      </c>
      <c r="D8" s="1"/>
      <c r="N8" t="str">
        <f t="shared" si="0"/>
        <v>{szContent="^江湖快报！(.*)据点粮仓被一群恶人谷人士洗劫，损失一半据点资金。\n",[20]={},},</v>
      </c>
    </row>
    <row r="9" s="1" customFormat="1" spans="1:15">
      <c r="C9" s="1" t="s">
        <v>1540</v>
      </c>
      <c r="N9" t="str">
        <f t="shared" si="0"/>
        <v>{szContent="^江湖快报！(.*)据点粮仓被一群浩气盟人士洗劫，损失一半据点资金。\n",[20]={},},</v>
      </c>
    </row>
    <row r="10" spans="1:15">
      <c r="N10" t="str">
        <f t="shared" si="0"/>
        <v>},},}</v>
      </c>
    </row>
  </sheetData>
  <sortState ref="A3:O8">
    <sortCondition ref="A3:A8" descending="1"/>
  </sortState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茗伊团队监控数据手册</vt:lpstr>
      <vt:lpstr>字典</vt:lpstr>
      <vt:lpstr>武学招式</vt:lpstr>
      <vt:lpstr>系统角色</vt:lpstr>
      <vt:lpstr>交互物件</vt:lpstr>
      <vt:lpstr>角色喊话</vt:lpstr>
      <vt:lpstr>系统频道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2026-10-20T18:00:06Z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769B4B312CF24D9B8E2343812259FC34_12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